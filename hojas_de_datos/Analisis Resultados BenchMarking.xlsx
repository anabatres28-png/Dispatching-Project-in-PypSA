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hojas_de_datos\"/>
    </mc:Choice>
  </mc:AlternateContent>
  <xr:revisionPtr revIDLastSave="0" documentId="13_ncr:1_{215E8D2B-853A-45AD-8CA2-0E70E2557CA0}" xr6:coauthVersionLast="47" xr6:coauthVersionMax="47" xr10:uidLastSave="{00000000-0000-0000-0000-000000000000}"/>
  <bookViews>
    <workbookView xWindow="28680" yWindow="-120" windowWidth="29040" windowHeight="15720" activeTab="1" xr2:uid="{EB83EF9F-CD4E-4D80-B090-034B22B909E7}"/>
  </bookViews>
  <sheets>
    <sheet name="GuideSheet" sheetId="2" r:id="rId1"/>
    <sheet name="Comparación con TYNDP24" sheetId="8" r:id="rId2"/>
    <sheet name="Precios ES" sheetId="5" r:id="rId3"/>
    <sheet name="Utilizacion de Interconexiones" sheetId="7" r:id="rId4"/>
    <sheet name="Hoja2" sheetId="9" r:id="rId5"/>
    <sheet name="Hoja1" sheetId="10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2" hidden="1">'Precios ES'!$A$1:$H$171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0" l="1"/>
  <c r="U13" i="10"/>
  <c r="U14" i="10"/>
  <c r="U15" i="10"/>
  <c r="U16" i="10"/>
  <c r="U17" i="10"/>
  <c r="U18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36" i="10"/>
  <c r="T37" i="10"/>
  <c r="T38" i="10"/>
  <c r="T39" i="10"/>
  <c r="T40" i="10"/>
  <c r="T41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12" i="10"/>
  <c r="T13" i="10"/>
  <c r="T14" i="10"/>
  <c r="T15" i="10"/>
  <c r="T16" i="10"/>
  <c r="T17" i="10"/>
  <c r="T18" i="10"/>
  <c r="T3" i="10"/>
  <c r="T4" i="10"/>
  <c r="T5" i="10"/>
  <c r="T6" i="10"/>
  <c r="T7" i="10"/>
  <c r="T8" i="10"/>
  <c r="T9" i="10"/>
  <c r="T10" i="10"/>
  <c r="T11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V1" i="10"/>
  <c r="W1" i="10"/>
  <c r="V2" i="10"/>
  <c r="W2" i="10"/>
  <c r="V3" i="10"/>
  <c r="W3" i="10"/>
  <c r="V4" i="10"/>
  <c r="W4" i="10"/>
  <c r="V5" i="10"/>
  <c r="W5" i="10"/>
  <c r="V6" i="10"/>
  <c r="W6" i="10"/>
  <c r="V7" i="10"/>
  <c r="W7" i="10"/>
  <c r="V8" i="10"/>
  <c r="W8" i="10"/>
  <c r="V9" i="10"/>
  <c r="W9" i="10"/>
  <c r="V10" i="10"/>
  <c r="W10" i="10"/>
  <c r="V11" i="10"/>
  <c r="W11" i="10"/>
  <c r="V12" i="10"/>
  <c r="W12" i="10"/>
  <c r="V13" i="10"/>
  <c r="W13" i="10"/>
  <c r="V14" i="10"/>
  <c r="W14" i="10"/>
  <c r="V15" i="10"/>
  <c r="W15" i="10"/>
  <c r="V16" i="10"/>
  <c r="W16" i="10"/>
  <c r="V17" i="10"/>
  <c r="W17" i="10"/>
  <c r="V18" i="10"/>
  <c r="W18" i="10"/>
  <c r="V19" i="10"/>
  <c r="W19" i="10"/>
  <c r="V20" i="10"/>
  <c r="W20" i="10"/>
  <c r="V21" i="10"/>
  <c r="W21" i="10"/>
  <c r="V22" i="10"/>
  <c r="W22" i="10"/>
  <c r="V23" i="10"/>
  <c r="W23" i="10"/>
  <c r="V24" i="10"/>
  <c r="W24" i="10"/>
  <c r="V25" i="10"/>
  <c r="W25" i="10"/>
  <c r="V26" i="10"/>
  <c r="W26" i="10"/>
  <c r="V27" i="10"/>
  <c r="W27" i="10"/>
  <c r="V28" i="10"/>
  <c r="W28" i="10"/>
  <c r="V29" i="10"/>
  <c r="W29" i="10"/>
  <c r="V30" i="10"/>
  <c r="W30" i="10"/>
  <c r="V31" i="10"/>
  <c r="W31" i="10"/>
  <c r="V32" i="10"/>
  <c r="W32" i="10"/>
  <c r="V33" i="10"/>
  <c r="W33" i="10"/>
  <c r="V34" i="10"/>
  <c r="W34" i="10"/>
  <c r="V35" i="10"/>
  <c r="W35" i="10"/>
  <c r="V36" i="10"/>
  <c r="W36" i="10"/>
  <c r="V37" i="10"/>
  <c r="W37" i="10"/>
  <c r="V38" i="10"/>
  <c r="W38" i="10"/>
  <c r="V39" i="10"/>
  <c r="W39" i="10"/>
  <c r="V40" i="10"/>
  <c r="W40" i="10"/>
  <c r="V41" i="10"/>
  <c r="W41" i="10"/>
  <c r="V42" i="10"/>
  <c r="W42" i="10"/>
  <c r="V43" i="10"/>
  <c r="W43" i="10"/>
  <c r="V44" i="10"/>
  <c r="W44" i="10"/>
  <c r="V45" i="10"/>
  <c r="W45" i="10"/>
  <c r="V46" i="10"/>
  <c r="W46" i="10"/>
  <c r="V47" i="10"/>
  <c r="W47" i="10"/>
  <c r="V48" i="10"/>
  <c r="W48" i="10"/>
  <c r="V49" i="10"/>
  <c r="W49" i="10"/>
  <c r="V50" i="10"/>
  <c r="W50" i="10"/>
  <c r="V51" i="10"/>
  <c r="W51" i="10"/>
  <c r="V52" i="10"/>
  <c r="W52" i="10"/>
  <c r="V53" i="10"/>
  <c r="W53" i="10"/>
  <c r="V54" i="10"/>
  <c r="W54" i="10"/>
  <c r="V55" i="10"/>
  <c r="W55" i="10"/>
  <c r="V56" i="10"/>
  <c r="W56" i="10"/>
  <c r="V57" i="10"/>
  <c r="W57" i="10"/>
  <c r="V58" i="10"/>
  <c r="W58" i="10"/>
  <c r="V59" i="10"/>
  <c r="W59" i="10"/>
  <c r="V60" i="10"/>
  <c r="W60" i="10"/>
  <c r="V61" i="10"/>
  <c r="W61" i="10"/>
  <c r="V62" i="10"/>
  <c r="W62" i="10"/>
  <c r="V63" i="10"/>
  <c r="W63" i="10"/>
  <c r="V64" i="10"/>
  <c r="W64" i="10"/>
  <c r="V65" i="10"/>
  <c r="W65" i="10"/>
  <c r="V66" i="10"/>
  <c r="W66" i="10"/>
  <c r="V67" i="10"/>
  <c r="W67" i="10"/>
  <c r="V68" i="10"/>
  <c r="W68" i="10"/>
  <c r="V69" i="10"/>
  <c r="W69" i="10"/>
  <c r="V70" i="10"/>
  <c r="W70" i="10"/>
  <c r="V71" i="10"/>
  <c r="W71" i="10"/>
  <c r="V72" i="10"/>
  <c r="W72" i="10"/>
  <c r="V73" i="10"/>
  <c r="W73" i="10"/>
  <c r="V74" i="10"/>
  <c r="W74" i="10"/>
  <c r="V75" i="10"/>
  <c r="W75" i="10"/>
  <c r="V76" i="10"/>
  <c r="W76" i="10"/>
  <c r="V77" i="10"/>
  <c r="W77" i="10"/>
  <c r="V78" i="10"/>
  <c r="W78" i="10"/>
  <c r="V79" i="10"/>
  <c r="W79" i="10"/>
  <c r="V80" i="10"/>
  <c r="W80" i="10"/>
  <c r="V81" i="10"/>
  <c r="W81" i="10"/>
  <c r="V82" i="10"/>
  <c r="W82" i="10"/>
  <c r="V83" i="10"/>
  <c r="W83" i="10"/>
  <c r="V84" i="10"/>
  <c r="W84" i="10"/>
  <c r="V85" i="10"/>
  <c r="W85" i="10"/>
  <c r="V86" i="10"/>
  <c r="W86" i="10"/>
  <c r="V87" i="10"/>
  <c r="W87" i="10"/>
  <c r="V88" i="10"/>
  <c r="W88" i="10"/>
  <c r="V89" i="10"/>
  <c r="W89" i="10"/>
  <c r="V90" i="10"/>
  <c r="W90" i="10"/>
  <c r="V91" i="10"/>
  <c r="W91" i="10"/>
  <c r="V92" i="10"/>
  <c r="W92" i="10"/>
  <c r="V93" i="10"/>
  <c r="W93" i="10"/>
  <c r="V94" i="10"/>
  <c r="W94" i="10"/>
  <c r="V95" i="10"/>
  <c r="W95" i="10"/>
  <c r="V96" i="10"/>
  <c r="W96" i="10"/>
  <c r="V97" i="10"/>
  <c r="W97" i="10"/>
  <c r="V98" i="10"/>
  <c r="W98" i="10"/>
  <c r="V99" i="10"/>
  <c r="W99" i="10"/>
  <c r="V100" i="10"/>
  <c r="W100" i="10"/>
  <c r="V101" i="10"/>
  <c r="W101" i="10"/>
  <c r="V102" i="10"/>
  <c r="W102" i="10"/>
  <c r="V103" i="10"/>
  <c r="W103" i="10"/>
  <c r="V104" i="10"/>
  <c r="W104" i="10"/>
  <c r="V105" i="10"/>
  <c r="W105" i="10"/>
  <c r="V106" i="10"/>
  <c r="W106" i="10"/>
  <c r="V107" i="10"/>
  <c r="W107" i="10"/>
  <c r="V108" i="10"/>
  <c r="W108" i="10"/>
  <c r="V109" i="10"/>
  <c r="W109" i="10"/>
  <c r="V110" i="10"/>
  <c r="W110" i="10"/>
  <c r="V111" i="10"/>
  <c r="W111" i="10"/>
  <c r="V112" i="10"/>
  <c r="W112" i="10"/>
  <c r="V113" i="10"/>
  <c r="W113" i="10"/>
  <c r="V114" i="10"/>
  <c r="W114" i="10"/>
  <c r="V115" i="10"/>
  <c r="W115" i="10"/>
  <c r="V116" i="10"/>
  <c r="W116" i="10"/>
  <c r="V117" i="10"/>
  <c r="W117" i="10"/>
  <c r="V118" i="10"/>
  <c r="W118" i="10"/>
  <c r="V119" i="10"/>
  <c r="W119" i="10"/>
  <c r="V120" i="10"/>
  <c r="W120" i="10"/>
  <c r="V121" i="10"/>
  <c r="W121" i="10"/>
  <c r="V122" i="10"/>
  <c r="W122" i="10"/>
  <c r="V123" i="10"/>
  <c r="W123" i="10"/>
  <c r="V124" i="10"/>
  <c r="W124" i="10"/>
  <c r="V125" i="10"/>
  <c r="W125" i="10"/>
  <c r="V126" i="10"/>
  <c r="W126" i="10"/>
  <c r="V127" i="10"/>
  <c r="W127" i="10"/>
  <c r="V128" i="10"/>
  <c r="W128" i="10"/>
  <c r="V129" i="10"/>
  <c r="W129" i="10"/>
  <c r="V130" i="10"/>
  <c r="W130" i="10"/>
  <c r="V131" i="10"/>
  <c r="W131" i="10"/>
  <c r="V132" i="10"/>
  <c r="W132" i="10"/>
  <c r="V133" i="10"/>
  <c r="W133" i="10"/>
  <c r="V134" i="10"/>
  <c r="W134" i="10"/>
  <c r="V135" i="10"/>
  <c r="W135" i="10"/>
  <c r="V136" i="10"/>
  <c r="W136" i="10"/>
  <c r="V137" i="10"/>
  <c r="W137" i="10"/>
  <c r="V138" i="10"/>
  <c r="W138" i="10"/>
  <c r="V139" i="10"/>
  <c r="W139" i="10"/>
  <c r="V140" i="10"/>
  <c r="W140" i="10"/>
  <c r="V141" i="10"/>
  <c r="W141" i="10"/>
  <c r="V142" i="10"/>
  <c r="W142" i="10"/>
  <c r="V143" i="10"/>
  <c r="W143" i="10"/>
  <c r="V144" i="10"/>
  <c r="W144" i="10"/>
  <c r="V145" i="10"/>
  <c r="W145" i="10"/>
  <c r="V146" i="10"/>
  <c r="W146" i="10"/>
  <c r="V147" i="10"/>
  <c r="W147" i="10"/>
  <c r="V148" i="10"/>
  <c r="W148" i="10"/>
  <c r="V149" i="10"/>
  <c r="W149" i="10"/>
  <c r="V150" i="10"/>
  <c r="W150" i="10"/>
  <c r="V151" i="10"/>
  <c r="W151" i="10"/>
  <c r="V152" i="10"/>
  <c r="W152" i="10"/>
  <c r="V153" i="10"/>
  <c r="W153" i="10"/>
  <c r="V154" i="10"/>
  <c r="W154" i="10"/>
  <c r="V155" i="10"/>
  <c r="W155" i="10"/>
  <c r="V156" i="10"/>
  <c r="W156" i="10"/>
  <c r="V157" i="10"/>
  <c r="W157" i="10"/>
  <c r="V158" i="10"/>
  <c r="W158" i="10"/>
  <c r="V159" i="10"/>
  <c r="W159" i="10"/>
  <c r="V160" i="10"/>
  <c r="W160" i="10"/>
  <c r="V161" i="10"/>
  <c r="W161" i="10"/>
  <c r="V162" i="10"/>
  <c r="W162" i="10"/>
  <c r="V163" i="10"/>
  <c r="W163" i="10"/>
  <c r="V164" i="10"/>
  <c r="W164" i="10"/>
  <c r="V165" i="10"/>
  <c r="W165" i="10"/>
  <c r="V166" i="10"/>
  <c r="W166" i="10"/>
  <c r="V167" i="10"/>
  <c r="W167" i="10"/>
  <c r="V168" i="10"/>
  <c r="W168" i="10"/>
  <c r="V169" i="10"/>
  <c r="W169" i="10"/>
  <c r="O1" i="10"/>
  <c r="P1" i="10"/>
  <c r="Q1" i="10"/>
  <c r="O2" i="10"/>
  <c r="P2" i="10"/>
  <c r="Q2" i="10"/>
  <c r="O3" i="10"/>
  <c r="P3" i="10"/>
  <c r="Q3" i="10"/>
  <c r="O4" i="10"/>
  <c r="P4" i="10"/>
  <c r="Q4" i="10"/>
  <c r="O5" i="10"/>
  <c r="P5" i="10"/>
  <c r="Q5" i="10"/>
  <c r="O6" i="10"/>
  <c r="P6" i="10"/>
  <c r="Q6" i="10"/>
  <c r="O7" i="10"/>
  <c r="P7" i="10"/>
  <c r="Q7" i="10"/>
  <c r="O8" i="10"/>
  <c r="P8" i="10"/>
  <c r="Q8" i="10"/>
  <c r="O9" i="10"/>
  <c r="P9" i="10"/>
  <c r="Q9" i="10"/>
  <c r="O10" i="10"/>
  <c r="P10" i="10"/>
  <c r="Q10" i="10"/>
  <c r="O11" i="10"/>
  <c r="P11" i="10"/>
  <c r="Q11" i="10"/>
  <c r="O12" i="10"/>
  <c r="P12" i="10"/>
  <c r="Q12" i="10"/>
  <c r="O13" i="10"/>
  <c r="P13" i="10"/>
  <c r="Q13" i="10"/>
  <c r="O14" i="10"/>
  <c r="P14" i="10"/>
  <c r="Q14" i="10"/>
  <c r="O15" i="10"/>
  <c r="P15" i="10"/>
  <c r="Q15" i="10"/>
  <c r="O16" i="10"/>
  <c r="P16" i="10"/>
  <c r="Q16" i="10"/>
  <c r="O17" i="10"/>
  <c r="P17" i="10"/>
  <c r="Q17" i="10"/>
  <c r="O18" i="10"/>
  <c r="P18" i="10"/>
  <c r="Q18" i="10"/>
  <c r="O19" i="10"/>
  <c r="P19" i="10"/>
  <c r="Q19" i="10"/>
  <c r="O20" i="10"/>
  <c r="P20" i="10"/>
  <c r="Q20" i="10"/>
  <c r="O21" i="10"/>
  <c r="P21" i="10"/>
  <c r="Q21" i="10"/>
  <c r="O22" i="10"/>
  <c r="P22" i="10"/>
  <c r="Q22" i="10"/>
  <c r="O23" i="10"/>
  <c r="P23" i="10"/>
  <c r="Q23" i="10"/>
  <c r="O24" i="10"/>
  <c r="P24" i="10"/>
  <c r="Q24" i="10"/>
  <c r="O25" i="10"/>
  <c r="P25" i="10"/>
  <c r="Q25" i="10"/>
  <c r="O26" i="10"/>
  <c r="P26" i="10"/>
  <c r="Q26" i="10"/>
  <c r="O27" i="10"/>
  <c r="P27" i="10"/>
  <c r="Q27" i="10"/>
  <c r="O28" i="10"/>
  <c r="P28" i="10"/>
  <c r="Q28" i="10"/>
  <c r="O29" i="10"/>
  <c r="P29" i="10"/>
  <c r="Q29" i="10"/>
  <c r="O30" i="10"/>
  <c r="P30" i="10"/>
  <c r="Q30" i="10"/>
  <c r="O31" i="10"/>
  <c r="P31" i="10"/>
  <c r="Q31" i="10"/>
  <c r="O32" i="10"/>
  <c r="P32" i="10"/>
  <c r="Q32" i="10"/>
  <c r="O33" i="10"/>
  <c r="P33" i="10"/>
  <c r="Q33" i="10"/>
  <c r="O34" i="10"/>
  <c r="P34" i="10"/>
  <c r="Q34" i="10"/>
  <c r="O35" i="10"/>
  <c r="P35" i="10"/>
  <c r="Q35" i="10"/>
  <c r="O36" i="10"/>
  <c r="P36" i="10"/>
  <c r="Q36" i="10"/>
  <c r="O37" i="10"/>
  <c r="P37" i="10"/>
  <c r="Q37" i="10"/>
  <c r="O38" i="10"/>
  <c r="P38" i="10"/>
  <c r="Q38" i="10"/>
  <c r="O39" i="10"/>
  <c r="P39" i="10"/>
  <c r="Q39" i="10"/>
  <c r="O40" i="10"/>
  <c r="P40" i="10"/>
  <c r="Q40" i="10"/>
  <c r="O41" i="10"/>
  <c r="P41" i="10"/>
  <c r="Q41" i="10"/>
  <c r="O42" i="10"/>
  <c r="P42" i="10"/>
  <c r="Q42" i="10"/>
  <c r="O43" i="10"/>
  <c r="P43" i="10"/>
  <c r="Q43" i="10"/>
  <c r="O44" i="10"/>
  <c r="P44" i="10"/>
  <c r="Q44" i="10"/>
  <c r="O45" i="10"/>
  <c r="P45" i="10"/>
  <c r="Q45" i="10"/>
  <c r="O46" i="10"/>
  <c r="P46" i="10"/>
  <c r="Q46" i="10"/>
  <c r="O47" i="10"/>
  <c r="P47" i="10"/>
  <c r="Q47" i="10"/>
  <c r="O48" i="10"/>
  <c r="P48" i="10"/>
  <c r="Q48" i="10"/>
  <c r="O49" i="10"/>
  <c r="P49" i="10"/>
  <c r="Q49" i="10"/>
  <c r="O50" i="10"/>
  <c r="P50" i="10"/>
  <c r="Q50" i="10"/>
  <c r="O51" i="10"/>
  <c r="P51" i="10"/>
  <c r="Q51" i="10"/>
  <c r="O52" i="10"/>
  <c r="P52" i="10"/>
  <c r="Q52" i="10"/>
  <c r="O53" i="10"/>
  <c r="P53" i="10"/>
  <c r="Q53" i="10"/>
  <c r="O54" i="10"/>
  <c r="P54" i="10"/>
  <c r="Q54" i="10"/>
  <c r="O55" i="10"/>
  <c r="P55" i="10"/>
  <c r="Q55" i="10"/>
  <c r="O56" i="10"/>
  <c r="P56" i="10"/>
  <c r="Q56" i="10"/>
  <c r="O57" i="10"/>
  <c r="P57" i="10"/>
  <c r="Q57" i="10"/>
  <c r="O58" i="10"/>
  <c r="P58" i="10"/>
  <c r="Q58" i="10"/>
  <c r="O59" i="10"/>
  <c r="P59" i="10"/>
  <c r="Q59" i="10"/>
  <c r="O60" i="10"/>
  <c r="P60" i="10"/>
  <c r="Q60" i="10"/>
  <c r="O61" i="10"/>
  <c r="P61" i="10"/>
  <c r="Q61" i="10"/>
  <c r="O62" i="10"/>
  <c r="P62" i="10"/>
  <c r="Q62" i="10"/>
  <c r="O63" i="10"/>
  <c r="P63" i="10"/>
  <c r="Q63" i="10"/>
  <c r="O64" i="10"/>
  <c r="P64" i="10"/>
  <c r="Q64" i="10"/>
  <c r="O65" i="10"/>
  <c r="P65" i="10"/>
  <c r="Q65" i="10"/>
  <c r="O66" i="10"/>
  <c r="P66" i="10"/>
  <c r="Q66" i="10"/>
  <c r="O67" i="10"/>
  <c r="P67" i="10"/>
  <c r="Q67" i="10"/>
  <c r="O68" i="10"/>
  <c r="P68" i="10"/>
  <c r="Q68" i="10"/>
  <c r="O69" i="10"/>
  <c r="P69" i="10"/>
  <c r="Q69" i="10"/>
  <c r="O70" i="10"/>
  <c r="P70" i="10"/>
  <c r="Q70" i="10"/>
  <c r="O71" i="10"/>
  <c r="P71" i="10"/>
  <c r="Q71" i="10"/>
  <c r="O72" i="10"/>
  <c r="P72" i="10"/>
  <c r="Q72" i="10"/>
  <c r="O73" i="10"/>
  <c r="P73" i="10"/>
  <c r="Q73" i="10"/>
  <c r="O74" i="10"/>
  <c r="P74" i="10"/>
  <c r="Q74" i="10"/>
  <c r="O75" i="10"/>
  <c r="P75" i="10"/>
  <c r="Q75" i="10"/>
  <c r="O76" i="10"/>
  <c r="P76" i="10"/>
  <c r="Q76" i="10"/>
  <c r="O77" i="10"/>
  <c r="P77" i="10"/>
  <c r="Q77" i="10"/>
  <c r="O78" i="10"/>
  <c r="P78" i="10"/>
  <c r="Q78" i="10"/>
  <c r="O79" i="10"/>
  <c r="P79" i="10"/>
  <c r="Q79" i="10"/>
  <c r="O80" i="10"/>
  <c r="P80" i="10"/>
  <c r="Q80" i="10"/>
  <c r="O81" i="10"/>
  <c r="P81" i="10"/>
  <c r="Q81" i="10"/>
  <c r="O82" i="10"/>
  <c r="P82" i="10"/>
  <c r="Q82" i="10"/>
  <c r="O83" i="10"/>
  <c r="P83" i="10"/>
  <c r="Q83" i="10"/>
  <c r="O84" i="10"/>
  <c r="P84" i="10"/>
  <c r="Q84" i="10"/>
  <c r="O85" i="10"/>
  <c r="P85" i="10"/>
  <c r="Q85" i="10"/>
  <c r="O86" i="10"/>
  <c r="P86" i="10"/>
  <c r="Q86" i="10"/>
  <c r="O87" i="10"/>
  <c r="P87" i="10"/>
  <c r="Q87" i="10"/>
  <c r="O88" i="10"/>
  <c r="P88" i="10"/>
  <c r="Q88" i="10"/>
  <c r="O89" i="10"/>
  <c r="P89" i="10"/>
  <c r="Q89" i="10"/>
  <c r="O90" i="10"/>
  <c r="P90" i="10"/>
  <c r="Q90" i="10"/>
  <c r="O91" i="10"/>
  <c r="P91" i="10"/>
  <c r="Q91" i="10"/>
  <c r="O92" i="10"/>
  <c r="P92" i="10"/>
  <c r="Q92" i="10"/>
  <c r="O93" i="10"/>
  <c r="P93" i="10"/>
  <c r="Q93" i="10"/>
  <c r="O94" i="10"/>
  <c r="P94" i="10"/>
  <c r="Q94" i="10"/>
  <c r="O95" i="10"/>
  <c r="P95" i="10"/>
  <c r="Q95" i="10"/>
  <c r="O96" i="10"/>
  <c r="P96" i="10"/>
  <c r="Q96" i="10"/>
  <c r="O97" i="10"/>
  <c r="P97" i="10"/>
  <c r="Q97" i="10"/>
  <c r="O98" i="10"/>
  <c r="P98" i="10"/>
  <c r="Q98" i="10"/>
  <c r="O99" i="10"/>
  <c r="P99" i="10"/>
  <c r="Q99" i="10"/>
  <c r="O100" i="10"/>
  <c r="P100" i="10"/>
  <c r="Q100" i="10"/>
  <c r="O101" i="10"/>
  <c r="P101" i="10"/>
  <c r="Q101" i="10"/>
  <c r="O102" i="10"/>
  <c r="P102" i="10"/>
  <c r="Q102" i="10"/>
  <c r="O103" i="10"/>
  <c r="P103" i="10"/>
  <c r="Q103" i="10"/>
  <c r="O104" i="10"/>
  <c r="P104" i="10"/>
  <c r="Q104" i="10"/>
  <c r="O105" i="10"/>
  <c r="P105" i="10"/>
  <c r="Q105" i="10"/>
  <c r="O106" i="10"/>
  <c r="P106" i="10"/>
  <c r="Q106" i="10"/>
  <c r="O107" i="10"/>
  <c r="P107" i="10"/>
  <c r="Q107" i="10"/>
  <c r="O108" i="10"/>
  <c r="P108" i="10"/>
  <c r="Q108" i="10"/>
  <c r="O109" i="10"/>
  <c r="P109" i="10"/>
  <c r="Q109" i="10"/>
  <c r="O110" i="10"/>
  <c r="P110" i="10"/>
  <c r="Q110" i="10"/>
  <c r="O111" i="10"/>
  <c r="P111" i="10"/>
  <c r="Q111" i="10"/>
  <c r="O112" i="10"/>
  <c r="P112" i="10"/>
  <c r="Q112" i="10"/>
  <c r="O113" i="10"/>
  <c r="P113" i="10"/>
  <c r="Q113" i="10"/>
  <c r="O114" i="10"/>
  <c r="P114" i="10"/>
  <c r="Q114" i="10"/>
  <c r="O115" i="10"/>
  <c r="P115" i="10"/>
  <c r="Q115" i="10"/>
  <c r="O116" i="10"/>
  <c r="P116" i="10"/>
  <c r="Q116" i="10"/>
  <c r="O117" i="10"/>
  <c r="P117" i="10"/>
  <c r="Q117" i="10"/>
  <c r="O118" i="10"/>
  <c r="P118" i="10"/>
  <c r="Q118" i="10"/>
  <c r="O119" i="10"/>
  <c r="P119" i="10"/>
  <c r="Q119" i="10"/>
  <c r="O120" i="10"/>
  <c r="P120" i="10"/>
  <c r="Q120" i="10"/>
  <c r="O121" i="10"/>
  <c r="P121" i="10"/>
  <c r="Q121" i="10"/>
  <c r="O122" i="10"/>
  <c r="P122" i="10"/>
  <c r="Q122" i="10"/>
  <c r="O123" i="10"/>
  <c r="P123" i="10"/>
  <c r="Q123" i="10"/>
  <c r="O124" i="10"/>
  <c r="P124" i="10"/>
  <c r="Q124" i="10"/>
  <c r="O125" i="10"/>
  <c r="P125" i="10"/>
  <c r="Q125" i="10"/>
  <c r="O126" i="10"/>
  <c r="P126" i="10"/>
  <c r="Q126" i="10"/>
  <c r="O127" i="10"/>
  <c r="P127" i="10"/>
  <c r="Q127" i="10"/>
  <c r="O128" i="10"/>
  <c r="P128" i="10"/>
  <c r="Q128" i="10"/>
  <c r="O129" i="10"/>
  <c r="P129" i="10"/>
  <c r="Q129" i="10"/>
  <c r="O130" i="10"/>
  <c r="P130" i="10"/>
  <c r="Q130" i="10"/>
  <c r="O131" i="10"/>
  <c r="P131" i="10"/>
  <c r="Q131" i="10"/>
  <c r="O132" i="10"/>
  <c r="P132" i="10"/>
  <c r="Q132" i="10"/>
  <c r="O133" i="10"/>
  <c r="P133" i="10"/>
  <c r="Q133" i="10"/>
  <c r="O134" i="10"/>
  <c r="P134" i="10"/>
  <c r="Q134" i="10"/>
  <c r="O135" i="10"/>
  <c r="P135" i="10"/>
  <c r="Q135" i="10"/>
  <c r="O136" i="10"/>
  <c r="P136" i="10"/>
  <c r="Q136" i="10"/>
  <c r="O137" i="10"/>
  <c r="P137" i="10"/>
  <c r="Q137" i="10"/>
  <c r="O138" i="10"/>
  <c r="P138" i="10"/>
  <c r="Q138" i="10"/>
  <c r="O139" i="10"/>
  <c r="P139" i="10"/>
  <c r="Q139" i="10"/>
  <c r="O140" i="10"/>
  <c r="P140" i="10"/>
  <c r="Q140" i="10"/>
  <c r="O141" i="10"/>
  <c r="P141" i="10"/>
  <c r="Q141" i="10"/>
  <c r="O142" i="10"/>
  <c r="P142" i="10"/>
  <c r="Q142" i="10"/>
  <c r="O143" i="10"/>
  <c r="P143" i="10"/>
  <c r="Q143" i="10"/>
  <c r="O144" i="10"/>
  <c r="P144" i="10"/>
  <c r="Q144" i="10"/>
  <c r="O145" i="10"/>
  <c r="P145" i="10"/>
  <c r="Q145" i="10"/>
  <c r="O146" i="10"/>
  <c r="P146" i="10"/>
  <c r="Q146" i="10"/>
  <c r="O147" i="10"/>
  <c r="P147" i="10"/>
  <c r="Q147" i="10"/>
  <c r="O148" i="10"/>
  <c r="P148" i="10"/>
  <c r="Q148" i="10"/>
  <c r="O149" i="10"/>
  <c r="P149" i="10"/>
  <c r="Q149" i="10"/>
  <c r="O150" i="10"/>
  <c r="P150" i="10"/>
  <c r="Q150" i="10"/>
  <c r="O151" i="10"/>
  <c r="P151" i="10"/>
  <c r="Q151" i="10"/>
  <c r="O152" i="10"/>
  <c r="P152" i="10"/>
  <c r="Q152" i="10"/>
  <c r="O153" i="10"/>
  <c r="P153" i="10"/>
  <c r="Q153" i="10"/>
  <c r="O154" i="10"/>
  <c r="P154" i="10"/>
  <c r="Q154" i="10"/>
  <c r="O155" i="10"/>
  <c r="P155" i="10"/>
  <c r="Q155" i="10"/>
  <c r="O156" i="10"/>
  <c r="P156" i="10"/>
  <c r="Q156" i="10"/>
  <c r="O157" i="10"/>
  <c r="P157" i="10"/>
  <c r="Q157" i="10"/>
  <c r="O158" i="10"/>
  <c r="P158" i="10"/>
  <c r="Q158" i="10"/>
  <c r="O159" i="10"/>
  <c r="P159" i="10"/>
  <c r="Q159" i="10"/>
  <c r="O160" i="10"/>
  <c r="P160" i="10"/>
  <c r="Q160" i="10"/>
  <c r="O161" i="10"/>
  <c r="P161" i="10"/>
  <c r="Q161" i="10"/>
  <c r="O162" i="10"/>
  <c r="P162" i="10"/>
  <c r="Q162" i="10"/>
  <c r="O163" i="10"/>
  <c r="P163" i="10"/>
  <c r="Q163" i="10"/>
  <c r="O164" i="10"/>
  <c r="P164" i="10"/>
  <c r="Q164" i="10"/>
  <c r="O165" i="10"/>
  <c r="P165" i="10"/>
  <c r="Q165" i="10"/>
  <c r="O166" i="10"/>
  <c r="P166" i="10"/>
  <c r="Q166" i="10"/>
  <c r="O167" i="10"/>
  <c r="P167" i="10"/>
  <c r="Q167" i="10"/>
  <c r="O168" i="10"/>
  <c r="P168" i="10"/>
  <c r="Q168" i="10"/>
  <c r="O169" i="10"/>
  <c r="P169" i="10"/>
  <c r="Q169" i="10"/>
  <c r="X1" i="10"/>
  <c r="X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S1" i="10"/>
  <c r="T1" i="10"/>
  <c r="U1" i="10"/>
  <c r="S2" i="10"/>
  <c r="T2" i="10"/>
  <c r="U2" i="10"/>
  <c r="S3" i="10"/>
  <c r="U3" i="10"/>
  <c r="S4" i="10"/>
  <c r="U4" i="10"/>
  <c r="S5" i="10"/>
  <c r="U5" i="10"/>
  <c r="S6" i="10"/>
  <c r="U6" i="10"/>
  <c r="S7" i="10"/>
  <c r="U7" i="10"/>
  <c r="S8" i="10"/>
  <c r="U8" i="10"/>
  <c r="S9" i="10"/>
  <c r="U9" i="10"/>
  <c r="S10" i="10"/>
  <c r="U10" i="10"/>
  <c r="U11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15" i="10"/>
  <c r="U116" i="10"/>
  <c r="U119" i="10"/>
  <c r="U120" i="10"/>
  <c r="U121" i="10"/>
  <c r="U122" i="10"/>
  <c r="U124" i="10"/>
  <c r="U125" i="10"/>
  <c r="U126" i="10"/>
  <c r="U127" i="10"/>
  <c r="U128" i="10"/>
  <c r="U129" i="10"/>
  <c r="U130" i="10"/>
  <c r="U139" i="10"/>
  <c r="U141" i="10"/>
  <c r="U142" i="10"/>
  <c r="U145" i="10"/>
  <c r="U146" i="10"/>
  <c r="U147" i="10"/>
  <c r="U148" i="10"/>
  <c r="U154" i="10"/>
  <c r="U155" i="10"/>
  <c r="R1" i="10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K1" i="10"/>
  <c r="L1" i="10"/>
  <c r="M1" i="10"/>
  <c r="N1" i="10"/>
  <c r="K2" i="10"/>
  <c r="L2" i="10"/>
  <c r="M2" i="10"/>
  <c r="N2" i="10"/>
  <c r="K3" i="10"/>
  <c r="L3" i="10"/>
  <c r="M3" i="10"/>
  <c r="N3" i="10"/>
  <c r="K4" i="10"/>
  <c r="L4" i="10"/>
  <c r="M4" i="10"/>
  <c r="N4" i="10"/>
  <c r="K5" i="10"/>
  <c r="L5" i="10"/>
  <c r="M5" i="10"/>
  <c r="N5" i="10"/>
  <c r="K6" i="10"/>
  <c r="L6" i="10"/>
  <c r="M6" i="10"/>
  <c r="N6" i="10"/>
  <c r="K7" i="10"/>
  <c r="L7" i="10"/>
  <c r="M7" i="10"/>
  <c r="N7" i="10"/>
  <c r="K8" i="10"/>
  <c r="L8" i="10"/>
  <c r="M8" i="10"/>
  <c r="N8" i="10"/>
  <c r="K9" i="10"/>
  <c r="L9" i="10"/>
  <c r="M9" i="10"/>
  <c r="N9" i="10"/>
  <c r="K10" i="10"/>
  <c r="L10" i="10"/>
  <c r="M10" i="10"/>
  <c r="N10" i="10"/>
  <c r="K11" i="10"/>
  <c r="L11" i="10"/>
  <c r="M11" i="10"/>
  <c r="N11" i="10"/>
  <c r="K12" i="10"/>
  <c r="L12" i="10"/>
  <c r="M12" i="10"/>
  <c r="N12" i="10"/>
  <c r="K13" i="10"/>
  <c r="L13" i="10"/>
  <c r="M13" i="10"/>
  <c r="N13" i="10"/>
  <c r="K14" i="10"/>
  <c r="L14" i="10"/>
  <c r="M14" i="10"/>
  <c r="N14" i="10"/>
  <c r="K15" i="10"/>
  <c r="L15" i="10"/>
  <c r="M15" i="10"/>
  <c r="N15" i="10"/>
  <c r="K16" i="10"/>
  <c r="L16" i="10"/>
  <c r="M16" i="10"/>
  <c r="N16" i="10"/>
  <c r="K17" i="10"/>
  <c r="L17" i="10"/>
  <c r="M17" i="10"/>
  <c r="N17" i="10"/>
  <c r="K18" i="10"/>
  <c r="L18" i="10"/>
  <c r="M18" i="10"/>
  <c r="N18" i="10"/>
  <c r="K19" i="10"/>
  <c r="L19" i="10"/>
  <c r="M19" i="10"/>
  <c r="N19" i="10"/>
  <c r="K20" i="10"/>
  <c r="L20" i="10"/>
  <c r="M20" i="10"/>
  <c r="N20" i="10"/>
  <c r="K21" i="10"/>
  <c r="L21" i="10"/>
  <c r="M21" i="10"/>
  <c r="N21" i="10"/>
  <c r="K22" i="10"/>
  <c r="L22" i="10"/>
  <c r="M22" i="10"/>
  <c r="N22" i="10"/>
  <c r="K23" i="10"/>
  <c r="L23" i="10"/>
  <c r="M23" i="10"/>
  <c r="N23" i="10"/>
  <c r="K24" i="10"/>
  <c r="L24" i="10"/>
  <c r="M24" i="10"/>
  <c r="N24" i="10"/>
  <c r="K25" i="10"/>
  <c r="L25" i="10"/>
  <c r="M25" i="10"/>
  <c r="N25" i="10"/>
  <c r="K26" i="10"/>
  <c r="L26" i="10"/>
  <c r="M26" i="10"/>
  <c r="N26" i="10"/>
  <c r="K27" i="10"/>
  <c r="L27" i="10"/>
  <c r="M27" i="10"/>
  <c r="N27" i="10"/>
  <c r="K28" i="10"/>
  <c r="L28" i="10"/>
  <c r="M28" i="10"/>
  <c r="N28" i="10"/>
  <c r="K29" i="10"/>
  <c r="L29" i="10"/>
  <c r="M29" i="10"/>
  <c r="N29" i="10"/>
  <c r="K30" i="10"/>
  <c r="L30" i="10"/>
  <c r="M30" i="10"/>
  <c r="N30" i="10"/>
  <c r="K31" i="10"/>
  <c r="L31" i="10"/>
  <c r="M31" i="10"/>
  <c r="N31" i="10"/>
  <c r="K32" i="10"/>
  <c r="L32" i="10"/>
  <c r="M32" i="10"/>
  <c r="N32" i="10"/>
  <c r="K33" i="10"/>
  <c r="L33" i="10"/>
  <c r="M33" i="10"/>
  <c r="N33" i="10"/>
  <c r="K34" i="10"/>
  <c r="L34" i="10"/>
  <c r="M34" i="10"/>
  <c r="N34" i="10"/>
  <c r="K35" i="10"/>
  <c r="L35" i="10"/>
  <c r="M35" i="10"/>
  <c r="N35" i="10"/>
  <c r="K36" i="10"/>
  <c r="L36" i="10"/>
  <c r="M36" i="10"/>
  <c r="N36" i="10"/>
  <c r="K37" i="10"/>
  <c r="L37" i="10"/>
  <c r="M37" i="10"/>
  <c r="N37" i="10"/>
  <c r="K38" i="10"/>
  <c r="L38" i="10"/>
  <c r="M38" i="10"/>
  <c r="N38" i="10"/>
  <c r="K39" i="10"/>
  <c r="L39" i="10"/>
  <c r="M39" i="10"/>
  <c r="N39" i="10"/>
  <c r="K40" i="10"/>
  <c r="L40" i="10"/>
  <c r="M40" i="10"/>
  <c r="N40" i="10"/>
  <c r="K41" i="10"/>
  <c r="L41" i="10"/>
  <c r="M41" i="10"/>
  <c r="N41" i="10"/>
  <c r="K42" i="10"/>
  <c r="L42" i="10"/>
  <c r="M42" i="10"/>
  <c r="N42" i="10"/>
  <c r="K43" i="10"/>
  <c r="L43" i="10"/>
  <c r="M43" i="10"/>
  <c r="N43" i="10"/>
  <c r="K44" i="10"/>
  <c r="L44" i="10"/>
  <c r="M44" i="10"/>
  <c r="N44" i="10"/>
  <c r="K45" i="10"/>
  <c r="L45" i="10"/>
  <c r="M45" i="10"/>
  <c r="N45" i="10"/>
  <c r="K46" i="10"/>
  <c r="L46" i="10"/>
  <c r="M46" i="10"/>
  <c r="N46" i="10"/>
  <c r="K47" i="10"/>
  <c r="L47" i="10"/>
  <c r="M47" i="10"/>
  <c r="N47" i="10"/>
  <c r="K48" i="10"/>
  <c r="L48" i="10"/>
  <c r="M48" i="10"/>
  <c r="N48" i="10"/>
  <c r="K49" i="10"/>
  <c r="L49" i="10"/>
  <c r="M49" i="10"/>
  <c r="N49" i="10"/>
  <c r="K50" i="10"/>
  <c r="L50" i="10"/>
  <c r="M50" i="10"/>
  <c r="N50" i="10"/>
  <c r="K51" i="10"/>
  <c r="L51" i="10"/>
  <c r="M51" i="10"/>
  <c r="N51" i="10"/>
  <c r="K52" i="10"/>
  <c r="L52" i="10"/>
  <c r="M52" i="10"/>
  <c r="N52" i="10"/>
  <c r="K53" i="10"/>
  <c r="L53" i="10"/>
  <c r="M53" i="10"/>
  <c r="N53" i="10"/>
  <c r="K54" i="10"/>
  <c r="L54" i="10"/>
  <c r="M54" i="10"/>
  <c r="N54" i="10"/>
  <c r="K55" i="10"/>
  <c r="L55" i="10"/>
  <c r="M55" i="10"/>
  <c r="N55" i="10"/>
  <c r="K56" i="10"/>
  <c r="L56" i="10"/>
  <c r="M56" i="10"/>
  <c r="N56" i="10"/>
  <c r="K57" i="10"/>
  <c r="L57" i="10"/>
  <c r="M57" i="10"/>
  <c r="N57" i="10"/>
  <c r="K58" i="10"/>
  <c r="L58" i="10"/>
  <c r="M58" i="10"/>
  <c r="N58" i="10"/>
  <c r="K59" i="10"/>
  <c r="L59" i="10"/>
  <c r="M59" i="10"/>
  <c r="N59" i="10"/>
  <c r="K60" i="10"/>
  <c r="L60" i="10"/>
  <c r="M60" i="10"/>
  <c r="N60" i="10"/>
  <c r="K61" i="10"/>
  <c r="L61" i="10"/>
  <c r="M61" i="10"/>
  <c r="N61" i="10"/>
  <c r="K62" i="10"/>
  <c r="L62" i="10"/>
  <c r="M62" i="10"/>
  <c r="N62" i="10"/>
  <c r="K63" i="10"/>
  <c r="L63" i="10"/>
  <c r="M63" i="10"/>
  <c r="N63" i="10"/>
  <c r="K64" i="10"/>
  <c r="L64" i="10"/>
  <c r="M64" i="10"/>
  <c r="N64" i="10"/>
  <c r="K65" i="10"/>
  <c r="L65" i="10"/>
  <c r="M65" i="10"/>
  <c r="N65" i="10"/>
  <c r="K66" i="10"/>
  <c r="L66" i="10"/>
  <c r="M66" i="10"/>
  <c r="N66" i="10"/>
  <c r="K67" i="10"/>
  <c r="L67" i="10"/>
  <c r="M67" i="10"/>
  <c r="N67" i="10"/>
  <c r="K68" i="10"/>
  <c r="L68" i="10"/>
  <c r="M68" i="10"/>
  <c r="N68" i="10"/>
  <c r="K69" i="10"/>
  <c r="L69" i="10"/>
  <c r="M69" i="10"/>
  <c r="N69" i="10"/>
  <c r="K70" i="10"/>
  <c r="L70" i="10"/>
  <c r="M70" i="10"/>
  <c r="N70" i="10"/>
  <c r="K71" i="10"/>
  <c r="L71" i="10"/>
  <c r="M71" i="10"/>
  <c r="N71" i="10"/>
  <c r="K72" i="10"/>
  <c r="L72" i="10"/>
  <c r="M72" i="10"/>
  <c r="N72" i="10"/>
  <c r="K73" i="10"/>
  <c r="L73" i="10"/>
  <c r="M73" i="10"/>
  <c r="N73" i="10"/>
  <c r="K74" i="10"/>
  <c r="L74" i="10"/>
  <c r="M74" i="10"/>
  <c r="N74" i="10"/>
  <c r="K75" i="10"/>
  <c r="L75" i="10"/>
  <c r="M75" i="10"/>
  <c r="N75" i="10"/>
  <c r="K76" i="10"/>
  <c r="L76" i="10"/>
  <c r="M76" i="10"/>
  <c r="N76" i="10"/>
  <c r="K77" i="10"/>
  <c r="L77" i="10"/>
  <c r="M77" i="10"/>
  <c r="N77" i="10"/>
  <c r="K78" i="10"/>
  <c r="L78" i="10"/>
  <c r="M78" i="10"/>
  <c r="N78" i="10"/>
  <c r="K79" i="10"/>
  <c r="L79" i="10"/>
  <c r="M79" i="10"/>
  <c r="N79" i="10"/>
  <c r="K80" i="10"/>
  <c r="L80" i="10"/>
  <c r="M80" i="10"/>
  <c r="N80" i="10"/>
  <c r="K81" i="10"/>
  <c r="L81" i="10"/>
  <c r="M81" i="10"/>
  <c r="N81" i="10"/>
  <c r="K82" i="10"/>
  <c r="L82" i="10"/>
  <c r="M82" i="10"/>
  <c r="N82" i="10"/>
  <c r="K83" i="10"/>
  <c r="L83" i="10"/>
  <c r="M83" i="10"/>
  <c r="N83" i="10"/>
  <c r="K84" i="10"/>
  <c r="L84" i="10"/>
  <c r="M84" i="10"/>
  <c r="N84" i="10"/>
  <c r="K85" i="10"/>
  <c r="L85" i="10"/>
  <c r="M85" i="10"/>
  <c r="N85" i="10"/>
  <c r="K86" i="10"/>
  <c r="L86" i="10"/>
  <c r="M86" i="10"/>
  <c r="N86" i="10"/>
  <c r="K87" i="10"/>
  <c r="L87" i="10"/>
  <c r="M87" i="10"/>
  <c r="N87" i="10"/>
  <c r="K88" i="10"/>
  <c r="L88" i="10"/>
  <c r="M88" i="10"/>
  <c r="N88" i="10"/>
  <c r="K89" i="10"/>
  <c r="L89" i="10"/>
  <c r="M89" i="10"/>
  <c r="N89" i="10"/>
  <c r="K90" i="10"/>
  <c r="L90" i="10"/>
  <c r="M90" i="10"/>
  <c r="N90" i="10"/>
  <c r="K91" i="10"/>
  <c r="L91" i="10"/>
  <c r="M91" i="10"/>
  <c r="N91" i="10"/>
  <c r="K92" i="10"/>
  <c r="L92" i="10"/>
  <c r="M92" i="10"/>
  <c r="N92" i="10"/>
  <c r="K93" i="10"/>
  <c r="L93" i="10"/>
  <c r="M93" i="10"/>
  <c r="N93" i="10"/>
  <c r="K94" i="10"/>
  <c r="L94" i="10"/>
  <c r="M94" i="10"/>
  <c r="N94" i="10"/>
  <c r="K95" i="10"/>
  <c r="L95" i="10"/>
  <c r="M95" i="10"/>
  <c r="N95" i="10"/>
  <c r="K96" i="10"/>
  <c r="L96" i="10"/>
  <c r="M96" i="10"/>
  <c r="N96" i="10"/>
  <c r="K97" i="10"/>
  <c r="L97" i="10"/>
  <c r="M97" i="10"/>
  <c r="N97" i="10"/>
  <c r="K98" i="10"/>
  <c r="L98" i="10"/>
  <c r="M98" i="10"/>
  <c r="N98" i="10"/>
  <c r="K99" i="10"/>
  <c r="L99" i="10"/>
  <c r="M99" i="10"/>
  <c r="N99" i="10"/>
  <c r="K100" i="10"/>
  <c r="L100" i="10"/>
  <c r="M100" i="10"/>
  <c r="N100" i="10"/>
  <c r="K101" i="10"/>
  <c r="L101" i="10"/>
  <c r="M101" i="10"/>
  <c r="N101" i="10"/>
  <c r="K102" i="10"/>
  <c r="L102" i="10"/>
  <c r="M102" i="10"/>
  <c r="N102" i="10"/>
  <c r="K103" i="10"/>
  <c r="L103" i="10"/>
  <c r="M103" i="10"/>
  <c r="N103" i="10"/>
  <c r="K104" i="10"/>
  <c r="L104" i="10"/>
  <c r="M104" i="10"/>
  <c r="N104" i="10"/>
  <c r="K105" i="10"/>
  <c r="L105" i="10"/>
  <c r="M105" i="10"/>
  <c r="N105" i="10"/>
  <c r="K106" i="10"/>
  <c r="L106" i="10"/>
  <c r="M106" i="10"/>
  <c r="N106" i="10"/>
  <c r="K107" i="10"/>
  <c r="L107" i="10"/>
  <c r="M107" i="10"/>
  <c r="N107" i="10"/>
  <c r="K108" i="10"/>
  <c r="L108" i="10"/>
  <c r="M108" i="10"/>
  <c r="N108" i="10"/>
  <c r="K109" i="10"/>
  <c r="L109" i="10"/>
  <c r="M109" i="10"/>
  <c r="N109" i="10"/>
  <c r="K110" i="10"/>
  <c r="L110" i="10"/>
  <c r="M110" i="10"/>
  <c r="N110" i="10"/>
  <c r="K111" i="10"/>
  <c r="L111" i="10"/>
  <c r="M111" i="10"/>
  <c r="N111" i="10"/>
  <c r="K112" i="10"/>
  <c r="L112" i="10"/>
  <c r="M112" i="10"/>
  <c r="N112" i="10"/>
  <c r="K113" i="10"/>
  <c r="L113" i="10"/>
  <c r="M113" i="10"/>
  <c r="N113" i="10"/>
  <c r="K114" i="10"/>
  <c r="L114" i="10"/>
  <c r="M114" i="10"/>
  <c r="N114" i="10"/>
  <c r="K115" i="10"/>
  <c r="L115" i="10"/>
  <c r="M115" i="10"/>
  <c r="N115" i="10"/>
  <c r="K116" i="10"/>
  <c r="L116" i="10"/>
  <c r="M116" i="10"/>
  <c r="N116" i="10"/>
  <c r="K117" i="10"/>
  <c r="L117" i="10"/>
  <c r="M117" i="10"/>
  <c r="N117" i="10"/>
  <c r="K118" i="10"/>
  <c r="L118" i="10"/>
  <c r="M118" i="10"/>
  <c r="N118" i="10"/>
  <c r="K119" i="10"/>
  <c r="L119" i="10"/>
  <c r="M119" i="10"/>
  <c r="N119" i="10"/>
  <c r="K120" i="10"/>
  <c r="L120" i="10"/>
  <c r="M120" i="10"/>
  <c r="N120" i="10"/>
  <c r="K121" i="10"/>
  <c r="L121" i="10"/>
  <c r="M121" i="10"/>
  <c r="N121" i="10"/>
  <c r="K122" i="10"/>
  <c r="L122" i="10"/>
  <c r="M122" i="10"/>
  <c r="N122" i="10"/>
  <c r="K123" i="10"/>
  <c r="L123" i="10"/>
  <c r="M123" i="10"/>
  <c r="N123" i="10"/>
  <c r="K124" i="10"/>
  <c r="L124" i="10"/>
  <c r="M124" i="10"/>
  <c r="N124" i="10"/>
  <c r="K125" i="10"/>
  <c r="L125" i="10"/>
  <c r="M125" i="10"/>
  <c r="N125" i="10"/>
  <c r="K126" i="10"/>
  <c r="L126" i="10"/>
  <c r="M126" i="10"/>
  <c r="N126" i="10"/>
  <c r="K127" i="10"/>
  <c r="L127" i="10"/>
  <c r="M127" i="10"/>
  <c r="N127" i="10"/>
  <c r="K128" i="10"/>
  <c r="L128" i="10"/>
  <c r="M128" i="10"/>
  <c r="N128" i="10"/>
  <c r="K129" i="10"/>
  <c r="L129" i="10"/>
  <c r="M129" i="10"/>
  <c r="N129" i="10"/>
  <c r="K130" i="10"/>
  <c r="L130" i="10"/>
  <c r="M130" i="10"/>
  <c r="N130" i="10"/>
  <c r="K131" i="10"/>
  <c r="L131" i="10"/>
  <c r="M131" i="10"/>
  <c r="N131" i="10"/>
  <c r="K132" i="10"/>
  <c r="L132" i="10"/>
  <c r="M132" i="10"/>
  <c r="N132" i="10"/>
  <c r="K133" i="10"/>
  <c r="L133" i="10"/>
  <c r="M133" i="10"/>
  <c r="N133" i="10"/>
  <c r="K134" i="10"/>
  <c r="L134" i="10"/>
  <c r="M134" i="10"/>
  <c r="N134" i="10"/>
  <c r="K135" i="10"/>
  <c r="L135" i="10"/>
  <c r="M135" i="10"/>
  <c r="N135" i="10"/>
  <c r="K136" i="10"/>
  <c r="L136" i="10"/>
  <c r="M136" i="10"/>
  <c r="N136" i="10"/>
  <c r="K137" i="10"/>
  <c r="L137" i="10"/>
  <c r="M137" i="10"/>
  <c r="N137" i="10"/>
  <c r="K138" i="10"/>
  <c r="L138" i="10"/>
  <c r="M138" i="10"/>
  <c r="N138" i="10"/>
  <c r="K139" i="10"/>
  <c r="L139" i="10"/>
  <c r="M139" i="10"/>
  <c r="N139" i="10"/>
  <c r="K140" i="10"/>
  <c r="L140" i="10"/>
  <c r="M140" i="10"/>
  <c r="N140" i="10"/>
  <c r="K141" i="10"/>
  <c r="L141" i="10"/>
  <c r="M141" i="10"/>
  <c r="N141" i="10"/>
  <c r="K142" i="10"/>
  <c r="L142" i="10"/>
  <c r="M142" i="10"/>
  <c r="N142" i="10"/>
  <c r="K143" i="10"/>
  <c r="L143" i="10"/>
  <c r="M143" i="10"/>
  <c r="N143" i="10"/>
  <c r="K144" i="10"/>
  <c r="L144" i="10"/>
  <c r="M144" i="10"/>
  <c r="N144" i="10"/>
  <c r="K145" i="10"/>
  <c r="L145" i="10"/>
  <c r="M145" i="10"/>
  <c r="N145" i="10"/>
  <c r="K146" i="10"/>
  <c r="L146" i="10"/>
  <c r="M146" i="10"/>
  <c r="N146" i="10"/>
  <c r="K147" i="10"/>
  <c r="L147" i="10"/>
  <c r="M147" i="10"/>
  <c r="N147" i="10"/>
  <c r="K148" i="10"/>
  <c r="L148" i="10"/>
  <c r="M148" i="10"/>
  <c r="N148" i="10"/>
  <c r="K149" i="10"/>
  <c r="L149" i="10"/>
  <c r="M149" i="10"/>
  <c r="N149" i="10"/>
  <c r="K150" i="10"/>
  <c r="L150" i="10"/>
  <c r="M150" i="10"/>
  <c r="N150" i="10"/>
  <c r="K151" i="10"/>
  <c r="L151" i="10"/>
  <c r="M151" i="10"/>
  <c r="N151" i="10"/>
  <c r="K152" i="10"/>
  <c r="L152" i="10"/>
  <c r="M152" i="10"/>
  <c r="N152" i="10"/>
  <c r="K153" i="10"/>
  <c r="L153" i="10"/>
  <c r="M153" i="10"/>
  <c r="N153" i="10"/>
  <c r="K154" i="10"/>
  <c r="L154" i="10"/>
  <c r="M154" i="10"/>
  <c r="N154" i="10"/>
  <c r="K155" i="10"/>
  <c r="L155" i="10"/>
  <c r="M155" i="10"/>
  <c r="N155" i="10"/>
  <c r="K156" i="10"/>
  <c r="L156" i="10"/>
  <c r="M156" i="10"/>
  <c r="N156" i="10"/>
  <c r="K157" i="10"/>
  <c r="L157" i="10"/>
  <c r="M157" i="10"/>
  <c r="N157" i="10"/>
  <c r="K158" i="10"/>
  <c r="L158" i="10"/>
  <c r="M158" i="10"/>
  <c r="N158" i="10"/>
  <c r="K159" i="10"/>
  <c r="L159" i="10"/>
  <c r="M159" i="10"/>
  <c r="N159" i="10"/>
  <c r="K160" i="10"/>
  <c r="L160" i="10"/>
  <c r="M160" i="10"/>
  <c r="N160" i="10"/>
  <c r="K161" i="10"/>
  <c r="L161" i="10"/>
  <c r="M161" i="10"/>
  <c r="N161" i="10"/>
  <c r="K162" i="10"/>
  <c r="L162" i="10"/>
  <c r="M162" i="10"/>
  <c r="N162" i="10"/>
  <c r="K163" i="10"/>
  <c r="L163" i="10"/>
  <c r="M163" i="10"/>
  <c r="N163" i="10"/>
  <c r="K164" i="10"/>
  <c r="L164" i="10"/>
  <c r="M164" i="10"/>
  <c r="N164" i="10"/>
  <c r="K165" i="10"/>
  <c r="L165" i="10"/>
  <c r="M165" i="10"/>
  <c r="N165" i="10"/>
  <c r="K166" i="10"/>
  <c r="L166" i="10"/>
  <c r="M166" i="10"/>
  <c r="N166" i="10"/>
  <c r="K167" i="10"/>
  <c r="L167" i="10"/>
  <c r="M167" i="10"/>
  <c r="N167" i="10"/>
  <c r="K168" i="10"/>
  <c r="L168" i="10"/>
  <c r="M168" i="10"/>
  <c r="N168" i="10"/>
  <c r="K169" i="10"/>
  <c r="L169" i="10"/>
  <c r="M169" i="10"/>
  <c r="N169" i="10"/>
  <c r="J1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" i="10"/>
  <c r="D4" i="10"/>
  <c r="D5" i="10"/>
  <c r="D6" i="10"/>
  <c r="D7" i="10"/>
  <c r="D8" i="10"/>
  <c r="D14" i="10"/>
  <c r="C3" i="10"/>
  <c r="D3" i="10" s="1"/>
  <c r="B13" i="10"/>
  <c r="D13" i="10" s="1"/>
  <c r="B12" i="10"/>
  <c r="D12" i="10" s="1"/>
  <c r="B11" i="10"/>
  <c r="D11" i="10" s="1"/>
  <c r="B10" i="10"/>
  <c r="D10" i="10" s="1"/>
  <c r="B9" i="10"/>
  <c r="D9" i="10" s="1"/>
  <c r="B1" i="9"/>
  <c r="C1" i="9"/>
  <c r="D1" i="9"/>
  <c r="E1" i="9"/>
  <c r="F1" i="9"/>
  <c r="L1" i="9"/>
  <c r="M1" i="9"/>
  <c r="N1" i="9"/>
  <c r="O1" i="9"/>
  <c r="P1" i="9"/>
  <c r="Q1" i="9"/>
  <c r="R1" i="9"/>
  <c r="S1" i="9"/>
  <c r="T1" i="9"/>
  <c r="U1" i="9"/>
  <c r="A2" i="9"/>
  <c r="B2" i="9"/>
  <c r="C2" i="9"/>
  <c r="D2" i="9"/>
  <c r="E2" i="9"/>
  <c r="F2" i="9"/>
  <c r="L2" i="9"/>
  <c r="M2" i="9"/>
  <c r="N2" i="9"/>
  <c r="O2" i="9"/>
  <c r="P2" i="9"/>
  <c r="Q2" i="9"/>
  <c r="R2" i="9"/>
  <c r="S2" i="9"/>
  <c r="T2" i="9"/>
  <c r="U2" i="9"/>
  <c r="A3" i="9"/>
  <c r="B3" i="9"/>
  <c r="C3" i="9"/>
  <c r="D3" i="9"/>
  <c r="E3" i="9"/>
  <c r="F3" i="9"/>
  <c r="L3" i="9"/>
  <c r="M3" i="9"/>
  <c r="N3" i="9"/>
  <c r="O3" i="9"/>
  <c r="P3" i="9"/>
  <c r="Q3" i="9"/>
  <c r="R3" i="9"/>
  <c r="S3" i="9"/>
  <c r="T3" i="9"/>
  <c r="U3" i="9"/>
  <c r="A4" i="9"/>
  <c r="B4" i="9"/>
  <c r="C4" i="9"/>
  <c r="D4" i="9"/>
  <c r="E4" i="9"/>
  <c r="F4" i="9"/>
  <c r="L4" i="9"/>
  <c r="M4" i="9"/>
  <c r="N4" i="9"/>
  <c r="O4" i="9"/>
  <c r="P4" i="9"/>
  <c r="Q4" i="9"/>
  <c r="R4" i="9"/>
  <c r="S4" i="9"/>
  <c r="T4" i="9"/>
  <c r="U4" i="9"/>
  <c r="A5" i="9"/>
  <c r="B5" i="9"/>
  <c r="C5" i="9"/>
  <c r="D5" i="9"/>
  <c r="E5" i="9"/>
  <c r="F5" i="9"/>
  <c r="L5" i="9"/>
  <c r="M5" i="9"/>
  <c r="N5" i="9"/>
  <c r="O5" i="9"/>
  <c r="P5" i="9"/>
  <c r="Q5" i="9"/>
  <c r="R5" i="9"/>
  <c r="S5" i="9"/>
  <c r="T5" i="9"/>
  <c r="U5" i="9"/>
  <c r="A6" i="9"/>
  <c r="B6" i="9"/>
  <c r="C6" i="9"/>
  <c r="D6" i="9"/>
  <c r="E6" i="9"/>
  <c r="F6" i="9"/>
  <c r="L6" i="9"/>
  <c r="M6" i="9"/>
  <c r="N6" i="9"/>
  <c r="O6" i="9"/>
  <c r="P6" i="9"/>
  <c r="Q6" i="9"/>
  <c r="R6" i="9"/>
  <c r="S6" i="9"/>
  <c r="T6" i="9"/>
  <c r="U6" i="9"/>
  <c r="A7" i="9"/>
  <c r="B7" i="9"/>
  <c r="C7" i="9"/>
  <c r="D7" i="9"/>
  <c r="E7" i="9"/>
  <c r="F7" i="9"/>
  <c r="L7" i="9"/>
  <c r="M7" i="9"/>
  <c r="N7" i="9"/>
  <c r="O7" i="9"/>
  <c r="P7" i="9"/>
  <c r="Q7" i="9"/>
  <c r="R7" i="9"/>
  <c r="S7" i="9"/>
  <c r="T7" i="9"/>
  <c r="U7" i="9"/>
  <c r="A8" i="9"/>
  <c r="B8" i="9"/>
  <c r="C8" i="9"/>
  <c r="D8" i="9"/>
  <c r="E8" i="9"/>
  <c r="F8" i="9"/>
  <c r="L8" i="9"/>
  <c r="M8" i="9"/>
  <c r="N8" i="9"/>
  <c r="O8" i="9"/>
  <c r="P8" i="9"/>
  <c r="Q8" i="9"/>
  <c r="R8" i="9"/>
  <c r="S8" i="9"/>
  <c r="T8" i="9"/>
  <c r="U8" i="9"/>
  <c r="A9" i="9"/>
  <c r="B9" i="9"/>
  <c r="C9" i="9"/>
  <c r="D9" i="9"/>
  <c r="E9" i="9"/>
  <c r="F9" i="9"/>
  <c r="L9" i="9"/>
  <c r="M9" i="9"/>
  <c r="N9" i="9"/>
  <c r="O9" i="9"/>
  <c r="P9" i="9"/>
  <c r="Q9" i="9"/>
  <c r="R9" i="9"/>
  <c r="S9" i="9"/>
  <c r="T9" i="9"/>
  <c r="U9" i="9"/>
  <c r="A10" i="9"/>
  <c r="B10" i="9"/>
  <c r="C10" i="9"/>
  <c r="D10" i="9"/>
  <c r="E10" i="9"/>
  <c r="F10" i="9"/>
  <c r="L10" i="9"/>
  <c r="M10" i="9"/>
  <c r="N10" i="9"/>
  <c r="O10" i="9"/>
  <c r="P10" i="9"/>
  <c r="Q10" i="9"/>
  <c r="R10" i="9"/>
  <c r="S10" i="9"/>
  <c r="T10" i="9"/>
  <c r="U10" i="9"/>
  <c r="A11" i="9"/>
  <c r="B11" i="9"/>
  <c r="C11" i="9"/>
  <c r="D11" i="9"/>
  <c r="E11" i="9"/>
  <c r="F11" i="9"/>
  <c r="L11" i="9"/>
  <c r="M11" i="9"/>
  <c r="N11" i="9"/>
  <c r="O11" i="9"/>
  <c r="P11" i="9"/>
  <c r="Q11" i="9"/>
  <c r="R11" i="9"/>
  <c r="S11" i="9"/>
  <c r="T11" i="9"/>
  <c r="U11" i="9"/>
  <c r="A12" i="9"/>
  <c r="B12" i="9"/>
  <c r="C12" i="9"/>
  <c r="D12" i="9"/>
  <c r="E12" i="9"/>
  <c r="F12" i="9"/>
  <c r="L12" i="9"/>
  <c r="M12" i="9"/>
  <c r="N12" i="9"/>
  <c r="O12" i="9"/>
  <c r="P12" i="9"/>
  <c r="Q12" i="9"/>
  <c r="R12" i="9"/>
  <c r="S12" i="9"/>
  <c r="T12" i="9"/>
  <c r="U12" i="9"/>
  <c r="A13" i="9"/>
  <c r="B13" i="9"/>
  <c r="C13" i="9"/>
  <c r="D13" i="9"/>
  <c r="E13" i="9"/>
  <c r="F13" i="9"/>
  <c r="L13" i="9"/>
  <c r="M13" i="9"/>
  <c r="N13" i="9"/>
  <c r="O13" i="9"/>
  <c r="P13" i="9"/>
  <c r="Q13" i="9"/>
  <c r="R13" i="9"/>
  <c r="S13" i="9"/>
  <c r="T13" i="9"/>
  <c r="U13" i="9"/>
  <c r="A14" i="9"/>
  <c r="B14" i="9"/>
  <c r="C14" i="9"/>
  <c r="D14" i="9"/>
  <c r="E14" i="9"/>
  <c r="F14" i="9"/>
  <c r="L14" i="9"/>
  <c r="M14" i="9"/>
  <c r="N14" i="9"/>
  <c r="O14" i="9"/>
  <c r="P14" i="9"/>
  <c r="Q14" i="9"/>
  <c r="R14" i="9"/>
  <c r="S14" i="9"/>
  <c r="T14" i="9"/>
  <c r="U14" i="9"/>
  <c r="A15" i="9"/>
  <c r="B15" i="9"/>
  <c r="C15" i="9"/>
  <c r="D15" i="9"/>
  <c r="E15" i="9"/>
  <c r="F15" i="9"/>
  <c r="L15" i="9"/>
  <c r="M15" i="9"/>
  <c r="N15" i="9"/>
  <c r="O15" i="9"/>
  <c r="P15" i="9"/>
  <c r="Q15" i="9"/>
  <c r="R15" i="9"/>
  <c r="S15" i="9"/>
  <c r="T15" i="9"/>
  <c r="U15" i="9"/>
  <c r="A16" i="9"/>
  <c r="B16" i="9"/>
  <c r="C16" i="9"/>
  <c r="D16" i="9"/>
  <c r="E16" i="9"/>
  <c r="F16" i="9"/>
  <c r="L16" i="9"/>
  <c r="M16" i="9"/>
  <c r="N16" i="9"/>
  <c r="O16" i="9"/>
  <c r="P16" i="9"/>
  <c r="Q16" i="9"/>
  <c r="R16" i="9"/>
  <c r="S16" i="9"/>
  <c r="T16" i="9"/>
  <c r="U16" i="9"/>
  <c r="A17" i="9"/>
  <c r="B17" i="9"/>
  <c r="C17" i="9"/>
  <c r="D17" i="9"/>
  <c r="E17" i="9"/>
  <c r="F17" i="9"/>
  <c r="L17" i="9"/>
  <c r="M17" i="9"/>
  <c r="N17" i="9"/>
  <c r="O17" i="9"/>
  <c r="P17" i="9"/>
  <c r="Q17" i="9"/>
  <c r="R17" i="9"/>
  <c r="S17" i="9"/>
  <c r="T17" i="9"/>
  <c r="U17" i="9"/>
  <c r="A18" i="9"/>
  <c r="B18" i="9"/>
  <c r="C18" i="9"/>
  <c r="D18" i="9"/>
  <c r="E18" i="9"/>
  <c r="F18" i="9"/>
  <c r="L18" i="9"/>
  <c r="M18" i="9"/>
  <c r="N18" i="9"/>
  <c r="O18" i="9"/>
  <c r="P18" i="9"/>
  <c r="Q18" i="9"/>
  <c r="R18" i="9"/>
  <c r="S18" i="9"/>
  <c r="T18" i="9"/>
  <c r="U18" i="9"/>
  <c r="A19" i="9"/>
  <c r="B19" i="9"/>
  <c r="C19" i="9"/>
  <c r="D19" i="9"/>
  <c r="E19" i="9"/>
  <c r="F19" i="9"/>
  <c r="L19" i="9"/>
  <c r="M19" i="9"/>
  <c r="N19" i="9"/>
  <c r="O19" i="9"/>
  <c r="P19" i="9"/>
  <c r="Q19" i="9"/>
  <c r="R19" i="9"/>
  <c r="S19" i="9"/>
  <c r="T19" i="9"/>
  <c r="U19" i="9"/>
  <c r="A20" i="9"/>
  <c r="B20" i="9"/>
  <c r="C20" i="9"/>
  <c r="D20" i="9"/>
  <c r="E20" i="9"/>
  <c r="F20" i="9"/>
  <c r="L20" i="9"/>
  <c r="M20" i="9"/>
  <c r="N20" i="9"/>
  <c r="O20" i="9"/>
  <c r="P20" i="9"/>
  <c r="Q20" i="9"/>
  <c r="R20" i="9"/>
  <c r="S20" i="9"/>
  <c r="T20" i="9"/>
  <c r="U20" i="9"/>
  <c r="A21" i="9"/>
  <c r="B21" i="9"/>
  <c r="C21" i="9"/>
  <c r="D21" i="9"/>
  <c r="E21" i="9"/>
  <c r="F21" i="9"/>
  <c r="L21" i="9"/>
  <c r="M21" i="9"/>
  <c r="N21" i="9"/>
  <c r="O21" i="9"/>
  <c r="P21" i="9"/>
  <c r="Q21" i="9"/>
  <c r="R21" i="9"/>
  <c r="S21" i="9"/>
  <c r="T21" i="9"/>
  <c r="U21" i="9"/>
  <c r="A22" i="9"/>
  <c r="B22" i="9"/>
  <c r="C22" i="9"/>
  <c r="D22" i="9"/>
  <c r="E22" i="9"/>
  <c r="F22" i="9"/>
  <c r="L22" i="9"/>
  <c r="M22" i="9"/>
  <c r="N22" i="9"/>
  <c r="O22" i="9"/>
  <c r="P22" i="9"/>
  <c r="Q22" i="9"/>
  <c r="R22" i="9"/>
  <c r="S22" i="9"/>
  <c r="T22" i="9"/>
  <c r="U22" i="9"/>
  <c r="A23" i="9"/>
  <c r="B23" i="9"/>
  <c r="C23" i="9"/>
  <c r="D23" i="9"/>
  <c r="E23" i="9"/>
  <c r="F23" i="9"/>
  <c r="L23" i="9"/>
  <c r="M23" i="9"/>
  <c r="N23" i="9"/>
  <c r="O23" i="9"/>
  <c r="P23" i="9"/>
  <c r="Q23" i="9"/>
  <c r="R23" i="9"/>
  <c r="S23" i="9"/>
  <c r="T23" i="9"/>
  <c r="U23" i="9"/>
  <c r="A24" i="9"/>
  <c r="B24" i="9"/>
  <c r="C24" i="9"/>
  <c r="D24" i="9"/>
  <c r="E24" i="9"/>
  <c r="F24" i="9"/>
  <c r="L24" i="9"/>
  <c r="M24" i="9"/>
  <c r="N24" i="9"/>
  <c r="O24" i="9"/>
  <c r="P24" i="9"/>
  <c r="Q24" i="9"/>
  <c r="R24" i="9"/>
  <c r="S24" i="9"/>
  <c r="T24" i="9"/>
  <c r="U24" i="9"/>
  <c r="A25" i="9"/>
  <c r="B25" i="9"/>
  <c r="C25" i="9"/>
  <c r="D25" i="9"/>
  <c r="E25" i="9"/>
  <c r="F25" i="9"/>
  <c r="L25" i="9"/>
  <c r="M25" i="9"/>
  <c r="N25" i="9"/>
  <c r="O25" i="9"/>
  <c r="P25" i="9"/>
  <c r="Q25" i="9"/>
  <c r="R25" i="9"/>
  <c r="S25" i="9"/>
  <c r="T25" i="9"/>
  <c r="U25" i="9"/>
  <c r="A26" i="9"/>
  <c r="B26" i="9"/>
  <c r="C26" i="9"/>
  <c r="D26" i="9"/>
  <c r="E26" i="9"/>
  <c r="F26" i="9"/>
  <c r="L26" i="9"/>
  <c r="M26" i="9"/>
  <c r="N26" i="9"/>
  <c r="O26" i="9"/>
  <c r="P26" i="9"/>
  <c r="Q26" i="9"/>
  <c r="R26" i="9"/>
  <c r="S26" i="9"/>
  <c r="T26" i="9"/>
  <c r="U26" i="9"/>
  <c r="A27" i="9"/>
  <c r="B27" i="9"/>
  <c r="C27" i="9"/>
  <c r="D27" i="9"/>
  <c r="E27" i="9"/>
  <c r="F27" i="9"/>
  <c r="L27" i="9"/>
  <c r="M27" i="9"/>
  <c r="N27" i="9"/>
  <c r="O27" i="9"/>
  <c r="P27" i="9"/>
  <c r="Q27" i="9"/>
  <c r="R27" i="9"/>
  <c r="S27" i="9"/>
  <c r="T27" i="9"/>
  <c r="U27" i="9"/>
  <c r="A28" i="9"/>
  <c r="B28" i="9"/>
  <c r="C28" i="9"/>
  <c r="D28" i="9"/>
  <c r="E28" i="9"/>
  <c r="F28" i="9"/>
  <c r="L28" i="9"/>
  <c r="M28" i="9"/>
  <c r="N28" i="9"/>
  <c r="O28" i="9"/>
  <c r="P28" i="9"/>
  <c r="Q28" i="9"/>
  <c r="R28" i="9"/>
  <c r="S28" i="9"/>
  <c r="T28" i="9"/>
  <c r="U28" i="9"/>
  <c r="A29" i="9"/>
  <c r="B29" i="9"/>
  <c r="C29" i="9"/>
  <c r="D29" i="9"/>
  <c r="E29" i="9"/>
  <c r="F29" i="9"/>
  <c r="L29" i="9"/>
  <c r="M29" i="9"/>
  <c r="N29" i="9"/>
  <c r="O29" i="9"/>
  <c r="P29" i="9"/>
  <c r="Q29" i="9"/>
  <c r="R29" i="9"/>
  <c r="S29" i="9"/>
  <c r="T29" i="9"/>
  <c r="U29" i="9"/>
  <c r="A30" i="9"/>
  <c r="B30" i="9"/>
  <c r="C30" i="9"/>
  <c r="D30" i="9"/>
  <c r="E30" i="9"/>
  <c r="F30" i="9"/>
  <c r="L30" i="9"/>
  <c r="M30" i="9"/>
  <c r="N30" i="9"/>
  <c r="O30" i="9"/>
  <c r="P30" i="9"/>
  <c r="Q30" i="9"/>
  <c r="R30" i="9"/>
  <c r="S30" i="9"/>
  <c r="T30" i="9"/>
  <c r="U30" i="9"/>
  <c r="A31" i="9"/>
  <c r="B31" i="9"/>
  <c r="C31" i="9"/>
  <c r="D31" i="9"/>
  <c r="E31" i="9"/>
  <c r="F31" i="9"/>
  <c r="L31" i="9"/>
  <c r="M31" i="9"/>
  <c r="N31" i="9"/>
  <c r="O31" i="9"/>
  <c r="P31" i="9"/>
  <c r="Q31" i="9"/>
  <c r="R31" i="9"/>
  <c r="S31" i="9"/>
  <c r="T31" i="9"/>
  <c r="U31" i="9"/>
  <c r="A32" i="9"/>
  <c r="B32" i="9"/>
  <c r="C32" i="9"/>
  <c r="D32" i="9"/>
  <c r="E32" i="9"/>
  <c r="F32" i="9"/>
  <c r="L32" i="9"/>
  <c r="M32" i="9"/>
  <c r="N32" i="9"/>
  <c r="O32" i="9"/>
  <c r="P32" i="9"/>
  <c r="Q32" i="9"/>
  <c r="R32" i="9"/>
  <c r="S32" i="9"/>
  <c r="T32" i="9"/>
  <c r="U32" i="9"/>
  <c r="A33" i="9"/>
  <c r="B33" i="9"/>
  <c r="C33" i="9"/>
  <c r="D33" i="9"/>
  <c r="E33" i="9"/>
  <c r="F33" i="9"/>
  <c r="L33" i="9"/>
  <c r="M33" i="9"/>
  <c r="N33" i="9"/>
  <c r="O33" i="9"/>
  <c r="P33" i="9"/>
  <c r="Q33" i="9"/>
  <c r="R33" i="9"/>
  <c r="S33" i="9"/>
  <c r="T33" i="9"/>
  <c r="U33" i="9"/>
  <c r="A34" i="9"/>
  <c r="B34" i="9"/>
  <c r="C34" i="9"/>
  <c r="D34" i="9"/>
  <c r="E34" i="9"/>
  <c r="F34" i="9"/>
  <c r="L34" i="9"/>
  <c r="M34" i="9"/>
  <c r="N34" i="9"/>
  <c r="O34" i="9"/>
  <c r="P34" i="9"/>
  <c r="Q34" i="9"/>
  <c r="R34" i="9"/>
  <c r="S34" i="9"/>
  <c r="T34" i="9"/>
  <c r="U34" i="9"/>
  <c r="A35" i="9"/>
  <c r="B35" i="9"/>
  <c r="C35" i="9"/>
  <c r="D35" i="9"/>
  <c r="E35" i="9"/>
  <c r="F35" i="9"/>
  <c r="L35" i="9"/>
  <c r="M35" i="9"/>
  <c r="N35" i="9"/>
  <c r="O35" i="9"/>
  <c r="P35" i="9"/>
  <c r="Q35" i="9"/>
  <c r="R35" i="9"/>
  <c r="S35" i="9"/>
  <c r="T35" i="9"/>
  <c r="U35" i="9"/>
  <c r="A36" i="9"/>
  <c r="B36" i="9"/>
  <c r="C36" i="9"/>
  <c r="D36" i="9"/>
  <c r="E36" i="9"/>
  <c r="F36" i="9"/>
  <c r="L36" i="9"/>
  <c r="M36" i="9"/>
  <c r="N36" i="9"/>
  <c r="O36" i="9"/>
  <c r="P36" i="9"/>
  <c r="Q36" i="9"/>
  <c r="R36" i="9"/>
  <c r="S36" i="9"/>
  <c r="T36" i="9"/>
  <c r="U36" i="9"/>
  <c r="A37" i="9"/>
  <c r="B37" i="9"/>
  <c r="C37" i="9"/>
  <c r="D37" i="9"/>
  <c r="E37" i="9"/>
  <c r="F37" i="9"/>
  <c r="L37" i="9"/>
  <c r="M37" i="9"/>
  <c r="N37" i="9"/>
  <c r="O37" i="9"/>
  <c r="P37" i="9"/>
  <c r="Q37" i="9"/>
  <c r="R37" i="9"/>
  <c r="S37" i="9"/>
  <c r="T37" i="9"/>
  <c r="U37" i="9"/>
  <c r="A38" i="9"/>
  <c r="B38" i="9"/>
  <c r="C38" i="9"/>
  <c r="D38" i="9"/>
  <c r="E38" i="9"/>
  <c r="F38" i="9"/>
  <c r="L38" i="9"/>
  <c r="M38" i="9"/>
  <c r="N38" i="9"/>
  <c r="O38" i="9"/>
  <c r="P38" i="9"/>
  <c r="Q38" i="9"/>
  <c r="R38" i="9"/>
  <c r="S38" i="9"/>
  <c r="T38" i="9"/>
  <c r="U38" i="9"/>
  <c r="A39" i="9"/>
  <c r="B39" i="9"/>
  <c r="C39" i="9"/>
  <c r="D39" i="9"/>
  <c r="E39" i="9"/>
  <c r="F39" i="9"/>
  <c r="L39" i="9"/>
  <c r="M39" i="9"/>
  <c r="N39" i="9"/>
  <c r="O39" i="9"/>
  <c r="P39" i="9"/>
  <c r="Q39" i="9"/>
  <c r="R39" i="9"/>
  <c r="S39" i="9"/>
  <c r="T39" i="9"/>
  <c r="U39" i="9"/>
  <c r="A40" i="9"/>
  <c r="B40" i="9"/>
  <c r="C40" i="9"/>
  <c r="D40" i="9"/>
  <c r="E40" i="9"/>
  <c r="F40" i="9"/>
  <c r="L40" i="9"/>
  <c r="M40" i="9"/>
  <c r="N40" i="9"/>
  <c r="O40" i="9"/>
  <c r="P40" i="9"/>
  <c r="Q40" i="9"/>
  <c r="R40" i="9"/>
  <c r="S40" i="9"/>
  <c r="T40" i="9"/>
  <c r="U40" i="9"/>
  <c r="A41" i="9"/>
  <c r="B41" i="9"/>
  <c r="C41" i="9"/>
  <c r="D41" i="9"/>
  <c r="E41" i="9"/>
  <c r="F41" i="9"/>
  <c r="L41" i="9"/>
  <c r="M41" i="9"/>
  <c r="N41" i="9"/>
  <c r="O41" i="9"/>
  <c r="P41" i="9"/>
  <c r="Q41" i="9"/>
  <c r="R41" i="9"/>
  <c r="S41" i="9"/>
  <c r="T41" i="9"/>
  <c r="U41" i="9"/>
  <c r="A42" i="9"/>
  <c r="B42" i="9"/>
  <c r="C42" i="9"/>
  <c r="D42" i="9"/>
  <c r="E42" i="9"/>
  <c r="F42" i="9"/>
  <c r="L42" i="9"/>
  <c r="M42" i="9"/>
  <c r="N42" i="9"/>
  <c r="O42" i="9"/>
  <c r="P42" i="9"/>
  <c r="Q42" i="9"/>
  <c r="R42" i="9"/>
  <c r="S42" i="9"/>
  <c r="T42" i="9"/>
  <c r="U42" i="9"/>
  <c r="A43" i="9"/>
  <c r="B43" i="9"/>
  <c r="C43" i="9"/>
  <c r="D43" i="9"/>
  <c r="E43" i="9"/>
  <c r="F43" i="9"/>
  <c r="L43" i="9"/>
  <c r="M43" i="9"/>
  <c r="N43" i="9"/>
  <c r="O43" i="9"/>
  <c r="P43" i="9"/>
  <c r="Q43" i="9"/>
  <c r="R43" i="9"/>
  <c r="S43" i="9"/>
  <c r="T43" i="9"/>
  <c r="U43" i="9"/>
  <c r="A44" i="9"/>
  <c r="B44" i="9"/>
  <c r="C44" i="9"/>
  <c r="D44" i="9"/>
  <c r="E44" i="9"/>
  <c r="F44" i="9"/>
  <c r="L44" i="9"/>
  <c r="M44" i="9"/>
  <c r="N44" i="9"/>
  <c r="O44" i="9"/>
  <c r="P44" i="9"/>
  <c r="Q44" i="9"/>
  <c r="R44" i="9"/>
  <c r="S44" i="9"/>
  <c r="T44" i="9"/>
  <c r="U44" i="9"/>
  <c r="A45" i="9"/>
  <c r="B45" i="9"/>
  <c r="C45" i="9"/>
  <c r="D45" i="9"/>
  <c r="E45" i="9"/>
  <c r="F45" i="9"/>
  <c r="L45" i="9"/>
  <c r="M45" i="9"/>
  <c r="N45" i="9"/>
  <c r="O45" i="9"/>
  <c r="P45" i="9"/>
  <c r="Q45" i="9"/>
  <c r="R45" i="9"/>
  <c r="S45" i="9"/>
  <c r="T45" i="9"/>
  <c r="U45" i="9"/>
  <c r="A46" i="9"/>
  <c r="B46" i="9"/>
  <c r="C46" i="9"/>
  <c r="D46" i="9"/>
  <c r="E46" i="9"/>
  <c r="F46" i="9"/>
  <c r="L46" i="9"/>
  <c r="M46" i="9"/>
  <c r="N46" i="9"/>
  <c r="O46" i="9"/>
  <c r="P46" i="9"/>
  <c r="Q46" i="9"/>
  <c r="R46" i="9"/>
  <c r="S46" i="9"/>
  <c r="T46" i="9"/>
  <c r="U46" i="9"/>
  <c r="A47" i="9"/>
  <c r="B47" i="9"/>
  <c r="C47" i="9"/>
  <c r="D47" i="9"/>
  <c r="E47" i="9"/>
  <c r="F47" i="9"/>
  <c r="L47" i="9"/>
  <c r="M47" i="9"/>
  <c r="N47" i="9"/>
  <c r="O47" i="9"/>
  <c r="P47" i="9"/>
  <c r="Q47" i="9"/>
  <c r="R47" i="9"/>
  <c r="S47" i="9"/>
  <c r="T47" i="9"/>
  <c r="U47" i="9"/>
  <c r="A48" i="9"/>
  <c r="B48" i="9"/>
  <c r="C48" i="9"/>
  <c r="D48" i="9"/>
  <c r="E48" i="9"/>
  <c r="F48" i="9"/>
  <c r="L48" i="9"/>
  <c r="M48" i="9"/>
  <c r="N48" i="9"/>
  <c r="O48" i="9"/>
  <c r="P48" i="9"/>
  <c r="Q48" i="9"/>
  <c r="R48" i="9"/>
  <c r="S48" i="9"/>
  <c r="T48" i="9"/>
  <c r="U48" i="9"/>
  <c r="A49" i="9"/>
  <c r="B49" i="9"/>
  <c r="C49" i="9"/>
  <c r="D49" i="9"/>
  <c r="E49" i="9"/>
  <c r="F49" i="9"/>
  <c r="L49" i="9"/>
  <c r="M49" i="9"/>
  <c r="N49" i="9"/>
  <c r="O49" i="9"/>
  <c r="P49" i="9"/>
  <c r="Q49" i="9"/>
  <c r="R49" i="9"/>
  <c r="S49" i="9"/>
  <c r="T49" i="9"/>
  <c r="U49" i="9"/>
  <c r="A50" i="9"/>
  <c r="B50" i="9"/>
  <c r="C50" i="9"/>
  <c r="D50" i="9"/>
  <c r="E50" i="9"/>
  <c r="F50" i="9"/>
  <c r="L50" i="9"/>
  <c r="M50" i="9"/>
  <c r="N50" i="9"/>
  <c r="O50" i="9"/>
  <c r="P50" i="9"/>
  <c r="Q50" i="9"/>
  <c r="R50" i="9"/>
  <c r="S50" i="9"/>
  <c r="T50" i="9"/>
  <c r="U50" i="9"/>
  <c r="A51" i="9"/>
  <c r="B51" i="9"/>
  <c r="C51" i="9"/>
  <c r="D51" i="9"/>
  <c r="E51" i="9"/>
  <c r="F51" i="9"/>
  <c r="L51" i="9"/>
  <c r="M51" i="9"/>
  <c r="N51" i="9"/>
  <c r="O51" i="9"/>
  <c r="P51" i="9"/>
  <c r="Q51" i="9"/>
  <c r="R51" i="9"/>
  <c r="S51" i="9"/>
  <c r="T51" i="9"/>
  <c r="U51" i="9"/>
  <c r="A52" i="9"/>
  <c r="B52" i="9"/>
  <c r="C52" i="9"/>
  <c r="D52" i="9"/>
  <c r="E52" i="9"/>
  <c r="F52" i="9"/>
  <c r="L52" i="9"/>
  <c r="M52" i="9"/>
  <c r="N52" i="9"/>
  <c r="O52" i="9"/>
  <c r="P52" i="9"/>
  <c r="Q52" i="9"/>
  <c r="R52" i="9"/>
  <c r="S52" i="9"/>
  <c r="T52" i="9"/>
  <c r="U52" i="9"/>
  <c r="A53" i="9"/>
  <c r="B53" i="9"/>
  <c r="C53" i="9"/>
  <c r="D53" i="9"/>
  <c r="E53" i="9"/>
  <c r="F53" i="9"/>
  <c r="L53" i="9"/>
  <c r="M53" i="9"/>
  <c r="N53" i="9"/>
  <c r="O53" i="9"/>
  <c r="P53" i="9"/>
  <c r="Q53" i="9"/>
  <c r="R53" i="9"/>
  <c r="S53" i="9"/>
  <c r="T53" i="9"/>
  <c r="U53" i="9"/>
  <c r="A54" i="9"/>
  <c r="B54" i="9"/>
  <c r="C54" i="9"/>
  <c r="D54" i="9"/>
  <c r="E54" i="9"/>
  <c r="F54" i="9"/>
  <c r="L54" i="9"/>
  <c r="M54" i="9"/>
  <c r="N54" i="9"/>
  <c r="O54" i="9"/>
  <c r="P54" i="9"/>
  <c r="Q54" i="9"/>
  <c r="R54" i="9"/>
  <c r="S54" i="9"/>
  <c r="T54" i="9"/>
  <c r="U54" i="9"/>
  <c r="A55" i="9"/>
  <c r="B55" i="9"/>
  <c r="C55" i="9"/>
  <c r="D55" i="9"/>
  <c r="E55" i="9"/>
  <c r="F55" i="9"/>
  <c r="L55" i="9"/>
  <c r="M55" i="9"/>
  <c r="N55" i="9"/>
  <c r="O55" i="9"/>
  <c r="P55" i="9"/>
  <c r="Q55" i="9"/>
  <c r="R55" i="9"/>
  <c r="S55" i="9"/>
  <c r="T55" i="9"/>
  <c r="U55" i="9"/>
  <c r="A56" i="9"/>
  <c r="B56" i="9"/>
  <c r="C56" i="9"/>
  <c r="D56" i="9"/>
  <c r="E56" i="9"/>
  <c r="F56" i="9"/>
  <c r="L56" i="9"/>
  <c r="M56" i="9"/>
  <c r="N56" i="9"/>
  <c r="O56" i="9"/>
  <c r="P56" i="9"/>
  <c r="Q56" i="9"/>
  <c r="R56" i="9"/>
  <c r="S56" i="9"/>
  <c r="T56" i="9"/>
  <c r="U56" i="9"/>
  <c r="A57" i="9"/>
  <c r="B57" i="9"/>
  <c r="C57" i="9"/>
  <c r="D57" i="9"/>
  <c r="E57" i="9"/>
  <c r="F57" i="9"/>
  <c r="L57" i="9"/>
  <c r="M57" i="9"/>
  <c r="N57" i="9"/>
  <c r="O57" i="9"/>
  <c r="P57" i="9"/>
  <c r="Q57" i="9"/>
  <c r="R57" i="9"/>
  <c r="S57" i="9"/>
  <c r="T57" i="9"/>
  <c r="U57" i="9"/>
  <c r="A58" i="9"/>
  <c r="B58" i="9"/>
  <c r="C58" i="9"/>
  <c r="D58" i="9"/>
  <c r="E58" i="9"/>
  <c r="F58" i="9"/>
  <c r="L58" i="9"/>
  <c r="M58" i="9"/>
  <c r="N58" i="9"/>
  <c r="O58" i="9"/>
  <c r="P58" i="9"/>
  <c r="Q58" i="9"/>
  <c r="R58" i="9"/>
  <c r="S58" i="9"/>
  <c r="T58" i="9"/>
  <c r="U58" i="9"/>
  <c r="A59" i="9"/>
  <c r="B59" i="9"/>
  <c r="C59" i="9"/>
  <c r="D59" i="9"/>
  <c r="E59" i="9"/>
  <c r="F59" i="9"/>
  <c r="L59" i="9"/>
  <c r="M59" i="9"/>
  <c r="N59" i="9"/>
  <c r="O59" i="9"/>
  <c r="P59" i="9"/>
  <c r="Q59" i="9"/>
  <c r="R59" i="9"/>
  <c r="S59" i="9"/>
  <c r="T59" i="9"/>
  <c r="U59" i="9"/>
  <c r="A60" i="9"/>
  <c r="B60" i="9"/>
  <c r="C60" i="9"/>
  <c r="D60" i="9"/>
  <c r="E60" i="9"/>
  <c r="F60" i="9"/>
  <c r="L60" i="9"/>
  <c r="M60" i="9"/>
  <c r="N60" i="9"/>
  <c r="O60" i="9"/>
  <c r="P60" i="9"/>
  <c r="Q60" i="9"/>
  <c r="R60" i="9"/>
  <c r="S60" i="9"/>
  <c r="T60" i="9"/>
  <c r="U60" i="9"/>
  <c r="A61" i="9"/>
  <c r="B61" i="9"/>
  <c r="C61" i="9"/>
  <c r="D61" i="9"/>
  <c r="E61" i="9"/>
  <c r="F61" i="9"/>
  <c r="L61" i="9"/>
  <c r="M61" i="9"/>
  <c r="N61" i="9"/>
  <c r="O61" i="9"/>
  <c r="P61" i="9"/>
  <c r="Q61" i="9"/>
  <c r="R61" i="9"/>
  <c r="S61" i="9"/>
  <c r="T61" i="9"/>
  <c r="U61" i="9"/>
  <c r="A62" i="9"/>
  <c r="B62" i="9"/>
  <c r="C62" i="9"/>
  <c r="D62" i="9"/>
  <c r="E62" i="9"/>
  <c r="F62" i="9"/>
  <c r="L62" i="9"/>
  <c r="M62" i="9"/>
  <c r="N62" i="9"/>
  <c r="O62" i="9"/>
  <c r="P62" i="9"/>
  <c r="Q62" i="9"/>
  <c r="R62" i="9"/>
  <c r="S62" i="9"/>
  <c r="T62" i="9"/>
  <c r="U62" i="9"/>
  <c r="A63" i="9"/>
  <c r="B63" i="9"/>
  <c r="C63" i="9"/>
  <c r="D63" i="9"/>
  <c r="E63" i="9"/>
  <c r="F63" i="9"/>
  <c r="L63" i="9"/>
  <c r="M63" i="9"/>
  <c r="N63" i="9"/>
  <c r="O63" i="9"/>
  <c r="P63" i="9"/>
  <c r="Q63" i="9"/>
  <c r="R63" i="9"/>
  <c r="S63" i="9"/>
  <c r="T63" i="9"/>
  <c r="U63" i="9"/>
  <c r="A64" i="9"/>
  <c r="B64" i="9"/>
  <c r="C64" i="9"/>
  <c r="D64" i="9"/>
  <c r="E64" i="9"/>
  <c r="F64" i="9"/>
  <c r="L64" i="9"/>
  <c r="M64" i="9"/>
  <c r="N64" i="9"/>
  <c r="O64" i="9"/>
  <c r="P64" i="9"/>
  <c r="Q64" i="9"/>
  <c r="R64" i="9"/>
  <c r="S64" i="9"/>
  <c r="T64" i="9"/>
  <c r="U64" i="9"/>
  <c r="A65" i="9"/>
  <c r="B65" i="9"/>
  <c r="C65" i="9"/>
  <c r="D65" i="9"/>
  <c r="E65" i="9"/>
  <c r="F65" i="9"/>
  <c r="L65" i="9"/>
  <c r="M65" i="9"/>
  <c r="N65" i="9"/>
  <c r="O65" i="9"/>
  <c r="P65" i="9"/>
  <c r="Q65" i="9"/>
  <c r="R65" i="9"/>
  <c r="S65" i="9"/>
  <c r="T65" i="9"/>
  <c r="U65" i="9"/>
  <c r="A66" i="9"/>
  <c r="B66" i="9"/>
  <c r="C66" i="9"/>
  <c r="D66" i="9"/>
  <c r="E66" i="9"/>
  <c r="F66" i="9"/>
  <c r="L66" i="9"/>
  <c r="M66" i="9"/>
  <c r="N66" i="9"/>
  <c r="O66" i="9"/>
  <c r="P66" i="9"/>
  <c r="Q66" i="9"/>
  <c r="R66" i="9"/>
  <c r="S66" i="9"/>
  <c r="T66" i="9"/>
  <c r="U66" i="9"/>
  <c r="A67" i="9"/>
  <c r="B67" i="9"/>
  <c r="C67" i="9"/>
  <c r="D67" i="9"/>
  <c r="E67" i="9"/>
  <c r="F67" i="9"/>
  <c r="L67" i="9"/>
  <c r="M67" i="9"/>
  <c r="N67" i="9"/>
  <c r="O67" i="9"/>
  <c r="P67" i="9"/>
  <c r="Q67" i="9"/>
  <c r="R67" i="9"/>
  <c r="S67" i="9"/>
  <c r="T67" i="9"/>
  <c r="U67" i="9"/>
  <c r="A68" i="9"/>
  <c r="B68" i="9"/>
  <c r="C68" i="9"/>
  <c r="D68" i="9"/>
  <c r="E68" i="9"/>
  <c r="F68" i="9"/>
  <c r="L68" i="9"/>
  <c r="M68" i="9"/>
  <c r="N68" i="9"/>
  <c r="O68" i="9"/>
  <c r="P68" i="9"/>
  <c r="Q68" i="9"/>
  <c r="R68" i="9"/>
  <c r="S68" i="9"/>
  <c r="T68" i="9"/>
  <c r="U68" i="9"/>
  <c r="A69" i="9"/>
  <c r="B69" i="9"/>
  <c r="C69" i="9"/>
  <c r="D69" i="9"/>
  <c r="E69" i="9"/>
  <c r="F69" i="9"/>
  <c r="L69" i="9"/>
  <c r="M69" i="9"/>
  <c r="N69" i="9"/>
  <c r="O69" i="9"/>
  <c r="P69" i="9"/>
  <c r="Q69" i="9"/>
  <c r="R69" i="9"/>
  <c r="S69" i="9"/>
  <c r="T69" i="9"/>
  <c r="U69" i="9"/>
  <c r="A70" i="9"/>
  <c r="B70" i="9"/>
  <c r="C70" i="9"/>
  <c r="D70" i="9"/>
  <c r="E70" i="9"/>
  <c r="F70" i="9"/>
  <c r="L70" i="9"/>
  <c r="M70" i="9"/>
  <c r="N70" i="9"/>
  <c r="O70" i="9"/>
  <c r="P70" i="9"/>
  <c r="Q70" i="9"/>
  <c r="R70" i="9"/>
  <c r="S70" i="9"/>
  <c r="T70" i="9"/>
  <c r="U70" i="9"/>
  <c r="A71" i="9"/>
  <c r="B71" i="9"/>
  <c r="C71" i="9"/>
  <c r="D71" i="9"/>
  <c r="E71" i="9"/>
  <c r="F71" i="9"/>
  <c r="L71" i="9"/>
  <c r="M71" i="9"/>
  <c r="N71" i="9"/>
  <c r="O71" i="9"/>
  <c r="P71" i="9"/>
  <c r="Q71" i="9"/>
  <c r="R71" i="9"/>
  <c r="S71" i="9"/>
  <c r="T71" i="9"/>
  <c r="U71" i="9"/>
  <c r="A72" i="9"/>
  <c r="B72" i="9"/>
  <c r="C72" i="9"/>
  <c r="D72" i="9"/>
  <c r="E72" i="9"/>
  <c r="F72" i="9"/>
  <c r="L72" i="9"/>
  <c r="M72" i="9"/>
  <c r="N72" i="9"/>
  <c r="O72" i="9"/>
  <c r="P72" i="9"/>
  <c r="Q72" i="9"/>
  <c r="R72" i="9"/>
  <c r="S72" i="9"/>
  <c r="T72" i="9"/>
  <c r="U72" i="9"/>
  <c r="A73" i="9"/>
  <c r="B73" i="9"/>
  <c r="C73" i="9"/>
  <c r="D73" i="9"/>
  <c r="E73" i="9"/>
  <c r="F73" i="9"/>
  <c r="L73" i="9"/>
  <c r="M73" i="9"/>
  <c r="N73" i="9"/>
  <c r="O73" i="9"/>
  <c r="P73" i="9"/>
  <c r="Q73" i="9"/>
  <c r="R73" i="9"/>
  <c r="S73" i="9"/>
  <c r="T73" i="9"/>
  <c r="U73" i="9"/>
  <c r="A74" i="9"/>
  <c r="B74" i="9"/>
  <c r="C74" i="9"/>
  <c r="D74" i="9"/>
  <c r="E74" i="9"/>
  <c r="F74" i="9"/>
  <c r="L74" i="9"/>
  <c r="M74" i="9"/>
  <c r="N74" i="9"/>
  <c r="O74" i="9"/>
  <c r="P74" i="9"/>
  <c r="Q74" i="9"/>
  <c r="R74" i="9"/>
  <c r="S74" i="9"/>
  <c r="T74" i="9"/>
  <c r="U74" i="9"/>
  <c r="A75" i="9"/>
  <c r="B75" i="9"/>
  <c r="C75" i="9"/>
  <c r="D75" i="9"/>
  <c r="E75" i="9"/>
  <c r="F75" i="9"/>
  <c r="L75" i="9"/>
  <c r="M75" i="9"/>
  <c r="N75" i="9"/>
  <c r="O75" i="9"/>
  <c r="P75" i="9"/>
  <c r="Q75" i="9"/>
  <c r="R75" i="9"/>
  <c r="S75" i="9"/>
  <c r="T75" i="9"/>
  <c r="U75" i="9"/>
  <c r="A76" i="9"/>
  <c r="B76" i="9"/>
  <c r="C76" i="9"/>
  <c r="D76" i="9"/>
  <c r="E76" i="9"/>
  <c r="F76" i="9"/>
  <c r="L76" i="9"/>
  <c r="M76" i="9"/>
  <c r="N76" i="9"/>
  <c r="O76" i="9"/>
  <c r="P76" i="9"/>
  <c r="Q76" i="9"/>
  <c r="R76" i="9"/>
  <c r="S76" i="9"/>
  <c r="T76" i="9"/>
  <c r="U76" i="9"/>
  <c r="A77" i="9"/>
  <c r="B77" i="9"/>
  <c r="C77" i="9"/>
  <c r="D77" i="9"/>
  <c r="E77" i="9"/>
  <c r="F77" i="9"/>
  <c r="L77" i="9"/>
  <c r="M77" i="9"/>
  <c r="N77" i="9"/>
  <c r="O77" i="9"/>
  <c r="P77" i="9"/>
  <c r="Q77" i="9"/>
  <c r="R77" i="9"/>
  <c r="S77" i="9"/>
  <c r="T77" i="9"/>
  <c r="U77" i="9"/>
  <c r="A78" i="9"/>
  <c r="B78" i="9"/>
  <c r="C78" i="9"/>
  <c r="D78" i="9"/>
  <c r="E78" i="9"/>
  <c r="F78" i="9"/>
  <c r="L78" i="9"/>
  <c r="M78" i="9"/>
  <c r="N78" i="9"/>
  <c r="O78" i="9"/>
  <c r="P78" i="9"/>
  <c r="Q78" i="9"/>
  <c r="R78" i="9"/>
  <c r="S78" i="9"/>
  <c r="T78" i="9"/>
  <c r="U78" i="9"/>
  <c r="A79" i="9"/>
  <c r="B79" i="9"/>
  <c r="C79" i="9"/>
  <c r="D79" i="9"/>
  <c r="E79" i="9"/>
  <c r="F79" i="9"/>
  <c r="L79" i="9"/>
  <c r="M79" i="9"/>
  <c r="N79" i="9"/>
  <c r="O79" i="9"/>
  <c r="P79" i="9"/>
  <c r="Q79" i="9"/>
  <c r="R79" i="9"/>
  <c r="S79" i="9"/>
  <c r="T79" i="9"/>
  <c r="U79" i="9"/>
  <c r="A80" i="9"/>
  <c r="B80" i="9"/>
  <c r="C80" i="9"/>
  <c r="D80" i="9"/>
  <c r="E80" i="9"/>
  <c r="F80" i="9"/>
  <c r="L80" i="9"/>
  <c r="M80" i="9"/>
  <c r="N80" i="9"/>
  <c r="O80" i="9"/>
  <c r="P80" i="9"/>
  <c r="Q80" i="9"/>
  <c r="R80" i="9"/>
  <c r="S80" i="9"/>
  <c r="T80" i="9"/>
  <c r="U80" i="9"/>
  <c r="A81" i="9"/>
  <c r="B81" i="9"/>
  <c r="C81" i="9"/>
  <c r="D81" i="9"/>
  <c r="E81" i="9"/>
  <c r="F81" i="9"/>
  <c r="L81" i="9"/>
  <c r="M81" i="9"/>
  <c r="N81" i="9"/>
  <c r="O81" i="9"/>
  <c r="P81" i="9"/>
  <c r="Q81" i="9"/>
  <c r="R81" i="9"/>
  <c r="S81" i="9"/>
  <c r="T81" i="9"/>
  <c r="U81" i="9"/>
  <c r="A82" i="9"/>
  <c r="B82" i="9"/>
  <c r="C82" i="9"/>
  <c r="D82" i="9"/>
  <c r="E82" i="9"/>
  <c r="F82" i="9"/>
  <c r="L82" i="9"/>
  <c r="M82" i="9"/>
  <c r="N82" i="9"/>
  <c r="O82" i="9"/>
  <c r="P82" i="9"/>
  <c r="Q82" i="9"/>
  <c r="R82" i="9"/>
  <c r="S82" i="9"/>
  <c r="T82" i="9"/>
  <c r="U82" i="9"/>
  <c r="A83" i="9"/>
  <c r="B83" i="9"/>
  <c r="C83" i="9"/>
  <c r="D83" i="9"/>
  <c r="E83" i="9"/>
  <c r="F83" i="9"/>
  <c r="L83" i="9"/>
  <c r="M83" i="9"/>
  <c r="N83" i="9"/>
  <c r="O83" i="9"/>
  <c r="P83" i="9"/>
  <c r="Q83" i="9"/>
  <c r="R83" i="9"/>
  <c r="S83" i="9"/>
  <c r="T83" i="9"/>
  <c r="U83" i="9"/>
  <c r="A84" i="9"/>
  <c r="B84" i="9"/>
  <c r="C84" i="9"/>
  <c r="D84" i="9"/>
  <c r="E84" i="9"/>
  <c r="F84" i="9"/>
  <c r="L84" i="9"/>
  <c r="M84" i="9"/>
  <c r="N84" i="9"/>
  <c r="O84" i="9"/>
  <c r="P84" i="9"/>
  <c r="Q84" i="9"/>
  <c r="R84" i="9"/>
  <c r="S84" i="9"/>
  <c r="T84" i="9"/>
  <c r="U84" i="9"/>
  <c r="A85" i="9"/>
  <c r="B85" i="9"/>
  <c r="C85" i="9"/>
  <c r="D85" i="9"/>
  <c r="E85" i="9"/>
  <c r="F85" i="9"/>
  <c r="L85" i="9"/>
  <c r="M85" i="9"/>
  <c r="N85" i="9"/>
  <c r="O85" i="9"/>
  <c r="P85" i="9"/>
  <c r="Q85" i="9"/>
  <c r="R85" i="9"/>
  <c r="S85" i="9"/>
  <c r="T85" i="9"/>
  <c r="U85" i="9"/>
  <c r="A86" i="9"/>
  <c r="B86" i="9"/>
  <c r="C86" i="9"/>
  <c r="D86" i="9"/>
  <c r="E86" i="9"/>
  <c r="F86" i="9"/>
  <c r="L86" i="9"/>
  <c r="M86" i="9"/>
  <c r="N86" i="9"/>
  <c r="O86" i="9"/>
  <c r="P86" i="9"/>
  <c r="Q86" i="9"/>
  <c r="R86" i="9"/>
  <c r="S86" i="9"/>
  <c r="T86" i="9"/>
  <c r="U86" i="9"/>
  <c r="A87" i="9"/>
  <c r="B87" i="9"/>
  <c r="C87" i="9"/>
  <c r="D87" i="9"/>
  <c r="E87" i="9"/>
  <c r="F87" i="9"/>
  <c r="L87" i="9"/>
  <c r="M87" i="9"/>
  <c r="N87" i="9"/>
  <c r="O87" i="9"/>
  <c r="P87" i="9"/>
  <c r="Q87" i="9"/>
  <c r="R87" i="9"/>
  <c r="S87" i="9"/>
  <c r="T87" i="9"/>
  <c r="U87" i="9"/>
  <c r="A88" i="9"/>
  <c r="B88" i="9"/>
  <c r="C88" i="9"/>
  <c r="D88" i="9"/>
  <c r="E88" i="9"/>
  <c r="F88" i="9"/>
  <c r="L88" i="9"/>
  <c r="M88" i="9"/>
  <c r="N88" i="9"/>
  <c r="O88" i="9"/>
  <c r="P88" i="9"/>
  <c r="Q88" i="9"/>
  <c r="R88" i="9"/>
  <c r="S88" i="9"/>
  <c r="T88" i="9"/>
  <c r="U88" i="9"/>
  <c r="A89" i="9"/>
  <c r="B89" i="9"/>
  <c r="C89" i="9"/>
  <c r="D89" i="9"/>
  <c r="E89" i="9"/>
  <c r="F89" i="9"/>
  <c r="L89" i="9"/>
  <c r="M89" i="9"/>
  <c r="N89" i="9"/>
  <c r="O89" i="9"/>
  <c r="P89" i="9"/>
  <c r="Q89" i="9"/>
  <c r="R89" i="9"/>
  <c r="S89" i="9"/>
  <c r="T89" i="9"/>
  <c r="U89" i="9"/>
  <c r="A90" i="9"/>
  <c r="B90" i="9"/>
  <c r="C90" i="9"/>
  <c r="D90" i="9"/>
  <c r="E90" i="9"/>
  <c r="F90" i="9"/>
  <c r="L90" i="9"/>
  <c r="M90" i="9"/>
  <c r="N90" i="9"/>
  <c r="O90" i="9"/>
  <c r="P90" i="9"/>
  <c r="Q90" i="9"/>
  <c r="R90" i="9"/>
  <c r="S90" i="9"/>
  <c r="T90" i="9"/>
  <c r="U90" i="9"/>
  <c r="A91" i="9"/>
  <c r="B91" i="9"/>
  <c r="C91" i="9"/>
  <c r="D91" i="9"/>
  <c r="E91" i="9"/>
  <c r="F91" i="9"/>
  <c r="L91" i="9"/>
  <c r="M91" i="9"/>
  <c r="N91" i="9"/>
  <c r="O91" i="9"/>
  <c r="P91" i="9"/>
  <c r="Q91" i="9"/>
  <c r="R91" i="9"/>
  <c r="S91" i="9"/>
  <c r="T91" i="9"/>
  <c r="U91" i="9"/>
  <c r="A92" i="9"/>
  <c r="B92" i="9"/>
  <c r="C92" i="9"/>
  <c r="D92" i="9"/>
  <c r="E92" i="9"/>
  <c r="F92" i="9"/>
  <c r="L92" i="9"/>
  <c r="M92" i="9"/>
  <c r="N92" i="9"/>
  <c r="O92" i="9"/>
  <c r="P92" i="9"/>
  <c r="Q92" i="9"/>
  <c r="R92" i="9"/>
  <c r="S92" i="9"/>
  <c r="T92" i="9"/>
  <c r="U92" i="9"/>
  <c r="A93" i="9"/>
  <c r="B93" i="9"/>
  <c r="C93" i="9"/>
  <c r="D93" i="9"/>
  <c r="E93" i="9"/>
  <c r="F93" i="9"/>
  <c r="L93" i="9"/>
  <c r="M93" i="9"/>
  <c r="N93" i="9"/>
  <c r="O93" i="9"/>
  <c r="P93" i="9"/>
  <c r="Q93" i="9"/>
  <c r="R93" i="9"/>
  <c r="S93" i="9"/>
  <c r="T93" i="9"/>
  <c r="U93" i="9"/>
  <c r="A94" i="9"/>
  <c r="B94" i="9"/>
  <c r="C94" i="9"/>
  <c r="D94" i="9"/>
  <c r="E94" i="9"/>
  <c r="F94" i="9"/>
  <c r="L94" i="9"/>
  <c r="M94" i="9"/>
  <c r="N94" i="9"/>
  <c r="O94" i="9"/>
  <c r="P94" i="9"/>
  <c r="Q94" i="9"/>
  <c r="R94" i="9"/>
  <c r="S94" i="9"/>
  <c r="T94" i="9"/>
  <c r="U94" i="9"/>
  <c r="A95" i="9"/>
  <c r="B95" i="9"/>
  <c r="C95" i="9"/>
  <c r="D95" i="9"/>
  <c r="E95" i="9"/>
  <c r="F95" i="9"/>
  <c r="L95" i="9"/>
  <c r="M95" i="9"/>
  <c r="N95" i="9"/>
  <c r="O95" i="9"/>
  <c r="P95" i="9"/>
  <c r="Q95" i="9"/>
  <c r="R95" i="9"/>
  <c r="S95" i="9"/>
  <c r="T95" i="9"/>
  <c r="U95" i="9"/>
  <c r="A96" i="9"/>
  <c r="B96" i="9"/>
  <c r="C96" i="9"/>
  <c r="D96" i="9"/>
  <c r="E96" i="9"/>
  <c r="F96" i="9"/>
  <c r="L96" i="9"/>
  <c r="M96" i="9"/>
  <c r="N96" i="9"/>
  <c r="O96" i="9"/>
  <c r="P96" i="9"/>
  <c r="Q96" i="9"/>
  <c r="R96" i="9"/>
  <c r="S96" i="9"/>
  <c r="T96" i="9"/>
  <c r="U96" i="9"/>
  <c r="A97" i="9"/>
  <c r="B97" i="9"/>
  <c r="C97" i="9"/>
  <c r="D97" i="9"/>
  <c r="E97" i="9"/>
  <c r="F97" i="9"/>
  <c r="L97" i="9"/>
  <c r="M97" i="9"/>
  <c r="N97" i="9"/>
  <c r="O97" i="9"/>
  <c r="P97" i="9"/>
  <c r="Q97" i="9"/>
  <c r="R97" i="9"/>
  <c r="S97" i="9"/>
  <c r="T97" i="9"/>
  <c r="U97" i="9"/>
  <c r="A98" i="9"/>
  <c r="B98" i="9"/>
  <c r="C98" i="9"/>
  <c r="D98" i="9"/>
  <c r="E98" i="9"/>
  <c r="F98" i="9"/>
  <c r="L98" i="9"/>
  <c r="M98" i="9"/>
  <c r="N98" i="9"/>
  <c r="O98" i="9"/>
  <c r="P98" i="9"/>
  <c r="Q98" i="9"/>
  <c r="R98" i="9"/>
  <c r="S98" i="9"/>
  <c r="T98" i="9"/>
  <c r="U98" i="9"/>
  <c r="A99" i="9"/>
  <c r="B99" i="9"/>
  <c r="C99" i="9"/>
  <c r="D99" i="9"/>
  <c r="E99" i="9"/>
  <c r="F99" i="9"/>
  <c r="L99" i="9"/>
  <c r="M99" i="9"/>
  <c r="N99" i="9"/>
  <c r="O99" i="9"/>
  <c r="P99" i="9"/>
  <c r="Q99" i="9"/>
  <c r="R99" i="9"/>
  <c r="S99" i="9"/>
  <c r="T99" i="9"/>
  <c r="U99" i="9"/>
  <c r="A100" i="9"/>
  <c r="B100" i="9"/>
  <c r="C100" i="9"/>
  <c r="D100" i="9"/>
  <c r="E100" i="9"/>
  <c r="F100" i="9"/>
  <c r="L100" i="9"/>
  <c r="M100" i="9"/>
  <c r="N100" i="9"/>
  <c r="O100" i="9"/>
  <c r="P100" i="9"/>
  <c r="Q100" i="9"/>
  <c r="R100" i="9"/>
  <c r="S100" i="9"/>
  <c r="T100" i="9"/>
  <c r="U100" i="9"/>
  <c r="A101" i="9"/>
  <c r="B101" i="9"/>
  <c r="C101" i="9"/>
  <c r="D101" i="9"/>
  <c r="E101" i="9"/>
  <c r="F101" i="9"/>
  <c r="L101" i="9"/>
  <c r="M101" i="9"/>
  <c r="N101" i="9"/>
  <c r="O101" i="9"/>
  <c r="P101" i="9"/>
  <c r="Q101" i="9"/>
  <c r="R101" i="9"/>
  <c r="S101" i="9"/>
  <c r="T101" i="9"/>
  <c r="U101" i="9"/>
  <c r="A102" i="9"/>
  <c r="B102" i="9"/>
  <c r="C102" i="9"/>
  <c r="D102" i="9"/>
  <c r="E102" i="9"/>
  <c r="F102" i="9"/>
  <c r="L102" i="9"/>
  <c r="M102" i="9"/>
  <c r="N102" i="9"/>
  <c r="O102" i="9"/>
  <c r="P102" i="9"/>
  <c r="Q102" i="9"/>
  <c r="R102" i="9"/>
  <c r="S102" i="9"/>
  <c r="T102" i="9"/>
  <c r="U102" i="9"/>
  <c r="A103" i="9"/>
  <c r="B103" i="9"/>
  <c r="C103" i="9"/>
  <c r="D103" i="9"/>
  <c r="E103" i="9"/>
  <c r="F103" i="9"/>
  <c r="L103" i="9"/>
  <c r="M103" i="9"/>
  <c r="N103" i="9"/>
  <c r="O103" i="9"/>
  <c r="P103" i="9"/>
  <c r="Q103" i="9"/>
  <c r="R103" i="9"/>
  <c r="S103" i="9"/>
  <c r="T103" i="9"/>
  <c r="U103" i="9"/>
  <c r="A104" i="9"/>
  <c r="B104" i="9"/>
  <c r="C104" i="9"/>
  <c r="D104" i="9"/>
  <c r="E104" i="9"/>
  <c r="F104" i="9"/>
  <c r="L104" i="9"/>
  <c r="M104" i="9"/>
  <c r="N104" i="9"/>
  <c r="O104" i="9"/>
  <c r="P104" i="9"/>
  <c r="Q104" i="9"/>
  <c r="R104" i="9"/>
  <c r="S104" i="9"/>
  <c r="T104" i="9"/>
  <c r="U104" i="9"/>
  <c r="A105" i="9"/>
  <c r="B105" i="9"/>
  <c r="C105" i="9"/>
  <c r="D105" i="9"/>
  <c r="E105" i="9"/>
  <c r="F105" i="9"/>
  <c r="L105" i="9"/>
  <c r="M105" i="9"/>
  <c r="N105" i="9"/>
  <c r="O105" i="9"/>
  <c r="P105" i="9"/>
  <c r="Q105" i="9"/>
  <c r="R105" i="9"/>
  <c r="S105" i="9"/>
  <c r="T105" i="9"/>
  <c r="U105" i="9"/>
  <c r="A106" i="9"/>
  <c r="B106" i="9"/>
  <c r="C106" i="9"/>
  <c r="D106" i="9"/>
  <c r="E106" i="9"/>
  <c r="F106" i="9"/>
  <c r="L106" i="9"/>
  <c r="M106" i="9"/>
  <c r="N106" i="9"/>
  <c r="O106" i="9"/>
  <c r="P106" i="9"/>
  <c r="Q106" i="9"/>
  <c r="R106" i="9"/>
  <c r="S106" i="9"/>
  <c r="T106" i="9"/>
  <c r="U106" i="9"/>
  <c r="A107" i="9"/>
  <c r="B107" i="9"/>
  <c r="C107" i="9"/>
  <c r="D107" i="9"/>
  <c r="E107" i="9"/>
  <c r="F107" i="9"/>
  <c r="L107" i="9"/>
  <c r="M107" i="9"/>
  <c r="N107" i="9"/>
  <c r="O107" i="9"/>
  <c r="P107" i="9"/>
  <c r="Q107" i="9"/>
  <c r="R107" i="9"/>
  <c r="S107" i="9"/>
  <c r="T107" i="9"/>
  <c r="U107" i="9"/>
  <c r="A108" i="9"/>
  <c r="B108" i="9"/>
  <c r="C108" i="9"/>
  <c r="D108" i="9"/>
  <c r="E108" i="9"/>
  <c r="F108" i="9"/>
  <c r="L108" i="9"/>
  <c r="M108" i="9"/>
  <c r="N108" i="9"/>
  <c r="O108" i="9"/>
  <c r="P108" i="9"/>
  <c r="Q108" i="9"/>
  <c r="R108" i="9"/>
  <c r="S108" i="9"/>
  <c r="T108" i="9"/>
  <c r="U108" i="9"/>
  <c r="A109" i="9"/>
  <c r="B109" i="9"/>
  <c r="C109" i="9"/>
  <c r="D109" i="9"/>
  <c r="E109" i="9"/>
  <c r="F109" i="9"/>
  <c r="L109" i="9"/>
  <c r="M109" i="9"/>
  <c r="N109" i="9"/>
  <c r="O109" i="9"/>
  <c r="P109" i="9"/>
  <c r="Q109" i="9"/>
  <c r="R109" i="9"/>
  <c r="S109" i="9"/>
  <c r="T109" i="9"/>
  <c r="U109" i="9"/>
  <c r="A110" i="9"/>
  <c r="B110" i="9"/>
  <c r="C110" i="9"/>
  <c r="D110" i="9"/>
  <c r="E110" i="9"/>
  <c r="F110" i="9"/>
  <c r="L110" i="9"/>
  <c r="M110" i="9"/>
  <c r="N110" i="9"/>
  <c r="O110" i="9"/>
  <c r="P110" i="9"/>
  <c r="Q110" i="9"/>
  <c r="R110" i="9"/>
  <c r="S110" i="9"/>
  <c r="T110" i="9"/>
  <c r="U110" i="9"/>
  <c r="A111" i="9"/>
  <c r="B111" i="9"/>
  <c r="C111" i="9"/>
  <c r="D111" i="9"/>
  <c r="E111" i="9"/>
  <c r="F111" i="9"/>
  <c r="L111" i="9"/>
  <c r="M111" i="9"/>
  <c r="N111" i="9"/>
  <c r="O111" i="9"/>
  <c r="P111" i="9"/>
  <c r="Q111" i="9"/>
  <c r="R111" i="9"/>
  <c r="S111" i="9"/>
  <c r="T111" i="9"/>
  <c r="U111" i="9"/>
  <c r="A112" i="9"/>
  <c r="B112" i="9"/>
  <c r="C112" i="9"/>
  <c r="D112" i="9"/>
  <c r="E112" i="9"/>
  <c r="F112" i="9"/>
  <c r="L112" i="9"/>
  <c r="M112" i="9"/>
  <c r="N112" i="9"/>
  <c r="O112" i="9"/>
  <c r="P112" i="9"/>
  <c r="Q112" i="9"/>
  <c r="R112" i="9"/>
  <c r="S112" i="9"/>
  <c r="T112" i="9"/>
  <c r="U112" i="9"/>
  <c r="A113" i="9"/>
  <c r="B113" i="9"/>
  <c r="C113" i="9"/>
  <c r="D113" i="9"/>
  <c r="E113" i="9"/>
  <c r="F113" i="9"/>
  <c r="L113" i="9"/>
  <c r="M113" i="9"/>
  <c r="N113" i="9"/>
  <c r="O113" i="9"/>
  <c r="P113" i="9"/>
  <c r="Q113" i="9"/>
  <c r="R113" i="9"/>
  <c r="S113" i="9"/>
  <c r="T113" i="9"/>
  <c r="U113" i="9"/>
  <c r="A114" i="9"/>
  <c r="B114" i="9"/>
  <c r="C114" i="9"/>
  <c r="D114" i="9"/>
  <c r="E114" i="9"/>
  <c r="F114" i="9"/>
  <c r="L114" i="9"/>
  <c r="M114" i="9"/>
  <c r="N114" i="9"/>
  <c r="O114" i="9"/>
  <c r="P114" i="9"/>
  <c r="Q114" i="9"/>
  <c r="R114" i="9"/>
  <c r="S114" i="9"/>
  <c r="T114" i="9"/>
  <c r="U114" i="9"/>
  <c r="A115" i="9"/>
  <c r="B115" i="9"/>
  <c r="C115" i="9"/>
  <c r="D115" i="9"/>
  <c r="E115" i="9"/>
  <c r="F115" i="9"/>
  <c r="L115" i="9"/>
  <c r="M115" i="9"/>
  <c r="N115" i="9"/>
  <c r="O115" i="9"/>
  <c r="P115" i="9"/>
  <c r="Q115" i="9"/>
  <c r="R115" i="9"/>
  <c r="S115" i="9"/>
  <c r="T115" i="9"/>
  <c r="U115" i="9"/>
  <c r="A116" i="9"/>
  <c r="B116" i="9"/>
  <c r="C116" i="9"/>
  <c r="D116" i="9"/>
  <c r="E116" i="9"/>
  <c r="F116" i="9"/>
  <c r="L116" i="9"/>
  <c r="M116" i="9"/>
  <c r="N116" i="9"/>
  <c r="O116" i="9"/>
  <c r="P116" i="9"/>
  <c r="Q116" i="9"/>
  <c r="R116" i="9"/>
  <c r="S116" i="9"/>
  <c r="T116" i="9"/>
  <c r="U116" i="9"/>
  <c r="A117" i="9"/>
  <c r="B117" i="9"/>
  <c r="C117" i="9"/>
  <c r="D117" i="9"/>
  <c r="E117" i="9"/>
  <c r="F117" i="9"/>
  <c r="L117" i="9"/>
  <c r="M117" i="9"/>
  <c r="N117" i="9"/>
  <c r="O117" i="9"/>
  <c r="P117" i="9"/>
  <c r="Q117" i="9"/>
  <c r="R117" i="9"/>
  <c r="S117" i="9"/>
  <c r="T117" i="9"/>
  <c r="U117" i="9"/>
  <c r="A118" i="9"/>
  <c r="B118" i="9"/>
  <c r="C118" i="9"/>
  <c r="D118" i="9"/>
  <c r="E118" i="9"/>
  <c r="F118" i="9"/>
  <c r="L118" i="9"/>
  <c r="M118" i="9"/>
  <c r="N118" i="9"/>
  <c r="O118" i="9"/>
  <c r="P118" i="9"/>
  <c r="Q118" i="9"/>
  <c r="R118" i="9"/>
  <c r="S118" i="9"/>
  <c r="T118" i="9"/>
  <c r="U118" i="9"/>
  <c r="A119" i="9"/>
  <c r="B119" i="9"/>
  <c r="C119" i="9"/>
  <c r="D119" i="9"/>
  <c r="E119" i="9"/>
  <c r="F119" i="9"/>
  <c r="L119" i="9"/>
  <c r="M119" i="9"/>
  <c r="N119" i="9"/>
  <c r="O119" i="9"/>
  <c r="P119" i="9"/>
  <c r="Q119" i="9"/>
  <c r="R119" i="9"/>
  <c r="S119" i="9"/>
  <c r="T119" i="9"/>
  <c r="U119" i="9"/>
  <c r="A120" i="9"/>
  <c r="B120" i="9"/>
  <c r="C120" i="9"/>
  <c r="D120" i="9"/>
  <c r="E120" i="9"/>
  <c r="F120" i="9"/>
  <c r="L120" i="9"/>
  <c r="M120" i="9"/>
  <c r="N120" i="9"/>
  <c r="O120" i="9"/>
  <c r="P120" i="9"/>
  <c r="Q120" i="9"/>
  <c r="R120" i="9"/>
  <c r="S120" i="9"/>
  <c r="T120" i="9"/>
  <c r="U120" i="9"/>
  <c r="A121" i="9"/>
  <c r="B121" i="9"/>
  <c r="C121" i="9"/>
  <c r="D121" i="9"/>
  <c r="E121" i="9"/>
  <c r="F121" i="9"/>
  <c r="L121" i="9"/>
  <c r="M121" i="9"/>
  <c r="N121" i="9"/>
  <c r="O121" i="9"/>
  <c r="P121" i="9"/>
  <c r="Q121" i="9"/>
  <c r="R121" i="9"/>
  <c r="S121" i="9"/>
  <c r="T121" i="9"/>
  <c r="U121" i="9"/>
  <c r="A122" i="9"/>
  <c r="B122" i="9"/>
  <c r="C122" i="9"/>
  <c r="D122" i="9"/>
  <c r="E122" i="9"/>
  <c r="F122" i="9"/>
  <c r="L122" i="9"/>
  <c r="M122" i="9"/>
  <c r="N122" i="9"/>
  <c r="O122" i="9"/>
  <c r="P122" i="9"/>
  <c r="Q122" i="9"/>
  <c r="R122" i="9"/>
  <c r="S122" i="9"/>
  <c r="T122" i="9"/>
  <c r="U122" i="9"/>
  <c r="A123" i="9"/>
  <c r="B123" i="9"/>
  <c r="C123" i="9"/>
  <c r="D123" i="9"/>
  <c r="E123" i="9"/>
  <c r="F123" i="9"/>
  <c r="L123" i="9"/>
  <c r="M123" i="9"/>
  <c r="N123" i="9"/>
  <c r="O123" i="9"/>
  <c r="P123" i="9"/>
  <c r="Q123" i="9"/>
  <c r="R123" i="9"/>
  <c r="S123" i="9"/>
  <c r="T123" i="9"/>
  <c r="U123" i="9"/>
  <c r="A124" i="9"/>
  <c r="B124" i="9"/>
  <c r="C124" i="9"/>
  <c r="D124" i="9"/>
  <c r="E124" i="9"/>
  <c r="F124" i="9"/>
  <c r="L124" i="9"/>
  <c r="M124" i="9"/>
  <c r="N124" i="9"/>
  <c r="O124" i="9"/>
  <c r="P124" i="9"/>
  <c r="Q124" i="9"/>
  <c r="R124" i="9"/>
  <c r="S124" i="9"/>
  <c r="T124" i="9"/>
  <c r="U124" i="9"/>
  <c r="A125" i="9"/>
  <c r="B125" i="9"/>
  <c r="C125" i="9"/>
  <c r="D125" i="9"/>
  <c r="E125" i="9"/>
  <c r="F125" i="9"/>
  <c r="L125" i="9"/>
  <c r="M125" i="9"/>
  <c r="N125" i="9"/>
  <c r="O125" i="9"/>
  <c r="P125" i="9"/>
  <c r="Q125" i="9"/>
  <c r="R125" i="9"/>
  <c r="S125" i="9"/>
  <c r="T125" i="9"/>
  <c r="U125" i="9"/>
  <c r="A126" i="9"/>
  <c r="B126" i="9"/>
  <c r="C126" i="9"/>
  <c r="D126" i="9"/>
  <c r="E126" i="9"/>
  <c r="F126" i="9"/>
  <c r="L126" i="9"/>
  <c r="M126" i="9"/>
  <c r="N126" i="9"/>
  <c r="O126" i="9"/>
  <c r="P126" i="9"/>
  <c r="Q126" i="9"/>
  <c r="R126" i="9"/>
  <c r="S126" i="9"/>
  <c r="T126" i="9"/>
  <c r="U126" i="9"/>
  <c r="A127" i="9"/>
  <c r="B127" i="9"/>
  <c r="C127" i="9"/>
  <c r="D127" i="9"/>
  <c r="E127" i="9"/>
  <c r="F127" i="9"/>
  <c r="L127" i="9"/>
  <c r="M127" i="9"/>
  <c r="N127" i="9"/>
  <c r="O127" i="9"/>
  <c r="P127" i="9"/>
  <c r="Q127" i="9"/>
  <c r="R127" i="9"/>
  <c r="S127" i="9"/>
  <c r="T127" i="9"/>
  <c r="U127" i="9"/>
  <c r="A128" i="9"/>
  <c r="B128" i="9"/>
  <c r="C128" i="9"/>
  <c r="D128" i="9"/>
  <c r="E128" i="9"/>
  <c r="F128" i="9"/>
  <c r="L128" i="9"/>
  <c r="M128" i="9"/>
  <c r="N128" i="9"/>
  <c r="O128" i="9"/>
  <c r="P128" i="9"/>
  <c r="Q128" i="9"/>
  <c r="R128" i="9"/>
  <c r="S128" i="9"/>
  <c r="T128" i="9"/>
  <c r="U128" i="9"/>
  <c r="A129" i="9"/>
  <c r="B129" i="9"/>
  <c r="C129" i="9"/>
  <c r="D129" i="9"/>
  <c r="E129" i="9"/>
  <c r="F129" i="9"/>
  <c r="L129" i="9"/>
  <c r="M129" i="9"/>
  <c r="N129" i="9"/>
  <c r="O129" i="9"/>
  <c r="P129" i="9"/>
  <c r="Q129" i="9"/>
  <c r="R129" i="9"/>
  <c r="S129" i="9"/>
  <c r="T129" i="9"/>
  <c r="U129" i="9"/>
  <c r="A130" i="9"/>
  <c r="B130" i="9"/>
  <c r="C130" i="9"/>
  <c r="D130" i="9"/>
  <c r="E130" i="9"/>
  <c r="F130" i="9"/>
  <c r="L130" i="9"/>
  <c r="M130" i="9"/>
  <c r="N130" i="9"/>
  <c r="O130" i="9"/>
  <c r="P130" i="9"/>
  <c r="Q130" i="9"/>
  <c r="R130" i="9"/>
  <c r="S130" i="9"/>
  <c r="T130" i="9"/>
  <c r="U130" i="9"/>
  <c r="A131" i="9"/>
  <c r="B131" i="9"/>
  <c r="C131" i="9"/>
  <c r="D131" i="9"/>
  <c r="E131" i="9"/>
  <c r="F131" i="9"/>
  <c r="L131" i="9"/>
  <c r="M131" i="9"/>
  <c r="N131" i="9"/>
  <c r="O131" i="9"/>
  <c r="P131" i="9"/>
  <c r="Q131" i="9"/>
  <c r="R131" i="9"/>
  <c r="S131" i="9"/>
  <c r="T131" i="9"/>
  <c r="U131" i="9"/>
  <c r="A132" i="9"/>
  <c r="B132" i="9"/>
  <c r="C132" i="9"/>
  <c r="D132" i="9"/>
  <c r="E132" i="9"/>
  <c r="F132" i="9"/>
  <c r="L132" i="9"/>
  <c r="M132" i="9"/>
  <c r="N132" i="9"/>
  <c r="O132" i="9"/>
  <c r="P132" i="9"/>
  <c r="Q132" i="9"/>
  <c r="R132" i="9"/>
  <c r="S132" i="9"/>
  <c r="T132" i="9"/>
  <c r="U132" i="9"/>
  <c r="A133" i="9"/>
  <c r="B133" i="9"/>
  <c r="C133" i="9"/>
  <c r="D133" i="9"/>
  <c r="E133" i="9"/>
  <c r="F133" i="9"/>
  <c r="L133" i="9"/>
  <c r="M133" i="9"/>
  <c r="N133" i="9"/>
  <c r="O133" i="9"/>
  <c r="P133" i="9"/>
  <c r="Q133" i="9"/>
  <c r="R133" i="9"/>
  <c r="S133" i="9"/>
  <c r="T133" i="9"/>
  <c r="U133" i="9"/>
  <c r="A134" i="9"/>
  <c r="B134" i="9"/>
  <c r="C134" i="9"/>
  <c r="D134" i="9"/>
  <c r="E134" i="9"/>
  <c r="F134" i="9"/>
  <c r="L134" i="9"/>
  <c r="M134" i="9"/>
  <c r="N134" i="9"/>
  <c r="O134" i="9"/>
  <c r="P134" i="9"/>
  <c r="Q134" i="9"/>
  <c r="R134" i="9"/>
  <c r="S134" i="9"/>
  <c r="T134" i="9"/>
  <c r="U134" i="9"/>
  <c r="A135" i="9"/>
  <c r="B135" i="9"/>
  <c r="C135" i="9"/>
  <c r="D135" i="9"/>
  <c r="E135" i="9"/>
  <c r="F135" i="9"/>
  <c r="L135" i="9"/>
  <c r="M135" i="9"/>
  <c r="N135" i="9"/>
  <c r="O135" i="9"/>
  <c r="P135" i="9"/>
  <c r="Q135" i="9"/>
  <c r="R135" i="9"/>
  <c r="S135" i="9"/>
  <c r="T135" i="9"/>
  <c r="U135" i="9"/>
  <c r="A136" i="9"/>
  <c r="B136" i="9"/>
  <c r="C136" i="9"/>
  <c r="D136" i="9"/>
  <c r="E136" i="9"/>
  <c r="F136" i="9"/>
  <c r="L136" i="9"/>
  <c r="M136" i="9"/>
  <c r="N136" i="9"/>
  <c r="O136" i="9"/>
  <c r="P136" i="9"/>
  <c r="Q136" i="9"/>
  <c r="R136" i="9"/>
  <c r="S136" i="9"/>
  <c r="T136" i="9"/>
  <c r="U136" i="9"/>
  <c r="A137" i="9"/>
  <c r="B137" i="9"/>
  <c r="C137" i="9"/>
  <c r="D137" i="9"/>
  <c r="E137" i="9"/>
  <c r="F137" i="9"/>
  <c r="L137" i="9"/>
  <c r="M137" i="9"/>
  <c r="N137" i="9"/>
  <c r="O137" i="9"/>
  <c r="P137" i="9"/>
  <c r="Q137" i="9"/>
  <c r="R137" i="9"/>
  <c r="S137" i="9"/>
  <c r="T137" i="9"/>
  <c r="U137" i="9"/>
  <c r="A138" i="9"/>
  <c r="B138" i="9"/>
  <c r="C138" i="9"/>
  <c r="D138" i="9"/>
  <c r="E138" i="9"/>
  <c r="F138" i="9"/>
  <c r="L138" i="9"/>
  <c r="M138" i="9"/>
  <c r="N138" i="9"/>
  <c r="O138" i="9"/>
  <c r="P138" i="9"/>
  <c r="Q138" i="9"/>
  <c r="R138" i="9"/>
  <c r="S138" i="9"/>
  <c r="T138" i="9"/>
  <c r="U138" i="9"/>
  <c r="A139" i="9"/>
  <c r="B139" i="9"/>
  <c r="C139" i="9"/>
  <c r="D139" i="9"/>
  <c r="E139" i="9"/>
  <c r="F139" i="9"/>
  <c r="L139" i="9"/>
  <c r="M139" i="9"/>
  <c r="N139" i="9"/>
  <c r="O139" i="9"/>
  <c r="P139" i="9"/>
  <c r="Q139" i="9"/>
  <c r="R139" i="9"/>
  <c r="S139" i="9"/>
  <c r="T139" i="9"/>
  <c r="U139" i="9"/>
  <c r="A140" i="9"/>
  <c r="B140" i="9"/>
  <c r="C140" i="9"/>
  <c r="D140" i="9"/>
  <c r="E140" i="9"/>
  <c r="F140" i="9"/>
  <c r="L140" i="9"/>
  <c r="M140" i="9"/>
  <c r="N140" i="9"/>
  <c r="O140" i="9"/>
  <c r="P140" i="9"/>
  <c r="Q140" i="9"/>
  <c r="R140" i="9"/>
  <c r="S140" i="9"/>
  <c r="T140" i="9"/>
  <c r="U140" i="9"/>
  <c r="A141" i="9"/>
  <c r="B141" i="9"/>
  <c r="C141" i="9"/>
  <c r="D141" i="9"/>
  <c r="E141" i="9"/>
  <c r="F141" i="9"/>
  <c r="L141" i="9"/>
  <c r="M141" i="9"/>
  <c r="N141" i="9"/>
  <c r="O141" i="9"/>
  <c r="P141" i="9"/>
  <c r="Q141" i="9"/>
  <c r="R141" i="9"/>
  <c r="S141" i="9"/>
  <c r="T141" i="9"/>
  <c r="U141" i="9"/>
  <c r="A142" i="9"/>
  <c r="B142" i="9"/>
  <c r="C142" i="9"/>
  <c r="D142" i="9"/>
  <c r="E142" i="9"/>
  <c r="F142" i="9"/>
  <c r="L142" i="9"/>
  <c r="M142" i="9"/>
  <c r="N142" i="9"/>
  <c r="O142" i="9"/>
  <c r="P142" i="9"/>
  <c r="Q142" i="9"/>
  <c r="R142" i="9"/>
  <c r="S142" i="9"/>
  <c r="T142" i="9"/>
  <c r="U142" i="9"/>
  <c r="A143" i="9"/>
  <c r="B143" i="9"/>
  <c r="C143" i="9"/>
  <c r="D143" i="9"/>
  <c r="E143" i="9"/>
  <c r="F143" i="9"/>
  <c r="L143" i="9"/>
  <c r="M143" i="9"/>
  <c r="N143" i="9"/>
  <c r="O143" i="9"/>
  <c r="P143" i="9"/>
  <c r="Q143" i="9"/>
  <c r="R143" i="9"/>
  <c r="S143" i="9"/>
  <c r="T143" i="9"/>
  <c r="U143" i="9"/>
  <c r="A144" i="9"/>
  <c r="B144" i="9"/>
  <c r="C144" i="9"/>
  <c r="D144" i="9"/>
  <c r="E144" i="9"/>
  <c r="F144" i="9"/>
  <c r="L144" i="9"/>
  <c r="M144" i="9"/>
  <c r="N144" i="9"/>
  <c r="O144" i="9"/>
  <c r="P144" i="9"/>
  <c r="Q144" i="9"/>
  <c r="R144" i="9"/>
  <c r="S144" i="9"/>
  <c r="T144" i="9"/>
  <c r="U144" i="9"/>
  <c r="A145" i="9"/>
  <c r="B145" i="9"/>
  <c r="C145" i="9"/>
  <c r="D145" i="9"/>
  <c r="E145" i="9"/>
  <c r="F145" i="9"/>
  <c r="L145" i="9"/>
  <c r="M145" i="9"/>
  <c r="N145" i="9"/>
  <c r="O145" i="9"/>
  <c r="P145" i="9"/>
  <c r="Q145" i="9"/>
  <c r="R145" i="9"/>
  <c r="S145" i="9"/>
  <c r="T145" i="9"/>
  <c r="U145" i="9"/>
  <c r="A146" i="9"/>
  <c r="B146" i="9"/>
  <c r="C146" i="9"/>
  <c r="D146" i="9"/>
  <c r="E146" i="9"/>
  <c r="F146" i="9"/>
  <c r="L146" i="9"/>
  <c r="M146" i="9"/>
  <c r="N146" i="9"/>
  <c r="O146" i="9"/>
  <c r="P146" i="9"/>
  <c r="Q146" i="9"/>
  <c r="R146" i="9"/>
  <c r="S146" i="9"/>
  <c r="T146" i="9"/>
  <c r="U146" i="9"/>
  <c r="A147" i="9"/>
  <c r="B147" i="9"/>
  <c r="C147" i="9"/>
  <c r="D147" i="9"/>
  <c r="E147" i="9"/>
  <c r="F147" i="9"/>
  <c r="L147" i="9"/>
  <c r="M147" i="9"/>
  <c r="N147" i="9"/>
  <c r="O147" i="9"/>
  <c r="P147" i="9"/>
  <c r="Q147" i="9"/>
  <c r="R147" i="9"/>
  <c r="S147" i="9"/>
  <c r="T147" i="9"/>
  <c r="U147" i="9"/>
  <c r="A148" i="9"/>
  <c r="B148" i="9"/>
  <c r="C148" i="9"/>
  <c r="D148" i="9"/>
  <c r="E148" i="9"/>
  <c r="F148" i="9"/>
  <c r="L148" i="9"/>
  <c r="M148" i="9"/>
  <c r="N148" i="9"/>
  <c r="O148" i="9"/>
  <c r="P148" i="9"/>
  <c r="Q148" i="9"/>
  <c r="R148" i="9"/>
  <c r="S148" i="9"/>
  <c r="T148" i="9"/>
  <c r="U148" i="9"/>
  <c r="A149" i="9"/>
  <c r="B149" i="9"/>
  <c r="C149" i="9"/>
  <c r="D149" i="9"/>
  <c r="E149" i="9"/>
  <c r="F149" i="9"/>
  <c r="L149" i="9"/>
  <c r="M149" i="9"/>
  <c r="N149" i="9"/>
  <c r="O149" i="9"/>
  <c r="P149" i="9"/>
  <c r="Q149" i="9"/>
  <c r="R149" i="9"/>
  <c r="S149" i="9"/>
  <c r="T149" i="9"/>
  <c r="U149" i="9"/>
  <c r="A150" i="9"/>
  <c r="B150" i="9"/>
  <c r="C150" i="9"/>
  <c r="D150" i="9"/>
  <c r="E150" i="9"/>
  <c r="F150" i="9"/>
  <c r="L150" i="9"/>
  <c r="M150" i="9"/>
  <c r="N150" i="9"/>
  <c r="O150" i="9"/>
  <c r="P150" i="9"/>
  <c r="Q150" i="9"/>
  <c r="R150" i="9"/>
  <c r="S150" i="9"/>
  <c r="T150" i="9"/>
  <c r="U150" i="9"/>
  <c r="A151" i="9"/>
  <c r="B151" i="9"/>
  <c r="C151" i="9"/>
  <c r="D151" i="9"/>
  <c r="E151" i="9"/>
  <c r="F151" i="9"/>
  <c r="L151" i="9"/>
  <c r="M151" i="9"/>
  <c r="N151" i="9"/>
  <c r="O151" i="9"/>
  <c r="P151" i="9"/>
  <c r="Q151" i="9"/>
  <c r="R151" i="9"/>
  <c r="S151" i="9"/>
  <c r="T151" i="9"/>
  <c r="U151" i="9"/>
  <c r="A152" i="9"/>
  <c r="B152" i="9"/>
  <c r="C152" i="9"/>
  <c r="D152" i="9"/>
  <c r="E152" i="9"/>
  <c r="F152" i="9"/>
  <c r="L152" i="9"/>
  <c r="M152" i="9"/>
  <c r="N152" i="9"/>
  <c r="O152" i="9"/>
  <c r="P152" i="9"/>
  <c r="Q152" i="9"/>
  <c r="R152" i="9"/>
  <c r="S152" i="9"/>
  <c r="T152" i="9"/>
  <c r="U152" i="9"/>
  <c r="A153" i="9"/>
  <c r="B153" i="9"/>
  <c r="C153" i="9"/>
  <c r="D153" i="9"/>
  <c r="E153" i="9"/>
  <c r="F153" i="9"/>
  <c r="L153" i="9"/>
  <c r="M153" i="9"/>
  <c r="N153" i="9"/>
  <c r="O153" i="9"/>
  <c r="P153" i="9"/>
  <c r="Q153" i="9"/>
  <c r="R153" i="9"/>
  <c r="S153" i="9"/>
  <c r="T153" i="9"/>
  <c r="U153" i="9"/>
  <c r="A154" i="9"/>
  <c r="B154" i="9"/>
  <c r="C154" i="9"/>
  <c r="D154" i="9"/>
  <c r="E154" i="9"/>
  <c r="F154" i="9"/>
  <c r="L154" i="9"/>
  <c r="M154" i="9"/>
  <c r="N154" i="9"/>
  <c r="O154" i="9"/>
  <c r="P154" i="9"/>
  <c r="Q154" i="9"/>
  <c r="R154" i="9"/>
  <c r="S154" i="9"/>
  <c r="T154" i="9"/>
  <c r="U154" i="9"/>
  <c r="A155" i="9"/>
  <c r="B155" i="9"/>
  <c r="C155" i="9"/>
  <c r="D155" i="9"/>
  <c r="E155" i="9"/>
  <c r="F155" i="9"/>
  <c r="L155" i="9"/>
  <c r="M155" i="9"/>
  <c r="N155" i="9"/>
  <c r="O155" i="9"/>
  <c r="P155" i="9"/>
  <c r="Q155" i="9"/>
  <c r="R155" i="9"/>
  <c r="S155" i="9"/>
  <c r="T155" i="9"/>
  <c r="U155" i="9"/>
  <c r="A156" i="9"/>
  <c r="B156" i="9"/>
  <c r="C156" i="9"/>
  <c r="D156" i="9"/>
  <c r="E156" i="9"/>
  <c r="F156" i="9"/>
  <c r="L156" i="9"/>
  <c r="M156" i="9"/>
  <c r="N156" i="9"/>
  <c r="O156" i="9"/>
  <c r="P156" i="9"/>
  <c r="Q156" i="9"/>
  <c r="R156" i="9"/>
  <c r="S156" i="9"/>
  <c r="T156" i="9"/>
  <c r="U156" i="9"/>
  <c r="A157" i="9"/>
  <c r="B157" i="9"/>
  <c r="C157" i="9"/>
  <c r="D157" i="9"/>
  <c r="E157" i="9"/>
  <c r="F157" i="9"/>
  <c r="L157" i="9"/>
  <c r="M157" i="9"/>
  <c r="N157" i="9"/>
  <c r="O157" i="9"/>
  <c r="P157" i="9"/>
  <c r="Q157" i="9"/>
  <c r="R157" i="9"/>
  <c r="S157" i="9"/>
  <c r="T157" i="9"/>
  <c r="U157" i="9"/>
  <c r="A158" i="9"/>
  <c r="B158" i="9"/>
  <c r="C158" i="9"/>
  <c r="D158" i="9"/>
  <c r="E158" i="9"/>
  <c r="F158" i="9"/>
  <c r="L158" i="9"/>
  <c r="M158" i="9"/>
  <c r="N158" i="9"/>
  <c r="O158" i="9"/>
  <c r="P158" i="9"/>
  <c r="Q158" i="9"/>
  <c r="R158" i="9"/>
  <c r="S158" i="9"/>
  <c r="T158" i="9"/>
  <c r="U158" i="9"/>
  <c r="A159" i="9"/>
  <c r="B159" i="9"/>
  <c r="C159" i="9"/>
  <c r="D159" i="9"/>
  <c r="E159" i="9"/>
  <c r="F159" i="9"/>
  <c r="L159" i="9"/>
  <c r="M159" i="9"/>
  <c r="N159" i="9"/>
  <c r="O159" i="9"/>
  <c r="P159" i="9"/>
  <c r="Q159" i="9"/>
  <c r="R159" i="9"/>
  <c r="S159" i="9"/>
  <c r="T159" i="9"/>
  <c r="U159" i="9"/>
  <c r="A160" i="9"/>
  <c r="B160" i="9"/>
  <c r="C160" i="9"/>
  <c r="D160" i="9"/>
  <c r="E160" i="9"/>
  <c r="F160" i="9"/>
  <c r="L160" i="9"/>
  <c r="M160" i="9"/>
  <c r="N160" i="9"/>
  <c r="O160" i="9"/>
  <c r="P160" i="9"/>
  <c r="Q160" i="9"/>
  <c r="R160" i="9"/>
  <c r="S160" i="9"/>
  <c r="T160" i="9"/>
  <c r="U160" i="9"/>
  <c r="A161" i="9"/>
  <c r="B161" i="9"/>
  <c r="C161" i="9"/>
  <c r="D161" i="9"/>
  <c r="E161" i="9"/>
  <c r="F161" i="9"/>
  <c r="L161" i="9"/>
  <c r="M161" i="9"/>
  <c r="N161" i="9"/>
  <c r="O161" i="9"/>
  <c r="P161" i="9"/>
  <c r="Q161" i="9"/>
  <c r="R161" i="9"/>
  <c r="S161" i="9"/>
  <c r="T161" i="9"/>
  <c r="U161" i="9"/>
  <c r="A162" i="9"/>
  <c r="B162" i="9"/>
  <c r="C162" i="9"/>
  <c r="D162" i="9"/>
  <c r="E162" i="9"/>
  <c r="F162" i="9"/>
  <c r="L162" i="9"/>
  <c r="M162" i="9"/>
  <c r="N162" i="9"/>
  <c r="O162" i="9"/>
  <c r="P162" i="9"/>
  <c r="Q162" i="9"/>
  <c r="R162" i="9"/>
  <c r="S162" i="9"/>
  <c r="T162" i="9"/>
  <c r="U162" i="9"/>
  <c r="A163" i="9"/>
  <c r="B163" i="9"/>
  <c r="C163" i="9"/>
  <c r="D163" i="9"/>
  <c r="E163" i="9"/>
  <c r="F163" i="9"/>
  <c r="L163" i="9"/>
  <c r="M163" i="9"/>
  <c r="N163" i="9"/>
  <c r="O163" i="9"/>
  <c r="P163" i="9"/>
  <c r="Q163" i="9"/>
  <c r="R163" i="9"/>
  <c r="S163" i="9"/>
  <c r="T163" i="9"/>
  <c r="U163" i="9"/>
  <c r="A164" i="9"/>
  <c r="B164" i="9"/>
  <c r="C164" i="9"/>
  <c r="D164" i="9"/>
  <c r="E164" i="9"/>
  <c r="F164" i="9"/>
  <c r="L164" i="9"/>
  <c r="M164" i="9"/>
  <c r="N164" i="9"/>
  <c r="O164" i="9"/>
  <c r="P164" i="9"/>
  <c r="Q164" i="9"/>
  <c r="R164" i="9"/>
  <c r="S164" i="9"/>
  <c r="T164" i="9"/>
  <c r="U164" i="9"/>
  <c r="A165" i="9"/>
  <c r="B165" i="9"/>
  <c r="C165" i="9"/>
  <c r="D165" i="9"/>
  <c r="E165" i="9"/>
  <c r="F165" i="9"/>
  <c r="L165" i="9"/>
  <c r="M165" i="9"/>
  <c r="N165" i="9"/>
  <c r="O165" i="9"/>
  <c r="P165" i="9"/>
  <c r="Q165" i="9"/>
  <c r="R165" i="9"/>
  <c r="S165" i="9"/>
  <c r="T165" i="9"/>
  <c r="U165" i="9"/>
  <c r="A166" i="9"/>
  <c r="B166" i="9"/>
  <c r="C166" i="9"/>
  <c r="D166" i="9"/>
  <c r="E166" i="9"/>
  <c r="F166" i="9"/>
  <c r="L166" i="9"/>
  <c r="M166" i="9"/>
  <c r="N166" i="9"/>
  <c r="O166" i="9"/>
  <c r="P166" i="9"/>
  <c r="Q166" i="9"/>
  <c r="R166" i="9"/>
  <c r="S166" i="9"/>
  <c r="T166" i="9"/>
  <c r="U166" i="9"/>
  <c r="A167" i="9"/>
  <c r="B167" i="9"/>
  <c r="C167" i="9"/>
  <c r="D167" i="9"/>
  <c r="E167" i="9"/>
  <c r="F167" i="9"/>
  <c r="L167" i="9"/>
  <c r="M167" i="9"/>
  <c r="N167" i="9"/>
  <c r="O167" i="9"/>
  <c r="P167" i="9"/>
  <c r="Q167" i="9"/>
  <c r="R167" i="9"/>
  <c r="S167" i="9"/>
  <c r="T167" i="9"/>
  <c r="U167" i="9"/>
  <c r="A168" i="9"/>
  <c r="B168" i="9"/>
  <c r="C168" i="9"/>
  <c r="D168" i="9"/>
  <c r="E168" i="9"/>
  <c r="F168" i="9"/>
  <c r="L168" i="9"/>
  <c r="M168" i="9"/>
  <c r="N168" i="9"/>
  <c r="O168" i="9"/>
  <c r="P168" i="9"/>
  <c r="Q168" i="9"/>
  <c r="R168" i="9"/>
  <c r="S168" i="9"/>
  <c r="T168" i="9"/>
  <c r="U168" i="9"/>
  <c r="A169" i="9"/>
  <c r="B169" i="9"/>
  <c r="C169" i="9"/>
  <c r="D169" i="9"/>
  <c r="E169" i="9"/>
  <c r="F169" i="9"/>
  <c r="L169" i="9"/>
  <c r="M169" i="9"/>
  <c r="N169" i="9"/>
  <c r="O169" i="9"/>
  <c r="P169" i="9"/>
  <c r="Q169" i="9"/>
  <c r="R169" i="9"/>
  <c r="S169" i="9"/>
  <c r="T169" i="9"/>
  <c r="U169" i="9"/>
  <c r="I15" i="7"/>
  <c r="D3" i="7"/>
  <c r="C3" i="7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3" i="8"/>
  <c r="P2" i="8"/>
  <c r="N171" i="8"/>
  <c r="O2" i="8"/>
  <c r="O3" i="8"/>
  <c r="N3" i="8" s="1"/>
  <c r="O4" i="8"/>
  <c r="O5" i="8"/>
  <c r="O6" i="8"/>
  <c r="O7" i="8"/>
  <c r="N7" i="8" s="1"/>
  <c r="O8" i="8"/>
  <c r="N8" i="8" s="1"/>
  <c r="O9" i="8"/>
  <c r="O10" i="8"/>
  <c r="O11" i="8"/>
  <c r="O12" i="8"/>
  <c r="O13" i="8"/>
  <c r="N13" i="8" s="1"/>
  <c r="O14" i="8"/>
  <c r="O15" i="8"/>
  <c r="N15" i="8" s="1"/>
  <c r="O16" i="8"/>
  <c r="N16" i="8" s="1"/>
  <c r="O17" i="8"/>
  <c r="O18" i="8"/>
  <c r="O19" i="8"/>
  <c r="O20" i="8"/>
  <c r="O21" i="8"/>
  <c r="O22" i="8"/>
  <c r="O23" i="8"/>
  <c r="N23" i="8" s="1"/>
  <c r="O24" i="8"/>
  <c r="N24" i="8" s="1"/>
  <c r="O25" i="8"/>
  <c r="O26" i="8"/>
  <c r="O27" i="8"/>
  <c r="O28" i="8"/>
  <c r="O29" i="8"/>
  <c r="O30" i="8"/>
  <c r="O31" i="8"/>
  <c r="N31" i="8" s="1"/>
  <c r="O32" i="8"/>
  <c r="N32" i="8" s="1"/>
  <c r="O33" i="8"/>
  <c r="O34" i="8"/>
  <c r="O35" i="8"/>
  <c r="O36" i="8"/>
  <c r="O37" i="8"/>
  <c r="O38" i="8"/>
  <c r="O39" i="8"/>
  <c r="N39" i="8" s="1"/>
  <c r="O40" i="8"/>
  <c r="N40" i="8" s="1"/>
  <c r="O41" i="8"/>
  <c r="O42" i="8"/>
  <c r="O43" i="8"/>
  <c r="O44" i="8"/>
  <c r="O45" i="8"/>
  <c r="N45" i="8" s="1"/>
  <c r="O46" i="8"/>
  <c r="O47" i="8"/>
  <c r="N47" i="8" s="1"/>
  <c r="O48" i="8"/>
  <c r="N48" i="8" s="1"/>
  <c r="O49" i="8"/>
  <c r="O50" i="8"/>
  <c r="O51" i="8"/>
  <c r="O52" i="8"/>
  <c r="O53" i="8"/>
  <c r="O54" i="8"/>
  <c r="O55" i="8"/>
  <c r="N55" i="8" s="1"/>
  <c r="O56" i="8"/>
  <c r="N56" i="8" s="1"/>
  <c r="O57" i="8"/>
  <c r="O58" i="8"/>
  <c r="O59" i="8"/>
  <c r="O60" i="8"/>
  <c r="O61" i="8"/>
  <c r="O62" i="8"/>
  <c r="O63" i="8"/>
  <c r="N63" i="8" s="1"/>
  <c r="O64" i="8"/>
  <c r="N64" i="8" s="1"/>
  <c r="O65" i="8"/>
  <c r="O66" i="8"/>
  <c r="O67" i="8"/>
  <c r="O68" i="8"/>
  <c r="O69" i="8"/>
  <c r="O70" i="8"/>
  <c r="O71" i="8"/>
  <c r="N71" i="8" s="1"/>
  <c r="O72" i="8"/>
  <c r="N72" i="8" s="1"/>
  <c r="O73" i="8"/>
  <c r="O74" i="8"/>
  <c r="O75" i="8"/>
  <c r="O76" i="8"/>
  <c r="O77" i="8"/>
  <c r="N77" i="8" s="1"/>
  <c r="O78" i="8"/>
  <c r="O79" i="8"/>
  <c r="N79" i="8" s="1"/>
  <c r="O80" i="8"/>
  <c r="N80" i="8" s="1"/>
  <c r="O81" i="8"/>
  <c r="O82" i="8"/>
  <c r="O83" i="8"/>
  <c r="O84" i="8"/>
  <c r="O85" i="8"/>
  <c r="O86" i="8"/>
  <c r="O87" i="8"/>
  <c r="N87" i="8" s="1"/>
  <c r="O88" i="8"/>
  <c r="N88" i="8" s="1"/>
  <c r="O89" i="8"/>
  <c r="O90" i="8"/>
  <c r="O91" i="8"/>
  <c r="O92" i="8"/>
  <c r="O93" i="8"/>
  <c r="O94" i="8"/>
  <c r="O95" i="8"/>
  <c r="N95" i="8" s="1"/>
  <c r="O96" i="8"/>
  <c r="N96" i="8" s="1"/>
  <c r="O97" i="8"/>
  <c r="O98" i="8"/>
  <c r="O99" i="8"/>
  <c r="O100" i="8"/>
  <c r="O101" i="8"/>
  <c r="O102" i="8"/>
  <c r="O103" i="8"/>
  <c r="N103" i="8" s="1"/>
  <c r="O104" i="8"/>
  <c r="N104" i="8" s="1"/>
  <c r="O105" i="8"/>
  <c r="O106" i="8"/>
  <c r="O107" i="8"/>
  <c r="O108" i="8"/>
  <c r="O109" i="8"/>
  <c r="N109" i="8" s="1"/>
  <c r="O110" i="8"/>
  <c r="O111" i="8"/>
  <c r="N111" i="8" s="1"/>
  <c r="O112" i="8"/>
  <c r="N112" i="8" s="1"/>
  <c r="O113" i="8"/>
  <c r="O114" i="8"/>
  <c r="O115" i="8"/>
  <c r="O116" i="8"/>
  <c r="O117" i="8"/>
  <c r="O118" i="8"/>
  <c r="O119" i="8"/>
  <c r="N119" i="8" s="1"/>
  <c r="O120" i="8"/>
  <c r="N120" i="8" s="1"/>
  <c r="O121" i="8"/>
  <c r="O122" i="8"/>
  <c r="O123" i="8"/>
  <c r="O124" i="8"/>
  <c r="O125" i="8"/>
  <c r="O126" i="8"/>
  <c r="O127" i="8"/>
  <c r="N127" i="8" s="1"/>
  <c r="O128" i="8"/>
  <c r="N128" i="8" s="1"/>
  <c r="O129" i="8"/>
  <c r="O130" i="8"/>
  <c r="O131" i="8"/>
  <c r="O132" i="8"/>
  <c r="O133" i="8"/>
  <c r="O134" i="8"/>
  <c r="O135" i="8"/>
  <c r="N135" i="8" s="1"/>
  <c r="O136" i="8"/>
  <c r="N136" i="8" s="1"/>
  <c r="O137" i="8"/>
  <c r="O138" i="8"/>
  <c r="O139" i="8"/>
  <c r="O140" i="8"/>
  <c r="O141" i="8"/>
  <c r="N141" i="8" s="1"/>
  <c r="O142" i="8"/>
  <c r="O143" i="8"/>
  <c r="N143" i="8" s="1"/>
  <c r="O144" i="8"/>
  <c r="N144" i="8" s="1"/>
  <c r="O145" i="8"/>
  <c r="O146" i="8"/>
  <c r="O147" i="8"/>
  <c r="O148" i="8"/>
  <c r="O149" i="8"/>
  <c r="O150" i="8"/>
  <c r="O151" i="8"/>
  <c r="N151" i="8" s="1"/>
  <c r="O152" i="8"/>
  <c r="N152" i="8" s="1"/>
  <c r="O153" i="8"/>
  <c r="O154" i="8"/>
  <c r="O155" i="8"/>
  <c r="O156" i="8"/>
  <c r="O157" i="8"/>
  <c r="O158" i="8"/>
  <c r="O159" i="8"/>
  <c r="N159" i="8" s="1"/>
  <c r="O160" i="8"/>
  <c r="N160" i="8" s="1"/>
  <c r="O161" i="8"/>
  <c r="O162" i="8"/>
  <c r="O163" i="8"/>
  <c r="O164" i="8"/>
  <c r="O165" i="8"/>
  <c r="O166" i="8"/>
  <c r="O167" i="8"/>
  <c r="N167" i="8" s="1"/>
  <c r="O168" i="8"/>
  <c r="N168" i="8" s="1"/>
  <c r="O169" i="8"/>
  <c r="O170" i="8"/>
  <c r="AA3" i="8"/>
  <c r="AA4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S171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3" i="8"/>
  <c r="T2" i="8"/>
  <c r="U2" i="8"/>
  <c r="T3" i="8"/>
  <c r="S3" i="8" s="1"/>
  <c r="T4" i="8"/>
  <c r="T5" i="8"/>
  <c r="T6" i="8"/>
  <c r="T7" i="8"/>
  <c r="T8" i="8"/>
  <c r="T9" i="8"/>
  <c r="T10" i="8"/>
  <c r="T11" i="8"/>
  <c r="S11" i="8" s="1"/>
  <c r="T12" i="8"/>
  <c r="T13" i="8"/>
  <c r="T14" i="8"/>
  <c r="T15" i="8"/>
  <c r="T16" i="8"/>
  <c r="T17" i="8"/>
  <c r="T18" i="8"/>
  <c r="T19" i="8"/>
  <c r="S19" i="8" s="1"/>
  <c r="T20" i="8"/>
  <c r="T21" i="8"/>
  <c r="T22" i="8"/>
  <c r="T23" i="8"/>
  <c r="T24" i="8"/>
  <c r="T25" i="8"/>
  <c r="T26" i="8"/>
  <c r="T27" i="8"/>
  <c r="S27" i="8" s="1"/>
  <c r="T28" i="8"/>
  <c r="T29" i="8"/>
  <c r="T30" i="8"/>
  <c r="T31" i="8"/>
  <c r="T32" i="8"/>
  <c r="T33" i="8"/>
  <c r="T34" i="8"/>
  <c r="T35" i="8"/>
  <c r="S35" i="8" s="1"/>
  <c r="T36" i="8"/>
  <c r="T37" i="8"/>
  <c r="T38" i="8"/>
  <c r="T39" i="8"/>
  <c r="T40" i="8"/>
  <c r="T41" i="8"/>
  <c r="T42" i="8"/>
  <c r="T43" i="8"/>
  <c r="S43" i="8" s="1"/>
  <c r="T44" i="8"/>
  <c r="T45" i="8"/>
  <c r="T46" i="8"/>
  <c r="T47" i="8"/>
  <c r="T48" i="8"/>
  <c r="T49" i="8"/>
  <c r="T50" i="8"/>
  <c r="T51" i="8"/>
  <c r="S51" i="8" s="1"/>
  <c r="T52" i="8"/>
  <c r="T53" i="8"/>
  <c r="T54" i="8"/>
  <c r="T55" i="8"/>
  <c r="T56" i="8"/>
  <c r="T57" i="8"/>
  <c r="T58" i="8"/>
  <c r="T59" i="8"/>
  <c r="S59" i="8" s="1"/>
  <c r="T60" i="8"/>
  <c r="T61" i="8"/>
  <c r="T62" i="8"/>
  <c r="T63" i="8"/>
  <c r="T64" i="8"/>
  <c r="T65" i="8"/>
  <c r="T66" i="8"/>
  <c r="T67" i="8"/>
  <c r="S67" i="8" s="1"/>
  <c r="T68" i="8"/>
  <c r="T69" i="8"/>
  <c r="T70" i="8"/>
  <c r="T71" i="8"/>
  <c r="T72" i="8"/>
  <c r="T73" i="8"/>
  <c r="T74" i="8"/>
  <c r="T75" i="8"/>
  <c r="S75" i="8" s="1"/>
  <c r="T76" i="8"/>
  <c r="T77" i="8"/>
  <c r="T78" i="8"/>
  <c r="T79" i="8"/>
  <c r="T80" i="8"/>
  <c r="T81" i="8"/>
  <c r="T82" i="8"/>
  <c r="T83" i="8"/>
  <c r="S83" i="8" s="1"/>
  <c r="T84" i="8"/>
  <c r="T85" i="8"/>
  <c r="T86" i="8"/>
  <c r="T87" i="8"/>
  <c r="T88" i="8"/>
  <c r="T89" i="8"/>
  <c r="T90" i="8"/>
  <c r="T91" i="8"/>
  <c r="S91" i="8" s="1"/>
  <c r="T92" i="8"/>
  <c r="T93" i="8"/>
  <c r="T94" i="8"/>
  <c r="T95" i="8"/>
  <c r="T96" i="8"/>
  <c r="T97" i="8"/>
  <c r="T98" i="8"/>
  <c r="T99" i="8"/>
  <c r="S99" i="8" s="1"/>
  <c r="T100" i="8"/>
  <c r="T101" i="8"/>
  <c r="T102" i="8"/>
  <c r="T103" i="8"/>
  <c r="T104" i="8"/>
  <c r="T105" i="8"/>
  <c r="T106" i="8"/>
  <c r="T107" i="8"/>
  <c r="S107" i="8" s="1"/>
  <c r="T108" i="8"/>
  <c r="T109" i="8"/>
  <c r="T110" i="8"/>
  <c r="T111" i="8"/>
  <c r="T112" i="8"/>
  <c r="T113" i="8"/>
  <c r="T114" i="8"/>
  <c r="T115" i="8"/>
  <c r="S115" i="8" s="1"/>
  <c r="T116" i="8"/>
  <c r="T117" i="8"/>
  <c r="T118" i="8"/>
  <c r="T119" i="8"/>
  <c r="T120" i="8"/>
  <c r="T121" i="8"/>
  <c r="T122" i="8"/>
  <c r="T123" i="8"/>
  <c r="S123" i="8" s="1"/>
  <c r="T124" i="8"/>
  <c r="T125" i="8"/>
  <c r="T126" i="8"/>
  <c r="T127" i="8"/>
  <c r="T128" i="8"/>
  <c r="T129" i="8"/>
  <c r="T130" i="8"/>
  <c r="T131" i="8"/>
  <c r="S131" i="8" s="1"/>
  <c r="T132" i="8"/>
  <c r="T133" i="8"/>
  <c r="T134" i="8"/>
  <c r="T135" i="8"/>
  <c r="T136" i="8"/>
  <c r="T137" i="8"/>
  <c r="T138" i="8"/>
  <c r="T139" i="8"/>
  <c r="S139" i="8" s="1"/>
  <c r="T140" i="8"/>
  <c r="T141" i="8"/>
  <c r="T142" i="8"/>
  <c r="T143" i="8"/>
  <c r="T144" i="8"/>
  <c r="T145" i="8"/>
  <c r="T146" i="8"/>
  <c r="T147" i="8"/>
  <c r="S147" i="8" s="1"/>
  <c r="T148" i="8"/>
  <c r="T149" i="8"/>
  <c r="T150" i="8"/>
  <c r="T151" i="8"/>
  <c r="T152" i="8"/>
  <c r="T153" i="8"/>
  <c r="T154" i="8"/>
  <c r="T155" i="8"/>
  <c r="S155" i="8" s="1"/>
  <c r="T156" i="8"/>
  <c r="T157" i="8"/>
  <c r="S157" i="8" s="1"/>
  <c r="T158" i="8"/>
  <c r="T159" i="8"/>
  <c r="T160" i="8"/>
  <c r="T161" i="8"/>
  <c r="T162" i="8"/>
  <c r="T163" i="8"/>
  <c r="S163" i="8" s="1"/>
  <c r="T164" i="8"/>
  <c r="T165" i="8"/>
  <c r="S165" i="8" s="1"/>
  <c r="T166" i="8"/>
  <c r="T167" i="8"/>
  <c r="T168" i="8"/>
  <c r="T169" i="8"/>
  <c r="T170" i="8"/>
  <c r="I171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3" i="8"/>
  <c r="K2" i="8"/>
  <c r="J2" i="8"/>
  <c r="J3" i="8"/>
  <c r="J4" i="8"/>
  <c r="J5" i="8"/>
  <c r="J6" i="8"/>
  <c r="I6" i="8" s="1"/>
  <c r="J7" i="8"/>
  <c r="J8" i="8"/>
  <c r="I8" i="8" s="1"/>
  <c r="J9" i="8"/>
  <c r="J10" i="8"/>
  <c r="I10" i="8" s="1"/>
  <c r="J11" i="8"/>
  <c r="J12" i="8"/>
  <c r="J13" i="8"/>
  <c r="J14" i="8"/>
  <c r="I14" i="8" s="1"/>
  <c r="J15" i="8"/>
  <c r="J16" i="8"/>
  <c r="I16" i="8" s="1"/>
  <c r="J17" i="8"/>
  <c r="J18" i="8"/>
  <c r="I18" i="8" s="1"/>
  <c r="J19" i="8"/>
  <c r="J20" i="8"/>
  <c r="J21" i="8"/>
  <c r="J22" i="8"/>
  <c r="I22" i="8" s="1"/>
  <c r="J23" i="8"/>
  <c r="J24" i="8"/>
  <c r="I24" i="8" s="1"/>
  <c r="J25" i="8"/>
  <c r="J26" i="8"/>
  <c r="I26" i="8" s="1"/>
  <c r="J27" i="8"/>
  <c r="J28" i="8"/>
  <c r="J29" i="8"/>
  <c r="J30" i="8"/>
  <c r="I30" i="8" s="1"/>
  <c r="J31" i="8"/>
  <c r="J32" i="8"/>
  <c r="I32" i="8" s="1"/>
  <c r="J33" i="8"/>
  <c r="J34" i="8"/>
  <c r="I34" i="8" s="1"/>
  <c r="J35" i="8"/>
  <c r="J36" i="8"/>
  <c r="J37" i="8"/>
  <c r="J38" i="8"/>
  <c r="I38" i="8" s="1"/>
  <c r="J39" i="8"/>
  <c r="J40" i="8"/>
  <c r="I40" i="8" s="1"/>
  <c r="J41" i="8"/>
  <c r="J42" i="8"/>
  <c r="I42" i="8" s="1"/>
  <c r="J43" i="8"/>
  <c r="J44" i="8"/>
  <c r="J45" i="8"/>
  <c r="J46" i="8"/>
  <c r="I46" i="8" s="1"/>
  <c r="J47" i="8"/>
  <c r="J48" i="8"/>
  <c r="I48" i="8" s="1"/>
  <c r="J49" i="8"/>
  <c r="J50" i="8"/>
  <c r="I50" i="8" s="1"/>
  <c r="J51" i="8"/>
  <c r="J52" i="8"/>
  <c r="J53" i="8"/>
  <c r="J54" i="8"/>
  <c r="I54" i="8" s="1"/>
  <c r="J55" i="8"/>
  <c r="J56" i="8"/>
  <c r="I56" i="8" s="1"/>
  <c r="J57" i="8"/>
  <c r="J58" i="8"/>
  <c r="I58" i="8" s="1"/>
  <c r="J59" i="8"/>
  <c r="J60" i="8"/>
  <c r="J61" i="8"/>
  <c r="J62" i="8"/>
  <c r="I62" i="8" s="1"/>
  <c r="J63" i="8"/>
  <c r="J64" i="8"/>
  <c r="I64" i="8" s="1"/>
  <c r="J65" i="8"/>
  <c r="J66" i="8"/>
  <c r="I66" i="8" s="1"/>
  <c r="J67" i="8"/>
  <c r="J68" i="8"/>
  <c r="J69" i="8"/>
  <c r="J70" i="8"/>
  <c r="I70" i="8" s="1"/>
  <c r="J71" i="8"/>
  <c r="J72" i="8"/>
  <c r="I72" i="8" s="1"/>
  <c r="J73" i="8"/>
  <c r="J74" i="8"/>
  <c r="I74" i="8" s="1"/>
  <c r="J75" i="8"/>
  <c r="J76" i="8"/>
  <c r="J77" i="8"/>
  <c r="J78" i="8"/>
  <c r="I78" i="8" s="1"/>
  <c r="J79" i="8"/>
  <c r="J80" i="8"/>
  <c r="I80" i="8" s="1"/>
  <c r="J81" i="8"/>
  <c r="J82" i="8"/>
  <c r="I82" i="8" s="1"/>
  <c r="J83" i="8"/>
  <c r="J84" i="8"/>
  <c r="J85" i="8"/>
  <c r="J86" i="8"/>
  <c r="I86" i="8" s="1"/>
  <c r="J87" i="8"/>
  <c r="J88" i="8"/>
  <c r="I88" i="8" s="1"/>
  <c r="J89" i="8"/>
  <c r="J90" i="8"/>
  <c r="I90" i="8" s="1"/>
  <c r="J91" i="8"/>
  <c r="J92" i="8"/>
  <c r="J93" i="8"/>
  <c r="I93" i="8" s="1"/>
  <c r="J94" i="8"/>
  <c r="I94" i="8" s="1"/>
  <c r="J95" i="8"/>
  <c r="J96" i="8"/>
  <c r="I96" i="8" s="1"/>
  <c r="J97" i="8"/>
  <c r="J98" i="8"/>
  <c r="I98" i="8" s="1"/>
  <c r="J99" i="8"/>
  <c r="J100" i="8"/>
  <c r="J101" i="8"/>
  <c r="I101" i="8" s="1"/>
  <c r="J102" i="8"/>
  <c r="I102" i="8" s="1"/>
  <c r="J103" i="8"/>
  <c r="J104" i="8"/>
  <c r="I104" i="8" s="1"/>
  <c r="J105" i="8"/>
  <c r="J106" i="8"/>
  <c r="I106" i="8" s="1"/>
  <c r="J107" i="8"/>
  <c r="J108" i="8"/>
  <c r="J109" i="8"/>
  <c r="I109" i="8" s="1"/>
  <c r="J110" i="8"/>
  <c r="I110" i="8" s="1"/>
  <c r="J111" i="8"/>
  <c r="J112" i="8"/>
  <c r="I112" i="8" s="1"/>
  <c r="J113" i="8"/>
  <c r="J114" i="8"/>
  <c r="I114" i="8" s="1"/>
  <c r="J115" i="8"/>
  <c r="J116" i="8"/>
  <c r="J117" i="8"/>
  <c r="I117" i="8" s="1"/>
  <c r="J118" i="8"/>
  <c r="I118" i="8" s="1"/>
  <c r="J119" i="8"/>
  <c r="J120" i="8"/>
  <c r="I120" i="8" s="1"/>
  <c r="J121" i="8"/>
  <c r="J122" i="8"/>
  <c r="I122" i="8" s="1"/>
  <c r="J123" i="8"/>
  <c r="J124" i="8"/>
  <c r="J125" i="8"/>
  <c r="I125" i="8" s="1"/>
  <c r="J126" i="8"/>
  <c r="I126" i="8" s="1"/>
  <c r="J127" i="8"/>
  <c r="J128" i="8"/>
  <c r="I128" i="8" s="1"/>
  <c r="J129" i="8"/>
  <c r="J130" i="8"/>
  <c r="I130" i="8" s="1"/>
  <c r="J131" i="8"/>
  <c r="J132" i="8"/>
  <c r="J133" i="8"/>
  <c r="I133" i="8" s="1"/>
  <c r="J134" i="8"/>
  <c r="I134" i="8" s="1"/>
  <c r="J135" i="8"/>
  <c r="J136" i="8"/>
  <c r="I136" i="8" s="1"/>
  <c r="J137" i="8"/>
  <c r="J138" i="8"/>
  <c r="I138" i="8" s="1"/>
  <c r="J139" i="8"/>
  <c r="J140" i="8"/>
  <c r="J141" i="8"/>
  <c r="I141" i="8" s="1"/>
  <c r="J142" i="8"/>
  <c r="I142" i="8" s="1"/>
  <c r="J143" i="8"/>
  <c r="J144" i="8"/>
  <c r="I144" i="8" s="1"/>
  <c r="J145" i="8"/>
  <c r="J146" i="8"/>
  <c r="I146" i="8" s="1"/>
  <c r="J147" i="8"/>
  <c r="J148" i="8"/>
  <c r="J149" i="8"/>
  <c r="I149" i="8" s="1"/>
  <c r="J150" i="8"/>
  <c r="I150" i="8" s="1"/>
  <c r="J151" i="8"/>
  <c r="J152" i="8"/>
  <c r="I152" i="8" s="1"/>
  <c r="J153" i="8"/>
  <c r="J154" i="8"/>
  <c r="I154" i="8" s="1"/>
  <c r="J155" i="8"/>
  <c r="J156" i="8"/>
  <c r="J157" i="8"/>
  <c r="I157" i="8" s="1"/>
  <c r="J158" i="8"/>
  <c r="I158" i="8" s="1"/>
  <c r="J159" i="8"/>
  <c r="J160" i="8"/>
  <c r="I160" i="8" s="1"/>
  <c r="J161" i="8"/>
  <c r="J162" i="8"/>
  <c r="I162" i="8" s="1"/>
  <c r="J163" i="8"/>
  <c r="J164" i="8"/>
  <c r="J165" i="8"/>
  <c r="I165" i="8" s="1"/>
  <c r="J166" i="8"/>
  <c r="I166" i="8" s="1"/>
  <c r="J167" i="8"/>
  <c r="J168" i="8"/>
  <c r="I168" i="8" s="1"/>
  <c r="J169" i="8"/>
  <c r="J170" i="8"/>
  <c r="I170" i="8" s="1"/>
  <c r="C171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3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B3" i="5"/>
  <c r="C3" i="5"/>
  <c r="D3" i="5"/>
  <c r="E3" i="5"/>
  <c r="F3" i="5"/>
  <c r="G3" i="5"/>
  <c r="B4" i="5"/>
  <c r="C4" i="5"/>
  <c r="D4" i="5"/>
  <c r="E4" i="5"/>
  <c r="F4" i="5"/>
  <c r="G4" i="5"/>
  <c r="B5" i="5"/>
  <c r="C5" i="5"/>
  <c r="D5" i="5"/>
  <c r="E5" i="5"/>
  <c r="F5" i="5"/>
  <c r="G5" i="5"/>
  <c r="B6" i="5"/>
  <c r="C6" i="5"/>
  <c r="D6" i="5"/>
  <c r="E6" i="5"/>
  <c r="F6" i="5"/>
  <c r="G6" i="5"/>
  <c r="B7" i="5"/>
  <c r="C7" i="5"/>
  <c r="D7" i="5"/>
  <c r="E7" i="5"/>
  <c r="F7" i="5"/>
  <c r="G7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B31" i="5"/>
  <c r="C31" i="5"/>
  <c r="D31" i="5"/>
  <c r="E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B39" i="5"/>
  <c r="C39" i="5"/>
  <c r="D39" i="5"/>
  <c r="E39" i="5"/>
  <c r="F39" i="5"/>
  <c r="G39" i="5"/>
  <c r="B40" i="5"/>
  <c r="C40" i="5"/>
  <c r="D40" i="5"/>
  <c r="E40" i="5"/>
  <c r="F40" i="5"/>
  <c r="G40" i="5"/>
  <c r="B41" i="5"/>
  <c r="C41" i="5"/>
  <c r="D41" i="5"/>
  <c r="E41" i="5"/>
  <c r="F41" i="5"/>
  <c r="G41" i="5"/>
  <c r="B42" i="5"/>
  <c r="C42" i="5"/>
  <c r="D42" i="5"/>
  <c r="E42" i="5"/>
  <c r="F42" i="5"/>
  <c r="G42" i="5"/>
  <c r="B43" i="5"/>
  <c r="C43" i="5"/>
  <c r="D43" i="5"/>
  <c r="E43" i="5"/>
  <c r="F43" i="5"/>
  <c r="G43" i="5"/>
  <c r="B44" i="5"/>
  <c r="C44" i="5"/>
  <c r="D44" i="5"/>
  <c r="E44" i="5"/>
  <c r="F44" i="5"/>
  <c r="G44" i="5"/>
  <c r="B45" i="5"/>
  <c r="C45" i="5"/>
  <c r="D45" i="5"/>
  <c r="E45" i="5"/>
  <c r="F45" i="5"/>
  <c r="G45" i="5"/>
  <c r="B46" i="5"/>
  <c r="C46" i="5"/>
  <c r="D46" i="5"/>
  <c r="E46" i="5"/>
  <c r="F46" i="5"/>
  <c r="G46" i="5"/>
  <c r="B47" i="5"/>
  <c r="C47" i="5"/>
  <c r="D47" i="5"/>
  <c r="E47" i="5"/>
  <c r="F47" i="5"/>
  <c r="G47" i="5"/>
  <c r="B48" i="5"/>
  <c r="C48" i="5"/>
  <c r="D48" i="5"/>
  <c r="E48" i="5"/>
  <c r="F48" i="5"/>
  <c r="G48" i="5"/>
  <c r="B49" i="5"/>
  <c r="C49" i="5"/>
  <c r="D49" i="5"/>
  <c r="E49" i="5"/>
  <c r="F49" i="5"/>
  <c r="G49" i="5"/>
  <c r="B50" i="5"/>
  <c r="C50" i="5"/>
  <c r="D50" i="5"/>
  <c r="E50" i="5"/>
  <c r="F50" i="5"/>
  <c r="G50" i="5"/>
  <c r="B51" i="5"/>
  <c r="C51" i="5"/>
  <c r="D51" i="5"/>
  <c r="E51" i="5"/>
  <c r="F51" i="5"/>
  <c r="G51" i="5"/>
  <c r="B52" i="5"/>
  <c r="C52" i="5"/>
  <c r="D52" i="5"/>
  <c r="E52" i="5"/>
  <c r="F52" i="5"/>
  <c r="G52" i="5"/>
  <c r="B53" i="5"/>
  <c r="C53" i="5"/>
  <c r="D53" i="5"/>
  <c r="E53" i="5"/>
  <c r="F53" i="5"/>
  <c r="G53" i="5"/>
  <c r="B54" i="5"/>
  <c r="C54" i="5"/>
  <c r="D54" i="5"/>
  <c r="E54" i="5"/>
  <c r="F54" i="5"/>
  <c r="G54" i="5"/>
  <c r="B55" i="5"/>
  <c r="C55" i="5"/>
  <c r="D55" i="5"/>
  <c r="E55" i="5"/>
  <c r="F55" i="5"/>
  <c r="G55" i="5"/>
  <c r="B56" i="5"/>
  <c r="C56" i="5"/>
  <c r="D56" i="5"/>
  <c r="E56" i="5"/>
  <c r="F56" i="5"/>
  <c r="G56" i="5"/>
  <c r="B57" i="5"/>
  <c r="C57" i="5"/>
  <c r="D57" i="5"/>
  <c r="E57" i="5"/>
  <c r="F57" i="5"/>
  <c r="G57" i="5"/>
  <c r="B58" i="5"/>
  <c r="C58" i="5"/>
  <c r="D58" i="5"/>
  <c r="E58" i="5"/>
  <c r="F58" i="5"/>
  <c r="G58" i="5"/>
  <c r="B59" i="5"/>
  <c r="C59" i="5"/>
  <c r="D59" i="5"/>
  <c r="E59" i="5"/>
  <c r="F59" i="5"/>
  <c r="G59" i="5"/>
  <c r="B60" i="5"/>
  <c r="C60" i="5"/>
  <c r="D60" i="5"/>
  <c r="E60" i="5"/>
  <c r="F60" i="5"/>
  <c r="G60" i="5"/>
  <c r="B61" i="5"/>
  <c r="C61" i="5"/>
  <c r="D61" i="5"/>
  <c r="E61" i="5"/>
  <c r="F61" i="5"/>
  <c r="G61" i="5"/>
  <c r="B62" i="5"/>
  <c r="C62" i="5"/>
  <c r="D62" i="5"/>
  <c r="E62" i="5"/>
  <c r="F62" i="5"/>
  <c r="G62" i="5"/>
  <c r="B63" i="5"/>
  <c r="C63" i="5"/>
  <c r="D63" i="5"/>
  <c r="E63" i="5"/>
  <c r="F63" i="5"/>
  <c r="G63" i="5"/>
  <c r="B64" i="5"/>
  <c r="C64" i="5"/>
  <c r="D64" i="5"/>
  <c r="E64" i="5"/>
  <c r="F64" i="5"/>
  <c r="G64" i="5"/>
  <c r="B65" i="5"/>
  <c r="C65" i="5"/>
  <c r="D65" i="5"/>
  <c r="E65" i="5"/>
  <c r="F65" i="5"/>
  <c r="G65" i="5"/>
  <c r="B66" i="5"/>
  <c r="C66" i="5"/>
  <c r="D66" i="5"/>
  <c r="E66" i="5"/>
  <c r="F66" i="5"/>
  <c r="G66" i="5"/>
  <c r="B67" i="5"/>
  <c r="C67" i="5"/>
  <c r="D67" i="5"/>
  <c r="E67" i="5"/>
  <c r="F67" i="5"/>
  <c r="G67" i="5"/>
  <c r="B68" i="5"/>
  <c r="C68" i="5"/>
  <c r="D68" i="5"/>
  <c r="E68" i="5"/>
  <c r="F68" i="5"/>
  <c r="G68" i="5"/>
  <c r="B69" i="5"/>
  <c r="C69" i="5"/>
  <c r="D69" i="5"/>
  <c r="E69" i="5"/>
  <c r="F69" i="5"/>
  <c r="G69" i="5"/>
  <c r="B70" i="5"/>
  <c r="C70" i="5"/>
  <c r="D70" i="5"/>
  <c r="E70" i="5"/>
  <c r="F70" i="5"/>
  <c r="G70" i="5"/>
  <c r="B71" i="5"/>
  <c r="C71" i="5"/>
  <c r="D71" i="5"/>
  <c r="E71" i="5"/>
  <c r="F71" i="5"/>
  <c r="G71" i="5"/>
  <c r="B72" i="5"/>
  <c r="C72" i="5"/>
  <c r="D72" i="5"/>
  <c r="E72" i="5"/>
  <c r="F72" i="5"/>
  <c r="G72" i="5"/>
  <c r="B73" i="5"/>
  <c r="C73" i="5"/>
  <c r="D73" i="5"/>
  <c r="E73" i="5"/>
  <c r="F73" i="5"/>
  <c r="G73" i="5"/>
  <c r="B74" i="5"/>
  <c r="C74" i="5"/>
  <c r="D74" i="5"/>
  <c r="E74" i="5"/>
  <c r="F74" i="5"/>
  <c r="G74" i="5"/>
  <c r="B75" i="5"/>
  <c r="C75" i="5"/>
  <c r="D75" i="5"/>
  <c r="E75" i="5"/>
  <c r="F75" i="5"/>
  <c r="G75" i="5"/>
  <c r="B76" i="5"/>
  <c r="C76" i="5"/>
  <c r="D76" i="5"/>
  <c r="E76" i="5"/>
  <c r="F76" i="5"/>
  <c r="G76" i="5"/>
  <c r="B77" i="5"/>
  <c r="C77" i="5"/>
  <c r="D77" i="5"/>
  <c r="E77" i="5"/>
  <c r="F77" i="5"/>
  <c r="G77" i="5"/>
  <c r="B78" i="5"/>
  <c r="C78" i="5"/>
  <c r="D78" i="5"/>
  <c r="E78" i="5"/>
  <c r="F78" i="5"/>
  <c r="G78" i="5"/>
  <c r="B79" i="5"/>
  <c r="C79" i="5"/>
  <c r="D79" i="5"/>
  <c r="E79" i="5"/>
  <c r="F79" i="5"/>
  <c r="G79" i="5"/>
  <c r="B80" i="5"/>
  <c r="C80" i="5"/>
  <c r="D80" i="5"/>
  <c r="E80" i="5"/>
  <c r="F80" i="5"/>
  <c r="G80" i="5"/>
  <c r="B81" i="5"/>
  <c r="C81" i="5"/>
  <c r="D81" i="5"/>
  <c r="E81" i="5"/>
  <c r="F81" i="5"/>
  <c r="G81" i="5"/>
  <c r="B82" i="5"/>
  <c r="C82" i="5"/>
  <c r="D82" i="5"/>
  <c r="E82" i="5"/>
  <c r="F82" i="5"/>
  <c r="G8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B86" i="5"/>
  <c r="C86" i="5"/>
  <c r="D86" i="5"/>
  <c r="E86" i="5"/>
  <c r="F86" i="5"/>
  <c r="G86" i="5"/>
  <c r="B87" i="5"/>
  <c r="C87" i="5"/>
  <c r="D87" i="5"/>
  <c r="E87" i="5"/>
  <c r="F87" i="5"/>
  <c r="G87" i="5"/>
  <c r="B88" i="5"/>
  <c r="C88" i="5"/>
  <c r="D88" i="5"/>
  <c r="E88" i="5"/>
  <c r="F88" i="5"/>
  <c r="G88" i="5"/>
  <c r="B89" i="5"/>
  <c r="C89" i="5"/>
  <c r="D89" i="5"/>
  <c r="E89" i="5"/>
  <c r="F89" i="5"/>
  <c r="G89" i="5"/>
  <c r="B90" i="5"/>
  <c r="C90" i="5"/>
  <c r="D90" i="5"/>
  <c r="E90" i="5"/>
  <c r="F90" i="5"/>
  <c r="G90" i="5"/>
  <c r="B91" i="5"/>
  <c r="C91" i="5"/>
  <c r="D91" i="5"/>
  <c r="E91" i="5"/>
  <c r="F91" i="5"/>
  <c r="G91" i="5"/>
  <c r="B92" i="5"/>
  <c r="C92" i="5"/>
  <c r="D92" i="5"/>
  <c r="E92" i="5"/>
  <c r="F92" i="5"/>
  <c r="G92" i="5"/>
  <c r="B93" i="5"/>
  <c r="C93" i="5"/>
  <c r="D93" i="5"/>
  <c r="E93" i="5"/>
  <c r="F93" i="5"/>
  <c r="G93" i="5"/>
  <c r="B94" i="5"/>
  <c r="C94" i="5"/>
  <c r="D94" i="5"/>
  <c r="E94" i="5"/>
  <c r="F94" i="5"/>
  <c r="G94" i="5"/>
  <c r="B95" i="5"/>
  <c r="C95" i="5"/>
  <c r="D95" i="5"/>
  <c r="E95" i="5"/>
  <c r="F95" i="5"/>
  <c r="G95" i="5"/>
  <c r="B96" i="5"/>
  <c r="C96" i="5"/>
  <c r="D96" i="5"/>
  <c r="E96" i="5"/>
  <c r="F96" i="5"/>
  <c r="G96" i="5"/>
  <c r="B97" i="5"/>
  <c r="C97" i="5"/>
  <c r="D97" i="5"/>
  <c r="E97" i="5"/>
  <c r="F97" i="5"/>
  <c r="G97" i="5"/>
  <c r="B98" i="5"/>
  <c r="C98" i="5"/>
  <c r="D98" i="5"/>
  <c r="E98" i="5"/>
  <c r="F98" i="5"/>
  <c r="G98" i="5"/>
  <c r="B99" i="5"/>
  <c r="C99" i="5"/>
  <c r="D99" i="5"/>
  <c r="E99" i="5"/>
  <c r="F99" i="5"/>
  <c r="G99" i="5"/>
  <c r="B100" i="5"/>
  <c r="C100" i="5"/>
  <c r="D100" i="5"/>
  <c r="E100" i="5"/>
  <c r="F100" i="5"/>
  <c r="G100" i="5"/>
  <c r="B101" i="5"/>
  <c r="C101" i="5"/>
  <c r="D101" i="5"/>
  <c r="E101" i="5"/>
  <c r="F101" i="5"/>
  <c r="G101" i="5"/>
  <c r="B102" i="5"/>
  <c r="C102" i="5"/>
  <c r="D102" i="5"/>
  <c r="E102" i="5"/>
  <c r="F102" i="5"/>
  <c r="G102" i="5"/>
  <c r="B103" i="5"/>
  <c r="C103" i="5"/>
  <c r="D103" i="5"/>
  <c r="E103" i="5"/>
  <c r="F103" i="5"/>
  <c r="G103" i="5"/>
  <c r="B104" i="5"/>
  <c r="C104" i="5"/>
  <c r="D104" i="5"/>
  <c r="E104" i="5"/>
  <c r="F104" i="5"/>
  <c r="G104" i="5"/>
  <c r="B105" i="5"/>
  <c r="C105" i="5"/>
  <c r="D105" i="5"/>
  <c r="E105" i="5"/>
  <c r="F105" i="5"/>
  <c r="G105" i="5"/>
  <c r="B106" i="5"/>
  <c r="C106" i="5"/>
  <c r="D106" i="5"/>
  <c r="E106" i="5"/>
  <c r="F106" i="5"/>
  <c r="G106" i="5"/>
  <c r="B107" i="5"/>
  <c r="C107" i="5"/>
  <c r="D107" i="5"/>
  <c r="E107" i="5"/>
  <c r="F107" i="5"/>
  <c r="G107" i="5"/>
  <c r="B108" i="5"/>
  <c r="C108" i="5"/>
  <c r="D108" i="5"/>
  <c r="E108" i="5"/>
  <c r="F108" i="5"/>
  <c r="G108" i="5"/>
  <c r="B109" i="5"/>
  <c r="C109" i="5"/>
  <c r="D109" i="5"/>
  <c r="E109" i="5"/>
  <c r="F109" i="5"/>
  <c r="G109" i="5"/>
  <c r="B110" i="5"/>
  <c r="C110" i="5"/>
  <c r="D110" i="5"/>
  <c r="E110" i="5"/>
  <c r="F110" i="5"/>
  <c r="G110" i="5"/>
  <c r="B111" i="5"/>
  <c r="C111" i="5"/>
  <c r="D111" i="5"/>
  <c r="E111" i="5"/>
  <c r="F111" i="5"/>
  <c r="G111" i="5"/>
  <c r="B112" i="5"/>
  <c r="C112" i="5"/>
  <c r="D112" i="5"/>
  <c r="E112" i="5"/>
  <c r="F112" i="5"/>
  <c r="G112" i="5"/>
  <c r="B113" i="5"/>
  <c r="C113" i="5"/>
  <c r="D113" i="5"/>
  <c r="E113" i="5"/>
  <c r="F113" i="5"/>
  <c r="G113" i="5"/>
  <c r="B114" i="5"/>
  <c r="C114" i="5"/>
  <c r="D114" i="5"/>
  <c r="E114" i="5"/>
  <c r="F114" i="5"/>
  <c r="G114" i="5"/>
  <c r="B115" i="5"/>
  <c r="C115" i="5"/>
  <c r="D115" i="5"/>
  <c r="E115" i="5"/>
  <c r="F115" i="5"/>
  <c r="G115" i="5"/>
  <c r="B116" i="5"/>
  <c r="C116" i="5"/>
  <c r="D116" i="5"/>
  <c r="E116" i="5"/>
  <c r="F116" i="5"/>
  <c r="G116" i="5"/>
  <c r="B117" i="5"/>
  <c r="C117" i="5"/>
  <c r="D117" i="5"/>
  <c r="E117" i="5"/>
  <c r="F117" i="5"/>
  <c r="G117" i="5"/>
  <c r="B118" i="5"/>
  <c r="C118" i="5"/>
  <c r="D118" i="5"/>
  <c r="E118" i="5"/>
  <c r="F118" i="5"/>
  <c r="G118" i="5"/>
  <c r="B119" i="5"/>
  <c r="C119" i="5"/>
  <c r="D119" i="5"/>
  <c r="E119" i="5"/>
  <c r="F119" i="5"/>
  <c r="G119" i="5"/>
  <c r="B120" i="5"/>
  <c r="C120" i="5"/>
  <c r="D120" i="5"/>
  <c r="E120" i="5"/>
  <c r="F120" i="5"/>
  <c r="G120" i="5"/>
  <c r="B121" i="5"/>
  <c r="C121" i="5"/>
  <c r="D121" i="5"/>
  <c r="E121" i="5"/>
  <c r="F121" i="5"/>
  <c r="G121" i="5"/>
  <c r="B122" i="5"/>
  <c r="C122" i="5"/>
  <c r="D122" i="5"/>
  <c r="E122" i="5"/>
  <c r="F122" i="5"/>
  <c r="G122" i="5"/>
  <c r="B123" i="5"/>
  <c r="C123" i="5"/>
  <c r="D123" i="5"/>
  <c r="E123" i="5"/>
  <c r="F123" i="5"/>
  <c r="G123" i="5"/>
  <c r="B124" i="5"/>
  <c r="C124" i="5"/>
  <c r="D124" i="5"/>
  <c r="E124" i="5"/>
  <c r="F124" i="5"/>
  <c r="G124" i="5"/>
  <c r="B125" i="5"/>
  <c r="C125" i="5"/>
  <c r="D125" i="5"/>
  <c r="E125" i="5"/>
  <c r="F125" i="5"/>
  <c r="G125" i="5"/>
  <c r="B126" i="5"/>
  <c r="C126" i="5"/>
  <c r="D126" i="5"/>
  <c r="E126" i="5"/>
  <c r="F126" i="5"/>
  <c r="G126" i="5"/>
  <c r="B127" i="5"/>
  <c r="C127" i="5"/>
  <c r="D127" i="5"/>
  <c r="E127" i="5"/>
  <c r="F127" i="5"/>
  <c r="G127" i="5"/>
  <c r="B128" i="5"/>
  <c r="C128" i="5"/>
  <c r="D128" i="5"/>
  <c r="E128" i="5"/>
  <c r="F128" i="5"/>
  <c r="G128" i="5"/>
  <c r="B129" i="5"/>
  <c r="C129" i="5"/>
  <c r="D129" i="5"/>
  <c r="E129" i="5"/>
  <c r="F129" i="5"/>
  <c r="G129" i="5"/>
  <c r="B130" i="5"/>
  <c r="C130" i="5"/>
  <c r="D130" i="5"/>
  <c r="E130" i="5"/>
  <c r="F130" i="5"/>
  <c r="G130" i="5"/>
  <c r="B131" i="5"/>
  <c r="C131" i="5"/>
  <c r="D131" i="5"/>
  <c r="E131" i="5"/>
  <c r="F131" i="5"/>
  <c r="G131" i="5"/>
  <c r="B132" i="5"/>
  <c r="C132" i="5"/>
  <c r="D132" i="5"/>
  <c r="E132" i="5"/>
  <c r="F132" i="5"/>
  <c r="G132" i="5"/>
  <c r="B133" i="5"/>
  <c r="C133" i="5"/>
  <c r="D133" i="5"/>
  <c r="E133" i="5"/>
  <c r="F133" i="5"/>
  <c r="G133" i="5"/>
  <c r="B134" i="5"/>
  <c r="C134" i="5"/>
  <c r="D134" i="5"/>
  <c r="E134" i="5"/>
  <c r="F134" i="5"/>
  <c r="G134" i="5"/>
  <c r="B135" i="5"/>
  <c r="C135" i="5"/>
  <c r="D135" i="5"/>
  <c r="E135" i="5"/>
  <c r="F135" i="5"/>
  <c r="G135" i="5"/>
  <c r="B136" i="5"/>
  <c r="C136" i="5"/>
  <c r="D136" i="5"/>
  <c r="E136" i="5"/>
  <c r="F136" i="5"/>
  <c r="G136" i="5"/>
  <c r="B137" i="5"/>
  <c r="C137" i="5"/>
  <c r="D137" i="5"/>
  <c r="E137" i="5"/>
  <c r="F137" i="5"/>
  <c r="G137" i="5"/>
  <c r="B138" i="5"/>
  <c r="C138" i="5"/>
  <c r="D138" i="5"/>
  <c r="E138" i="5"/>
  <c r="F138" i="5"/>
  <c r="G138" i="5"/>
  <c r="B139" i="5"/>
  <c r="C139" i="5"/>
  <c r="D139" i="5"/>
  <c r="E139" i="5"/>
  <c r="F139" i="5"/>
  <c r="G139" i="5"/>
  <c r="B140" i="5"/>
  <c r="C140" i="5"/>
  <c r="D140" i="5"/>
  <c r="E140" i="5"/>
  <c r="F140" i="5"/>
  <c r="G140" i="5"/>
  <c r="B141" i="5"/>
  <c r="C141" i="5"/>
  <c r="D141" i="5"/>
  <c r="E141" i="5"/>
  <c r="F141" i="5"/>
  <c r="G141" i="5"/>
  <c r="B142" i="5"/>
  <c r="C142" i="5"/>
  <c r="D142" i="5"/>
  <c r="E142" i="5"/>
  <c r="F142" i="5"/>
  <c r="G142" i="5"/>
  <c r="B143" i="5"/>
  <c r="C143" i="5"/>
  <c r="D143" i="5"/>
  <c r="E143" i="5"/>
  <c r="F143" i="5"/>
  <c r="G143" i="5"/>
  <c r="B144" i="5"/>
  <c r="C144" i="5"/>
  <c r="D144" i="5"/>
  <c r="E144" i="5"/>
  <c r="F144" i="5"/>
  <c r="G144" i="5"/>
  <c r="B145" i="5"/>
  <c r="C145" i="5"/>
  <c r="D145" i="5"/>
  <c r="E145" i="5"/>
  <c r="F145" i="5"/>
  <c r="G145" i="5"/>
  <c r="B146" i="5"/>
  <c r="C146" i="5"/>
  <c r="D146" i="5"/>
  <c r="E146" i="5"/>
  <c r="F146" i="5"/>
  <c r="G146" i="5"/>
  <c r="B147" i="5"/>
  <c r="C147" i="5"/>
  <c r="D147" i="5"/>
  <c r="E147" i="5"/>
  <c r="F147" i="5"/>
  <c r="G147" i="5"/>
  <c r="B148" i="5"/>
  <c r="C148" i="5"/>
  <c r="D148" i="5"/>
  <c r="E148" i="5"/>
  <c r="F148" i="5"/>
  <c r="G148" i="5"/>
  <c r="B149" i="5"/>
  <c r="C149" i="5"/>
  <c r="D149" i="5"/>
  <c r="E149" i="5"/>
  <c r="F149" i="5"/>
  <c r="G149" i="5"/>
  <c r="B150" i="5"/>
  <c r="C150" i="5"/>
  <c r="D150" i="5"/>
  <c r="E150" i="5"/>
  <c r="F150" i="5"/>
  <c r="G150" i="5"/>
  <c r="B151" i="5"/>
  <c r="C151" i="5"/>
  <c r="D151" i="5"/>
  <c r="E151" i="5"/>
  <c r="F151" i="5"/>
  <c r="G151" i="5"/>
  <c r="B152" i="5"/>
  <c r="C152" i="5"/>
  <c r="D152" i="5"/>
  <c r="E152" i="5"/>
  <c r="F152" i="5"/>
  <c r="G152" i="5"/>
  <c r="B153" i="5"/>
  <c r="C153" i="5"/>
  <c r="D153" i="5"/>
  <c r="E153" i="5"/>
  <c r="F153" i="5"/>
  <c r="G153" i="5"/>
  <c r="B154" i="5"/>
  <c r="C154" i="5"/>
  <c r="D154" i="5"/>
  <c r="E154" i="5"/>
  <c r="F154" i="5"/>
  <c r="G154" i="5"/>
  <c r="B155" i="5"/>
  <c r="C155" i="5"/>
  <c r="D155" i="5"/>
  <c r="E155" i="5"/>
  <c r="F155" i="5"/>
  <c r="G155" i="5"/>
  <c r="B156" i="5"/>
  <c r="C156" i="5"/>
  <c r="D156" i="5"/>
  <c r="E156" i="5"/>
  <c r="F156" i="5"/>
  <c r="G156" i="5"/>
  <c r="B157" i="5"/>
  <c r="C157" i="5"/>
  <c r="D157" i="5"/>
  <c r="E157" i="5"/>
  <c r="F157" i="5"/>
  <c r="G157" i="5"/>
  <c r="B158" i="5"/>
  <c r="C158" i="5"/>
  <c r="D158" i="5"/>
  <c r="E158" i="5"/>
  <c r="F158" i="5"/>
  <c r="G158" i="5"/>
  <c r="B159" i="5"/>
  <c r="C159" i="5"/>
  <c r="D159" i="5"/>
  <c r="E159" i="5"/>
  <c r="F159" i="5"/>
  <c r="G159" i="5"/>
  <c r="B160" i="5"/>
  <c r="C160" i="5"/>
  <c r="D160" i="5"/>
  <c r="E160" i="5"/>
  <c r="F160" i="5"/>
  <c r="G160" i="5"/>
  <c r="B161" i="5"/>
  <c r="C161" i="5"/>
  <c r="D161" i="5"/>
  <c r="E161" i="5"/>
  <c r="F161" i="5"/>
  <c r="G161" i="5"/>
  <c r="B162" i="5"/>
  <c r="C162" i="5"/>
  <c r="D162" i="5"/>
  <c r="E162" i="5"/>
  <c r="F162" i="5"/>
  <c r="G162" i="5"/>
  <c r="B163" i="5"/>
  <c r="C163" i="5"/>
  <c r="D163" i="5"/>
  <c r="E163" i="5"/>
  <c r="F163" i="5"/>
  <c r="G163" i="5"/>
  <c r="B164" i="5"/>
  <c r="C164" i="5"/>
  <c r="D164" i="5"/>
  <c r="E164" i="5"/>
  <c r="F164" i="5"/>
  <c r="G164" i="5"/>
  <c r="B165" i="5"/>
  <c r="C165" i="5"/>
  <c r="D165" i="5"/>
  <c r="E165" i="5"/>
  <c r="F165" i="5"/>
  <c r="G165" i="5"/>
  <c r="B166" i="5"/>
  <c r="C166" i="5"/>
  <c r="D166" i="5"/>
  <c r="E166" i="5"/>
  <c r="F166" i="5"/>
  <c r="G166" i="5"/>
  <c r="B167" i="5"/>
  <c r="C167" i="5"/>
  <c r="D167" i="5"/>
  <c r="E167" i="5"/>
  <c r="F167" i="5"/>
  <c r="G167" i="5"/>
  <c r="B168" i="5"/>
  <c r="C168" i="5"/>
  <c r="D168" i="5"/>
  <c r="E168" i="5"/>
  <c r="F168" i="5"/>
  <c r="G168" i="5"/>
  <c r="B169" i="5"/>
  <c r="C169" i="5"/>
  <c r="D169" i="5"/>
  <c r="E169" i="5"/>
  <c r="F169" i="5"/>
  <c r="G169" i="5"/>
  <c r="B170" i="5"/>
  <c r="C170" i="5"/>
  <c r="D170" i="5"/>
  <c r="E170" i="5"/>
  <c r="F170" i="5"/>
  <c r="G170" i="5"/>
  <c r="B171" i="5"/>
  <c r="C171" i="5"/>
  <c r="D171" i="5"/>
  <c r="E171" i="5"/>
  <c r="F171" i="5"/>
  <c r="G171" i="5"/>
  <c r="I1" i="7"/>
  <c r="J1" i="7"/>
  <c r="K1" i="7"/>
  <c r="L1" i="7"/>
  <c r="M1" i="7"/>
  <c r="N1" i="7"/>
  <c r="O1" i="7"/>
  <c r="P1" i="7"/>
  <c r="Q1" i="7"/>
  <c r="R1" i="7"/>
  <c r="S1" i="7"/>
  <c r="T1" i="7"/>
  <c r="U1" i="7"/>
  <c r="I2" i="7"/>
  <c r="J2" i="7"/>
  <c r="K2" i="7"/>
  <c r="L2" i="7"/>
  <c r="M2" i="7"/>
  <c r="N2" i="7"/>
  <c r="O2" i="7"/>
  <c r="P2" i="7"/>
  <c r="Q2" i="7"/>
  <c r="R2" i="7"/>
  <c r="S2" i="7"/>
  <c r="T2" i="7"/>
  <c r="U2" i="7"/>
  <c r="I4" i="7"/>
  <c r="J4" i="7"/>
  <c r="K4" i="7"/>
  <c r="L4" i="7"/>
  <c r="M4" i="7"/>
  <c r="N4" i="7"/>
  <c r="O4" i="7"/>
  <c r="P4" i="7"/>
  <c r="Q4" i="7"/>
  <c r="R4" i="7"/>
  <c r="S4" i="7"/>
  <c r="T4" i="7"/>
  <c r="U4" i="7"/>
  <c r="I5" i="7"/>
  <c r="J5" i="7"/>
  <c r="K5" i="7"/>
  <c r="L5" i="7"/>
  <c r="M5" i="7"/>
  <c r="N5" i="7"/>
  <c r="O5" i="7"/>
  <c r="P5" i="7"/>
  <c r="Q5" i="7"/>
  <c r="R5" i="7"/>
  <c r="S5" i="7"/>
  <c r="T5" i="7"/>
  <c r="U5" i="7"/>
  <c r="I6" i="7"/>
  <c r="J6" i="7"/>
  <c r="K6" i="7"/>
  <c r="L6" i="7"/>
  <c r="M6" i="7"/>
  <c r="N6" i="7"/>
  <c r="O6" i="7"/>
  <c r="P6" i="7"/>
  <c r="Q6" i="7"/>
  <c r="R6" i="7"/>
  <c r="S6" i="7"/>
  <c r="T6" i="7"/>
  <c r="U6" i="7"/>
  <c r="I7" i="7"/>
  <c r="J7" i="7"/>
  <c r="K7" i="7"/>
  <c r="L7" i="7"/>
  <c r="M7" i="7"/>
  <c r="N7" i="7"/>
  <c r="O7" i="7"/>
  <c r="P7" i="7"/>
  <c r="Q7" i="7"/>
  <c r="R7" i="7"/>
  <c r="S7" i="7"/>
  <c r="T7" i="7"/>
  <c r="U7" i="7"/>
  <c r="I8" i="7"/>
  <c r="J8" i="7"/>
  <c r="K8" i="7"/>
  <c r="L8" i="7"/>
  <c r="M8" i="7"/>
  <c r="N8" i="7"/>
  <c r="O8" i="7"/>
  <c r="P8" i="7"/>
  <c r="Q8" i="7"/>
  <c r="R8" i="7"/>
  <c r="S8" i="7"/>
  <c r="T8" i="7"/>
  <c r="U8" i="7"/>
  <c r="I9" i="7"/>
  <c r="J9" i="7"/>
  <c r="K9" i="7"/>
  <c r="L9" i="7"/>
  <c r="M9" i="7"/>
  <c r="N9" i="7"/>
  <c r="O9" i="7"/>
  <c r="P9" i="7"/>
  <c r="Q9" i="7"/>
  <c r="R9" i="7"/>
  <c r="S9" i="7"/>
  <c r="T9" i="7"/>
  <c r="U9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J15" i="7"/>
  <c r="K15" i="7"/>
  <c r="L15" i="7"/>
  <c r="M15" i="7"/>
  <c r="N15" i="7"/>
  <c r="O15" i="7"/>
  <c r="P15" i="7"/>
  <c r="Q15" i="7"/>
  <c r="R15" i="7"/>
  <c r="S15" i="7"/>
  <c r="T15" i="7"/>
  <c r="U15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P18" i="5"/>
  <c r="P13" i="5"/>
  <c r="P8" i="5"/>
  <c r="P7" i="5"/>
  <c r="P6" i="5"/>
  <c r="P14" i="5"/>
  <c r="P15" i="5"/>
  <c r="P16" i="5"/>
  <c r="P17" i="5"/>
  <c r="P11" i="5"/>
  <c r="P10" i="5"/>
  <c r="P12" i="5"/>
  <c r="C14" i="7"/>
  <c r="D14" i="7" s="1"/>
  <c r="C13" i="7"/>
  <c r="D13" i="7" s="1"/>
  <c r="C12" i="7"/>
  <c r="D12" i="7" s="1"/>
  <c r="C11" i="7"/>
  <c r="D11" i="7" s="1"/>
  <c r="H4" i="7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C10" i="7"/>
  <c r="D10" i="7" s="1"/>
  <c r="C8" i="7"/>
  <c r="D8" i="7" s="1"/>
  <c r="C9" i="7"/>
  <c r="D9" i="7" s="1"/>
  <c r="C7" i="7"/>
  <c r="D7" i="7" s="1"/>
  <c r="C6" i="7"/>
  <c r="D6" i="7" s="1"/>
  <c r="C5" i="7"/>
  <c r="D5" i="7" s="1"/>
  <c r="C4" i="7"/>
  <c r="D4" i="7" s="1"/>
  <c r="C2" i="7"/>
  <c r="D2" i="7" s="1"/>
  <c r="N156" i="8" l="1"/>
  <c r="N140" i="8"/>
  <c r="N100" i="8"/>
  <c r="N84" i="8"/>
  <c r="N36" i="8"/>
  <c r="N20" i="8"/>
  <c r="N170" i="8"/>
  <c r="N124" i="8"/>
  <c r="N116" i="8"/>
  <c r="N108" i="8"/>
  <c r="N92" i="8"/>
  <c r="N76" i="8"/>
  <c r="C164" i="8"/>
  <c r="C156" i="8"/>
  <c r="C148" i="8"/>
  <c r="C140" i="8"/>
  <c r="C132" i="8"/>
  <c r="C124" i="8"/>
  <c r="C116" i="8"/>
  <c r="C108" i="8"/>
  <c r="C100" i="8"/>
  <c r="C92" i="8"/>
  <c r="C84" i="8"/>
  <c r="C76" i="8"/>
  <c r="C68" i="8"/>
  <c r="C60" i="8"/>
  <c r="C52" i="8"/>
  <c r="C44" i="8"/>
  <c r="C36" i="8"/>
  <c r="C28" i="8"/>
  <c r="C20" i="8"/>
  <c r="C12" i="8"/>
  <c r="C4" i="8"/>
  <c r="N162" i="8"/>
  <c r="N154" i="8"/>
  <c r="N146" i="8"/>
  <c r="N138" i="8"/>
  <c r="N130" i="8"/>
  <c r="N122" i="8"/>
  <c r="N114" i="8"/>
  <c r="N106" i="8"/>
  <c r="N98" i="8"/>
  <c r="N90" i="8"/>
  <c r="N82" i="8"/>
  <c r="N74" i="8"/>
  <c r="N66" i="8"/>
  <c r="N58" i="8"/>
  <c r="N50" i="8"/>
  <c r="N42" i="8"/>
  <c r="N34" i="8"/>
  <c r="N26" i="8"/>
  <c r="N18" i="8"/>
  <c r="N10" i="8"/>
  <c r="N150" i="8"/>
  <c r="N94" i="8"/>
  <c r="N86" i="8"/>
  <c r="N62" i="8"/>
  <c r="N54" i="8"/>
  <c r="N30" i="8"/>
  <c r="I167" i="8"/>
  <c r="I159" i="8"/>
  <c r="I151" i="8"/>
  <c r="I143" i="8"/>
  <c r="I135" i="8"/>
  <c r="I127" i="8"/>
  <c r="I119" i="8"/>
  <c r="I111" i="8"/>
  <c r="I103" i="8"/>
  <c r="I95" i="8"/>
  <c r="I87" i="8"/>
  <c r="I79" i="8"/>
  <c r="I71" i="8"/>
  <c r="I63" i="8"/>
  <c r="I55" i="8"/>
  <c r="I47" i="8"/>
  <c r="I39" i="8"/>
  <c r="I31" i="8"/>
  <c r="S170" i="8"/>
  <c r="S162" i="8"/>
  <c r="S154" i="8"/>
  <c r="S146" i="8"/>
  <c r="S138" i="8"/>
  <c r="S130" i="8"/>
  <c r="S122" i="8"/>
  <c r="S114" i="8"/>
  <c r="S106" i="8"/>
  <c r="S98" i="8"/>
  <c r="S90" i="8"/>
  <c r="S82" i="8"/>
  <c r="S74" i="8"/>
  <c r="S58" i="8"/>
  <c r="V156" i="9"/>
  <c r="V154" i="9"/>
  <c r="V152" i="9"/>
  <c r="V150" i="9"/>
  <c r="V148" i="9"/>
  <c r="V147" i="9"/>
  <c r="V146" i="9"/>
  <c r="V145" i="9"/>
  <c r="V144" i="9"/>
  <c r="V142" i="9"/>
  <c r="V141" i="9"/>
  <c r="V140" i="9"/>
  <c r="V139" i="9"/>
  <c r="V138" i="9"/>
  <c r="V137" i="9"/>
  <c r="V136" i="9"/>
  <c r="V134" i="9"/>
  <c r="V133" i="9"/>
  <c r="V132" i="9"/>
  <c r="V131" i="9"/>
  <c r="V130" i="9"/>
  <c r="V129" i="9"/>
  <c r="V128" i="9"/>
  <c r="V126" i="9"/>
  <c r="V125" i="9"/>
  <c r="V124" i="9"/>
  <c r="V123" i="9"/>
  <c r="V122" i="9"/>
  <c r="V121" i="9"/>
  <c r="V120" i="9"/>
  <c r="V118" i="9"/>
  <c r="V117" i="9"/>
  <c r="V115" i="9"/>
  <c r="V114" i="9"/>
  <c r="V113" i="9"/>
  <c r="V112" i="9"/>
  <c r="V110" i="9"/>
  <c r="V109" i="9"/>
  <c r="V108" i="9"/>
  <c r="V107" i="9"/>
  <c r="V106" i="9"/>
  <c r="V105" i="9"/>
  <c r="V104" i="9"/>
  <c r="V102" i="9"/>
  <c r="V101" i="9"/>
  <c r="V100" i="9"/>
  <c r="V158" i="9"/>
  <c r="V155" i="9"/>
  <c r="V153" i="9"/>
  <c r="V149" i="9"/>
  <c r="V157" i="9"/>
  <c r="V116" i="9"/>
  <c r="V99" i="9"/>
  <c r="V98" i="9"/>
  <c r="V97" i="9"/>
  <c r="V96" i="9"/>
  <c r="V94" i="9"/>
  <c r="V93" i="9"/>
  <c r="V92" i="9"/>
  <c r="V91" i="9"/>
  <c r="V90" i="9"/>
  <c r="V89" i="9"/>
  <c r="V88" i="9"/>
  <c r="V86" i="9"/>
  <c r="V85" i="9"/>
  <c r="V84" i="9"/>
  <c r="V83" i="9"/>
  <c r="V82" i="9"/>
  <c r="V81" i="9"/>
  <c r="V80" i="9"/>
  <c r="V78" i="9"/>
  <c r="V77" i="9"/>
  <c r="V76" i="9"/>
  <c r="V75" i="9"/>
  <c r="V74" i="9"/>
  <c r="V73" i="9"/>
  <c r="V72" i="9"/>
  <c r="V70" i="9"/>
  <c r="V69" i="9"/>
  <c r="V68" i="9"/>
  <c r="V67" i="9"/>
  <c r="V66" i="9"/>
  <c r="V65" i="9"/>
  <c r="V64" i="9"/>
  <c r="G63" i="9"/>
  <c r="V62" i="9"/>
  <c r="V61" i="9"/>
  <c r="V60" i="9"/>
  <c r="V59" i="9"/>
  <c r="V58" i="9"/>
  <c r="V57" i="9"/>
  <c r="V56" i="9"/>
  <c r="V54" i="9"/>
  <c r="V53" i="9"/>
  <c r="V52" i="9"/>
  <c r="V51" i="9"/>
  <c r="V50" i="9"/>
  <c r="V49" i="9"/>
  <c r="V48" i="9"/>
  <c r="V46" i="9"/>
  <c r="V45" i="9"/>
  <c r="V44" i="9"/>
  <c r="V43" i="9"/>
  <c r="V42" i="9"/>
  <c r="V41" i="9"/>
  <c r="V40" i="9"/>
  <c r="V38" i="9"/>
  <c r="V37" i="9"/>
  <c r="V36" i="9"/>
  <c r="V35" i="9"/>
  <c r="V34" i="9"/>
  <c r="V33" i="9"/>
  <c r="V32" i="9"/>
  <c r="V30" i="9"/>
  <c r="V29" i="9"/>
  <c r="V28" i="9"/>
  <c r="V27" i="9"/>
  <c r="V26" i="9"/>
  <c r="V25" i="9"/>
  <c r="V24" i="9"/>
  <c r="V22" i="9"/>
  <c r="V21" i="9"/>
  <c r="V20" i="9"/>
  <c r="V19" i="9"/>
  <c r="V18" i="9"/>
  <c r="V17" i="9"/>
  <c r="V16" i="9"/>
  <c r="V14" i="9"/>
  <c r="V13" i="9"/>
  <c r="V12" i="9"/>
  <c r="V11" i="9"/>
  <c r="V10" i="9"/>
  <c r="V9" i="9"/>
  <c r="V8" i="9"/>
  <c r="V5" i="9"/>
  <c r="V4" i="9"/>
  <c r="V3" i="9"/>
  <c r="G127" i="9"/>
  <c r="V167" i="9"/>
  <c r="V159" i="9"/>
  <c r="V169" i="9"/>
  <c r="V168" i="9"/>
  <c r="V166" i="9"/>
  <c r="V165" i="9"/>
  <c r="V164" i="9"/>
  <c r="V163" i="9"/>
  <c r="V162" i="9"/>
  <c r="V161" i="9"/>
  <c r="V16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5" i="9"/>
  <c r="G87" i="9"/>
  <c r="G79" i="9"/>
  <c r="G71" i="9"/>
  <c r="G55" i="9"/>
  <c r="G47" i="9"/>
  <c r="G39" i="9"/>
  <c r="G31" i="9"/>
  <c r="G23" i="9"/>
  <c r="G15" i="9"/>
  <c r="G7" i="9"/>
  <c r="G96" i="9"/>
  <c r="G94" i="9"/>
  <c r="G93" i="9"/>
  <c r="G92" i="9"/>
  <c r="G91" i="9"/>
  <c r="G90" i="9"/>
  <c r="G89" i="9"/>
  <c r="G88" i="9"/>
  <c r="G86" i="9"/>
  <c r="G85" i="9"/>
  <c r="G84" i="9"/>
  <c r="G83" i="9"/>
  <c r="G82" i="9"/>
  <c r="G81" i="9"/>
  <c r="G80" i="9"/>
  <c r="G78" i="9"/>
  <c r="G77" i="9"/>
  <c r="G76" i="9"/>
  <c r="G75" i="9"/>
  <c r="G74" i="9"/>
  <c r="G73" i="9"/>
  <c r="G72" i="9"/>
  <c r="G70" i="9"/>
  <c r="G69" i="9"/>
  <c r="G68" i="9"/>
  <c r="G67" i="9"/>
  <c r="G66" i="9"/>
  <c r="G65" i="9"/>
  <c r="G64" i="9"/>
  <c r="G62" i="9"/>
  <c r="G61" i="9"/>
  <c r="G60" i="9"/>
  <c r="G59" i="9"/>
  <c r="G58" i="9"/>
  <c r="G57" i="9"/>
  <c r="G56" i="9"/>
  <c r="G54" i="9"/>
  <c r="G53" i="9"/>
  <c r="G52" i="9"/>
  <c r="G51" i="9"/>
  <c r="G50" i="9"/>
  <c r="G49" i="9"/>
  <c r="G48" i="9"/>
  <c r="G46" i="9"/>
  <c r="G45" i="9"/>
  <c r="G44" i="9"/>
  <c r="G43" i="9"/>
  <c r="G42" i="9"/>
  <c r="G41" i="9"/>
  <c r="G40" i="9"/>
  <c r="G38" i="9"/>
  <c r="G37" i="9"/>
  <c r="G36" i="9"/>
  <c r="G35" i="9"/>
  <c r="G34" i="9"/>
  <c r="G33" i="9"/>
  <c r="G32" i="9"/>
  <c r="G30" i="9"/>
  <c r="G29" i="9"/>
  <c r="G28" i="9"/>
  <c r="G27" i="9"/>
  <c r="G26" i="9"/>
  <c r="G25" i="9"/>
  <c r="G24" i="9"/>
  <c r="G22" i="9"/>
  <c r="G21" i="9"/>
  <c r="G20" i="9"/>
  <c r="G19" i="9"/>
  <c r="G18" i="9"/>
  <c r="G17" i="9"/>
  <c r="G16" i="9"/>
  <c r="G14" i="9"/>
  <c r="G13" i="9"/>
  <c r="G12" i="9"/>
  <c r="G11" i="9"/>
  <c r="G10" i="9"/>
  <c r="G9" i="9"/>
  <c r="G8" i="9"/>
  <c r="G6" i="9"/>
  <c r="G5" i="9"/>
  <c r="G4" i="9"/>
  <c r="G3" i="9"/>
  <c r="G2" i="9"/>
  <c r="V151" i="9"/>
  <c r="V143" i="9"/>
  <c r="V135" i="9"/>
  <c r="V127" i="9"/>
  <c r="V119" i="9"/>
  <c r="V111" i="9"/>
  <c r="V103" i="9"/>
  <c r="V95" i="9"/>
  <c r="V87" i="9"/>
  <c r="V79" i="9"/>
  <c r="V71" i="9"/>
  <c r="V63" i="9"/>
  <c r="V55" i="9"/>
  <c r="V47" i="9"/>
  <c r="V39" i="9"/>
  <c r="V31" i="9"/>
  <c r="V23" i="9"/>
  <c r="V15" i="9"/>
  <c r="V7" i="9"/>
  <c r="V6" i="9"/>
  <c r="V2" i="9"/>
  <c r="H24" i="7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N164" i="8"/>
  <c r="N148" i="8"/>
  <c r="N132" i="8"/>
  <c r="N68" i="8"/>
  <c r="N60" i="8"/>
  <c r="N52" i="8"/>
  <c r="N44" i="8"/>
  <c r="N28" i="8"/>
  <c r="N12" i="8"/>
  <c r="S167" i="8"/>
  <c r="S159" i="8"/>
  <c r="S151" i="8"/>
  <c r="S143" i="8"/>
  <c r="S135" i="8"/>
  <c r="S127" i="8"/>
  <c r="S119" i="8"/>
  <c r="S111" i="8"/>
  <c r="S103" i="8"/>
  <c r="S95" i="8"/>
  <c r="S87" i="8"/>
  <c r="S79" i="8"/>
  <c r="S71" i="8"/>
  <c r="S63" i="8"/>
  <c r="S55" i="8"/>
  <c r="S47" i="8"/>
  <c r="S39" i="8"/>
  <c r="S31" i="8"/>
  <c r="S23" i="8"/>
  <c r="S15" i="8"/>
  <c r="S7" i="8"/>
  <c r="N166" i="8"/>
  <c r="N158" i="8"/>
  <c r="N142" i="8"/>
  <c r="N134" i="8"/>
  <c r="N126" i="8"/>
  <c r="N118" i="8"/>
  <c r="N110" i="8"/>
  <c r="N102" i="8"/>
  <c r="N78" i="8"/>
  <c r="N70" i="8"/>
  <c r="N46" i="8"/>
  <c r="N38" i="8"/>
  <c r="N22" i="8"/>
  <c r="N14" i="8"/>
  <c r="N6" i="8"/>
  <c r="N169" i="8"/>
  <c r="N161" i="8"/>
  <c r="N153" i="8"/>
  <c r="N145" i="8"/>
  <c r="N137" i="8"/>
  <c r="N129" i="8"/>
  <c r="N121" i="8"/>
  <c r="N113" i="8"/>
  <c r="N105" i="8"/>
  <c r="N97" i="8"/>
  <c r="N89" i="8"/>
  <c r="N81" i="8"/>
  <c r="N73" i="8"/>
  <c r="N65" i="8"/>
  <c r="N57" i="8"/>
  <c r="N49" i="8"/>
  <c r="N41" i="8"/>
  <c r="N33" i="8"/>
  <c r="N25" i="8"/>
  <c r="N17" i="8"/>
  <c r="N9" i="8"/>
  <c r="S149" i="8"/>
  <c r="S141" i="8"/>
  <c r="S133" i="8"/>
  <c r="S125" i="8"/>
  <c r="S117" i="8"/>
  <c r="S109" i="8"/>
  <c r="S101" i="8"/>
  <c r="S93" i="8"/>
  <c r="S85" i="8"/>
  <c r="S77" i="8"/>
  <c r="S69" i="8"/>
  <c r="S61" i="8"/>
  <c r="S53" i="8"/>
  <c r="S45" i="8"/>
  <c r="S37" i="8"/>
  <c r="S29" i="8"/>
  <c r="S21" i="8"/>
  <c r="S13" i="8"/>
  <c r="S5" i="8"/>
  <c r="N4" i="8"/>
  <c r="I85" i="8"/>
  <c r="I77" i="8"/>
  <c r="I69" i="8"/>
  <c r="I61" i="8"/>
  <c r="I53" i="8"/>
  <c r="I45" i="8"/>
  <c r="I37" i="8"/>
  <c r="I29" i="8"/>
  <c r="I21" i="8"/>
  <c r="I13" i="8"/>
  <c r="I5" i="8"/>
  <c r="S66" i="8"/>
  <c r="S50" i="8"/>
  <c r="S42" i="8"/>
  <c r="S34" i="8"/>
  <c r="S26" i="8"/>
  <c r="S18" i="8"/>
  <c r="S10" i="8"/>
  <c r="N163" i="8"/>
  <c r="N155" i="8"/>
  <c r="N147" i="8"/>
  <c r="N139" i="8"/>
  <c r="N131" i="8"/>
  <c r="N123" i="8"/>
  <c r="N115" i="8"/>
  <c r="N107" i="8"/>
  <c r="N99" i="8"/>
  <c r="N91" i="8"/>
  <c r="N83" i="8"/>
  <c r="N75" i="8"/>
  <c r="N67" i="8"/>
  <c r="N59" i="8"/>
  <c r="N51" i="8"/>
  <c r="N43" i="8"/>
  <c r="N35" i="8"/>
  <c r="N27" i="8"/>
  <c r="N19" i="8"/>
  <c r="N11" i="8"/>
  <c r="S169" i="8"/>
  <c r="S161" i="8"/>
  <c r="S153" i="8"/>
  <c r="S145" i="8"/>
  <c r="S137" i="8"/>
  <c r="S129" i="8"/>
  <c r="S121" i="8"/>
  <c r="S113" i="8"/>
  <c r="S105" i="8"/>
  <c r="S97" i="8"/>
  <c r="S89" i="8"/>
  <c r="S81" i="8"/>
  <c r="S73" i="8"/>
  <c r="S65" i="8"/>
  <c r="S57" i="8"/>
  <c r="S49" i="8"/>
  <c r="S41" i="8"/>
  <c r="S33" i="8"/>
  <c r="S25" i="8"/>
  <c r="S17" i="8"/>
  <c r="S9" i="8"/>
  <c r="I163" i="8"/>
  <c r="I155" i="8"/>
  <c r="I147" i="8"/>
  <c r="I139" i="8"/>
  <c r="I131" i="8"/>
  <c r="I123" i="8"/>
  <c r="I115" i="8"/>
  <c r="I107" i="8"/>
  <c r="I99" i="8"/>
  <c r="I91" i="8"/>
  <c r="I83" i="8"/>
  <c r="I75" i="8"/>
  <c r="I67" i="8"/>
  <c r="I59" i="8"/>
  <c r="I51" i="8"/>
  <c r="I43" i="8"/>
  <c r="I35" i="8"/>
  <c r="I27" i="8"/>
  <c r="I19" i="8"/>
  <c r="I11" i="8"/>
  <c r="I3" i="8"/>
  <c r="S168" i="8"/>
  <c r="S160" i="8"/>
  <c r="S152" i="8"/>
  <c r="S144" i="8"/>
  <c r="S136" i="8"/>
  <c r="S128" i="8"/>
  <c r="S120" i="8"/>
  <c r="S112" i="8"/>
  <c r="S104" i="8"/>
  <c r="S96" i="8"/>
  <c r="S88" i="8"/>
  <c r="S80" i="8"/>
  <c r="S72" i="8"/>
  <c r="S64" i="8"/>
  <c r="S56" i="8"/>
  <c r="S48" i="8"/>
  <c r="S40" i="8"/>
  <c r="C168" i="8"/>
  <c r="C160" i="8"/>
  <c r="C152" i="8"/>
  <c r="C144" i="8"/>
  <c r="C136" i="8"/>
  <c r="C128" i="8"/>
  <c r="C120" i="8"/>
  <c r="C112" i="8"/>
  <c r="C104" i="8"/>
  <c r="C96" i="8"/>
  <c r="C88" i="8"/>
  <c r="C80" i="8"/>
  <c r="C72" i="8"/>
  <c r="C64" i="8"/>
  <c r="C56" i="8"/>
  <c r="C48" i="8"/>
  <c r="C40" i="8"/>
  <c r="C32" i="8"/>
  <c r="C24" i="8"/>
  <c r="C16" i="8"/>
  <c r="C8" i="8"/>
  <c r="I169" i="8"/>
  <c r="I161" i="8"/>
  <c r="I153" i="8"/>
  <c r="I145" i="8"/>
  <c r="I137" i="8"/>
  <c r="I129" i="8"/>
  <c r="I121" i="8"/>
  <c r="I113" i="8"/>
  <c r="I105" i="8"/>
  <c r="I97" i="8"/>
  <c r="I89" i="8"/>
  <c r="I81" i="8"/>
  <c r="I73" i="8"/>
  <c r="I65" i="8"/>
  <c r="I57" i="8"/>
  <c r="I49" i="8"/>
  <c r="I41" i="8"/>
  <c r="I33" i="8"/>
  <c r="I25" i="8"/>
  <c r="I17" i="8"/>
  <c r="I9" i="8"/>
  <c r="S166" i="8"/>
  <c r="S158" i="8"/>
  <c r="S150" i="8"/>
  <c r="S142" i="8"/>
  <c r="S134" i="8"/>
  <c r="S126" i="8"/>
  <c r="S118" i="8"/>
  <c r="S110" i="8"/>
  <c r="S102" i="8"/>
  <c r="S94" i="8"/>
  <c r="S86" i="8"/>
  <c r="S78" i="8"/>
  <c r="S70" i="8"/>
  <c r="S62" i="8"/>
  <c r="S54" i="8"/>
  <c r="S46" i="8"/>
  <c r="S38" i="8"/>
  <c r="S30" i="8"/>
  <c r="C14" i="8"/>
  <c r="C6" i="8"/>
  <c r="I23" i="8"/>
  <c r="I15" i="8"/>
  <c r="I7" i="8"/>
  <c r="N165" i="8"/>
  <c r="N157" i="8"/>
  <c r="N149" i="8"/>
  <c r="N133" i="8"/>
  <c r="N125" i="8"/>
  <c r="N117" i="8"/>
  <c r="N101" i="8"/>
  <c r="N93" i="8"/>
  <c r="N85" i="8"/>
  <c r="N69" i="8"/>
  <c r="N61" i="8"/>
  <c r="N53" i="8"/>
  <c r="N37" i="8"/>
  <c r="N29" i="8"/>
  <c r="N21" i="8"/>
  <c r="N5" i="8"/>
  <c r="S32" i="8"/>
  <c r="S24" i="8"/>
  <c r="S16" i="8"/>
  <c r="S8" i="8"/>
  <c r="S22" i="8"/>
  <c r="S14" i="8"/>
  <c r="S6" i="8"/>
  <c r="I164" i="8"/>
  <c r="I156" i="8"/>
  <c r="I148" i="8"/>
  <c r="I140" i="8"/>
  <c r="I132" i="8"/>
  <c r="I124" i="8"/>
  <c r="I116" i="8"/>
  <c r="I108" i="8"/>
  <c r="I100" i="8"/>
  <c r="I92" i="8"/>
  <c r="I84" i="8"/>
  <c r="I76" i="8"/>
  <c r="I68" i="8"/>
  <c r="I60" i="8"/>
  <c r="I52" i="8"/>
  <c r="I44" i="8"/>
  <c r="I36" i="8"/>
  <c r="I28" i="8"/>
  <c r="I20" i="8"/>
  <c r="I12" i="8"/>
  <c r="I4" i="8"/>
  <c r="S164" i="8"/>
  <c r="S156" i="8"/>
  <c r="S148" i="8"/>
  <c r="S140" i="8"/>
  <c r="S132" i="8"/>
  <c r="S124" i="8"/>
  <c r="S116" i="8"/>
  <c r="S108" i="8"/>
  <c r="S100" i="8"/>
  <c r="S92" i="8"/>
  <c r="S84" i="8"/>
  <c r="S76" i="8"/>
  <c r="S68" i="8"/>
  <c r="S60" i="8"/>
  <c r="S52" i="8"/>
  <c r="S44" i="8"/>
  <c r="S36" i="8"/>
  <c r="S28" i="8"/>
  <c r="S20" i="8"/>
  <c r="S12" i="8"/>
  <c r="S4" i="8"/>
  <c r="C3" i="8"/>
  <c r="C163" i="8"/>
  <c r="C155" i="8"/>
  <c r="C147" i="8"/>
  <c r="C139" i="8"/>
  <c r="C131" i="8"/>
  <c r="C123" i="8"/>
  <c r="C115" i="8"/>
  <c r="C107" i="8"/>
  <c r="C99" i="8"/>
  <c r="C59" i="8"/>
  <c r="C51" i="8"/>
  <c r="C43" i="8"/>
  <c r="C35" i="8"/>
  <c r="C27" i="8"/>
  <c r="C19" i="8"/>
  <c r="C11" i="8"/>
  <c r="C166" i="8"/>
  <c r="C158" i="8"/>
  <c r="C150" i="8"/>
  <c r="C142" i="8"/>
  <c r="C134" i="8"/>
  <c r="C126" i="8"/>
  <c r="C118" i="8"/>
  <c r="C110" i="8"/>
  <c r="C102" i="8"/>
  <c r="C94" i="8"/>
  <c r="C86" i="8"/>
  <c r="C78" i="8"/>
  <c r="C70" i="8"/>
  <c r="C62" i="8"/>
  <c r="C54" i="8"/>
  <c r="C46" i="8"/>
  <c r="C38" i="8"/>
  <c r="C30" i="8"/>
  <c r="C22" i="8"/>
  <c r="C169" i="8"/>
  <c r="C161" i="8"/>
  <c r="C153" i="8"/>
  <c r="C145" i="8"/>
  <c r="C137" i="8"/>
  <c r="C129" i="8"/>
  <c r="C121" i="8"/>
  <c r="C113" i="8"/>
  <c r="C105" i="8"/>
  <c r="C97" i="8"/>
  <c r="C89" i="8"/>
  <c r="C81" i="8"/>
  <c r="C73" i="8"/>
  <c r="C65" i="8"/>
  <c r="C57" i="8"/>
  <c r="C49" i="8"/>
  <c r="C41" i="8"/>
  <c r="C33" i="8"/>
  <c r="C25" i="8"/>
  <c r="C17" i="8"/>
  <c r="C9" i="8"/>
  <c r="C91" i="8"/>
  <c r="C83" i="8"/>
  <c r="C75" i="8"/>
  <c r="C67" i="8"/>
  <c r="C165" i="8"/>
  <c r="C157" i="8"/>
  <c r="C149" i="8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5" i="8"/>
  <c r="C167" i="8"/>
  <c r="C159" i="8"/>
  <c r="C151" i="8"/>
  <c r="C143" i="8"/>
  <c r="C135" i="8"/>
  <c r="C127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C170" i="8"/>
  <c r="C162" i="8"/>
  <c r="C154" i="8"/>
  <c r="C146" i="8"/>
  <c r="C138" i="8"/>
  <c r="C130" i="8"/>
  <c r="C122" i="8"/>
  <c r="C114" i="8"/>
  <c r="C106" i="8"/>
  <c r="C98" i="8"/>
  <c r="C90" i="8"/>
  <c r="C82" i="8"/>
  <c r="C74" i="8"/>
  <c r="C66" i="8"/>
  <c r="C58" i="8"/>
  <c r="C50" i="8"/>
  <c r="C42" i="8"/>
  <c r="C34" i="8"/>
  <c r="C26" i="8"/>
  <c r="C18" i="8"/>
  <c r="C10" i="8"/>
  <c r="U171" i="7"/>
  <c r="E10" i="7" s="1"/>
  <c r="F10" i="7" s="1"/>
  <c r="G8" i="7" s="1"/>
  <c r="M171" i="7"/>
  <c r="T171" i="7"/>
  <c r="L171" i="7"/>
  <c r="E5" i="7" s="1"/>
  <c r="F5" i="7" s="1"/>
  <c r="I171" i="7"/>
  <c r="E11" i="7" s="1"/>
  <c r="F11" i="7" s="1"/>
  <c r="N171" i="7"/>
  <c r="E14" i="7" s="1"/>
  <c r="F14" i="7" s="1"/>
  <c r="Q171" i="7"/>
  <c r="E3" i="7" s="1"/>
  <c r="F3" i="7" s="1"/>
  <c r="S171" i="7"/>
  <c r="E8" i="7" s="1"/>
  <c r="F8" i="7" s="1"/>
  <c r="K171" i="7"/>
  <c r="E12" i="7" s="1"/>
  <c r="F12" i="7" s="1"/>
  <c r="P171" i="7"/>
  <c r="R171" i="7"/>
  <c r="E7" i="7" s="1"/>
  <c r="F7" i="7" s="1"/>
  <c r="J171" i="7"/>
  <c r="E4" i="7" s="1"/>
  <c r="F4" i="7" s="1"/>
  <c r="G4" i="7" s="1"/>
  <c r="O171" i="7"/>
  <c r="E6" i="7" s="1"/>
  <c r="F6" i="7" s="1"/>
  <c r="G6" i="7" s="1"/>
  <c r="E9" i="7"/>
  <c r="F9" i="7" s="1"/>
  <c r="E13" i="7"/>
  <c r="F13" i="7" s="1"/>
  <c r="E2" i="7" l="1"/>
  <c r="F2" i="7" s="1"/>
  <c r="G2" i="7" s="1"/>
  <c r="H3" i="5"/>
</calcChain>
</file>

<file path=xl/sharedStrings.xml><?xml version="1.0" encoding="utf-8"?>
<sst xmlns="http://schemas.openxmlformats.org/spreadsheetml/2006/main" count="96" uniqueCount="89">
  <si>
    <t>Los atributos que tengan un valor de 0 en los resultados en todas sus horas, no aparecerán en el excel de dispatching que da vscode</t>
  </si>
  <si>
    <t>En Storage Units, si es negativo significa carga (consumo de electricidad/h2) y si número positivo (aportan electricidad/h2)</t>
  </si>
  <si>
    <t>Tambien tenemos en las hojas de resultados los valores del nivel en el que se encuentran los almacenamientos, por si se necesitan para algún calculo.</t>
  </si>
  <si>
    <t>Horas</t>
  </si>
  <si>
    <t>La hoja para comparar sres lo que hay que hacer es darle a run con un modo, copiar los datos que nos interesan en esta hoja, darle a run el otro modo y copiar los resultados en hoja; luego comparar sin importar los vinculos pq pegas como valores.</t>
  </si>
  <si>
    <t>Idea: estaría bien tener una tabla o una gráfica que poniendo el precio marginal que asignamos, me diga cual es el merit order de las tecnologías, y que tecnología está casando en cada hora</t>
  </si>
  <si>
    <t>Resultados Precios Marginales</t>
  </si>
  <si>
    <t>Eficiencia</t>
  </si>
  <si>
    <t>Turbina</t>
  </si>
  <si>
    <t>electricidad</t>
  </si>
  <si>
    <t>hidrógeno</t>
  </si>
  <si>
    <t>Capacidad Instalada</t>
  </si>
  <si>
    <t>Interconexion</t>
  </si>
  <si>
    <t>Para 168 h</t>
  </si>
  <si>
    <t>Flujo Total</t>
  </si>
  <si>
    <t>%Utilizacion Total</t>
  </si>
  <si>
    <t>PT00 -&gt; ES00</t>
  </si>
  <si>
    <t>ES00 -&gt; PT00</t>
  </si>
  <si>
    <t>ES00 -&gt; FR00</t>
  </si>
  <si>
    <t>FR00 -&gt; ES00</t>
  </si>
  <si>
    <t>Precios por bus que casa la demanda</t>
  </si>
  <si>
    <t>BUS ES00: bus electricidad de España.</t>
  </si>
  <si>
    <t>Precio Final Casación - Merit Order</t>
  </si>
  <si>
    <t>Marginal Cost establecido</t>
  </si>
  <si>
    <t>Generación de la energía consumida</t>
  </si>
  <si>
    <t>Importación Electricidad de Portugal - CCGT</t>
  </si>
  <si>
    <t>Importación Electricidad de Portugal - biomasa</t>
  </si>
  <si>
    <t>Importación Electricidad de Portugal - renovables</t>
  </si>
  <si>
    <t>Generación en España Solar, Eólica, Run of River</t>
  </si>
  <si>
    <t>Generación en España Biomasa</t>
  </si>
  <si>
    <t>Generación en España - CCGT</t>
  </si>
  <si>
    <t>Coste Anterior</t>
  </si>
  <si>
    <t>Importación Electricidad de Francia - Nuclear</t>
  </si>
  <si>
    <t>Importación Electricidad de Portugal - Turbina</t>
  </si>
  <si>
    <t>Importación Electricidad de Francia - renovables</t>
  </si>
  <si>
    <t>Importación Electricidad de Francia - biomasa</t>
  </si>
  <si>
    <t>Importación Electricidad de Francia - CCGT</t>
  </si>
  <si>
    <t>Importación Electricidad de Francia - Turbina</t>
  </si>
  <si>
    <t>MAh2-&gt;ESh2</t>
  </si>
  <si>
    <t>FRh2&gt;FRh2S</t>
  </si>
  <si>
    <t>FRh2S-&gt;FRh2</t>
  </si>
  <si>
    <t>FRh2SW-&gt;FRh2S</t>
  </si>
  <si>
    <t>CelZa: ES-PT</t>
  </si>
  <si>
    <t>BarMar: ES-FRSW</t>
  </si>
  <si>
    <t>CelZa: PT-ES</t>
  </si>
  <si>
    <t>Irun-Larrao: ES-FRS</t>
  </si>
  <si>
    <t>FR00-&gt;ES00</t>
  </si>
  <si>
    <t>horas</t>
  </si>
  <si>
    <t>tyndp24</t>
  </si>
  <si>
    <t>benchmarking</t>
  </si>
  <si>
    <t>tyndp 24 ES00-&gt;FR00</t>
  </si>
  <si>
    <t>Modelo ES00-FR00</t>
  </si>
  <si>
    <t>TYNDP 24' ES00-FR00</t>
  </si>
  <si>
    <t>TYNDP 24' ES00-PT00</t>
  </si>
  <si>
    <t>BenchMarking</t>
  </si>
  <si>
    <t>Modelo ES00-PT00</t>
  </si>
  <si>
    <t>Modelo ESh2-FRh2S</t>
  </si>
  <si>
    <t>TYNDP 24' ESh2-FRh2S</t>
  </si>
  <si>
    <t>TYNDP 24' ESh2-FRh2SW</t>
  </si>
  <si>
    <t>Modelo ESh2-FRh2SW</t>
  </si>
  <si>
    <t>Modelo ESh2-PTh2</t>
  </si>
  <si>
    <t>TYNDP 24' ESh2-PTh2</t>
  </si>
  <si>
    <t>TYNDP 24' ES-MAh2</t>
  </si>
  <si>
    <t>Modelo Esh2-MA</t>
  </si>
  <si>
    <t>BarMar: FRSW-ES</t>
  </si>
  <si>
    <t>Precio Marginal Electricity Market</t>
  </si>
  <si>
    <t>Precio Marginal Hidrogen Market ES</t>
  </si>
  <si>
    <t xml:space="preserve">renovables </t>
  </si>
  <si>
    <t>Biomasa</t>
  </si>
  <si>
    <t>Water</t>
  </si>
  <si>
    <t>????</t>
  </si>
  <si>
    <t>BarMar</t>
  </si>
  <si>
    <t>Celza</t>
  </si>
  <si>
    <t>Irun-Larrao</t>
  </si>
  <si>
    <t>ES-MAh2</t>
  </si>
  <si>
    <t>Si el generador de la tecnología con el precio máximo es &gt;0, ese es la tecnología que está casando el precio de mercado</t>
  </si>
  <si>
    <t>España:</t>
  </si>
  <si>
    <t>Solar</t>
  </si>
  <si>
    <t>Eólica</t>
  </si>
  <si>
    <t>CCGT</t>
  </si>
  <si>
    <t>Precio Marginal</t>
  </si>
  <si>
    <t>Importaciones Electricidad PT Solar</t>
  </si>
  <si>
    <t>Importaciones Electricidad PT Eólica</t>
  </si>
  <si>
    <t>Excedentes</t>
  </si>
  <si>
    <t>Importaciones Electricidad PT Biomasa</t>
  </si>
  <si>
    <t>Importaciones Electricidad PT Excedentes</t>
  </si>
  <si>
    <t>Importaciones Electricidad PT CCGT</t>
  </si>
  <si>
    <t>Importaciones Electricidad FR generador</t>
  </si>
  <si>
    <t>Coste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</si>
</sst>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1"/>
      <color rgb="FFFF0000"/>
      <name val="Tahoma"/>
      <family val="2"/>
    </font>
    <font>
      <sz val="11"/>
      <color theme="1"/>
      <name val="Ta"/>
    </font>
    <font>
      <sz val="11"/>
      <name val="Tahoma"/>
      <family val="2"/>
    </font>
    <font>
      <sz val="12"/>
      <color theme="1"/>
      <name val="Tahoma"/>
      <family val="2"/>
    </font>
    <font>
      <sz val="11"/>
      <color rgb="FF0070C0"/>
      <name val="Tahoma"/>
      <family val="2"/>
    </font>
    <font>
      <sz val="11"/>
      <color theme="0" tint="-0.34998626667073579"/>
      <name val="Tahoma"/>
      <family val="2"/>
    </font>
    <font>
      <sz val="11"/>
      <color theme="3"/>
      <name val="Tahoma"/>
      <family val="2"/>
    </font>
    <font>
      <sz val="11"/>
      <name val="Calibri"/>
      <family val="2"/>
    </font>
    <font>
      <u/>
      <sz val="11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" fontId="10" fillId="0" borderId="8"/>
  </cellStyleXfs>
  <cellXfs count="6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4" fillId="2" borderId="0" xfId="0" applyFont="1" applyFill="1"/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0" xfId="0" applyFont="1" applyFill="1"/>
    <xf numFmtId="0" fontId="6" fillId="2" borderId="2" xfId="0" applyFont="1" applyFill="1" applyBorder="1"/>
    <xf numFmtId="0" fontId="6" fillId="2" borderId="1" xfId="0" applyFont="1" applyFill="1" applyBorder="1"/>
    <xf numFmtId="0" fontId="7" fillId="2" borderId="0" xfId="0" applyFont="1" applyFill="1"/>
    <xf numFmtId="2" fontId="6" fillId="2" borderId="0" xfId="0" applyNumberFormat="1" applyFont="1" applyFill="1"/>
    <xf numFmtId="0" fontId="3" fillId="2" borderId="0" xfId="0" applyFont="1" applyFill="1"/>
    <xf numFmtId="10" fontId="2" fillId="2" borderId="0" xfId="1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7" fillId="2" borderId="3" xfId="0" applyFont="1" applyFill="1" applyBorder="1"/>
    <xf numFmtId="0" fontId="2" fillId="2" borderId="3" xfId="0" applyFont="1" applyFill="1" applyBorder="1" applyAlignment="1">
      <alignment horizontal="center"/>
    </xf>
    <xf numFmtId="2" fontId="7" fillId="2" borderId="0" xfId="0" applyNumberFormat="1" applyFont="1" applyFill="1"/>
    <xf numFmtId="2" fontId="2" fillId="2" borderId="0" xfId="0" applyNumberFormat="1" applyFont="1" applyFill="1"/>
    <xf numFmtId="2" fontId="7" fillId="2" borderId="1" xfId="0" applyNumberFormat="1" applyFont="1" applyFill="1" applyBorder="1"/>
    <xf numFmtId="2" fontId="2" fillId="2" borderId="1" xfId="0" applyNumberFormat="1" applyFont="1" applyFill="1" applyBorder="1"/>
    <xf numFmtId="164" fontId="6" fillId="2" borderId="0" xfId="0" applyNumberFormat="1" applyFont="1" applyFill="1"/>
    <xf numFmtId="10" fontId="2" fillId="2" borderId="0" xfId="1" applyNumberFormat="1" applyFont="1" applyFill="1"/>
    <xf numFmtId="10" fontId="2" fillId="2" borderId="1" xfId="1" applyNumberFormat="1" applyFont="1" applyFill="1" applyBorder="1"/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7" xfId="0" applyFont="1" applyFill="1" applyBorder="1"/>
    <xf numFmtId="0" fontId="2" fillId="4" borderId="4" xfId="0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6" xfId="0" applyFont="1" applyFill="1" applyBorder="1"/>
    <xf numFmtId="0" fontId="2" fillId="5" borderId="6" xfId="0" applyFont="1" applyFill="1" applyBorder="1" applyAlignment="1">
      <alignment horizontal="center"/>
    </xf>
    <xf numFmtId="4" fontId="2" fillId="2" borderId="0" xfId="0" applyNumberFormat="1" applyFont="1" applyFill="1" applyAlignment="1">
      <alignment horizontal="right"/>
    </xf>
    <xf numFmtId="0" fontId="2" fillId="6" borderId="0" xfId="0" applyFont="1" applyFill="1"/>
    <xf numFmtId="0" fontId="2" fillId="7" borderId="0" xfId="0" applyFont="1" applyFill="1"/>
    <xf numFmtId="0" fontId="2" fillId="2" borderId="10" xfId="0" applyFont="1" applyFill="1" applyBorder="1"/>
    <xf numFmtId="0" fontId="2" fillId="7" borderId="9" xfId="0" applyFont="1" applyFill="1" applyBorder="1"/>
    <xf numFmtId="0" fontId="2" fillId="8" borderId="9" xfId="0" applyFont="1" applyFill="1" applyBorder="1"/>
    <xf numFmtId="0" fontId="2" fillId="8" borderId="0" xfId="0" applyFont="1" applyFill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10" fontId="2" fillId="2" borderId="8" xfId="0" applyNumberFormat="1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11" fillId="2" borderId="0" xfId="0" applyFont="1" applyFill="1"/>
    <xf numFmtId="2" fontId="2" fillId="2" borderId="3" xfId="0" applyNumberFormat="1" applyFont="1" applyFill="1" applyBorder="1"/>
    <xf numFmtId="0" fontId="2" fillId="10" borderId="3" xfId="0" applyFont="1" applyFill="1" applyBorder="1"/>
    <xf numFmtId="2" fontId="2" fillId="2" borderId="0" xfId="0" applyNumberFormat="1" applyFont="1" applyFill="1" applyBorder="1"/>
    <xf numFmtId="0" fontId="2" fillId="10" borderId="0" xfId="0" applyFont="1" applyFill="1" applyBorder="1"/>
    <xf numFmtId="0" fontId="2" fillId="10" borderId="1" xfId="0" applyFont="1" applyFill="1" applyBorder="1"/>
    <xf numFmtId="0" fontId="2" fillId="2" borderId="3" xfId="0" applyFont="1" applyFill="1" applyBorder="1"/>
    <xf numFmtId="0" fontId="2" fillId="2" borderId="0" xfId="0" applyFont="1" applyFill="1" applyBorder="1"/>
    <xf numFmtId="2" fontId="2" fillId="11" borderId="3" xfId="0" applyNumberFormat="1" applyFont="1" applyFill="1" applyBorder="1"/>
    <xf numFmtId="2" fontId="2" fillId="11" borderId="0" xfId="0" applyNumberFormat="1" applyFont="1" applyFill="1" applyBorder="1"/>
    <xf numFmtId="2" fontId="2" fillId="11" borderId="1" xfId="0" applyNumberFormat="1" applyFont="1" applyFill="1" applyBorder="1"/>
    <xf numFmtId="2" fontId="2" fillId="10" borderId="3" xfId="0" applyNumberFormat="1" applyFont="1" applyFill="1" applyBorder="1"/>
    <xf numFmtId="2" fontId="2" fillId="10" borderId="0" xfId="0" applyNumberFormat="1" applyFont="1" applyFill="1" applyBorder="1"/>
    <xf numFmtId="2" fontId="2" fillId="10" borderId="1" xfId="0" applyNumberFormat="1" applyFont="1" applyFill="1" applyBorder="1"/>
    <xf numFmtId="2" fontId="2" fillId="2" borderId="2" xfId="0" applyNumberFormat="1" applyFont="1" applyFill="1" applyBorder="1"/>
    <xf numFmtId="0" fontId="2" fillId="2" borderId="2" xfId="0" applyFont="1" applyFill="1" applyBorder="1"/>
  </cellXfs>
  <cellStyles count="3">
    <cellStyle name="Normal" xfId="0" builtinId="0"/>
    <cellStyle name="Porcentaje" xfId="1" builtinId="5"/>
    <cellStyle name="time_series_data" xfId="2" xr:uid="{887C2FC8-83D6-479D-8996-8D08A83588F2}"/>
  </cellStyles>
  <dxfs count="0"/>
  <tableStyles count="0" defaultTableStyle="TableStyleMedium2" defaultPivotStyle="PivotStyleLight16"/>
  <colors>
    <mruColors>
      <color rgb="FFFFFFCC"/>
      <color rgb="FFFFCCCC"/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sz="1200"/>
              <a:t>Interconexión Electricidad España-Francia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TYNDP24'!$B$2</c:f>
              <c:strCache>
                <c:ptCount val="1"/>
                <c:pt idx="0">
                  <c:v>TYNDP 24' ES00-FR00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TYNDP24'!$B$3:$B$171</c:f>
              <c:numCache>
                <c:formatCode>General</c:formatCode>
                <c:ptCount val="169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-4637.2854358499999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-5000</c:v>
                </c:pt>
                <c:pt idx="59">
                  <c:v>-5000</c:v>
                </c:pt>
                <c:pt idx="60">
                  <c:v>-5000</c:v>
                </c:pt>
                <c:pt idx="61">
                  <c:v>-5000</c:v>
                </c:pt>
                <c:pt idx="62">
                  <c:v>-5000</c:v>
                </c:pt>
                <c:pt idx="63">
                  <c:v>-5000</c:v>
                </c:pt>
                <c:pt idx="64">
                  <c:v>-5000</c:v>
                </c:pt>
                <c:pt idx="65">
                  <c:v>-1713.7041172500001</c:v>
                </c:pt>
                <c:pt idx="66">
                  <c:v>0</c:v>
                </c:pt>
                <c:pt idx="67">
                  <c:v>0</c:v>
                </c:pt>
                <c:pt idx="68">
                  <c:v>-2426.7003472000001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1465.05731816</c:v>
                </c:pt>
                <c:pt idx="84">
                  <c:v>925.17442545999995</c:v>
                </c:pt>
                <c:pt idx="85">
                  <c:v>-1513.65472819</c:v>
                </c:pt>
                <c:pt idx="86">
                  <c:v>-344.47094636999998</c:v>
                </c:pt>
                <c:pt idx="87">
                  <c:v>0</c:v>
                </c:pt>
                <c:pt idx="88">
                  <c:v>5000</c:v>
                </c:pt>
                <c:pt idx="89">
                  <c:v>3497.8971185700002</c:v>
                </c:pt>
                <c:pt idx="90">
                  <c:v>857.40365249000001</c:v>
                </c:pt>
                <c:pt idx="91">
                  <c:v>-453.31010751000002</c:v>
                </c:pt>
                <c:pt idx="92">
                  <c:v>-4978.43301049</c:v>
                </c:pt>
                <c:pt idx="93">
                  <c:v>-4611.2245135499998</c:v>
                </c:pt>
                <c:pt idx="94">
                  <c:v>1757.5649192000001</c:v>
                </c:pt>
                <c:pt idx="95">
                  <c:v>1144.39219718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5000</c:v>
                </c:pt>
                <c:pt idx="113">
                  <c:v>3762.3537583100001</c:v>
                </c:pt>
                <c:pt idx="114">
                  <c:v>4083.94558951</c:v>
                </c:pt>
                <c:pt idx="115">
                  <c:v>4296.82949835</c:v>
                </c:pt>
                <c:pt idx="116">
                  <c:v>0</c:v>
                </c:pt>
                <c:pt idx="117">
                  <c:v>0</c:v>
                </c:pt>
                <c:pt idx="118">
                  <c:v>126.95832867999999</c:v>
                </c:pt>
                <c:pt idx="119">
                  <c:v>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4333.4466335099996</c:v>
                </c:pt>
                <c:pt idx="151">
                  <c:v>343.30606177999999</c:v>
                </c:pt>
                <c:pt idx="152">
                  <c:v>1807.2919545899999</c:v>
                </c:pt>
                <c:pt idx="153">
                  <c:v>1038.6723876000001</c:v>
                </c:pt>
                <c:pt idx="154">
                  <c:v>0</c:v>
                </c:pt>
                <c:pt idx="155">
                  <c:v>1562.9616304000001</c:v>
                </c:pt>
                <c:pt idx="156">
                  <c:v>2278.42759621</c:v>
                </c:pt>
                <c:pt idx="157">
                  <c:v>972.68318063000004</c:v>
                </c:pt>
                <c:pt idx="158">
                  <c:v>0</c:v>
                </c:pt>
                <c:pt idx="159">
                  <c:v>1843.48807126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9-4EB3-B513-06CF2BBF2B4C}"/>
            </c:ext>
          </c:extLst>
        </c:ser>
        <c:ser>
          <c:idx val="1"/>
          <c:order val="1"/>
          <c:tx>
            <c:strRef>
              <c:f>'Comparación con TYNDP24'!$C$2</c:f>
              <c:strCache>
                <c:ptCount val="1"/>
                <c:pt idx="0">
                  <c:v>Modelo ES00-FR00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0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40000"/>
                    <a:lumOff val="60000"/>
                    <a:alpha val="8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39-4EB3-B513-06CF2BBF2B4C}"/>
              </c:ext>
            </c:extLst>
          </c:dPt>
          <c:val>
            <c:numRef>
              <c:f>'Comparación con TYNDP24'!$C$3:$C$171</c:f>
              <c:numCache>
                <c:formatCode>General</c:formatCode>
                <c:ptCount val="169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-3682.2798601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-5000</c:v>
                </c:pt>
                <c:pt idx="59">
                  <c:v>-5000</c:v>
                </c:pt>
                <c:pt idx="60">
                  <c:v>-5000</c:v>
                </c:pt>
                <c:pt idx="61">
                  <c:v>-5000</c:v>
                </c:pt>
                <c:pt idx="62">
                  <c:v>-5000</c:v>
                </c:pt>
                <c:pt idx="63">
                  <c:v>-5000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39-4EB3-B513-06CF2BBF2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/>
              <a:t>Interconexión Electricidad Portugal</a:t>
            </a:r>
            <a:r>
              <a:rPr lang="es-ES" baseline="0"/>
              <a:t>-España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TYNDP24'!$H$2</c:f>
              <c:strCache>
                <c:ptCount val="1"/>
                <c:pt idx="0">
                  <c:v>TYNDP 24' ES00-PT00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'Comparación con TYNDP24'!$H$3:$H$171</c:f>
              <c:numCache>
                <c:formatCode>General</c:formatCode>
                <c:ptCount val="169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0</c:v>
                </c:pt>
                <c:pt idx="12">
                  <c:v>-1423.1677</c:v>
                </c:pt>
                <c:pt idx="13">
                  <c:v>-3500</c:v>
                </c:pt>
                <c:pt idx="14">
                  <c:v>-3500</c:v>
                </c:pt>
                <c:pt idx="15">
                  <c:v>-2930.90080137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  <c:pt idx="22">
                  <c:v>-3500</c:v>
                </c:pt>
                <c:pt idx="23">
                  <c:v>-3500</c:v>
                </c:pt>
                <c:pt idx="24">
                  <c:v>-3500</c:v>
                </c:pt>
                <c:pt idx="25">
                  <c:v>-3500</c:v>
                </c:pt>
                <c:pt idx="26">
                  <c:v>-3500</c:v>
                </c:pt>
                <c:pt idx="27">
                  <c:v>-3500</c:v>
                </c:pt>
                <c:pt idx="28">
                  <c:v>-3500</c:v>
                </c:pt>
                <c:pt idx="29">
                  <c:v>-3500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-3500</c:v>
                </c:pt>
                <c:pt idx="34">
                  <c:v>-3500</c:v>
                </c:pt>
                <c:pt idx="35">
                  <c:v>-3500</c:v>
                </c:pt>
                <c:pt idx="36">
                  <c:v>-3500</c:v>
                </c:pt>
                <c:pt idx="37">
                  <c:v>-3500</c:v>
                </c:pt>
                <c:pt idx="38">
                  <c:v>-3500</c:v>
                </c:pt>
                <c:pt idx="39">
                  <c:v>-3500</c:v>
                </c:pt>
                <c:pt idx="40">
                  <c:v>-3500</c:v>
                </c:pt>
                <c:pt idx="41">
                  <c:v>-3500</c:v>
                </c:pt>
                <c:pt idx="42">
                  <c:v>-3500</c:v>
                </c:pt>
                <c:pt idx="43">
                  <c:v>-3500</c:v>
                </c:pt>
                <c:pt idx="44">
                  <c:v>-3500</c:v>
                </c:pt>
                <c:pt idx="45">
                  <c:v>-3500</c:v>
                </c:pt>
                <c:pt idx="46">
                  <c:v>-3500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-3500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-3500</c:v>
                </c:pt>
                <c:pt idx="59">
                  <c:v>-3500</c:v>
                </c:pt>
                <c:pt idx="60">
                  <c:v>-3500</c:v>
                </c:pt>
                <c:pt idx="61">
                  <c:v>-3500</c:v>
                </c:pt>
                <c:pt idx="62">
                  <c:v>-3500</c:v>
                </c:pt>
                <c:pt idx="63">
                  <c:v>-3500</c:v>
                </c:pt>
                <c:pt idx="64">
                  <c:v>-3500</c:v>
                </c:pt>
                <c:pt idx="65">
                  <c:v>-3500</c:v>
                </c:pt>
                <c:pt idx="66">
                  <c:v>-3500</c:v>
                </c:pt>
                <c:pt idx="67">
                  <c:v>-3500</c:v>
                </c:pt>
                <c:pt idx="68">
                  <c:v>-3500</c:v>
                </c:pt>
                <c:pt idx="69">
                  <c:v>-3500</c:v>
                </c:pt>
                <c:pt idx="70">
                  <c:v>-3500</c:v>
                </c:pt>
                <c:pt idx="71">
                  <c:v>-3500</c:v>
                </c:pt>
                <c:pt idx="72">
                  <c:v>-3500</c:v>
                </c:pt>
                <c:pt idx="73">
                  <c:v>-3500</c:v>
                </c:pt>
                <c:pt idx="74">
                  <c:v>-3500</c:v>
                </c:pt>
                <c:pt idx="75">
                  <c:v>-3500</c:v>
                </c:pt>
                <c:pt idx="76">
                  <c:v>-3500</c:v>
                </c:pt>
                <c:pt idx="77">
                  <c:v>-3500</c:v>
                </c:pt>
                <c:pt idx="78">
                  <c:v>-3500</c:v>
                </c:pt>
                <c:pt idx="79">
                  <c:v>-3500</c:v>
                </c:pt>
                <c:pt idx="80">
                  <c:v>-3500</c:v>
                </c:pt>
                <c:pt idx="81">
                  <c:v>-3500</c:v>
                </c:pt>
                <c:pt idx="82">
                  <c:v>-3500</c:v>
                </c:pt>
                <c:pt idx="83">
                  <c:v>-3500</c:v>
                </c:pt>
                <c:pt idx="84">
                  <c:v>-3500</c:v>
                </c:pt>
                <c:pt idx="85">
                  <c:v>-3500</c:v>
                </c:pt>
                <c:pt idx="86">
                  <c:v>-3500</c:v>
                </c:pt>
                <c:pt idx="87">
                  <c:v>-3500</c:v>
                </c:pt>
                <c:pt idx="88">
                  <c:v>-3500</c:v>
                </c:pt>
                <c:pt idx="89">
                  <c:v>-3500</c:v>
                </c:pt>
                <c:pt idx="90">
                  <c:v>-3500</c:v>
                </c:pt>
                <c:pt idx="91">
                  <c:v>-3500</c:v>
                </c:pt>
                <c:pt idx="92">
                  <c:v>-3500</c:v>
                </c:pt>
                <c:pt idx="93">
                  <c:v>-3500</c:v>
                </c:pt>
                <c:pt idx="94">
                  <c:v>-3500</c:v>
                </c:pt>
                <c:pt idx="95">
                  <c:v>-3500</c:v>
                </c:pt>
                <c:pt idx="96">
                  <c:v>-3500</c:v>
                </c:pt>
                <c:pt idx="97">
                  <c:v>-3500</c:v>
                </c:pt>
                <c:pt idx="98">
                  <c:v>-3500</c:v>
                </c:pt>
                <c:pt idx="99">
                  <c:v>-3500</c:v>
                </c:pt>
                <c:pt idx="100">
                  <c:v>-3500</c:v>
                </c:pt>
                <c:pt idx="101">
                  <c:v>-3500</c:v>
                </c:pt>
                <c:pt idx="102">
                  <c:v>-3500</c:v>
                </c:pt>
                <c:pt idx="103">
                  <c:v>-3500</c:v>
                </c:pt>
                <c:pt idx="104">
                  <c:v>-3500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-3500</c:v>
                </c:pt>
                <c:pt idx="114">
                  <c:v>-3500</c:v>
                </c:pt>
                <c:pt idx="115">
                  <c:v>-3500</c:v>
                </c:pt>
                <c:pt idx="116">
                  <c:v>-3500</c:v>
                </c:pt>
                <c:pt idx="117">
                  <c:v>-3500</c:v>
                </c:pt>
                <c:pt idx="118">
                  <c:v>-3500</c:v>
                </c:pt>
                <c:pt idx="119">
                  <c:v>-3500</c:v>
                </c:pt>
                <c:pt idx="120">
                  <c:v>-2845.0853386600002</c:v>
                </c:pt>
                <c:pt idx="121">
                  <c:v>-3500</c:v>
                </c:pt>
                <c:pt idx="122">
                  <c:v>-3324.5293692599998</c:v>
                </c:pt>
                <c:pt idx="123">
                  <c:v>-3500</c:v>
                </c:pt>
                <c:pt idx="124">
                  <c:v>-2210.1468893599999</c:v>
                </c:pt>
                <c:pt idx="125">
                  <c:v>-3500</c:v>
                </c:pt>
                <c:pt idx="126">
                  <c:v>-2465.0285775100001</c:v>
                </c:pt>
                <c:pt idx="127">
                  <c:v>-2891.6518085100001</c:v>
                </c:pt>
                <c:pt idx="128">
                  <c:v>-3500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-3500</c:v>
                </c:pt>
                <c:pt idx="138">
                  <c:v>-3500</c:v>
                </c:pt>
                <c:pt idx="139">
                  <c:v>-3500</c:v>
                </c:pt>
                <c:pt idx="140">
                  <c:v>-3500</c:v>
                </c:pt>
                <c:pt idx="141">
                  <c:v>-3500</c:v>
                </c:pt>
                <c:pt idx="142">
                  <c:v>-3500</c:v>
                </c:pt>
                <c:pt idx="143">
                  <c:v>-317.68127659999999</c:v>
                </c:pt>
                <c:pt idx="144">
                  <c:v>-943.78527659999997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0-4110-A2E3-4D629B24EE05}"/>
            </c:ext>
          </c:extLst>
        </c:ser>
        <c:ser>
          <c:idx val="1"/>
          <c:order val="1"/>
          <c:tx>
            <c:strRef>
              <c:f>'Comparación con TYNDP24'!$I$2</c:f>
              <c:strCache>
                <c:ptCount val="1"/>
                <c:pt idx="0">
                  <c:v>Modelo ES00-PT00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  <a:alpha val="8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'Comparación con TYNDP24'!$I$3:$I$171</c:f>
              <c:numCache>
                <c:formatCode>General</c:formatCode>
                <c:ptCount val="169"/>
                <c:pt idx="0">
                  <c:v>-2837.788522564801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  <c:pt idx="22">
                  <c:v>-3500</c:v>
                </c:pt>
                <c:pt idx="23">
                  <c:v>-3500</c:v>
                </c:pt>
                <c:pt idx="24">
                  <c:v>-3500</c:v>
                </c:pt>
                <c:pt idx="25">
                  <c:v>-3500</c:v>
                </c:pt>
                <c:pt idx="26">
                  <c:v>-3500</c:v>
                </c:pt>
                <c:pt idx="27">
                  <c:v>-3500</c:v>
                </c:pt>
                <c:pt idx="28">
                  <c:v>-3500</c:v>
                </c:pt>
                <c:pt idx="29">
                  <c:v>-3500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-3500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-1751.833555632868</c:v>
                </c:pt>
                <c:pt idx="39">
                  <c:v>0</c:v>
                </c:pt>
                <c:pt idx="40">
                  <c:v>-3500</c:v>
                </c:pt>
                <c:pt idx="41">
                  <c:v>-3500</c:v>
                </c:pt>
                <c:pt idx="42">
                  <c:v>-3500</c:v>
                </c:pt>
                <c:pt idx="43">
                  <c:v>-3500</c:v>
                </c:pt>
                <c:pt idx="44">
                  <c:v>-3500</c:v>
                </c:pt>
                <c:pt idx="45">
                  <c:v>-3500</c:v>
                </c:pt>
                <c:pt idx="46">
                  <c:v>-3500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-3500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-3500</c:v>
                </c:pt>
                <c:pt idx="59">
                  <c:v>-3500</c:v>
                </c:pt>
                <c:pt idx="60">
                  <c:v>-3500</c:v>
                </c:pt>
                <c:pt idx="61">
                  <c:v>-3500</c:v>
                </c:pt>
                <c:pt idx="62">
                  <c:v>-3500</c:v>
                </c:pt>
                <c:pt idx="63">
                  <c:v>-3500</c:v>
                </c:pt>
                <c:pt idx="64">
                  <c:v>-3500</c:v>
                </c:pt>
                <c:pt idx="65">
                  <c:v>-3500</c:v>
                </c:pt>
                <c:pt idx="66">
                  <c:v>-3500</c:v>
                </c:pt>
                <c:pt idx="67">
                  <c:v>-3500</c:v>
                </c:pt>
                <c:pt idx="68">
                  <c:v>-3500</c:v>
                </c:pt>
                <c:pt idx="69">
                  <c:v>-3500</c:v>
                </c:pt>
                <c:pt idx="70">
                  <c:v>-3500</c:v>
                </c:pt>
                <c:pt idx="71">
                  <c:v>-3500</c:v>
                </c:pt>
                <c:pt idx="72">
                  <c:v>-3500</c:v>
                </c:pt>
                <c:pt idx="73">
                  <c:v>-3500</c:v>
                </c:pt>
                <c:pt idx="74">
                  <c:v>-3500</c:v>
                </c:pt>
                <c:pt idx="75">
                  <c:v>-3500</c:v>
                </c:pt>
                <c:pt idx="76">
                  <c:v>-3500</c:v>
                </c:pt>
                <c:pt idx="77">
                  <c:v>-3500</c:v>
                </c:pt>
                <c:pt idx="78">
                  <c:v>-3500</c:v>
                </c:pt>
                <c:pt idx="79">
                  <c:v>-3500</c:v>
                </c:pt>
                <c:pt idx="80">
                  <c:v>-3500</c:v>
                </c:pt>
                <c:pt idx="81">
                  <c:v>-3500</c:v>
                </c:pt>
                <c:pt idx="82">
                  <c:v>-3500</c:v>
                </c:pt>
                <c:pt idx="83">
                  <c:v>-3500</c:v>
                </c:pt>
                <c:pt idx="84">
                  <c:v>-3500</c:v>
                </c:pt>
                <c:pt idx="85">
                  <c:v>-3500</c:v>
                </c:pt>
                <c:pt idx="86">
                  <c:v>-3500</c:v>
                </c:pt>
                <c:pt idx="87">
                  <c:v>-3500</c:v>
                </c:pt>
                <c:pt idx="88">
                  <c:v>-3500</c:v>
                </c:pt>
                <c:pt idx="89">
                  <c:v>-3500</c:v>
                </c:pt>
                <c:pt idx="90">
                  <c:v>-3500</c:v>
                </c:pt>
                <c:pt idx="91">
                  <c:v>-3500</c:v>
                </c:pt>
                <c:pt idx="92">
                  <c:v>-3500</c:v>
                </c:pt>
                <c:pt idx="93">
                  <c:v>-3500</c:v>
                </c:pt>
                <c:pt idx="94">
                  <c:v>-3500</c:v>
                </c:pt>
                <c:pt idx="95">
                  <c:v>-3500</c:v>
                </c:pt>
                <c:pt idx="96">
                  <c:v>-3500</c:v>
                </c:pt>
                <c:pt idx="97">
                  <c:v>-3500</c:v>
                </c:pt>
                <c:pt idx="98">
                  <c:v>-3500</c:v>
                </c:pt>
                <c:pt idx="99">
                  <c:v>-3500</c:v>
                </c:pt>
                <c:pt idx="100">
                  <c:v>-3500</c:v>
                </c:pt>
                <c:pt idx="101">
                  <c:v>-3500</c:v>
                </c:pt>
                <c:pt idx="102">
                  <c:v>-3500</c:v>
                </c:pt>
                <c:pt idx="103">
                  <c:v>-3500</c:v>
                </c:pt>
                <c:pt idx="104">
                  <c:v>-3500</c:v>
                </c:pt>
                <c:pt idx="105">
                  <c:v>-3500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-3500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-3500</c:v>
                </c:pt>
                <c:pt idx="119">
                  <c:v>-3500</c:v>
                </c:pt>
                <c:pt idx="120">
                  <c:v>-3500</c:v>
                </c:pt>
                <c:pt idx="121">
                  <c:v>-3500</c:v>
                </c:pt>
                <c:pt idx="122">
                  <c:v>-3500</c:v>
                </c:pt>
                <c:pt idx="123">
                  <c:v>-3500</c:v>
                </c:pt>
                <c:pt idx="124">
                  <c:v>-3500</c:v>
                </c:pt>
                <c:pt idx="125">
                  <c:v>-2026.669196652407</c:v>
                </c:pt>
                <c:pt idx="126">
                  <c:v>-1414.4880560888</c:v>
                </c:pt>
                <c:pt idx="127">
                  <c:v>-1236.5047157432</c:v>
                </c:pt>
                <c:pt idx="128">
                  <c:v>-404.81008111760087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-3500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-3500</c:v>
                </c:pt>
                <c:pt idx="142">
                  <c:v>-3301.3505845432651</c:v>
                </c:pt>
                <c:pt idx="143">
                  <c:v>-3500</c:v>
                </c:pt>
                <c:pt idx="144">
                  <c:v>0</c:v>
                </c:pt>
                <c:pt idx="145">
                  <c:v>-3500</c:v>
                </c:pt>
                <c:pt idx="146">
                  <c:v>-3500</c:v>
                </c:pt>
                <c:pt idx="147">
                  <c:v>-1251.543351218739</c:v>
                </c:pt>
                <c:pt idx="148">
                  <c:v>3471.1602574531062</c:v>
                </c:pt>
                <c:pt idx="149">
                  <c:v>4200</c:v>
                </c:pt>
                <c:pt idx="150">
                  <c:v>3097.8781241243869</c:v>
                </c:pt>
                <c:pt idx="151">
                  <c:v>-1541.8405241220239</c:v>
                </c:pt>
                <c:pt idx="152">
                  <c:v>-2429.886565586939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1234.415537665687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0-4110-A2E3-4D629B24E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/>
              <a:t>Interconexión BarMar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TYNDP24'!$R$2</c:f>
              <c:strCache>
                <c:ptCount val="1"/>
                <c:pt idx="0">
                  <c:v>TYNDP 24' ESh2-FRh2S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TYNDP24'!$R$3:$R$171</c:f>
              <c:numCache>
                <c:formatCode>General</c:formatCode>
                <c:ptCount val="169"/>
                <c:pt idx="0">
                  <c:v>4147.0709527700001</c:v>
                </c:pt>
                <c:pt idx="1">
                  <c:v>4147.0709527700001</c:v>
                </c:pt>
                <c:pt idx="2">
                  <c:v>4147.0709527700001</c:v>
                </c:pt>
                <c:pt idx="3">
                  <c:v>4147.0709527700001</c:v>
                </c:pt>
                <c:pt idx="4">
                  <c:v>4147.5308346800002</c:v>
                </c:pt>
                <c:pt idx="5">
                  <c:v>4148.4505985100004</c:v>
                </c:pt>
                <c:pt idx="6">
                  <c:v>4148.9104804199997</c:v>
                </c:pt>
                <c:pt idx="7">
                  <c:v>4149.3703623299998</c:v>
                </c:pt>
                <c:pt idx="8">
                  <c:v>4149.3703623299998</c:v>
                </c:pt>
                <c:pt idx="9">
                  <c:v>4149.3703623299998</c:v>
                </c:pt>
                <c:pt idx="10">
                  <c:v>5194.2703623300004</c:v>
                </c:pt>
                <c:pt idx="11">
                  <c:v>6239.17036233</c:v>
                </c:pt>
                <c:pt idx="12">
                  <c:v>7284.0703623299996</c:v>
                </c:pt>
                <c:pt idx="13">
                  <c:v>7251.8104804200002</c:v>
                </c:pt>
                <c:pt idx="14">
                  <c:v>6206.9104804199997</c:v>
                </c:pt>
                <c:pt idx="15">
                  <c:v>5194.2703623300004</c:v>
                </c:pt>
                <c:pt idx="16">
                  <c:v>4149.3703623299998</c:v>
                </c:pt>
                <c:pt idx="17">
                  <c:v>3104.4703623300002</c:v>
                </c:pt>
                <c:pt idx="18">
                  <c:v>2410.93593199</c:v>
                </c:pt>
                <c:pt idx="19">
                  <c:v>2137.2023342000002</c:v>
                </c:pt>
                <c:pt idx="20">
                  <c:v>2075.9748640900002</c:v>
                </c:pt>
                <c:pt idx="21">
                  <c:v>2226.6540906499999</c:v>
                </c:pt>
                <c:pt idx="22">
                  <c:v>2469.4963343099998</c:v>
                </c:pt>
                <c:pt idx="23">
                  <c:v>3102.16996672</c:v>
                </c:pt>
                <c:pt idx="24">
                  <c:v>4147.0699667199997</c:v>
                </c:pt>
                <c:pt idx="25">
                  <c:v>4147.0699667199997</c:v>
                </c:pt>
                <c:pt idx="26">
                  <c:v>4147.0699667199997</c:v>
                </c:pt>
                <c:pt idx="27">
                  <c:v>3243.58206234</c:v>
                </c:pt>
                <c:pt idx="28">
                  <c:v>2384.7039280200001</c:v>
                </c:pt>
                <c:pt idx="29">
                  <c:v>2150.5994406999998</c:v>
                </c:pt>
                <c:pt idx="30">
                  <c:v>2159.3371970399999</c:v>
                </c:pt>
                <c:pt idx="31">
                  <c:v>2218.4787392200001</c:v>
                </c:pt>
                <c:pt idx="32">
                  <c:v>2470.05873922</c:v>
                </c:pt>
                <c:pt idx="33">
                  <c:v>3104.4693762799998</c:v>
                </c:pt>
                <c:pt idx="34">
                  <c:v>4149.3693762800003</c:v>
                </c:pt>
                <c:pt idx="35">
                  <c:v>5194.26937628</c:v>
                </c:pt>
                <c:pt idx="36">
                  <c:v>5388.44961246</c:v>
                </c:pt>
                <c:pt idx="37">
                  <c:v>5388.44961246</c:v>
                </c:pt>
                <c:pt idx="38">
                  <c:v>5388.9094943700002</c:v>
                </c:pt>
                <c:pt idx="39">
                  <c:v>4438.2042342799996</c:v>
                </c:pt>
                <c:pt idx="40">
                  <c:v>3393.3042342799999</c:v>
                </c:pt>
                <c:pt idx="41">
                  <c:v>2348.4042342799999</c:v>
                </c:pt>
                <c:pt idx="42">
                  <c:v>1303.50423428</c:v>
                </c:pt>
                <c:pt idx="43">
                  <c:v>258.60423428000001</c:v>
                </c:pt>
                <c:pt idx="44">
                  <c:v>-291.09313417999999</c:v>
                </c:pt>
                <c:pt idx="45">
                  <c:v>-635.53636103999997</c:v>
                </c:pt>
                <c:pt idx="46">
                  <c:v>-735.17163802000005</c:v>
                </c:pt>
                <c:pt idx="47">
                  <c:v>-893.90136801999995</c:v>
                </c:pt>
                <c:pt idx="48">
                  <c:v>-884.28998766999996</c:v>
                </c:pt>
                <c:pt idx="49">
                  <c:v>0</c:v>
                </c:pt>
                <c:pt idx="50">
                  <c:v>318.84599698</c:v>
                </c:pt>
                <c:pt idx="51">
                  <c:v>367.50981560999998</c:v>
                </c:pt>
                <c:pt idx="52">
                  <c:v>-305.07066967999998</c:v>
                </c:pt>
                <c:pt idx="53">
                  <c:v>-791.40073116999997</c:v>
                </c:pt>
                <c:pt idx="54">
                  <c:v>-443.96826850000002</c:v>
                </c:pt>
                <c:pt idx="55">
                  <c:v>600.93173149999996</c:v>
                </c:pt>
                <c:pt idx="56">
                  <c:v>1645.8317314999999</c:v>
                </c:pt>
                <c:pt idx="57">
                  <c:v>2690.7317315</c:v>
                </c:pt>
                <c:pt idx="58">
                  <c:v>3735.6317315000001</c:v>
                </c:pt>
                <c:pt idx="59">
                  <c:v>4148.9085083199998</c:v>
                </c:pt>
                <c:pt idx="60">
                  <c:v>5193.8085083200003</c:v>
                </c:pt>
                <c:pt idx="61">
                  <c:v>5388.4486264099996</c:v>
                </c:pt>
                <c:pt idx="62">
                  <c:v>4952.4133932200002</c:v>
                </c:pt>
                <c:pt idx="63">
                  <c:v>3907.5133932200001</c:v>
                </c:pt>
                <c:pt idx="64">
                  <c:v>2862.61339322</c:v>
                </c:pt>
                <c:pt idx="65">
                  <c:v>1817.7133932199999</c:v>
                </c:pt>
                <c:pt idx="66">
                  <c:v>772.81339321999997</c:v>
                </c:pt>
                <c:pt idx="67">
                  <c:v>-272.08660678000001</c:v>
                </c:pt>
                <c:pt idx="68">
                  <c:v>-1116.98637882</c:v>
                </c:pt>
                <c:pt idx="69">
                  <c:v>-2161.8863788200001</c:v>
                </c:pt>
                <c:pt idx="70">
                  <c:v>-2109.1441418099998</c:v>
                </c:pt>
                <c:pt idx="71">
                  <c:v>-3040.6195759500001</c:v>
                </c:pt>
                <c:pt idx="72">
                  <c:v>-2917.8826893400001</c:v>
                </c:pt>
                <c:pt idx="73">
                  <c:v>-2870.9779593399999</c:v>
                </c:pt>
                <c:pt idx="74">
                  <c:v>-2719.6343593400002</c:v>
                </c:pt>
                <c:pt idx="75">
                  <c:v>-2499.1971093400002</c:v>
                </c:pt>
                <c:pt idx="76">
                  <c:v>-1900.2376076400001</c:v>
                </c:pt>
                <c:pt idx="77">
                  <c:v>-1075.13259582</c:v>
                </c:pt>
                <c:pt idx="78">
                  <c:v>-30.23259582</c:v>
                </c:pt>
                <c:pt idx="79">
                  <c:v>1014.6674041799999</c:v>
                </c:pt>
                <c:pt idx="80">
                  <c:v>2059.5674041799998</c:v>
                </c:pt>
                <c:pt idx="81">
                  <c:v>3104.4674041799999</c:v>
                </c:pt>
                <c:pt idx="82">
                  <c:v>4149.3674041800004</c:v>
                </c:pt>
                <c:pt idx="83">
                  <c:v>5194.2674041800001</c:v>
                </c:pt>
                <c:pt idx="84">
                  <c:v>6007.1729621900004</c:v>
                </c:pt>
                <c:pt idx="85">
                  <c:v>6774.5788477200003</c:v>
                </c:pt>
                <c:pt idx="86">
                  <c:v>6775.4986115399997</c:v>
                </c:pt>
                <c:pt idx="87">
                  <c:v>6581.3183753699996</c:v>
                </c:pt>
                <c:pt idx="88">
                  <c:v>5536.4183753699999</c:v>
                </c:pt>
                <c:pt idx="89">
                  <c:v>5536.4183753699999</c:v>
                </c:pt>
                <c:pt idx="90">
                  <c:v>5535.4986115399997</c:v>
                </c:pt>
                <c:pt idx="91">
                  <c:v>4490.5986115400001</c:v>
                </c:pt>
                <c:pt idx="92">
                  <c:v>4147.98775845</c:v>
                </c:pt>
                <c:pt idx="93">
                  <c:v>4486.91955624</c:v>
                </c:pt>
                <c:pt idx="94">
                  <c:v>5531.8195562399997</c:v>
                </c:pt>
                <c:pt idx="95">
                  <c:v>6576.7195562400002</c:v>
                </c:pt>
                <c:pt idx="96">
                  <c:v>7198.3655444799997</c:v>
                </c:pt>
                <c:pt idx="97">
                  <c:v>7249.96700857</c:v>
                </c:pt>
                <c:pt idx="98">
                  <c:v>6205.0670085700003</c:v>
                </c:pt>
                <c:pt idx="99">
                  <c:v>5643.0894331</c:v>
                </c:pt>
                <c:pt idx="100">
                  <c:v>5873.6437379700001</c:v>
                </c:pt>
                <c:pt idx="101">
                  <c:v>6206.4466543099998</c:v>
                </c:pt>
                <c:pt idx="102">
                  <c:v>6206.9065362199999</c:v>
                </c:pt>
                <c:pt idx="103">
                  <c:v>5547.1622018600001</c:v>
                </c:pt>
                <c:pt idx="104">
                  <c:v>6198.6586495199999</c:v>
                </c:pt>
                <c:pt idx="105">
                  <c:v>7243.5586495199996</c:v>
                </c:pt>
                <c:pt idx="106">
                  <c:v>7627.1186459999999</c:v>
                </c:pt>
                <c:pt idx="107">
                  <c:v>7627.1186459999999</c:v>
                </c:pt>
                <c:pt idx="108">
                  <c:v>7627.1186459999999</c:v>
                </c:pt>
                <c:pt idx="109">
                  <c:v>7627.1186459999999</c:v>
                </c:pt>
                <c:pt idx="110">
                  <c:v>7627.1186459999999</c:v>
                </c:pt>
                <c:pt idx="111">
                  <c:v>7627.1186459999999</c:v>
                </c:pt>
                <c:pt idx="112">
                  <c:v>7627.1186459999999</c:v>
                </c:pt>
                <c:pt idx="113">
                  <c:v>7627.1186459999999</c:v>
                </c:pt>
                <c:pt idx="114">
                  <c:v>6942.5788282200001</c:v>
                </c:pt>
                <c:pt idx="115">
                  <c:v>7627.1186459999999</c:v>
                </c:pt>
                <c:pt idx="116">
                  <c:v>6941.6590643999998</c:v>
                </c:pt>
                <c:pt idx="117">
                  <c:v>7627.1186459999999</c:v>
                </c:pt>
                <c:pt idx="118">
                  <c:v>6940.7393005699996</c:v>
                </c:pt>
                <c:pt idx="119">
                  <c:v>6940.7393005699996</c:v>
                </c:pt>
                <c:pt idx="120">
                  <c:v>7627.1186459999999</c:v>
                </c:pt>
                <c:pt idx="121">
                  <c:v>7627.1186459999999</c:v>
                </c:pt>
                <c:pt idx="122">
                  <c:v>7627.1186459999999</c:v>
                </c:pt>
                <c:pt idx="123">
                  <c:v>7627.1186459999999</c:v>
                </c:pt>
                <c:pt idx="124">
                  <c:v>7627.1186459999999</c:v>
                </c:pt>
                <c:pt idx="125">
                  <c:v>7627.1186459999999</c:v>
                </c:pt>
                <c:pt idx="126">
                  <c:v>7627.1186459999999</c:v>
                </c:pt>
                <c:pt idx="127">
                  <c:v>7627.1186459999999</c:v>
                </c:pt>
                <c:pt idx="128">
                  <c:v>7627.1186459999999</c:v>
                </c:pt>
                <c:pt idx="129">
                  <c:v>7627.1186459999999</c:v>
                </c:pt>
                <c:pt idx="130">
                  <c:v>7627.1186459999999</c:v>
                </c:pt>
                <c:pt idx="131">
                  <c:v>7627.1186459999999</c:v>
                </c:pt>
                <c:pt idx="132">
                  <c:v>7627.1186459999999</c:v>
                </c:pt>
                <c:pt idx="133">
                  <c:v>7627.1186459999999</c:v>
                </c:pt>
                <c:pt idx="134">
                  <c:v>7627.1186459999999</c:v>
                </c:pt>
                <c:pt idx="135">
                  <c:v>7627.1186459999999</c:v>
                </c:pt>
                <c:pt idx="136">
                  <c:v>7627.1186459999999</c:v>
                </c:pt>
                <c:pt idx="137">
                  <c:v>7627.1186459999999</c:v>
                </c:pt>
                <c:pt idx="138">
                  <c:v>7627.1186459999999</c:v>
                </c:pt>
                <c:pt idx="139">
                  <c:v>7627.1186459999999</c:v>
                </c:pt>
                <c:pt idx="140">
                  <c:v>7627.1186459999999</c:v>
                </c:pt>
                <c:pt idx="141">
                  <c:v>7627.1186459999999</c:v>
                </c:pt>
                <c:pt idx="142">
                  <c:v>7627.1186459999999</c:v>
                </c:pt>
                <c:pt idx="143">
                  <c:v>7627.1186459999999</c:v>
                </c:pt>
                <c:pt idx="144">
                  <c:v>7627.1186459999999</c:v>
                </c:pt>
                <c:pt idx="145">
                  <c:v>7627.1186459999999</c:v>
                </c:pt>
                <c:pt idx="146">
                  <c:v>7627.1186459999999</c:v>
                </c:pt>
                <c:pt idx="147">
                  <c:v>7627.1186459999999</c:v>
                </c:pt>
                <c:pt idx="148">
                  <c:v>7627.1186459999999</c:v>
                </c:pt>
                <c:pt idx="149">
                  <c:v>7627.1186459999999</c:v>
                </c:pt>
                <c:pt idx="150">
                  <c:v>7627.1186459999999</c:v>
                </c:pt>
                <c:pt idx="151">
                  <c:v>7627.1186459999999</c:v>
                </c:pt>
                <c:pt idx="152">
                  <c:v>7627.1186459999999</c:v>
                </c:pt>
                <c:pt idx="153">
                  <c:v>7627.1186459999999</c:v>
                </c:pt>
                <c:pt idx="154">
                  <c:v>7627.1186459999999</c:v>
                </c:pt>
                <c:pt idx="155">
                  <c:v>7627.1186459999999</c:v>
                </c:pt>
                <c:pt idx="156">
                  <c:v>7627.1186459999999</c:v>
                </c:pt>
                <c:pt idx="157">
                  <c:v>7627.1186459999999</c:v>
                </c:pt>
                <c:pt idx="158">
                  <c:v>7627.1186459999999</c:v>
                </c:pt>
                <c:pt idx="159">
                  <c:v>7627.1186459999999</c:v>
                </c:pt>
                <c:pt idx="160">
                  <c:v>7627.1186459999999</c:v>
                </c:pt>
                <c:pt idx="161">
                  <c:v>7627.1186459999999</c:v>
                </c:pt>
                <c:pt idx="162">
                  <c:v>7627.1186459999999</c:v>
                </c:pt>
                <c:pt idx="163">
                  <c:v>7627.1186459999999</c:v>
                </c:pt>
                <c:pt idx="164">
                  <c:v>7627.1186459999999</c:v>
                </c:pt>
                <c:pt idx="165">
                  <c:v>7627.1186459999999</c:v>
                </c:pt>
                <c:pt idx="166">
                  <c:v>7627.1186459999999</c:v>
                </c:pt>
                <c:pt idx="167">
                  <c:v>7627.1186459999999</c:v>
                </c:pt>
                <c:pt idx="168">
                  <c:v>7627.1186459999999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1-4521-9FF6-7AA14E7F9C64}"/>
            </c:ext>
          </c:extLst>
        </c:ser>
        <c:ser>
          <c:idx val="1"/>
          <c:order val="1"/>
          <c:tx>
            <c:strRef>
              <c:f>'Comparación con TYNDP24'!$S$2</c:f>
              <c:strCache>
                <c:ptCount val="1"/>
                <c:pt idx="0">
                  <c:v>Modelo ESh2-FRh2S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  <a:alpha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TYNDP24'!$S$3:$S$171</c:f>
              <c:numCache>
                <c:formatCode>General</c:formatCode>
                <c:ptCount val="169"/>
                <c:pt idx="0">
                  <c:v>3985.9887250000002</c:v>
                </c:pt>
                <c:pt idx="1">
                  <c:v>3985.9887250000002</c:v>
                </c:pt>
                <c:pt idx="2">
                  <c:v>3985.9887250000002</c:v>
                </c:pt>
                <c:pt idx="3">
                  <c:v>3985.9887250000002</c:v>
                </c:pt>
                <c:pt idx="4">
                  <c:v>3985.9887250000002</c:v>
                </c:pt>
                <c:pt idx="5">
                  <c:v>3985.9887250000002</c:v>
                </c:pt>
                <c:pt idx="6">
                  <c:v>3985.9887250000002</c:v>
                </c:pt>
                <c:pt idx="7">
                  <c:v>3985.9887250000002</c:v>
                </c:pt>
                <c:pt idx="8">
                  <c:v>3985.9887250000002</c:v>
                </c:pt>
                <c:pt idx="9">
                  <c:v>3985.9887250000002</c:v>
                </c:pt>
                <c:pt idx="10">
                  <c:v>5352.1076543300014</c:v>
                </c:pt>
                <c:pt idx="11">
                  <c:v>7024.7477724199998</c:v>
                </c:pt>
                <c:pt idx="12">
                  <c:v>7597.6610170000004</c:v>
                </c:pt>
                <c:pt idx="13">
                  <c:v>7178.7084983700006</c:v>
                </c:pt>
                <c:pt idx="14">
                  <c:v>7024.7477724199998</c:v>
                </c:pt>
                <c:pt idx="15">
                  <c:v>6012.1076543300014</c:v>
                </c:pt>
                <c:pt idx="16">
                  <c:v>3985.9887250000002</c:v>
                </c:pt>
                <c:pt idx="17">
                  <c:v>2941.0887250000001</c:v>
                </c:pt>
                <c:pt idx="18">
                  <c:v>1896.6486069099999</c:v>
                </c:pt>
                <c:pt idx="19">
                  <c:v>852.20848882999985</c:v>
                </c:pt>
                <c:pt idx="20">
                  <c:v>-192.23162926000029</c:v>
                </c:pt>
                <c:pt idx="21">
                  <c:v>-1236.67174735</c:v>
                </c:pt>
                <c:pt idx="22">
                  <c:v>-381.55949709000009</c:v>
                </c:pt>
                <c:pt idx="23">
                  <c:v>663.34050290999994</c:v>
                </c:pt>
                <c:pt idx="24">
                  <c:v>1708.24148896</c:v>
                </c:pt>
                <c:pt idx="25">
                  <c:v>2753.1414889600001</c:v>
                </c:pt>
                <c:pt idx="26">
                  <c:v>2953.4013814999998</c:v>
                </c:pt>
                <c:pt idx="27">
                  <c:v>1908.5013815</c:v>
                </c:pt>
                <c:pt idx="28">
                  <c:v>863.14149958999997</c:v>
                </c:pt>
                <c:pt idx="29">
                  <c:v>-182.67826424000029</c:v>
                </c:pt>
                <c:pt idx="30">
                  <c:v>-193.15139309000011</c:v>
                </c:pt>
                <c:pt idx="31">
                  <c:v>851.28872499999989</c:v>
                </c:pt>
                <c:pt idx="32">
                  <c:v>1896.188725</c:v>
                </c:pt>
                <c:pt idx="33">
                  <c:v>2941.0887250000001</c:v>
                </c:pt>
                <c:pt idx="34">
                  <c:v>3985.9887250000002</c:v>
                </c:pt>
                <c:pt idx="35">
                  <c:v>5031.3486069099999</c:v>
                </c:pt>
                <c:pt idx="36">
                  <c:v>5947.1300732</c:v>
                </c:pt>
                <c:pt idx="37">
                  <c:v>5546.2869044600002</c:v>
                </c:pt>
                <c:pt idx="38">
                  <c:v>4562.7191633700004</c:v>
                </c:pt>
                <c:pt idx="39">
                  <c:v>3517.8191633699998</c:v>
                </c:pt>
                <c:pt idx="40">
                  <c:v>2151.7012200899999</c:v>
                </c:pt>
                <c:pt idx="41">
                  <c:v>1106.80122009</c:v>
                </c:pt>
                <c:pt idx="42">
                  <c:v>62.361101999999853</c:v>
                </c:pt>
                <c:pt idx="43">
                  <c:v>-982.0790160900001</c:v>
                </c:pt>
                <c:pt idx="44">
                  <c:v>-2026.51913418</c:v>
                </c:pt>
                <c:pt idx="45">
                  <c:v>-2370.9623610399999</c:v>
                </c:pt>
                <c:pt idx="46">
                  <c:v>-2470.59763802</c:v>
                </c:pt>
                <c:pt idx="47">
                  <c:v>-2629.32736802</c:v>
                </c:pt>
                <c:pt idx="48">
                  <c:v>-2618.8018549799999</c:v>
                </c:pt>
                <c:pt idx="49">
                  <c:v>-2527.4830749799999</c:v>
                </c:pt>
                <c:pt idx="50">
                  <c:v>-2435.0858049799999</c:v>
                </c:pt>
                <c:pt idx="51">
                  <c:v>-2530.01777498</c:v>
                </c:pt>
                <c:pt idx="52">
                  <c:v>-2655.55179774</c:v>
                </c:pt>
                <c:pt idx="53">
                  <c:v>-2861.8570897499999</c:v>
                </c:pt>
                <c:pt idx="54">
                  <c:v>-2275.83945877</c:v>
                </c:pt>
                <c:pt idx="55">
                  <c:v>-1231.39934068</c:v>
                </c:pt>
                <c:pt idx="56">
                  <c:v>-186.49934068000039</c:v>
                </c:pt>
                <c:pt idx="57">
                  <c:v>858.4006593199997</c:v>
                </c:pt>
                <c:pt idx="58">
                  <c:v>1903.30065932</c:v>
                </c:pt>
                <c:pt idx="59">
                  <c:v>2948.66054123</c:v>
                </c:pt>
                <c:pt idx="60">
                  <c:v>4314.3176165599998</c:v>
                </c:pt>
                <c:pt idx="61">
                  <c:v>4665.3159926900007</c:v>
                </c:pt>
                <c:pt idx="62">
                  <c:v>3620.4159926900002</c:v>
                </c:pt>
                <c:pt idx="63">
                  <c:v>2254.2990354600001</c:v>
                </c:pt>
                <c:pt idx="64">
                  <c:v>1209.3990354600001</c:v>
                </c:pt>
                <c:pt idx="65">
                  <c:v>164.49903545999999</c:v>
                </c:pt>
                <c:pt idx="66">
                  <c:v>-1209.94108263</c:v>
                </c:pt>
                <c:pt idx="67">
                  <c:v>-2254.3812007199999</c:v>
                </c:pt>
                <c:pt idx="68">
                  <c:v>-2968.8213188099999</c:v>
                </c:pt>
                <c:pt idx="69">
                  <c:v>-4013.2614368899999</c:v>
                </c:pt>
                <c:pt idx="70">
                  <c:v>-5057.7015549799999</c:v>
                </c:pt>
                <c:pt idx="71">
                  <c:v>-4776.0455759500001</c:v>
                </c:pt>
                <c:pt idx="72">
                  <c:v>-4653.3086893399995</c:v>
                </c:pt>
                <c:pt idx="73">
                  <c:v>-4606.4039593400003</c:v>
                </c:pt>
                <c:pt idx="74">
                  <c:v>-4455.0603593400001</c:v>
                </c:pt>
                <c:pt idx="75">
                  <c:v>-4234.6231093400002</c:v>
                </c:pt>
                <c:pt idx="76">
                  <c:v>-3941.6156821</c:v>
                </c:pt>
                <c:pt idx="77">
                  <c:v>-3075.42857749</c:v>
                </c:pt>
                <c:pt idx="78">
                  <c:v>-2030.9884594</c:v>
                </c:pt>
                <c:pt idx="79">
                  <c:v>-986.54834132000019</c:v>
                </c:pt>
                <c:pt idx="80">
                  <c:v>58.351658679999673</c:v>
                </c:pt>
                <c:pt idx="81">
                  <c:v>1103.25165868</c:v>
                </c:pt>
                <c:pt idx="82">
                  <c:v>2148.1516586799999</c:v>
                </c:pt>
                <c:pt idx="83">
                  <c:v>3193.5115406</c:v>
                </c:pt>
                <c:pt idx="84">
                  <c:v>4559.1676298700004</c:v>
                </c:pt>
                <c:pt idx="85">
                  <c:v>5546.2849323600003</c:v>
                </c:pt>
                <c:pt idx="86">
                  <c:v>5546.7448142699996</c:v>
                </c:pt>
                <c:pt idx="87">
                  <c:v>5547.2046961800006</c:v>
                </c:pt>
                <c:pt idx="88">
                  <c:v>5225.9887250000002</c:v>
                </c:pt>
                <c:pt idx="89">
                  <c:v>3985.9887250000002</c:v>
                </c:pt>
                <c:pt idx="90">
                  <c:v>3985.9887250000002</c:v>
                </c:pt>
                <c:pt idx="91">
                  <c:v>3985.9887250000002</c:v>
                </c:pt>
                <c:pt idx="92">
                  <c:v>3985.9887250000002</c:v>
                </c:pt>
                <c:pt idx="93">
                  <c:v>3985.9887250000002</c:v>
                </c:pt>
                <c:pt idx="94">
                  <c:v>5031.3486069099999</c:v>
                </c:pt>
                <c:pt idx="95">
                  <c:v>5947.5919272000001</c:v>
                </c:pt>
                <c:pt idx="96">
                  <c:v>5544.9043005699996</c:v>
                </c:pt>
                <c:pt idx="97">
                  <c:v>5544.9043005699996</c:v>
                </c:pt>
                <c:pt idx="98">
                  <c:v>6010.2309963100006</c:v>
                </c:pt>
                <c:pt idx="99">
                  <c:v>6204.9043005699996</c:v>
                </c:pt>
                <c:pt idx="100">
                  <c:v>5545.3641824799997</c:v>
                </c:pt>
                <c:pt idx="101">
                  <c:v>5546.2839463100008</c:v>
                </c:pt>
                <c:pt idx="102">
                  <c:v>6206.7438282200001</c:v>
                </c:pt>
                <c:pt idx="103">
                  <c:v>6207.2037101300002</c:v>
                </c:pt>
                <c:pt idx="104">
                  <c:v>6310.3037101300006</c:v>
                </c:pt>
                <c:pt idx="105">
                  <c:v>7597.6610170000004</c:v>
                </c:pt>
                <c:pt idx="106">
                  <c:v>7597.6610170000004</c:v>
                </c:pt>
                <c:pt idx="107">
                  <c:v>7597.6610170000004</c:v>
                </c:pt>
                <c:pt idx="108">
                  <c:v>7597.6610170000004</c:v>
                </c:pt>
                <c:pt idx="109">
                  <c:v>7597.6610170000004</c:v>
                </c:pt>
                <c:pt idx="110">
                  <c:v>7597.6610170000004</c:v>
                </c:pt>
                <c:pt idx="111">
                  <c:v>7597.6610170000004</c:v>
                </c:pt>
                <c:pt idx="112">
                  <c:v>7597.6610170000004</c:v>
                </c:pt>
                <c:pt idx="113">
                  <c:v>7025.2037101300002</c:v>
                </c:pt>
                <c:pt idx="114">
                  <c:v>6373.7442540200009</c:v>
                </c:pt>
                <c:pt idx="115">
                  <c:v>5546.2839463100008</c:v>
                </c:pt>
                <c:pt idx="116">
                  <c:v>5545.8240643999998</c:v>
                </c:pt>
                <c:pt idx="117">
                  <c:v>6205.3641824800006</c:v>
                </c:pt>
                <c:pt idx="118">
                  <c:v>5544.9043005699996</c:v>
                </c:pt>
                <c:pt idx="119">
                  <c:v>6204.9043005699996</c:v>
                </c:pt>
                <c:pt idx="120">
                  <c:v>6779.6610170000004</c:v>
                </c:pt>
                <c:pt idx="121">
                  <c:v>7597.6610170000004</c:v>
                </c:pt>
                <c:pt idx="122">
                  <c:v>7022.82069073</c:v>
                </c:pt>
                <c:pt idx="123">
                  <c:v>7597.6610170000004</c:v>
                </c:pt>
                <c:pt idx="124">
                  <c:v>7597.6610170000004</c:v>
                </c:pt>
                <c:pt idx="125">
                  <c:v>6779.6610170000004</c:v>
                </c:pt>
                <c:pt idx="126">
                  <c:v>7597.6610170000004</c:v>
                </c:pt>
                <c:pt idx="127">
                  <c:v>7024.6761585600007</c:v>
                </c:pt>
                <c:pt idx="128">
                  <c:v>7024.6761585600007</c:v>
                </c:pt>
                <c:pt idx="129">
                  <c:v>7597.6610170000004</c:v>
                </c:pt>
                <c:pt idx="130">
                  <c:v>7597.6610170000004</c:v>
                </c:pt>
                <c:pt idx="131">
                  <c:v>7597.6610170000004</c:v>
                </c:pt>
                <c:pt idx="132">
                  <c:v>7597.6610170000004</c:v>
                </c:pt>
                <c:pt idx="133">
                  <c:v>7597.6610170000004</c:v>
                </c:pt>
                <c:pt idx="134">
                  <c:v>7597.6610170000004</c:v>
                </c:pt>
                <c:pt idx="135">
                  <c:v>7597.6610170000004</c:v>
                </c:pt>
                <c:pt idx="136">
                  <c:v>7597.6610170000004</c:v>
                </c:pt>
                <c:pt idx="137">
                  <c:v>6414.7316264000001</c:v>
                </c:pt>
                <c:pt idx="138">
                  <c:v>7597.6610170000004</c:v>
                </c:pt>
                <c:pt idx="139">
                  <c:v>7024.6761585600007</c:v>
                </c:pt>
                <c:pt idx="140">
                  <c:v>7597.6610170000004</c:v>
                </c:pt>
                <c:pt idx="141">
                  <c:v>7023.7484246500007</c:v>
                </c:pt>
                <c:pt idx="142">
                  <c:v>6779.6610170000004</c:v>
                </c:pt>
                <c:pt idx="143">
                  <c:v>7022.82069073</c:v>
                </c:pt>
                <c:pt idx="144">
                  <c:v>7597.6610170000004</c:v>
                </c:pt>
                <c:pt idx="145">
                  <c:v>7597.6610170000004</c:v>
                </c:pt>
                <c:pt idx="146">
                  <c:v>7597.6610170000004</c:v>
                </c:pt>
                <c:pt idx="147">
                  <c:v>7597.6610170000004</c:v>
                </c:pt>
                <c:pt idx="148">
                  <c:v>7597.6610170000004</c:v>
                </c:pt>
                <c:pt idx="149">
                  <c:v>7597.6610170000004</c:v>
                </c:pt>
                <c:pt idx="150">
                  <c:v>7597.6610170000004</c:v>
                </c:pt>
                <c:pt idx="151">
                  <c:v>7597.6610170000004</c:v>
                </c:pt>
                <c:pt idx="152">
                  <c:v>7597.6610170000004</c:v>
                </c:pt>
                <c:pt idx="153">
                  <c:v>7597.6610170000004</c:v>
                </c:pt>
                <c:pt idx="154">
                  <c:v>7597.6610170000004</c:v>
                </c:pt>
                <c:pt idx="155">
                  <c:v>7597.6610170000004</c:v>
                </c:pt>
                <c:pt idx="156">
                  <c:v>7597.6610170000004</c:v>
                </c:pt>
                <c:pt idx="157">
                  <c:v>7597.6610170000004</c:v>
                </c:pt>
                <c:pt idx="158">
                  <c:v>7597.6610170000004</c:v>
                </c:pt>
                <c:pt idx="159">
                  <c:v>7597.6610170000004</c:v>
                </c:pt>
                <c:pt idx="160">
                  <c:v>7597.6610170000004</c:v>
                </c:pt>
                <c:pt idx="161">
                  <c:v>7597.6610170000004</c:v>
                </c:pt>
                <c:pt idx="162">
                  <c:v>7597.6610170000004</c:v>
                </c:pt>
                <c:pt idx="163">
                  <c:v>7597.6610170000004</c:v>
                </c:pt>
                <c:pt idx="164">
                  <c:v>7597.6610170000004</c:v>
                </c:pt>
                <c:pt idx="165">
                  <c:v>7597.6610170000004</c:v>
                </c:pt>
                <c:pt idx="166">
                  <c:v>7597.6610170000004</c:v>
                </c:pt>
                <c:pt idx="167">
                  <c:v>7597.6610170000004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1-4521-9FF6-7AA14E7F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/>
              <a:t>Interconexión Irun-Larrao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TYNDP24'!$Z$2</c:f>
              <c:strCache>
                <c:ptCount val="1"/>
                <c:pt idx="0">
                  <c:v>TYNDP 24' ESh2-FRh2SW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TYNDP24'!$Z$3:$Z$171</c:f>
              <c:numCache>
                <c:formatCode>General</c:formatCode>
                <c:ptCount val="169"/>
                <c:pt idx="0">
                  <c:v>-532.24548023</c:v>
                </c:pt>
                <c:pt idx="1">
                  <c:v>-532.24548023</c:v>
                </c:pt>
                <c:pt idx="2">
                  <c:v>-532.24548023</c:v>
                </c:pt>
                <c:pt idx="3">
                  <c:v>-532.24548023</c:v>
                </c:pt>
                <c:pt idx="4">
                  <c:v>-531.78559831999996</c:v>
                </c:pt>
                <c:pt idx="5">
                  <c:v>-530.86583449</c:v>
                </c:pt>
                <c:pt idx="6">
                  <c:v>-530.40595257999996</c:v>
                </c:pt>
                <c:pt idx="7">
                  <c:v>-529.94607067000004</c:v>
                </c:pt>
                <c:pt idx="8">
                  <c:v>-529.94607067000004</c:v>
                </c:pt>
                <c:pt idx="9">
                  <c:v>-529.94607067000004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-544.81937049999999</c:v>
                </c:pt>
                <c:pt idx="18">
                  <c:v>-530.40595257999996</c:v>
                </c:pt>
                <c:pt idx="19">
                  <c:v>-530.86583449</c:v>
                </c:pt>
                <c:pt idx="20">
                  <c:v>-531.32571640000003</c:v>
                </c:pt>
                <c:pt idx="21">
                  <c:v>-531.78559831999996</c:v>
                </c:pt>
                <c:pt idx="22">
                  <c:v>-532.24548023</c:v>
                </c:pt>
                <c:pt idx="23">
                  <c:v>-532.24548023</c:v>
                </c:pt>
                <c:pt idx="24">
                  <c:v>-532.24646628000005</c:v>
                </c:pt>
                <c:pt idx="25">
                  <c:v>-532.24646628000005</c:v>
                </c:pt>
                <c:pt idx="26">
                  <c:v>-532.24646628000005</c:v>
                </c:pt>
                <c:pt idx="27">
                  <c:v>-532.24646628000005</c:v>
                </c:pt>
                <c:pt idx="28">
                  <c:v>-531.78658437000001</c:v>
                </c:pt>
                <c:pt idx="29">
                  <c:v>-530.86682054000005</c:v>
                </c:pt>
                <c:pt idx="30">
                  <c:v>-530.40693863000001</c:v>
                </c:pt>
                <c:pt idx="31">
                  <c:v>-529.94705671999998</c:v>
                </c:pt>
                <c:pt idx="32">
                  <c:v>-529.94705671999998</c:v>
                </c:pt>
                <c:pt idx="33">
                  <c:v>-543.83041203000005</c:v>
                </c:pt>
                <c:pt idx="34">
                  <c:v>-199.94705672000001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-529.94705671999998</c:v>
                </c:pt>
                <c:pt idx="41">
                  <c:v>-1216.8870567199999</c:v>
                </c:pt>
                <c:pt idx="42">
                  <c:v>-1903.82705672</c:v>
                </c:pt>
                <c:pt idx="43">
                  <c:v>-2590.7670567199998</c:v>
                </c:pt>
                <c:pt idx="44">
                  <c:v>-2084.9989944499998</c:v>
                </c:pt>
                <c:pt idx="45">
                  <c:v>-2085.4588763699999</c:v>
                </c:pt>
                <c:pt idx="46">
                  <c:v>-2085.91875828</c:v>
                </c:pt>
                <c:pt idx="47">
                  <c:v>-2085.91875828</c:v>
                </c:pt>
                <c:pt idx="48">
                  <c:v>-2085.0056116400001</c:v>
                </c:pt>
                <c:pt idx="49">
                  <c:v>-1398.06561164</c:v>
                </c:pt>
                <c:pt idx="50">
                  <c:v>-711.12561163999999</c:v>
                </c:pt>
                <c:pt idx="51">
                  <c:v>-1398.06561164</c:v>
                </c:pt>
                <c:pt idx="52">
                  <c:v>-2085.0056116400001</c:v>
                </c:pt>
                <c:pt idx="53">
                  <c:v>-2419.5704571599999</c:v>
                </c:pt>
                <c:pt idx="54">
                  <c:v>-3106.51045716</c:v>
                </c:pt>
                <c:pt idx="55">
                  <c:v>-2590.7680427700002</c:v>
                </c:pt>
                <c:pt idx="56">
                  <c:v>-1903.8280427699999</c:v>
                </c:pt>
                <c:pt idx="57">
                  <c:v>-1216.8880427700001</c:v>
                </c:pt>
                <c:pt idx="58">
                  <c:v>-529.94804277000003</c:v>
                </c:pt>
                <c:pt idx="59">
                  <c:v>-40.990544829999997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-529.94804277000003</c:v>
                </c:pt>
                <c:pt idx="64">
                  <c:v>-1216.8880427700001</c:v>
                </c:pt>
                <c:pt idx="65">
                  <c:v>-1903.8280427699999</c:v>
                </c:pt>
                <c:pt idx="66">
                  <c:v>-2590.7680427700002</c:v>
                </c:pt>
                <c:pt idx="67">
                  <c:v>-2771.9399804999998</c:v>
                </c:pt>
                <c:pt idx="68">
                  <c:v>-2084.9999805000002</c:v>
                </c:pt>
                <c:pt idx="69">
                  <c:v>-2085.4598624199998</c:v>
                </c:pt>
                <c:pt idx="70">
                  <c:v>-2085.91974433</c:v>
                </c:pt>
                <c:pt idx="71">
                  <c:v>-2085.91974433</c:v>
                </c:pt>
                <c:pt idx="72">
                  <c:v>-2085.9207303799999</c:v>
                </c:pt>
                <c:pt idx="73">
                  <c:v>-2085.9207303799999</c:v>
                </c:pt>
                <c:pt idx="74">
                  <c:v>-2085.9207303799999</c:v>
                </c:pt>
                <c:pt idx="75">
                  <c:v>-2085.9207303799999</c:v>
                </c:pt>
                <c:pt idx="76">
                  <c:v>-2391.4129229300001</c:v>
                </c:pt>
                <c:pt idx="77">
                  <c:v>-3078.3529229300002</c:v>
                </c:pt>
                <c:pt idx="78">
                  <c:v>-3177.75954907</c:v>
                </c:pt>
                <c:pt idx="79">
                  <c:v>-2590.7690288200001</c:v>
                </c:pt>
                <c:pt idx="80">
                  <c:v>-1903.8290288200001</c:v>
                </c:pt>
                <c:pt idx="81">
                  <c:v>-1216.88902882</c:v>
                </c:pt>
                <c:pt idx="82">
                  <c:v>-529.94902881999997</c:v>
                </c:pt>
                <c:pt idx="83">
                  <c:v>156.99097118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-686.94</c:v>
                </c:pt>
                <c:pt idx="92">
                  <c:v>-531.32867454999996</c:v>
                </c:pt>
                <c:pt idx="93">
                  <c:v>-686.94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627.29775727000003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622.53171845999998</c:v>
                </c:pt>
                <c:pt idx="121">
                  <c:v>292.53171845999998</c:v>
                </c:pt>
                <c:pt idx="122">
                  <c:v>292.53171845999998</c:v>
                </c:pt>
                <c:pt idx="123">
                  <c:v>292.53171845999998</c:v>
                </c:pt>
                <c:pt idx="124">
                  <c:v>294.38718628999999</c:v>
                </c:pt>
                <c:pt idx="125">
                  <c:v>296.24265412</c:v>
                </c:pt>
                <c:pt idx="126">
                  <c:v>297.17038803999998</c:v>
                </c:pt>
                <c:pt idx="127">
                  <c:v>296.24265412</c:v>
                </c:pt>
                <c:pt idx="128">
                  <c:v>626.24265412</c:v>
                </c:pt>
                <c:pt idx="129">
                  <c:v>296.24265412</c:v>
                </c:pt>
                <c:pt idx="130">
                  <c:v>626.24265412</c:v>
                </c:pt>
                <c:pt idx="131">
                  <c:v>627.17038804000003</c:v>
                </c:pt>
                <c:pt idx="132">
                  <c:v>626.24265412</c:v>
                </c:pt>
                <c:pt idx="133">
                  <c:v>626.24265412</c:v>
                </c:pt>
                <c:pt idx="134">
                  <c:v>627.17038804000003</c:v>
                </c:pt>
                <c:pt idx="135">
                  <c:v>626.24265412</c:v>
                </c:pt>
                <c:pt idx="136">
                  <c:v>626.24265412</c:v>
                </c:pt>
                <c:pt idx="137">
                  <c:v>428.91580720000002</c:v>
                </c:pt>
                <c:pt idx="138">
                  <c:v>297.17038803999998</c:v>
                </c:pt>
                <c:pt idx="139">
                  <c:v>296.24265412</c:v>
                </c:pt>
                <c:pt idx="140">
                  <c:v>295.31492021000003</c:v>
                </c:pt>
                <c:pt idx="141">
                  <c:v>624.38718629000005</c:v>
                </c:pt>
                <c:pt idx="142">
                  <c:v>292.53171845999998</c:v>
                </c:pt>
                <c:pt idx="143">
                  <c:v>292.53171845999998</c:v>
                </c:pt>
                <c:pt idx="144">
                  <c:v>442.70663198</c:v>
                </c:pt>
                <c:pt idx="145">
                  <c:v>622.52974635999999</c:v>
                </c:pt>
                <c:pt idx="146">
                  <c:v>622.52974635999999</c:v>
                </c:pt>
                <c:pt idx="147">
                  <c:v>622.52974635999999</c:v>
                </c:pt>
                <c:pt idx="148">
                  <c:v>624.38521419000006</c:v>
                </c:pt>
                <c:pt idx="149">
                  <c:v>626.24068202000001</c:v>
                </c:pt>
                <c:pt idx="150">
                  <c:v>627.16841594000005</c:v>
                </c:pt>
                <c:pt idx="151">
                  <c:v>626.24068202000001</c:v>
                </c:pt>
                <c:pt idx="152">
                  <c:v>626.24068202000001</c:v>
                </c:pt>
                <c:pt idx="153">
                  <c:v>626.24068202000001</c:v>
                </c:pt>
                <c:pt idx="154">
                  <c:v>626.24068202000001</c:v>
                </c:pt>
                <c:pt idx="155">
                  <c:v>627.16841594000005</c:v>
                </c:pt>
                <c:pt idx="156">
                  <c:v>626.24068202000001</c:v>
                </c:pt>
                <c:pt idx="157">
                  <c:v>626.24068202000001</c:v>
                </c:pt>
                <c:pt idx="158">
                  <c:v>627.16841594000005</c:v>
                </c:pt>
                <c:pt idx="159">
                  <c:v>626.24068202000001</c:v>
                </c:pt>
                <c:pt idx="160">
                  <c:v>626.24068202000001</c:v>
                </c:pt>
                <c:pt idx="161">
                  <c:v>626.24068202000001</c:v>
                </c:pt>
                <c:pt idx="162">
                  <c:v>627.16841594000005</c:v>
                </c:pt>
                <c:pt idx="163">
                  <c:v>626.24068202000001</c:v>
                </c:pt>
                <c:pt idx="164">
                  <c:v>625.31294810999998</c:v>
                </c:pt>
                <c:pt idx="165">
                  <c:v>624.38521419000006</c:v>
                </c:pt>
                <c:pt idx="166">
                  <c:v>622.52974635999999</c:v>
                </c:pt>
                <c:pt idx="167">
                  <c:v>622.52974635999999</c:v>
                </c:pt>
                <c:pt idx="168">
                  <c:v>622.69302184000003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D-48B6-8D77-E3A204CB126C}"/>
            </c:ext>
          </c:extLst>
        </c:ser>
        <c:ser>
          <c:idx val="1"/>
          <c:order val="1"/>
          <c:tx>
            <c:strRef>
              <c:f>'Comparación con TYNDP24'!$AA$2</c:f>
              <c:strCache>
                <c:ptCount val="1"/>
                <c:pt idx="0">
                  <c:v>Modelo ESh2-FRh2SW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TYNDP24'!$AA$3:$AA$171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86.626873509999939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87.542693130000004</c:v>
                </c:pt>
                <c:pt idx="106">
                  <c:v>87.542693130000004</c:v>
                </c:pt>
                <c:pt idx="107">
                  <c:v>87.082811220000025</c:v>
                </c:pt>
                <c:pt idx="108">
                  <c:v>86.622929309999961</c:v>
                </c:pt>
                <c:pt idx="109">
                  <c:v>86.622929309999961</c:v>
                </c:pt>
                <c:pt idx="110">
                  <c:v>87.082811220000025</c:v>
                </c:pt>
                <c:pt idx="111">
                  <c:v>87.542693130000004</c:v>
                </c:pt>
                <c:pt idx="112">
                  <c:v>87.542693130000004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85.159673730000009</c:v>
                </c:pt>
                <c:pt idx="121">
                  <c:v>10.804415430000009</c:v>
                </c:pt>
                <c:pt idx="122">
                  <c:v>0</c:v>
                </c:pt>
                <c:pt idx="123">
                  <c:v>85.159673730000009</c:v>
                </c:pt>
                <c:pt idx="124">
                  <c:v>86.087407649999989</c:v>
                </c:pt>
                <c:pt idx="125">
                  <c:v>87.015141559999961</c:v>
                </c:pt>
                <c:pt idx="126">
                  <c:v>87.479008520000008</c:v>
                </c:pt>
                <c:pt idx="127">
                  <c:v>0</c:v>
                </c:pt>
                <c:pt idx="128">
                  <c:v>0</c:v>
                </c:pt>
                <c:pt idx="129">
                  <c:v>87.015141559999961</c:v>
                </c:pt>
                <c:pt idx="130">
                  <c:v>87.015141559999961</c:v>
                </c:pt>
                <c:pt idx="131">
                  <c:v>87.479008520000008</c:v>
                </c:pt>
                <c:pt idx="132">
                  <c:v>87.015141559999961</c:v>
                </c:pt>
                <c:pt idx="133">
                  <c:v>87.015141559999961</c:v>
                </c:pt>
                <c:pt idx="134">
                  <c:v>87.479008520000008</c:v>
                </c:pt>
                <c:pt idx="135">
                  <c:v>87.015141559999961</c:v>
                </c:pt>
                <c:pt idx="136">
                  <c:v>87.015141559999961</c:v>
                </c:pt>
                <c:pt idx="137">
                  <c:v>0</c:v>
                </c:pt>
                <c:pt idx="138">
                  <c:v>87.479008520000008</c:v>
                </c:pt>
                <c:pt idx="139">
                  <c:v>0</c:v>
                </c:pt>
                <c:pt idx="140">
                  <c:v>86.551274600000028</c:v>
                </c:pt>
                <c:pt idx="141">
                  <c:v>0</c:v>
                </c:pt>
                <c:pt idx="142">
                  <c:v>85.159673730000009</c:v>
                </c:pt>
                <c:pt idx="143">
                  <c:v>0</c:v>
                </c:pt>
                <c:pt idx="144">
                  <c:v>85.158687680000014</c:v>
                </c:pt>
                <c:pt idx="145">
                  <c:v>85.158687680000014</c:v>
                </c:pt>
                <c:pt idx="146">
                  <c:v>85.158687680000014</c:v>
                </c:pt>
                <c:pt idx="147">
                  <c:v>85.158687680000014</c:v>
                </c:pt>
                <c:pt idx="148">
                  <c:v>86.086421599999994</c:v>
                </c:pt>
                <c:pt idx="149">
                  <c:v>87.014155510000023</c:v>
                </c:pt>
                <c:pt idx="150">
                  <c:v>87.478022470000013</c:v>
                </c:pt>
                <c:pt idx="151">
                  <c:v>87.014155510000023</c:v>
                </c:pt>
                <c:pt idx="152">
                  <c:v>87.014155510000023</c:v>
                </c:pt>
                <c:pt idx="153">
                  <c:v>87.014155510000023</c:v>
                </c:pt>
                <c:pt idx="154">
                  <c:v>87.014155510000023</c:v>
                </c:pt>
                <c:pt idx="155">
                  <c:v>87.478022470000013</c:v>
                </c:pt>
                <c:pt idx="156">
                  <c:v>87.014155510000023</c:v>
                </c:pt>
                <c:pt idx="157">
                  <c:v>87.014155510000023</c:v>
                </c:pt>
                <c:pt idx="158">
                  <c:v>87.478022470000013</c:v>
                </c:pt>
                <c:pt idx="159">
                  <c:v>87.014155510000023</c:v>
                </c:pt>
                <c:pt idx="160">
                  <c:v>87.014155510000023</c:v>
                </c:pt>
                <c:pt idx="161">
                  <c:v>87.014155510000023</c:v>
                </c:pt>
                <c:pt idx="162">
                  <c:v>87.478022470000013</c:v>
                </c:pt>
                <c:pt idx="163">
                  <c:v>87.014155510000023</c:v>
                </c:pt>
                <c:pt idx="164">
                  <c:v>86.550288550000005</c:v>
                </c:pt>
                <c:pt idx="165">
                  <c:v>86.086421599999994</c:v>
                </c:pt>
                <c:pt idx="166">
                  <c:v>85.158687680000014</c:v>
                </c:pt>
                <c:pt idx="167">
                  <c:v>85.158687680000014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D-48B6-8D77-E3A204CB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/>
              <a:t>Interconexión Hidrógeno Portugal-España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TYNDP24'!$M$2</c:f>
              <c:strCache>
                <c:ptCount val="1"/>
                <c:pt idx="0">
                  <c:v>TYNDP 24' ESh2-PTh2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TYNDP24'!$M$3:$M$171</c:f>
              <c:numCache>
                <c:formatCode>General</c:formatCode>
                <c:ptCount val="169"/>
                <c:pt idx="0">
                  <c:v>193.86524853</c:v>
                </c:pt>
                <c:pt idx="1">
                  <c:v>275.11409852999998</c:v>
                </c:pt>
                <c:pt idx="2">
                  <c:v>328.97611853000001</c:v>
                </c:pt>
                <c:pt idx="3">
                  <c:v>379.42232853000002</c:v>
                </c:pt>
                <c:pt idx="4">
                  <c:v>415.43139853000002</c:v>
                </c:pt>
                <c:pt idx="5">
                  <c:v>533.53909500999998</c:v>
                </c:pt>
                <c:pt idx="6">
                  <c:v>656.21848149000004</c:v>
                </c:pt>
                <c:pt idx="7">
                  <c:v>745.88470394000001</c:v>
                </c:pt>
                <c:pt idx="8">
                  <c:v>844.27428041999997</c:v>
                </c:pt>
                <c:pt idx="9">
                  <c:v>409.51428041999998</c:v>
                </c:pt>
                <c:pt idx="10">
                  <c:v>-25.245719579999999</c:v>
                </c:pt>
                <c:pt idx="11">
                  <c:v>-460.00571958</c:v>
                </c:pt>
                <c:pt idx="12">
                  <c:v>-894.76571958</c:v>
                </c:pt>
                <c:pt idx="13">
                  <c:v>-1329.52571958</c:v>
                </c:pt>
                <c:pt idx="14">
                  <c:v>-1149.00535958</c:v>
                </c:pt>
                <c:pt idx="15">
                  <c:v>-714.24535958000001</c:v>
                </c:pt>
                <c:pt idx="16">
                  <c:v>-279.48535958000002</c:v>
                </c:pt>
                <c:pt idx="17">
                  <c:v>155.27464042</c:v>
                </c:pt>
                <c:pt idx="18">
                  <c:v>590.03464041999996</c:v>
                </c:pt>
                <c:pt idx="19">
                  <c:v>386.34811966000001</c:v>
                </c:pt>
                <c:pt idx="20">
                  <c:v>252.75928916000001</c:v>
                </c:pt>
                <c:pt idx="21">
                  <c:v>156.18280879</c:v>
                </c:pt>
                <c:pt idx="22">
                  <c:v>143.54967852999999</c:v>
                </c:pt>
                <c:pt idx="23">
                  <c:v>195.84685852999999</c:v>
                </c:pt>
                <c:pt idx="24">
                  <c:v>247.99888973</c:v>
                </c:pt>
                <c:pt idx="25">
                  <c:v>304.26993972999998</c:v>
                </c:pt>
                <c:pt idx="26">
                  <c:v>369.11494972999998</c:v>
                </c:pt>
                <c:pt idx="27">
                  <c:v>426.39135972999998</c:v>
                </c:pt>
                <c:pt idx="28">
                  <c:v>474.44841973000001</c:v>
                </c:pt>
                <c:pt idx="29">
                  <c:v>627.05501620999996</c:v>
                </c:pt>
                <c:pt idx="30">
                  <c:v>747.96224268000003</c:v>
                </c:pt>
                <c:pt idx="31">
                  <c:v>822.45505513000001</c:v>
                </c:pt>
                <c:pt idx="32">
                  <c:v>893.04671160999999</c:v>
                </c:pt>
                <c:pt idx="33">
                  <c:v>458.28671161</c:v>
                </c:pt>
                <c:pt idx="34">
                  <c:v>23.52671161</c:v>
                </c:pt>
                <c:pt idx="35">
                  <c:v>-411.23328838999998</c:v>
                </c:pt>
                <c:pt idx="36">
                  <c:v>-845.99328838999998</c:v>
                </c:pt>
                <c:pt idx="37">
                  <c:v>-1280.7532883900001</c:v>
                </c:pt>
                <c:pt idx="38">
                  <c:v>-1130.34473839</c:v>
                </c:pt>
                <c:pt idx="39">
                  <c:v>-695.58473838999998</c:v>
                </c:pt>
                <c:pt idx="40">
                  <c:v>-260.82473838999999</c:v>
                </c:pt>
                <c:pt idx="41">
                  <c:v>173.93526161</c:v>
                </c:pt>
                <c:pt idx="42">
                  <c:v>608.69526160999999</c:v>
                </c:pt>
                <c:pt idx="43">
                  <c:v>313.53802086000002</c:v>
                </c:pt>
                <c:pt idx="44">
                  <c:v>158.02510036000001</c:v>
                </c:pt>
                <c:pt idx="45">
                  <c:v>71.122369980000002</c:v>
                </c:pt>
                <c:pt idx="46">
                  <c:v>7.8946397299999997</c:v>
                </c:pt>
                <c:pt idx="47">
                  <c:v>59.518029730000002</c:v>
                </c:pt>
                <c:pt idx="48">
                  <c:v>153.1397115</c:v>
                </c:pt>
                <c:pt idx="49">
                  <c:v>162.90718150000001</c:v>
                </c:pt>
                <c:pt idx="50">
                  <c:v>124.79154149999999</c:v>
                </c:pt>
                <c:pt idx="51">
                  <c:v>102.4861815</c:v>
                </c:pt>
                <c:pt idx="52">
                  <c:v>92.580261500000006</c:v>
                </c:pt>
                <c:pt idx="53">
                  <c:v>174.62918798000001</c:v>
                </c:pt>
                <c:pt idx="54">
                  <c:v>290.44358446000001</c:v>
                </c:pt>
                <c:pt idx="55">
                  <c:v>433.95691691000002</c:v>
                </c:pt>
                <c:pt idx="56">
                  <c:v>609.31120338999995</c:v>
                </c:pt>
                <c:pt idx="57">
                  <c:v>299.22722339000001</c:v>
                </c:pt>
                <c:pt idx="58">
                  <c:v>-135.53277661000001</c:v>
                </c:pt>
                <c:pt idx="59">
                  <c:v>-570.29277661000003</c:v>
                </c:pt>
                <c:pt idx="60">
                  <c:v>-1005.05277661</c:v>
                </c:pt>
                <c:pt idx="61">
                  <c:v>-1439.8127766099999</c:v>
                </c:pt>
                <c:pt idx="62">
                  <c:v>-1213.6280766100001</c:v>
                </c:pt>
                <c:pt idx="63">
                  <c:v>-778.86807661</c:v>
                </c:pt>
                <c:pt idx="64">
                  <c:v>-344.10807661000001</c:v>
                </c:pt>
                <c:pt idx="65">
                  <c:v>90.651923389999993</c:v>
                </c:pt>
                <c:pt idx="66">
                  <c:v>525.41192338999997</c:v>
                </c:pt>
                <c:pt idx="67">
                  <c:v>303.96191262999997</c:v>
                </c:pt>
                <c:pt idx="68">
                  <c:v>196.44215213000001</c:v>
                </c:pt>
                <c:pt idx="69">
                  <c:v>195.57296174999999</c:v>
                </c:pt>
                <c:pt idx="70">
                  <c:v>190.0866915</c:v>
                </c:pt>
                <c:pt idx="71">
                  <c:v>239.4210415</c:v>
                </c:pt>
                <c:pt idx="72">
                  <c:v>207.31380093999999</c:v>
                </c:pt>
                <c:pt idx="73">
                  <c:v>266.54768094000002</c:v>
                </c:pt>
                <c:pt idx="74">
                  <c:v>274.91219094000002</c:v>
                </c:pt>
                <c:pt idx="75">
                  <c:v>268.44196094</c:v>
                </c:pt>
                <c:pt idx="76">
                  <c:v>239.86872094</c:v>
                </c:pt>
                <c:pt idx="77">
                  <c:v>296.68424742000002</c:v>
                </c:pt>
                <c:pt idx="78">
                  <c:v>346.00714389000001</c:v>
                </c:pt>
                <c:pt idx="79">
                  <c:v>426.13806634000002</c:v>
                </c:pt>
                <c:pt idx="80">
                  <c:v>499.56901282000001</c:v>
                </c:pt>
                <c:pt idx="81">
                  <c:v>268.03801282000001</c:v>
                </c:pt>
                <c:pt idx="82">
                  <c:v>-166.72198718000001</c:v>
                </c:pt>
                <c:pt idx="83">
                  <c:v>-601.48198718000003</c:v>
                </c:pt>
                <c:pt idx="84">
                  <c:v>-1036.24198718</c:v>
                </c:pt>
                <c:pt idx="85">
                  <c:v>-1471.00198718</c:v>
                </c:pt>
                <c:pt idx="86">
                  <c:v>-1905.76198718</c:v>
                </c:pt>
                <c:pt idx="87">
                  <c:v>-1911.70957718</c:v>
                </c:pt>
                <c:pt idx="88">
                  <c:v>-1476.94957718</c:v>
                </c:pt>
                <c:pt idx="89">
                  <c:v>-1104.87052718</c:v>
                </c:pt>
                <c:pt idx="90">
                  <c:v>-1040.1632571800001</c:v>
                </c:pt>
                <c:pt idx="91">
                  <c:v>-1364.6484679299999</c:v>
                </c:pt>
                <c:pt idx="92">
                  <c:v>-1758.0035784300001</c:v>
                </c:pt>
                <c:pt idx="93">
                  <c:v>-2192.7635784300001</c:v>
                </c:pt>
                <c:pt idx="94">
                  <c:v>-2529.08299906</c:v>
                </c:pt>
                <c:pt idx="95">
                  <c:v>-2608.4120090599999</c:v>
                </c:pt>
                <c:pt idx="96">
                  <c:v>-2540.5300770099998</c:v>
                </c:pt>
                <c:pt idx="97">
                  <c:v>-2585.5753170100002</c:v>
                </c:pt>
                <c:pt idx="98">
                  <c:v>-2608.65031701</c:v>
                </c:pt>
                <c:pt idx="99">
                  <c:v>-2508.9450170099999</c:v>
                </c:pt>
                <c:pt idx="100">
                  <c:v>-2369.3796070100002</c:v>
                </c:pt>
                <c:pt idx="101">
                  <c:v>-2225.5493205299999</c:v>
                </c:pt>
                <c:pt idx="102">
                  <c:v>-2152.8283740500001</c:v>
                </c:pt>
                <c:pt idx="103">
                  <c:v>-1739.04</c:v>
                </c:pt>
                <c:pt idx="104">
                  <c:v>-1304.28</c:v>
                </c:pt>
                <c:pt idx="105">
                  <c:v>-869.52</c:v>
                </c:pt>
                <c:pt idx="106">
                  <c:v>-434.76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-434.76</c:v>
                </c:pt>
                <c:pt idx="114">
                  <c:v>-709.51316512999995</c:v>
                </c:pt>
                <c:pt idx="115">
                  <c:v>-697.30430588000002</c:v>
                </c:pt>
                <c:pt idx="116">
                  <c:v>-647.78839637999999</c:v>
                </c:pt>
                <c:pt idx="117">
                  <c:v>-531.63893675999998</c:v>
                </c:pt>
                <c:pt idx="118">
                  <c:v>-333.48442700999999</c:v>
                </c:pt>
                <c:pt idx="119">
                  <c:v>-118.32957700999999</c:v>
                </c:pt>
                <c:pt idx="120">
                  <c:v>316.43042299000001</c:v>
                </c:pt>
                <c:pt idx="121">
                  <c:v>618.33666932999995</c:v>
                </c:pt>
                <c:pt idx="122">
                  <c:v>742.66050932999997</c:v>
                </c:pt>
                <c:pt idx="123">
                  <c:v>818.82575932999998</c:v>
                </c:pt>
                <c:pt idx="124">
                  <c:v>841.98453932999996</c:v>
                </c:pt>
                <c:pt idx="125">
                  <c:v>799.61883933000001</c:v>
                </c:pt>
                <c:pt idx="126">
                  <c:v>792.32287932999998</c:v>
                </c:pt>
                <c:pt idx="127">
                  <c:v>808.48105932999999</c:v>
                </c:pt>
                <c:pt idx="128">
                  <c:v>826.21117933000005</c:v>
                </c:pt>
                <c:pt idx="129">
                  <c:v>432.34932932999999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-317.74999066999999</c:v>
                </c:pt>
                <c:pt idx="137">
                  <c:v>-752.50999066999998</c:v>
                </c:pt>
                <c:pt idx="138">
                  <c:v>-1187.26999067</c:v>
                </c:pt>
                <c:pt idx="139">
                  <c:v>-1622.02999067</c:v>
                </c:pt>
                <c:pt idx="140">
                  <c:v>-1887.0978406700001</c:v>
                </c:pt>
                <c:pt idx="141">
                  <c:v>-2115.6333506699998</c:v>
                </c:pt>
                <c:pt idx="142">
                  <c:v>-1739.04</c:v>
                </c:pt>
                <c:pt idx="143">
                  <c:v>-1304.28</c:v>
                </c:pt>
                <c:pt idx="144">
                  <c:v>-869.52</c:v>
                </c:pt>
                <c:pt idx="145">
                  <c:v>-434.76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9-4C29-8DF9-B06A63354889}"/>
            </c:ext>
          </c:extLst>
        </c:ser>
        <c:ser>
          <c:idx val="1"/>
          <c:order val="1"/>
          <c:tx>
            <c:strRef>
              <c:f>'Comparación con TYNDP24'!$N$2</c:f>
              <c:strCache>
                <c:ptCount val="1"/>
                <c:pt idx="0">
                  <c:v>Modelo ESh2-PTh2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  <a:alpha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TYNDP24'!$N$3:$N$171</c:f>
              <c:numCache>
                <c:formatCode>General</c:formatCode>
                <c:ptCount val="169"/>
                <c:pt idx="0">
                  <c:v>776.98825558499652</c:v>
                </c:pt>
                <c:pt idx="1">
                  <c:v>821.77942529061022</c:v>
                </c:pt>
                <c:pt idx="2">
                  <c:v>851.4727861446263</c:v>
                </c:pt>
                <c:pt idx="3">
                  <c:v>879.28283200569149</c:v>
                </c:pt>
                <c:pt idx="4">
                  <c:v>899.13394189035535</c:v>
                </c:pt>
                <c:pt idx="5">
                  <c:v>1008.199371115198</c:v>
                </c:pt>
                <c:pt idx="6">
                  <c:v>1119.785084109395</c:v>
                </c:pt>
                <c:pt idx="7">
                  <c:v>1210.8580242095229</c:v>
                </c:pt>
                <c:pt idx="8">
                  <c:v>1309.004085612316</c:v>
                </c:pt>
                <c:pt idx="9">
                  <c:v>770.00042369744347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364.38916456263769</c:v>
                </c:pt>
                <c:pt idx="18">
                  <c:v>1163.5626823002219</c:v>
                </c:pt>
                <c:pt idx="19">
                  <c:v>987.2042914150785</c:v>
                </c:pt>
                <c:pt idx="20">
                  <c:v>867.29104756752884</c:v>
                </c:pt>
                <c:pt idx="21">
                  <c:v>779.34892758403794</c:v>
                </c:pt>
                <c:pt idx="22">
                  <c:v>749.25015490811268</c:v>
                </c:pt>
                <c:pt idx="23">
                  <c:v>778.08097925132427</c:v>
                </c:pt>
                <c:pt idx="24">
                  <c:v>776.86822610066076</c:v>
                </c:pt>
                <c:pt idx="25">
                  <c:v>807.88944014449521</c:v>
                </c:pt>
                <c:pt idx="26">
                  <c:v>843.63758897934076</c:v>
                </c:pt>
                <c:pt idx="27">
                  <c:v>875.2131173724847</c:v>
                </c:pt>
                <c:pt idx="28">
                  <c:v>901.70594591957183</c:v>
                </c:pt>
                <c:pt idx="29">
                  <c:v>1029.7902377376699</c:v>
                </c:pt>
                <c:pt idx="30">
                  <c:v>1140.398981040202</c:v>
                </c:pt>
                <c:pt idx="31">
                  <c:v>1223.1070613919239</c:v>
                </c:pt>
                <c:pt idx="32">
                  <c:v>1305.9412858525729</c:v>
                </c:pt>
                <c:pt idx="33">
                  <c:v>789.31396755505762</c:v>
                </c:pt>
                <c:pt idx="34">
                  <c:v>-534.1384010465506</c:v>
                </c:pt>
                <c:pt idx="35">
                  <c:v>-1861.385555285673</c:v>
                </c:pt>
                <c:pt idx="36">
                  <c:v>-2813.5703980833332</c:v>
                </c:pt>
                <c:pt idx="37">
                  <c:v>-2772.9480427404392</c:v>
                </c:pt>
                <c:pt idx="38">
                  <c:v>-2860.169492</c:v>
                </c:pt>
                <c:pt idx="39">
                  <c:v>-2072.1780036563482</c:v>
                </c:pt>
                <c:pt idx="40">
                  <c:v>-908.35293108927317</c:v>
                </c:pt>
                <c:pt idx="41">
                  <c:v>363.99378765304778</c:v>
                </c:pt>
                <c:pt idx="42">
                  <c:v>1141.6594014845559</c:v>
                </c:pt>
                <c:pt idx="43">
                  <c:v>917.10254704249189</c:v>
                </c:pt>
                <c:pt idx="44">
                  <c:v>785.10267915137513</c:v>
                </c:pt>
                <c:pt idx="45">
                  <c:v>702.49348256595681</c:v>
                </c:pt>
                <c:pt idx="46">
                  <c:v>644.50306314495185</c:v>
                </c:pt>
                <c:pt idx="47">
                  <c:v>672.96208914818646</c:v>
                </c:pt>
                <c:pt idx="48">
                  <c:v>578.19973259908897</c:v>
                </c:pt>
                <c:pt idx="49">
                  <c:v>583.58413759178984</c:v>
                </c:pt>
                <c:pt idx="50">
                  <c:v>562.5719205669219</c:v>
                </c:pt>
                <c:pt idx="51">
                  <c:v>550.27514614320864</c:v>
                </c:pt>
                <c:pt idx="52">
                  <c:v>544.81436547226167</c:v>
                </c:pt>
                <c:pt idx="53">
                  <c:v>634.00111144214338</c:v>
                </c:pt>
                <c:pt idx="54">
                  <c:v>741.80239878100906</c:v>
                </c:pt>
                <c:pt idx="55">
                  <c:v>862.56003785119549</c:v>
                </c:pt>
                <c:pt idx="56">
                  <c:v>1003.184780751028</c:v>
                </c:pt>
                <c:pt idx="57">
                  <c:v>612.54078858508581</c:v>
                </c:pt>
                <c:pt idx="58">
                  <c:v>-569.29568604819997</c:v>
                </c:pt>
                <c:pt idx="59">
                  <c:v>-1832.7152631895581</c:v>
                </c:pt>
                <c:pt idx="60">
                  <c:v>-2762.0786111368898</c:v>
                </c:pt>
                <c:pt idx="61">
                  <c:v>-2860.169492</c:v>
                </c:pt>
                <c:pt idx="62">
                  <c:v>-2860.169492</c:v>
                </c:pt>
                <c:pt idx="63">
                  <c:v>-2175.0412062628839</c:v>
                </c:pt>
                <c:pt idx="64">
                  <c:v>-1094.5551122283489</c:v>
                </c:pt>
                <c:pt idx="65">
                  <c:v>128.18461059773401</c:v>
                </c:pt>
                <c:pt idx="66">
                  <c:v>946.44046930144373</c:v>
                </c:pt>
                <c:pt idx="67">
                  <c:v>765.44888910801353</c:v>
                </c:pt>
                <c:pt idx="68">
                  <c:v>659.9066923014625</c:v>
                </c:pt>
                <c:pt idx="69">
                  <c:v>624.72657721573364</c:v>
                </c:pt>
                <c:pt idx="70">
                  <c:v>598.56768546584908</c:v>
                </c:pt>
                <c:pt idx="71">
                  <c:v>625.76487201566943</c:v>
                </c:pt>
                <c:pt idx="72">
                  <c:v>648.29268199228227</c:v>
                </c:pt>
                <c:pt idx="73">
                  <c:v>680.94721821813778</c:v>
                </c:pt>
                <c:pt idx="74">
                  <c:v>685.55847822149303</c:v>
                </c:pt>
                <c:pt idx="75">
                  <c:v>681.99141369995664</c:v>
                </c:pt>
                <c:pt idx="76">
                  <c:v>666.23946788919966</c:v>
                </c:pt>
                <c:pt idx="77">
                  <c:v>741.51578428955816</c:v>
                </c:pt>
                <c:pt idx="78">
                  <c:v>812.66123599646221</c:v>
                </c:pt>
                <c:pt idx="79">
                  <c:v>898.47742775705206</c:v>
                </c:pt>
                <c:pt idx="80">
                  <c:v>982.91350713543761</c:v>
                </c:pt>
                <c:pt idx="81">
                  <c:v>720.45270640267233</c:v>
                </c:pt>
                <c:pt idx="82">
                  <c:v>-51.416885861837947</c:v>
                </c:pt>
                <c:pt idx="83">
                  <c:v>-925.61024964984313</c:v>
                </c:pt>
                <c:pt idx="84">
                  <c:v>-1681.055150775132</c:v>
                </c:pt>
                <c:pt idx="85">
                  <c:v>-2053.9490774608721</c:v>
                </c:pt>
                <c:pt idx="86">
                  <c:v>-2084.7243209659191</c:v>
                </c:pt>
                <c:pt idx="87">
                  <c:v>-1539.678847467098</c:v>
                </c:pt>
                <c:pt idx="88">
                  <c:v>-766.82030962720592</c:v>
                </c:pt>
                <c:pt idx="89">
                  <c:v>-149.47337682778721</c:v>
                </c:pt>
                <c:pt idx="90">
                  <c:v>123.0910581219316</c:v>
                </c:pt>
                <c:pt idx="91">
                  <c:v>-114.1984983141397</c:v>
                </c:pt>
                <c:pt idx="92">
                  <c:v>-377.31659670344311</c:v>
                </c:pt>
                <c:pt idx="93">
                  <c:v>-686.33920549890877</c:v>
                </c:pt>
                <c:pt idx="94">
                  <c:v>-860.23420739545827</c:v>
                </c:pt>
                <c:pt idx="95">
                  <c:v>-903.96671862402582</c:v>
                </c:pt>
                <c:pt idx="96">
                  <c:v>-836.69964648763175</c:v>
                </c:pt>
                <c:pt idx="97">
                  <c:v>-861.53258409650402</c:v>
                </c:pt>
                <c:pt idx="98">
                  <c:v>-874.25312986892482</c:v>
                </c:pt>
                <c:pt idx="99">
                  <c:v>-819.28743824172375</c:v>
                </c:pt>
                <c:pt idx="100">
                  <c:v>-742.34772193640606</c:v>
                </c:pt>
                <c:pt idx="101">
                  <c:v>-619.10182454635788</c:v>
                </c:pt>
                <c:pt idx="102">
                  <c:v>-535.05736437155019</c:v>
                </c:pt>
                <c:pt idx="103">
                  <c:v>-361.23874767143337</c:v>
                </c:pt>
                <c:pt idx="104">
                  <c:v>-132.02899165931009</c:v>
                </c:pt>
                <c:pt idx="105">
                  <c:v>-405.24471567759628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-431.75987302849148</c:v>
                </c:pt>
                <c:pt idx="114">
                  <c:v>329.59331874529681</c:v>
                </c:pt>
                <c:pt idx="115">
                  <c:v>283.5411713872636</c:v>
                </c:pt>
                <c:pt idx="116">
                  <c:v>264.57023048291308</c:v>
                </c:pt>
                <c:pt idx="117">
                  <c:v>293.90015141343491</c:v>
                </c:pt>
                <c:pt idx="118">
                  <c:v>380.00503362311127</c:v>
                </c:pt>
                <c:pt idx="119">
                  <c:v>498.61612662618711</c:v>
                </c:pt>
                <c:pt idx="120">
                  <c:v>1013.524995788168</c:v>
                </c:pt>
                <c:pt idx="121">
                  <c:v>1117.867599585127</c:v>
                </c:pt>
                <c:pt idx="122">
                  <c:v>1186.4051702391289</c:v>
                </c:pt>
                <c:pt idx="123">
                  <c:v>1228.3934055970319</c:v>
                </c:pt>
                <c:pt idx="124">
                  <c:v>1241.1604996893579</c:v>
                </c:pt>
                <c:pt idx="125">
                  <c:v>1217.8051840425171</c:v>
                </c:pt>
                <c:pt idx="126">
                  <c:v>1213.7830586959531</c:v>
                </c:pt>
                <c:pt idx="127">
                  <c:v>1222.6908082682889</c:v>
                </c:pt>
                <c:pt idx="128">
                  <c:v>1232.428451398546</c:v>
                </c:pt>
                <c:pt idx="129">
                  <c:v>803.05312001577067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-283.45966871112932</c:v>
                </c:pt>
                <c:pt idx="138">
                  <c:v>16.299484337253261</c:v>
                </c:pt>
                <c:pt idx="139">
                  <c:v>-117.2068820847137</c:v>
                </c:pt>
                <c:pt idx="140">
                  <c:v>-263.33376335910862</c:v>
                </c:pt>
                <c:pt idx="141">
                  <c:v>-389.32145791333119</c:v>
                </c:pt>
                <c:pt idx="142">
                  <c:v>-509.91916725365382</c:v>
                </c:pt>
                <c:pt idx="143">
                  <c:v>-630.87775678864068</c:v>
                </c:pt>
                <c:pt idx="144">
                  <c:v>-707.28672951718249</c:v>
                </c:pt>
                <c:pt idx="145">
                  <c:v>-780.0800768206384</c:v>
                </c:pt>
                <c:pt idx="146">
                  <c:v>-859.25736881027365</c:v>
                </c:pt>
                <c:pt idx="147">
                  <c:v>-882.67936522090963</c:v>
                </c:pt>
                <c:pt idx="148">
                  <c:v>-836.72763093869594</c:v>
                </c:pt>
                <c:pt idx="149">
                  <c:v>-729.1818130853751</c:v>
                </c:pt>
                <c:pt idx="150">
                  <c:v>-748.63744752570142</c:v>
                </c:pt>
                <c:pt idx="151">
                  <c:v>-682.38244687828251</c:v>
                </c:pt>
                <c:pt idx="152">
                  <c:v>-437.08519809803221</c:v>
                </c:pt>
                <c:pt idx="153">
                  <c:v>-285.63563010044601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1006.570181842764</c:v>
                </c:pt>
                <c:pt idx="162">
                  <c:v>1631.1485899891261</c:v>
                </c:pt>
                <c:pt idx="163">
                  <c:v>1672.686025962814</c:v>
                </c:pt>
                <c:pt idx="164">
                  <c:v>1671.4230811118341</c:v>
                </c:pt>
                <c:pt idx="165">
                  <c:v>1673.9951224408969</c:v>
                </c:pt>
                <c:pt idx="166">
                  <c:v>1673.601037884122</c:v>
                </c:pt>
                <c:pt idx="167">
                  <c:v>1671.016703624804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9-4C29-8DF9-B06A6335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/>
              <a:t>Interconexión 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'Comparación con TYNDP24'!$AI$2</c:f>
              <c:strCache>
                <c:ptCount val="1"/>
                <c:pt idx="0">
                  <c:v>TYNDP 24' ES-MAh2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TYNDP24'!$AI$3:$AI$171</c:f>
              <c:numCache>
                <c:formatCode>#,##0.00</c:formatCode>
                <c:ptCount val="169"/>
                <c:pt idx="0">
                  <c:v>1517.77579117</c:v>
                </c:pt>
                <c:pt idx="1">
                  <c:v>1517.77579117</c:v>
                </c:pt>
                <c:pt idx="2">
                  <c:v>1517.77579117</c:v>
                </c:pt>
                <c:pt idx="3">
                  <c:v>1517.77579117</c:v>
                </c:pt>
                <c:pt idx="4">
                  <c:v>1517.77579117</c:v>
                </c:pt>
                <c:pt idx="5">
                  <c:v>1517.77579117</c:v>
                </c:pt>
                <c:pt idx="6">
                  <c:v>1517.77579117</c:v>
                </c:pt>
                <c:pt idx="7">
                  <c:v>1517.77579117</c:v>
                </c:pt>
                <c:pt idx="8">
                  <c:v>1517.77579117</c:v>
                </c:pt>
                <c:pt idx="9">
                  <c:v>1517.77579117</c:v>
                </c:pt>
                <c:pt idx="10">
                  <c:v>1517.77579117</c:v>
                </c:pt>
                <c:pt idx="11">
                  <c:v>1517.77579117</c:v>
                </c:pt>
                <c:pt idx="12">
                  <c:v>1517.77579117</c:v>
                </c:pt>
                <c:pt idx="13">
                  <c:v>1517.77579117</c:v>
                </c:pt>
                <c:pt idx="14">
                  <c:v>1517.77579117</c:v>
                </c:pt>
                <c:pt idx="15">
                  <c:v>1517.77579117</c:v>
                </c:pt>
                <c:pt idx="16">
                  <c:v>1517.77579117</c:v>
                </c:pt>
                <c:pt idx="17">
                  <c:v>2618.1493815899998</c:v>
                </c:pt>
                <c:pt idx="18">
                  <c:v>2618.1493815899998</c:v>
                </c:pt>
                <c:pt idx="19">
                  <c:v>2618.1493815899998</c:v>
                </c:pt>
                <c:pt idx="20">
                  <c:v>2618.1493815899998</c:v>
                </c:pt>
                <c:pt idx="21">
                  <c:v>2618.1493815899998</c:v>
                </c:pt>
                <c:pt idx="22">
                  <c:v>2618.1493815899998</c:v>
                </c:pt>
                <c:pt idx="23">
                  <c:v>2618.1493815899998</c:v>
                </c:pt>
                <c:pt idx="24">
                  <c:v>2710.9560965000001</c:v>
                </c:pt>
                <c:pt idx="25">
                  <c:v>2710.9560965000001</c:v>
                </c:pt>
                <c:pt idx="26">
                  <c:v>2710.9560965000001</c:v>
                </c:pt>
                <c:pt idx="27">
                  <c:v>2710.9560965000001</c:v>
                </c:pt>
                <c:pt idx="28">
                  <c:v>2710.9560965000001</c:v>
                </c:pt>
                <c:pt idx="29">
                  <c:v>2710.9560965000001</c:v>
                </c:pt>
                <c:pt idx="30">
                  <c:v>2710.9560965000001</c:v>
                </c:pt>
                <c:pt idx="31">
                  <c:v>2710.9560965000001</c:v>
                </c:pt>
                <c:pt idx="32">
                  <c:v>2710.9560965000001</c:v>
                </c:pt>
                <c:pt idx="33">
                  <c:v>2710.9560965000001</c:v>
                </c:pt>
                <c:pt idx="34">
                  <c:v>1517.77579117</c:v>
                </c:pt>
                <c:pt idx="35">
                  <c:v>1517.77579117</c:v>
                </c:pt>
                <c:pt idx="36">
                  <c:v>1517.77579117</c:v>
                </c:pt>
                <c:pt idx="37">
                  <c:v>1517.77579117</c:v>
                </c:pt>
                <c:pt idx="38">
                  <c:v>1517.77579117</c:v>
                </c:pt>
                <c:pt idx="39">
                  <c:v>1517.77579117</c:v>
                </c:pt>
                <c:pt idx="40">
                  <c:v>2710.9560965000001</c:v>
                </c:pt>
                <c:pt idx="41">
                  <c:v>2710.9560965000001</c:v>
                </c:pt>
                <c:pt idx="42">
                  <c:v>2710.9560965000001</c:v>
                </c:pt>
                <c:pt idx="43">
                  <c:v>2710.9560965000001</c:v>
                </c:pt>
                <c:pt idx="44">
                  <c:v>2710.9560965000001</c:v>
                </c:pt>
                <c:pt idx="45">
                  <c:v>2710.9560965000001</c:v>
                </c:pt>
                <c:pt idx="46">
                  <c:v>2710.9560965000001</c:v>
                </c:pt>
                <c:pt idx="47">
                  <c:v>2710.9560965000001</c:v>
                </c:pt>
                <c:pt idx="48">
                  <c:v>2698.4194852700002</c:v>
                </c:pt>
                <c:pt idx="49">
                  <c:v>2698.4194852700002</c:v>
                </c:pt>
                <c:pt idx="50">
                  <c:v>2698.4194852700002</c:v>
                </c:pt>
                <c:pt idx="51">
                  <c:v>2698.4194852700002</c:v>
                </c:pt>
                <c:pt idx="52">
                  <c:v>2698.4194852700002</c:v>
                </c:pt>
                <c:pt idx="53">
                  <c:v>2698.4194852700002</c:v>
                </c:pt>
                <c:pt idx="54">
                  <c:v>2698.4194852700002</c:v>
                </c:pt>
                <c:pt idx="55">
                  <c:v>2698.4194852700002</c:v>
                </c:pt>
                <c:pt idx="56">
                  <c:v>2698.4194852700002</c:v>
                </c:pt>
                <c:pt idx="57">
                  <c:v>2698.4194852700002</c:v>
                </c:pt>
                <c:pt idx="58">
                  <c:v>2698.4194852700002</c:v>
                </c:pt>
                <c:pt idx="59">
                  <c:v>1517.77579117</c:v>
                </c:pt>
                <c:pt idx="60">
                  <c:v>1517.77579117</c:v>
                </c:pt>
                <c:pt idx="61">
                  <c:v>1517.77579117</c:v>
                </c:pt>
                <c:pt idx="62">
                  <c:v>1517.77579117</c:v>
                </c:pt>
                <c:pt idx="63">
                  <c:v>1517.77579117</c:v>
                </c:pt>
                <c:pt idx="64">
                  <c:v>2698.4194852700002</c:v>
                </c:pt>
                <c:pt idx="65">
                  <c:v>2698.4194852700002</c:v>
                </c:pt>
                <c:pt idx="66">
                  <c:v>2698.4194852700002</c:v>
                </c:pt>
                <c:pt idx="67">
                  <c:v>2698.4194852700002</c:v>
                </c:pt>
                <c:pt idx="68">
                  <c:v>2698.4194852700002</c:v>
                </c:pt>
                <c:pt idx="69">
                  <c:v>2698.4194852700002</c:v>
                </c:pt>
                <c:pt idx="70">
                  <c:v>2698.4194852700002</c:v>
                </c:pt>
                <c:pt idx="71">
                  <c:v>3010.0779342999999</c:v>
                </c:pt>
                <c:pt idx="72">
                  <c:v>3010.0779342999999</c:v>
                </c:pt>
                <c:pt idx="73">
                  <c:v>3010.0779342999999</c:v>
                </c:pt>
                <c:pt idx="74">
                  <c:v>3010.0779342999999</c:v>
                </c:pt>
                <c:pt idx="75">
                  <c:v>3010.0779342999999</c:v>
                </c:pt>
                <c:pt idx="76">
                  <c:v>3010.0779342999999</c:v>
                </c:pt>
                <c:pt idx="77">
                  <c:v>3010.0779342999999</c:v>
                </c:pt>
                <c:pt idx="78">
                  <c:v>3010.0779342999999</c:v>
                </c:pt>
                <c:pt idx="79">
                  <c:v>3010.0779342999999</c:v>
                </c:pt>
                <c:pt idx="80">
                  <c:v>3010.0779342999999</c:v>
                </c:pt>
                <c:pt idx="81">
                  <c:v>3010.0779342999999</c:v>
                </c:pt>
                <c:pt idx="82">
                  <c:v>2083.5681766600001</c:v>
                </c:pt>
                <c:pt idx="83">
                  <c:v>1517.77579117</c:v>
                </c:pt>
                <c:pt idx="84">
                  <c:v>1517.77579117</c:v>
                </c:pt>
                <c:pt idx="85">
                  <c:v>1517.77579117</c:v>
                </c:pt>
                <c:pt idx="86">
                  <c:v>1517.77579117</c:v>
                </c:pt>
                <c:pt idx="87">
                  <c:v>1517.77579117</c:v>
                </c:pt>
                <c:pt idx="88">
                  <c:v>1517.77579117</c:v>
                </c:pt>
                <c:pt idx="89">
                  <c:v>1517.77579117</c:v>
                </c:pt>
                <c:pt idx="90">
                  <c:v>1517.77579117</c:v>
                </c:pt>
                <c:pt idx="91">
                  <c:v>1517.77579117</c:v>
                </c:pt>
                <c:pt idx="92">
                  <c:v>1517.77579117</c:v>
                </c:pt>
                <c:pt idx="93">
                  <c:v>1517.77579117</c:v>
                </c:pt>
                <c:pt idx="94">
                  <c:v>1517.77579117</c:v>
                </c:pt>
                <c:pt idx="95">
                  <c:v>1517.77579117</c:v>
                </c:pt>
                <c:pt idx="96">
                  <c:v>1517.77579117</c:v>
                </c:pt>
                <c:pt idx="97">
                  <c:v>1517.77579117</c:v>
                </c:pt>
                <c:pt idx="98">
                  <c:v>1517.77579117</c:v>
                </c:pt>
                <c:pt idx="99">
                  <c:v>1517.77579117</c:v>
                </c:pt>
                <c:pt idx="100">
                  <c:v>1517.77579117</c:v>
                </c:pt>
                <c:pt idx="101">
                  <c:v>1517.77579117</c:v>
                </c:pt>
                <c:pt idx="102">
                  <c:v>1517.77579117</c:v>
                </c:pt>
                <c:pt idx="103">
                  <c:v>1517.77579117</c:v>
                </c:pt>
                <c:pt idx="104">
                  <c:v>1517.77579117</c:v>
                </c:pt>
                <c:pt idx="105">
                  <c:v>1517.77579117</c:v>
                </c:pt>
                <c:pt idx="106">
                  <c:v>1517.77579117</c:v>
                </c:pt>
                <c:pt idx="107">
                  <c:v>1517.77579117</c:v>
                </c:pt>
                <c:pt idx="108">
                  <c:v>1517.77579117</c:v>
                </c:pt>
                <c:pt idx="109">
                  <c:v>1517.77579117</c:v>
                </c:pt>
                <c:pt idx="110">
                  <c:v>1517.77579117</c:v>
                </c:pt>
                <c:pt idx="111">
                  <c:v>1517.77579117</c:v>
                </c:pt>
                <c:pt idx="112">
                  <c:v>1517.77579117</c:v>
                </c:pt>
                <c:pt idx="113">
                  <c:v>1517.77579117</c:v>
                </c:pt>
                <c:pt idx="114">
                  <c:v>1517.77579117</c:v>
                </c:pt>
                <c:pt idx="115">
                  <c:v>1517.77579117</c:v>
                </c:pt>
                <c:pt idx="116">
                  <c:v>1517.77579117</c:v>
                </c:pt>
                <c:pt idx="117">
                  <c:v>1517.77579117</c:v>
                </c:pt>
                <c:pt idx="118">
                  <c:v>1517.77579117</c:v>
                </c:pt>
                <c:pt idx="119">
                  <c:v>1517.77579117</c:v>
                </c:pt>
                <c:pt idx="120">
                  <c:v>1517.77579117</c:v>
                </c:pt>
                <c:pt idx="121">
                  <c:v>1517.77579117</c:v>
                </c:pt>
                <c:pt idx="122">
                  <c:v>1517.77579117</c:v>
                </c:pt>
                <c:pt idx="123">
                  <c:v>1517.77579117</c:v>
                </c:pt>
                <c:pt idx="124">
                  <c:v>1517.77579117</c:v>
                </c:pt>
                <c:pt idx="125">
                  <c:v>1517.77579117</c:v>
                </c:pt>
                <c:pt idx="126">
                  <c:v>1517.77579117</c:v>
                </c:pt>
                <c:pt idx="127">
                  <c:v>1517.77579117</c:v>
                </c:pt>
                <c:pt idx="128">
                  <c:v>1517.77579117</c:v>
                </c:pt>
                <c:pt idx="129">
                  <c:v>1517.77579117</c:v>
                </c:pt>
                <c:pt idx="130">
                  <c:v>1517.77579117</c:v>
                </c:pt>
                <c:pt idx="131">
                  <c:v>1517.77579117</c:v>
                </c:pt>
                <c:pt idx="132">
                  <c:v>1517.77579117</c:v>
                </c:pt>
                <c:pt idx="133">
                  <c:v>1517.77579117</c:v>
                </c:pt>
                <c:pt idx="134">
                  <c:v>1517.77579117</c:v>
                </c:pt>
                <c:pt idx="135">
                  <c:v>1517.77579117</c:v>
                </c:pt>
                <c:pt idx="136">
                  <c:v>1517.77579117</c:v>
                </c:pt>
                <c:pt idx="137">
                  <c:v>1517.77579117</c:v>
                </c:pt>
                <c:pt idx="138">
                  <c:v>1517.77579117</c:v>
                </c:pt>
                <c:pt idx="139">
                  <c:v>1517.77579117</c:v>
                </c:pt>
                <c:pt idx="140">
                  <c:v>1517.77579117</c:v>
                </c:pt>
                <c:pt idx="141">
                  <c:v>1517.77579117</c:v>
                </c:pt>
                <c:pt idx="142">
                  <c:v>1517.77579117</c:v>
                </c:pt>
                <c:pt idx="143">
                  <c:v>1517.77579117</c:v>
                </c:pt>
                <c:pt idx="144">
                  <c:v>1517.77579117</c:v>
                </c:pt>
                <c:pt idx="145">
                  <c:v>1517.77579117</c:v>
                </c:pt>
                <c:pt idx="146">
                  <c:v>1517.77579117</c:v>
                </c:pt>
                <c:pt idx="147">
                  <c:v>1517.77579117</c:v>
                </c:pt>
                <c:pt idx="148">
                  <c:v>1517.77579117</c:v>
                </c:pt>
                <c:pt idx="149">
                  <c:v>1517.77579117</c:v>
                </c:pt>
                <c:pt idx="150">
                  <c:v>1517.77579117</c:v>
                </c:pt>
                <c:pt idx="151">
                  <c:v>1517.77579117</c:v>
                </c:pt>
                <c:pt idx="152">
                  <c:v>1517.77579117</c:v>
                </c:pt>
                <c:pt idx="153">
                  <c:v>1517.77579117</c:v>
                </c:pt>
                <c:pt idx="154">
                  <c:v>1517.77579117</c:v>
                </c:pt>
                <c:pt idx="155">
                  <c:v>1517.77579117</c:v>
                </c:pt>
                <c:pt idx="156">
                  <c:v>1517.77579117</c:v>
                </c:pt>
                <c:pt idx="157">
                  <c:v>1517.77579117</c:v>
                </c:pt>
                <c:pt idx="158">
                  <c:v>1517.77579117</c:v>
                </c:pt>
                <c:pt idx="159">
                  <c:v>1517.77579117</c:v>
                </c:pt>
                <c:pt idx="160">
                  <c:v>1517.77579117</c:v>
                </c:pt>
                <c:pt idx="161">
                  <c:v>1517.77579117</c:v>
                </c:pt>
                <c:pt idx="162">
                  <c:v>1517.77579117</c:v>
                </c:pt>
                <c:pt idx="163">
                  <c:v>1517.77579117</c:v>
                </c:pt>
                <c:pt idx="164">
                  <c:v>1517.77579117</c:v>
                </c:pt>
                <c:pt idx="165">
                  <c:v>1517.77579117</c:v>
                </c:pt>
                <c:pt idx="166">
                  <c:v>1517.77579117</c:v>
                </c:pt>
                <c:pt idx="167">
                  <c:v>1517.77579117</c:v>
                </c:pt>
                <c:pt idx="168">
                  <c:v>1517.77579117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E-4BCF-A914-33A3F5DF7DBF}"/>
            </c:ext>
          </c:extLst>
        </c:ser>
        <c:ser>
          <c:idx val="1"/>
          <c:order val="1"/>
          <c:tx>
            <c:strRef>
              <c:f>'Comparación con TYNDP24'!$AJ$2</c:f>
              <c:strCache>
                <c:ptCount val="1"/>
                <c:pt idx="0">
                  <c:v>Modelo Esh2-MA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  <a:alpha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'Comparación con TYNDP24'!$AJ$3:$AJ$171</c:f>
              <c:numCache>
                <c:formatCode>General</c:formatCode>
                <c:ptCount val="169"/>
                <c:pt idx="0">
                  <c:v>2089.2078461605961</c:v>
                </c:pt>
                <c:pt idx="1">
                  <c:v>1517.7757899999999</c:v>
                </c:pt>
                <c:pt idx="2">
                  <c:v>1517.7757899999999</c:v>
                </c:pt>
                <c:pt idx="3">
                  <c:v>1517.7757899999999</c:v>
                </c:pt>
                <c:pt idx="4">
                  <c:v>1517.7757899999999</c:v>
                </c:pt>
                <c:pt idx="5">
                  <c:v>1517.7757899999999</c:v>
                </c:pt>
                <c:pt idx="6">
                  <c:v>1517.7757899999999</c:v>
                </c:pt>
                <c:pt idx="7">
                  <c:v>1517.7757899999999</c:v>
                </c:pt>
                <c:pt idx="8">
                  <c:v>2158.535113398565</c:v>
                </c:pt>
                <c:pt idx="9">
                  <c:v>1517.7757899999999</c:v>
                </c:pt>
                <c:pt idx="10">
                  <c:v>1517.7757899999999</c:v>
                </c:pt>
                <c:pt idx="11">
                  <c:v>1517.7757899999999</c:v>
                </c:pt>
                <c:pt idx="12">
                  <c:v>1517.7757899999999</c:v>
                </c:pt>
                <c:pt idx="13">
                  <c:v>1517.7757899999999</c:v>
                </c:pt>
                <c:pt idx="14">
                  <c:v>1517.7757899999999</c:v>
                </c:pt>
                <c:pt idx="15">
                  <c:v>1517.7757899999999</c:v>
                </c:pt>
                <c:pt idx="16">
                  <c:v>1517.7757899999999</c:v>
                </c:pt>
                <c:pt idx="17">
                  <c:v>1517.7757899999999</c:v>
                </c:pt>
                <c:pt idx="18">
                  <c:v>1517.7757899999999</c:v>
                </c:pt>
                <c:pt idx="19">
                  <c:v>1517.7757899999999</c:v>
                </c:pt>
                <c:pt idx="20">
                  <c:v>1517.7757899999999</c:v>
                </c:pt>
                <c:pt idx="21">
                  <c:v>1517.7757899999999</c:v>
                </c:pt>
                <c:pt idx="22">
                  <c:v>1517.7757899999999</c:v>
                </c:pt>
                <c:pt idx="23">
                  <c:v>1517.7757899999999</c:v>
                </c:pt>
                <c:pt idx="24">
                  <c:v>1517.7757899999999</c:v>
                </c:pt>
                <c:pt idx="25">
                  <c:v>1517.7757899999999</c:v>
                </c:pt>
                <c:pt idx="26">
                  <c:v>1517.7757899999999</c:v>
                </c:pt>
                <c:pt idx="27">
                  <c:v>1517.7757899999999</c:v>
                </c:pt>
                <c:pt idx="28">
                  <c:v>1517.7757899999999</c:v>
                </c:pt>
                <c:pt idx="29">
                  <c:v>1517.7757899999999</c:v>
                </c:pt>
                <c:pt idx="30">
                  <c:v>1517.7757899999999</c:v>
                </c:pt>
                <c:pt idx="31">
                  <c:v>1517.7757899999999</c:v>
                </c:pt>
                <c:pt idx="32">
                  <c:v>1517.7757899999999</c:v>
                </c:pt>
                <c:pt idx="33">
                  <c:v>1517.7757899999999</c:v>
                </c:pt>
                <c:pt idx="34">
                  <c:v>1517.7757899999999</c:v>
                </c:pt>
                <c:pt idx="35">
                  <c:v>1517.7757899999999</c:v>
                </c:pt>
                <c:pt idx="36">
                  <c:v>1517.7757899999999</c:v>
                </c:pt>
                <c:pt idx="37">
                  <c:v>1517.7757899999999</c:v>
                </c:pt>
                <c:pt idx="38">
                  <c:v>1517.7757899999999</c:v>
                </c:pt>
                <c:pt idx="39">
                  <c:v>1517.7757899999999</c:v>
                </c:pt>
                <c:pt idx="40">
                  <c:v>1517.7757899999999</c:v>
                </c:pt>
                <c:pt idx="41">
                  <c:v>1517.7757899999999</c:v>
                </c:pt>
                <c:pt idx="42">
                  <c:v>1517.7757899999999</c:v>
                </c:pt>
                <c:pt idx="43">
                  <c:v>1517.7757899999999</c:v>
                </c:pt>
                <c:pt idx="44">
                  <c:v>1517.7757899999999</c:v>
                </c:pt>
                <c:pt idx="45">
                  <c:v>1517.7757899999999</c:v>
                </c:pt>
                <c:pt idx="46">
                  <c:v>1517.7757899999999</c:v>
                </c:pt>
                <c:pt idx="47">
                  <c:v>1517.7757899999999</c:v>
                </c:pt>
                <c:pt idx="48">
                  <c:v>1517.7757899999999</c:v>
                </c:pt>
                <c:pt idx="49">
                  <c:v>1517.7757899999999</c:v>
                </c:pt>
                <c:pt idx="50">
                  <c:v>1517.7757899999999</c:v>
                </c:pt>
                <c:pt idx="51">
                  <c:v>1517.7757899999999</c:v>
                </c:pt>
                <c:pt idx="52">
                  <c:v>1517.7757899999999</c:v>
                </c:pt>
                <c:pt idx="53">
                  <c:v>1517.7757899999999</c:v>
                </c:pt>
                <c:pt idx="54">
                  <c:v>1517.7757899999999</c:v>
                </c:pt>
                <c:pt idx="55">
                  <c:v>1517.7757899999999</c:v>
                </c:pt>
                <c:pt idx="56">
                  <c:v>1517.7757899999999</c:v>
                </c:pt>
                <c:pt idx="57">
                  <c:v>1517.7757899999999</c:v>
                </c:pt>
                <c:pt idx="58">
                  <c:v>1517.7757899999999</c:v>
                </c:pt>
                <c:pt idx="59">
                  <c:v>1517.7757899999999</c:v>
                </c:pt>
                <c:pt idx="60">
                  <c:v>1517.7757899999999</c:v>
                </c:pt>
                <c:pt idx="61">
                  <c:v>1517.7757899999999</c:v>
                </c:pt>
                <c:pt idx="62">
                  <c:v>1517.7757899999999</c:v>
                </c:pt>
                <c:pt idx="63">
                  <c:v>1517.7757899999999</c:v>
                </c:pt>
                <c:pt idx="64">
                  <c:v>1517.7757899999999</c:v>
                </c:pt>
                <c:pt idx="65">
                  <c:v>1517.7757899999999</c:v>
                </c:pt>
                <c:pt idx="66">
                  <c:v>1517.7757899999999</c:v>
                </c:pt>
                <c:pt idx="67">
                  <c:v>1517.7757899999999</c:v>
                </c:pt>
                <c:pt idx="68">
                  <c:v>1517.7757899999999</c:v>
                </c:pt>
                <c:pt idx="69">
                  <c:v>1517.7757899999999</c:v>
                </c:pt>
                <c:pt idx="70">
                  <c:v>1517.7757899999999</c:v>
                </c:pt>
                <c:pt idx="71">
                  <c:v>1517.7757899999999</c:v>
                </c:pt>
                <c:pt idx="72">
                  <c:v>1517.7757899999999</c:v>
                </c:pt>
                <c:pt idx="73">
                  <c:v>1517.7757899999999</c:v>
                </c:pt>
                <c:pt idx="74">
                  <c:v>1517.7757899999999</c:v>
                </c:pt>
                <c:pt idx="75">
                  <c:v>1517.7757899999999</c:v>
                </c:pt>
                <c:pt idx="76">
                  <c:v>1517.7757899999999</c:v>
                </c:pt>
                <c:pt idx="77">
                  <c:v>1517.7757899999999</c:v>
                </c:pt>
                <c:pt idx="78">
                  <c:v>1517.7757899999999</c:v>
                </c:pt>
                <c:pt idx="79">
                  <c:v>1517.7757899999999</c:v>
                </c:pt>
                <c:pt idx="80">
                  <c:v>1517.7757899999999</c:v>
                </c:pt>
                <c:pt idx="81">
                  <c:v>1517.7757899999999</c:v>
                </c:pt>
                <c:pt idx="82">
                  <c:v>1517.7757899999999</c:v>
                </c:pt>
                <c:pt idx="83">
                  <c:v>1517.7757899999999</c:v>
                </c:pt>
                <c:pt idx="84">
                  <c:v>1517.7757899999999</c:v>
                </c:pt>
                <c:pt idx="85">
                  <c:v>1517.7757899999999</c:v>
                </c:pt>
                <c:pt idx="86">
                  <c:v>1517.7757899999999</c:v>
                </c:pt>
                <c:pt idx="87">
                  <c:v>1517.7757899999999</c:v>
                </c:pt>
                <c:pt idx="88">
                  <c:v>1517.7757899999999</c:v>
                </c:pt>
                <c:pt idx="89">
                  <c:v>1517.7757899999999</c:v>
                </c:pt>
                <c:pt idx="90">
                  <c:v>1517.7757899999999</c:v>
                </c:pt>
                <c:pt idx="91">
                  <c:v>1517.7757899999999</c:v>
                </c:pt>
                <c:pt idx="92">
                  <c:v>1517.7757899999999</c:v>
                </c:pt>
                <c:pt idx="93">
                  <c:v>1517.7757899999999</c:v>
                </c:pt>
                <c:pt idx="94">
                  <c:v>1517.7757899999999</c:v>
                </c:pt>
                <c:pt idx="95">
                  <c:v>1517.7757899999999</c:v>
                </c:pt>
                <c:pt idx="96">
                  <c:v>1517.7757899999999</c:v>
                </c:pt>
                <c:pt idx="97">
                  <c:v>1517.7757899999999</c:v>
                </c:pt>
                <c:pt idx="98">
                  <c:v>1517.7757899999999</c:v>
                </c:pt>
                <c:pt idx="99">
                  <c:v>1517.7757899999999</c:v>
                </c:pt>
                <c:pt idx="100">
                  <c:v>1517.7757899999999</c:v>
                </c:pt>
                <c:pt idx="101">
                  <c:v>1517.7757899999999</c:v>
                </c:pt>
                <c:pt idx="102">
                  <c:v>1517.7757899999999</c:v>
                </c:pt>
                <c:pt idx="103">
                  <c:v>1517.7757899999999</c:v>
                </c:pt>
                <c:pt idx="104">
                  <c:v>1517.7757899999999</c:v>
                </c:pt>
                <c:pt idx="105">
                  <c:v>1517.7757899999999</c:v>
                </c:pt>
                <c:pt idx="106">
                  <c:v>1517.7757899999999</c:v>
                </c:pt>
                <c:pt idx="107">
                  <c:v>1517.7757899999999</c:v>
                </c:pt>
                <c:pt idx="108">
                  <c:v>1517.7757899999999</c:v>
                </c:pt>
                <c:pt idx="109">
                  <c:v>1517.7757899999999</c:v>
                </c:pt>
                <c:pt idx="110">
                  <c:v>1517.7757899999999</c:v>
                </c:pt>
                <c:pt idx="111">
                  <c:v>1517.7757899999999</c:v>
                </c:pt>
                <c:pt idx="112">
                  <c:v>1517.7757899999999</c:v>
                </c:pt>
                <c:pt idx="113">
                  <c:v>1517.7757899999999</c:v>
                </c:pt>
                <c:pt idx="114">
                  <c:v>1517.7757899999999</c:v>
                </c:pt>
                <c:pt idx="115">
                  <c:v>1517.7757899999999</c:v>
                </c:pt>
                <c:pt idx="116">
                  <c:v>1517.7757899999999</c:v>
                </c:pt>
                <c:pt idx="117">
                  <c:v>1517.7757899999999</c:v>
                </c:pt>
                <c:pt idx="118">
                  <c:v>1517.7757899999999</c:v>
                </c:pt>
                <c:pt idx="119">
                  <c:v>1517.7757899999999</c:v>
                </c:pt>
                <c:pt idx="120">
                  <c:v>1517.7757899999999</c:v>
                </c:pt>
                <c:pt idx="121">
                  <c:v>1612.9434590047269</c:v>
                </c:pt>
                <c:pt idx="122">
                  <c:v>1517.7757899999999</c:v>
                </c:pt>
                <c:pt idx="123">
                  <c:v>1901.9727924005811</c:v>
                </c:pt>
                <c:pt idx="124">
                  <c:v>1969.6930616824091</c:v>
                </c:pt>
                <c:pt idx="125">
                  <c:v>1517.7757899999999</c:v>
                </c:pt>
                <c:pt idx="126">
                  <c:v>2145.5189282283031</c:v>
                </c:pt>
                <c:pt idx="127">
                  <c:v>1681.1761659290889</c:v>
                </c:pt>
                <c:pt idx="128">
                  <c:v>1846.895921258895</c:v>
                </c:pt>
                <c:pt idx="129">
                  <c:v>1517.7757899999999</c:v>
                </c:pt>
                <c:pt idx="130">
                  <c:v>1517.7757899999999</c:v>
                </c:pt>
                <c:pt idx="131">
                  <c:v>1517.7757899999999</c:v>
                </c:pt>
                <c:pt idx="132">
                  <c:v>1517.7757899999999</c:v>
                </c:pt>
                <c:pt idx="133">
                  <c:v>1517.7757899999999</c:v>
                </c:pt>
                <c:pt idx="134">
                  <c:v>1517.7757899999999</c:v>
                </c:pt>
                <c:pt idx="135">
                  <c:v>1517.7757899999999</c:v>
                </c:pt>
                <c:pt idx="136">
                  <c:v>1517.7757899999999</c:v>
                </c:pt>
                <c:pt idx="137">
                  <c:v>1517.7757899999999</c:v>
                </c:pt>
                <c:pt idx="138">
                  <c:v>2629.6909121113531</c:v>
                </c:pt>
                <c:pt idx="139">
                  <c:v>1517.7757899999999</c:v>
                </c:pt>
                <c:pt idx="140">
                  <c:v>1517.7757899999999</c:v>
                </c:pt>
                <c:pt idx="141">
                  <c:v>1517.7757899999999</c:v>
                </c:pt>
                <c:pt idx="142">
                  <c:v>1517.7757899999999</c:v>
                </c:pt>
                <c:pt idx="143">
                  <c:v>1517.7757899999999</c:v>
                </c:pt>
                <c:pt idx="144">
                  <c:v>1517.7757899999999</c:v>
                </c:pt>
                <c:pt idx="145">
                  <c:v>1517.7757899999999</c:v>
                </c:pt>
                <c:pt idx="146">
                  <c:v>1517.7757899999999</c:v>
                </c:pt>
                <c:pt idx="147">
                  <c:v>1517.7757899999999</c:v>
                </c:pt>
                <c:pt idx="148">
                  <c:v>1517.7757899999999</c:v>
                </c:pt>
                <c:pt idx="149">
                  <c:v>1517.7757899999999</c:v>
                </c:pt>
                <c:pt idx="150">
                  <c:v>1517.7757899999999</c:v>
                </c:pt>
                <c:pt idx="151">
                  <c:v>1517.7757899999999</c:v>
                </c:pt>
                <c:pt idx="152">
                  <c:v>1517.7757899999999</c:v>
                </c:pt>
                <c:pt idx="153">
                  <c:v>1517.7757899999999</c:v>
                </c:pt>
                <c:pt idx="154">
                  <c:v>1517.7757899999999</c:v>
                </c:pt>
                <c:pt idx="155">
                  <c:v>1517.7757899999999</c:v>
                </c:pt>
                <c:pt idx="156">
                  <c:v>1517.7757899999999</c:v>
                </c:pt>
                <c:pt idx="157">
                  <c:v>1517.7757899999999</c:v>
                </c:pt>
                <c:pt idx="158">
                  <c:v>1517.7757899999999</c:v>
                </c:pt>
                <c:pt idx="159">
                  <c:v>1517.7757899999999</c:v>
                </c:pt>
                <c:pt idx="160">
                  <c:v>1517.7757899999999</c:v>
                </c:pt>
                <c:pt idx="161">
                  <c:v>1517.7757899999999</c:v>
                </c:pt>
                <c:pt idx="162">
                  <c:v>1517.7757899999999</c:v>
                </c:pt>
                <c:pt idx="163">
                  <c:v>1517.7757899999999</c:v>
                </c:pt>
                <c:pt idx="164">
                  <c:v>1517.7757899999999</c:v>
                </c:pt>
                <c:pt idx="165">
                  <c:v>1517.7757899999999</c:v>
                </c:pt>
                <c:pt idx="166">
                  <c:v>1517.7757899999999</c:v>
                </c:pt>
                <c:pt idx="167">
                  <c:v>1517.7757899999999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AE-4BCF-A914-33A3F5DF7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815727"/>
        <c:axId val="1669816687"/>
      </c:lineChart>
      <c:catAx>
        <c:axId val="1669815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6687"/>
        <c:crosses val="autoZero"/>
        <c:auto val="1"/>
        <c:lblAlgn val="ctr"/>
        <c:lblOffset val="100"/>
        <c:noMultiLvlLbl val="0"/>
      </c:catAx>
      <c:valAx>
        <c:axId val="16698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6981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% Utilización Interconexiones</a:t>
            </a:r>
          </a:p>
        </c:rich>
      </c:tx>
      <c:layout>
        <c:manualLayout>
          <c:xMode val="edge"/>
          <c:yMode val="edge"/>
          <c:x val="0.31909751958609806"/>
          <c:y val="3.1174767711775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'Utilizacion de Interconexiones'!$A$37</c:f>
              <c:strCache>
                <c:ptCount val="1"/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'Utilizacion de Interconexiones'!$B$2:$B$10</c:f>
              <c:strCache>
                <c:ptCount val="9"/>
                <c:pt idx="0">
                  <c:v>BarMar: ES-FRSW</c:v>
                </c:pt>
                <c:pt idx="1">
                  <c:v>BarMar: FRSW-ES</c:v>
                </c:pt>
                <c:pt idx="2">
                  <c:v>CelZa: ES-PT</c:v>
                </c:pt>
                <c:pt idx="3">
                  <c:v>CelZa: PT-ES</c:v>
                </c:pt>
                <c:pt idx="4">
                  <c:v>Irun-Larrao: ES-FRS</c:v>
                </c:pt>
                <c:pt idx="5">
                  <c:v>FRh2SW-&gt;FRh2S</c:v>
                </c:pt>
                <c:pt idx="6">
                  <c:v>FRh2S-&gt;FRh2</c:v>
                </c:pt>
                <c:pt idx="7">
                  <c:v>FRh2&gt;FRh2S</c:v>
                </c:pt>
                <c:pt idx="8">
                  <c:v>MAh2-&gt;ESh2</c:v>
                </c:pt>
              </c:strCache>
            </c:strRef>
          </c:cat>
          <c:val>
            <c:numRef>
              <c:f>'Utilizacion de Interconexiones'!$F$2:$F$10</c:f>
              <c:numCache>
                <c:formatCode>0.00%</c:formatCode>
                <c:ptCount val="9"/>
                <c:pt idx="0">
                  <c:v>0.57588148253410787</c:v>
                </c:pt>
                <c:pt idx="1">
                  <c:v>6.2630874760332328E-2</c:v>
                </c:pt>
                <c:pt idx="2">
                  <c:v>0.15289242958812363</c:v>
                </c:pt>
                <c:pt idx="3">
                  <c:v>0.11640413962037659</c:v>
                </c:pt>
                <c:pt idx="4">
                  <c:v>5.0558326663377859E-3</c:v>
                </c:pt>
                <c:pt idx="5">
                  <c:v>0.59681678823445161</c:v>
                </c:pt>
                <c:pt idx="6">
                  <c:v>0.77331897117382653</c:v>
                </c:pt>
                <c:pt idx="7">
                  <c:v>1.2215925540659422E-2</c:v>
                </c:pt>
                <c:pt idx="8">
                  <c:v>0.41246221904593888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8-4D87-9C2F-8ED641F13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392400"/>
        <c:axId val="1799390960"/>
      </c:barChart>
      <c:catAx>
        <c:axId val="17993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799390960"/>
        <c:crosses val="autoZero"/>
        <c:auto val="1"/>
        <c:lblAlgn val="ctr"/>
        <c:lblOffset val="100"/>
        <c:noMultiLvlLbl val="0"/>
      </c:catAx>
      <c:valAx>
        <c:axId val="179939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939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Precio</a:t>
            </a:r>
            <a:r>
              <a:rPr lang="es-ES" baseline="0"/>
              <a:t> Marginal Electricity Market ES</a:t>
            </a:r>
            <a:endParaRPr lang="es-E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6"/>
          <c:order val="0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D9F-407E-91F3-F00E4BD0EA2E}"/>
            </c:ext>
          </c:extLst>
        </c:ser>
        <c:ser>
          <c:idx val="17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D9F-407E-91F3-F00E4BD0EA2E}"/>
            </c:ext>
          </c:extLst>
        </c:ser>
        <c:ser>
          <c:idx val="18"/>
          <c:order val="2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D9F-407E-91F3-F00E4BD0EA2E}"/>
            </c:ext>
          </c:extLst>
        </c:ser>
        <c:ser>
          <c:idx val="19"/>
          <c:order val="3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Hoja2!$H$2:$H$169</c:f>
              <c:numCache>
                <c:formatCode>General</c:formatCode>
                <c:ptCount val="16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D9F-407E-91F3-F00E4BD0EA2E}"/>
            </c:ext>
          </c:extLst>
        </c:ser>
        <c:ser>
          <c:idx val="20"/>
          <c:order val="4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D9F-407E-91F3-F00E4BD0EA2E}"/>
            </c:ext>
          </c:extLst>
        </c:ser>
        <c:ser>
          <c:idx val="21"/>
          <c:order val="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D9F-407E-91F3-F00E4BD0EA2E}"/>
            </c:ext>
          </c:extLst>
        </c:ser>
        <c:ser>
          <c:idx val="22"/>
          <c:order val="6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D9F-407E-91F3-F00E4BD0EA2E}"/>
            </c:ext>
          </c:extLst>
        </c:ser>
        <c:ser>
          <c:idx val="23"/>
          <c:order val="7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Hoja2!$I$2:$I$169</c:f>
              <c:numCache>
                <c:formatCode>General</c:formatCode>
                <c:ptCount val="16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D9F-407E-91F3-F00E4BD0EA2E}"/>
            </c:ext>
          </c:extLst>
        </c:ser>
        <c:ser>
          <c:idx val="24"/>
          <c:order val="8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D9F-407E-91F3-F00E4BD0EA2E}"/>
            </c:ext>
          </c:extLst>
        </c:ser>
        <c:ser>
          <c:idx val="25"/>
          <c:order val="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D9F-407E-91F3-F00E4BD0EA2E}"/>
            </c:ext>
          </c:extLst>
        </c:ser>
        <c:ser>
          <c:idx val="26"/>
          <c:order val="10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D9F-407E-91F3-F00E4BD0EA2E}"/>
            </c:ext>
          </c:extLst>
        </c:ser>
        <c:ser>
          <c:idx val="27"/>
          <c:order val="11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Hoja2!$H$2:$H$169</c:f>
              <c:numCache>
                <c:formatCode>General</c:formatCode>
                <c:ptCount val="16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D9F-407E-91F3-F00E4BD0EA2E}"/>
            </c:ext>
          </c:extLst>
        </c:ser>
        <c:ser>
          <c:idx val="28"/>
          <c:order val="12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D9F-407E-91F3-F00E4BD0EA2E}"/>
            </c:ext>
          </c:extLst>
        </c:ser>
        <c:ser>
          <c:idx val="29"/>
          <c:order val="1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D9F-407E-91F3-F00E4BD0EA2E}"/>
            </c:ext>
          </c:extLst>
        </c:ser>
        <c:ser>
          <c:idx val="30"/>
          <c:order val="14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D9F-407E-91F3-F00E4BD0EA2E}"/>
            </c:ext>
          </c:extLst>
        </c:ser>
        <c:ser>
          <c:idx val="31"/>
          <c:order val="15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Hoja2!$J$2:$J$169</c:f>
              <c:numCache>
                <c:formatCode>General</c:formatCode>
                <c:ptCount val="168"/>
                <c:pt idx="0">
                  <c:v>18.7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18.7</c:v>
                </c:pt>
                <c:pt idx="18">
                  <c:v>18.7</c:v>
                </c:pt>
                <c:pt idx="19">
                  <c:v>18.7</c:v>
                </c:pt>
                <c:pt idx="20">
                  <c:v>18.7</c:v>
                </c:pt>
                <c:pt idx="21">
                  <c:v>18.7</c:v>
                </c:pt>
                <c:pt idx="22">
                  <c:v>18.7</c:v>
                </c:pt>
                <c:pt idx="23">
                  <c:v>18.7</c:v>
                </c:pt>
                <c:pt idx="24">
                  <c:v>18.7</c:v>
                </c:pt>
                <c:pt idx="25">
                  <c:v>18.7</c:v>
                </c:pt>
                <c:pt idx="26">
                  <c:v>18.7</c:v>
                </c:pt>
                <c:pt idx="27">
                  <c:v>18.7</c:v>
                </c:pt>
                <c:pt idx="28">
                  <c:v>18.7</c:v>
                </c:pt>
                <c:pt idx="29">
                  <c:v>18.7</c:v>
                </c:pt>
                <c:pt idx="30">
                  <c:v>18.7</c:v>
                </c:pt>
                <c:pt idx="31">
                  <c:v>18.7</c:v>
                </c:pt>
                <c:pt idx="32">
                  <c:v>18.7</c:v>
                </c:pt>
                <c:pt idx="33">
                  <c:v>18.7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18.7</c:v>
                </c:pt>
                <c:pt idx="42">
                  <c:v>18.7</c:v>
                </c:pt>
                <c:pt idx="43">
                  <c:v>18.7</c:v>
                </c:pt>
                <c:pt idx="44">
                  <c:v>18.7</c:v>
                </c:pt>
                <c:pt idx="45">
                  <c:v>18.7</c:v>
                </c:pt>
                <c:pt idx="46">
                  <c:v>18.7</c:v>
                </c:pt>
                <c:pt idx="47">
                  <c:v>18.7</c:v>
                </c:pt>
                <c:pt idx="48">
                  <c:v>18.7</c:v>
                </c:pt>
                <c:pt idx="49">
                  <c:v>18.7</c:v>
                </c:pt>
                <c:pt idx="50">
                  <c:v>18.7</c:v>
                </c:pt>
                <c:pt idx="51">
                  <c:v>18.7</c:v>
                </c:pt>
                <c:pt idx="52">
                  <c:v>18.7</c:v>
                </c:pt>
                <c:pt idx="53">
                  <c:v>18.7</c:v>
                </c:pt>
                <c:pt idx="54">
                  <c:v>18.7</c:v>
                </c:pt>
                <c:pt idx="55">
                  <c:v>18.7</c:v>
                </c:pt>
                <c:pt idx="56">
                  <c:v>18.7</c:v>
                </c:pt>
                <c:pt idx="57">
                  <c:v>18.7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18.7</c:v>
                </c:pt>
                <c:pt idx="66">
                  <c:v>18.7</c:v>
                </c:pt>
                <c:pt idx="67">
                  <c:v>18.7</c:v>
                </c:pt>
                <c:pt idx="68">
                  <c:v>18.7</c:v>
                </c:pt>
                <c:pt idx="69">
                  <c:v>18.7</c:v>
                </c:pt>
                <c:pt idx="70">
                  <c:v>18.7</c:v>
                </c:pt>
                <c:pt idx="71">
                  <c:v>18.7</c:v>
                </c:pt>
                <c:pt idx="72">
                  <c:v>18.7</c:v>
                </c:pt>
                <c:pt idx="73">
                  <c:v>18.7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18.7</c:v>
                </c:pt>
                <c:pt idx="81">
                  <c:v>18.7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18.7</c:v>
                </c:pt>
                <c:pt idx="90">
                  <c:v>18.7</c:v>
                </c:pt>
                <c:pt idx="91">
                  <c:v>18.7</c:v>
                </c:pt>
                <c:pt idx="92">
                  <c:v>18.7</c:v>
                </c:pt>
                <c:pt idx="93">
                  <c:v>18.7</c:v>
                </c:pt>
                <c:pt idx="94">
                  <c:v>18.7</c:v>
                </c:pt>
                <c:pt idx="95">
                  <c:v>18.7</c:v>
                </c:pt>
                <c:pt idx="96">
                  <c:v>18.7</c:v>
                </c:pt>
                <c:pt idx="97">
                  <c:v>18.7</c:v>
                </c:pt>
                <c:pt idx="98">
                  <c:v>18.7</c:v>
                </c:pt>
                <c:pt idx="99">
                  <c:v>18.7</c:v>
                </c:pt>
                <c:pt idx="100">
                  <c:v>18.7</c:v>
                </c:pt>
                <c:pt idx="101">
                  <c:v>18.7</c:v>
                </c:pt>
                <c:pt idx="102">
                  <c:v>18.7</c:v>
                </c:pt>
                <c:pt idx="103">
                  <c:v>18.7</c:v>
                </c:pt>
                <c:pt idx="104">
                  <c:v>18.7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D9F-407E-91F3-F00E4BD0EA2E}"/>
            </c:ext>
          </c:extLst>
        </c:ser>
        <c:ser>
          <c:idx val="8"/>
          <c:order val="16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D9F-407E-91F3-F00E4BD0EA2E}"/>
            </c:ext>
          </c:extLst>
        </c:ser>
        <c:ser>
          <c:idx val="9"/>
          <c:order val="17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D9F-407E-91F3-F00E4BD0EA2E}"/>
            </c:ext>
          </c:extLst>
        </c:ser>
        <c:ser>
          <c:idx val="10"/>
          <c:order val="18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D9F-407E-91F3-F00E4BD0EA2E}"/>
            </c:ext>
          </c:extLst>
        </c:ser>
        <c:ser>
          <c:idx val="11"/>
          <c:order val="19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Hoja2!$H$2:$H$169</c:f>
              <c:numCache>
                <c:formatCode>General</c:formatCode>
                <c:ptCount val="16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D9F-407E-91F3-F00E4BD0EA2E}"/>
            </c:ext>
          </c:extLst>
        </c:ser>
        <c:ser>
          <c:idx val="12"/>
          <c:order val="20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D9F-407E-91F3-F00E4BD0EA2E}"/>
            </c:ext>
          </c:extLst>
        </c:ser>
        <c:ser>
          <c:idx val="13"/>
          <c:order val="2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D9F-407E-91F3-F00E4BD0EA2E}"/>
            </c:ext>
          </c:extLst>
        </c:ser>
        <c:ser>
          <c:idx val="14"/>
          <c:order val="22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D9F-407E-91F3-F00E4BD0EA2E}"/>
            </c:ext>
          </c:extLst>
        </c:ser>
        <c:ser>
          <c:idx val="15"/>
          <c:order val="23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Hoja2!$I$2:$I$169</c:f>
              <c:numCache>
                <c:formatCode>General</c:formatCode>
                <c:ptCount val="16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D9F-407E-91F3-F00E4BD0EA2E}"/>
            </c:ext>
          </c:extLst>
        </c:ser>
        <c:ser>
          <c:idx val="4"/>
          <c:order val="24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D9F-407E-91F3-F00E4BD0EA2E}"/>
            </c:ext>
          </c:extLst>
        </c:ser>
        <c:ser>
          <c:idx val="5"/>
          <c:order val="2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D9F-407E-91F3-F00E4BD0EA2E}"/>
            </c:ext>
          </c:extLst>
        </c:ser>
        <c:ser>
          <c:idx val="6"/>
          <c:order val="26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D9F-407E-91F3-F00E4BD0EA2E}"/>
            </c:ext>
          </c:extLst>
        </c:ser>
        <c:ser>
          <c:idx val="7"/>
          <c:order val="27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Hoja2!$H$2:$H$169</c:f>
              <c:numCache>
                <c:formatCode>General</c:formatCode>
                <c:ptCount val="16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D9F-407E-91F3-F00E4BD0EA2E}"/>
            </c:ext>
          </c:extLst>
        </c:ser>
        <c:ser>
          <c:idx val="2"/>
          <c:order val="28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D9F-407E-91F3-F00E4BD0EA2E}"/>
            </c:ext>
          </c:extLst>
        </c:ser>
        <c:ser>
          <c:idx val="3"/>
          <c:order val="2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Hoja2!$B$2:$B$169</c:f>
              <c:numCache>
                <c:formatCode>General</c:formatCode>
                <c:ptCount val="168"/>
                <c:pt idx="0">
                  <c:v>22</c:v>
                </c:pt>
                <c:pt idx="1">
                  <c:v>14.025</c:v>
                </c:pt>
                <c:pt idx="2">
                  <c:v>14.025</c:v>
                </c:pt>
                <c:pt idx="3">
                  <c:v>14.025</c:v>
                </c:pt>
                <c:pt idx="4">
                  <c:v>14.025</c:v>
                </c:pt>
                <c:pt idx="5">
                  <c:v>14.025</c:v>
                </c:pt>
                <c:pt idx="6">
                  <c:v>14.025</c:v>
                </c:pt>
                <c:pt idx="7">
                  <c:v>14.025</c:v>
                </c:pt>
                <c:pt idx="8">
                  <c:v>14.025</c:v>
                </c:pt>
                <c:pt idx="9">
                  <c:v>14.025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0.06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14.025</c:v>
                </c:pt>
                <c:pt idx="59">
                  <c:v>14.025</c:v>
                </c:pt>
                <c:pt idx="60">
                  <c:v>14.025</c:v>
                </c:pt>
                <c:pt idx="61">
                  <c:v>14.025</c:v>
                </c:pt>
                <c:pt idx="62">
                  <c:v>14.025</c:v>
                </c:pt>
                <c:pt idx="63">
                  <c:v>14.025</c:v>
                </c:pt>
                <c:pt idx="64">
                  <c:v>14.025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17.60452076568405</c:v>
                </c:pt>
                <c:pt idx="83">
                  <c:v>17.60452076568405</c:v>
                </c:pt>
                <c:pt idx="84">
                  <c:v>17.60452076568405</c:v>
                </c:pt>
                <c:pt idx="85">
                  <c:v>17.60452076568405</c:v>
                </c:pt>
                <c:pt idx="86">
                  <c:v>17.60452076568405</c:v>
                </c:pt>
                <c:pt idx="87">
                  <c:v>17.60452076568405</c:v>
                </c:pt>
                <c:pt idx="88">
                  <c:v>17.60452076568405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14.025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14.025</c:v>
                </c:pt>
                <c:pt idx="114">
                  <c:v>14.025</c:v>
                </c:pt>
                <c:pt idx="115">
                  <c:v>14.025</c:v>
                </c:pt>
                <c:pt idx="116">
                  <c:v>14.025</c:v>
                </c:pt>
                <c:pt idx="117">
                  <c:v>14.025</c:v>
                </c:pt>
                <c:pt idx="118">
                  <c:v>14.025</c:v>
                </c:pt>
                <c:pt idx="119">
                  <c:v>14.025</c:v>
                </c:pt>
                <c:pt idx="120">
                  <c:v>14.025</c:v>
                </c:pt>
                <c:pt idx="121">
                  <c:v>14.025</c:v>
                </c:pt>
                <c:pt idx="122">
                  <c:v>14.025</c:v>
                </c:pt>
                <c:pt idx="123">
                  <c:v>14.025</c:v>
                </c:pt>
                <c:pt idx="124">
                  <c:v>14.025</c:v>
                </c:pt>
                <c:pt idx="125">
                  <c:v>14.025</c:v>
                </c:pt>
                <c:pt idx="126">
                  <c:v>14.025</c:v>
                </c:pt>
                <c:pt idx="127">
                  <c:v>14.025</c:v>
                </c:pt>
                <c:pt idx="128">
                  <c:v>14.025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14.025</c:v>
                </c:pt>
                <c:pt idx="138">
                  <c:v>14.025</c:v>
                </c:pt>
                <c:pt idx="139">
                  <c:v>14.025</c:v>
                </c:pt>
                <c:pt idx="140">
                  <c:v>14.025</c:v>
                </c:pt>
                <c:pt idx="141">
                  <c:v>14.025</c:v>
                </c:pt>
                <c:pt idx="142">
                  <c:v>14.025</c:v>
                </c:pt>
                <c:pt idx="143">
                  <c:v>14.025</c:v>
                </c:pt>
                <c:pt idx="144">
                  <c:v>14.025</c:v>
                </c:pt>
                <c:pt idx="145">
                  <c:v>14.025</c:v>
                </c:pt>
                <c:pt idx="146">
                  <c:v>14.025</c:v>
                </c:pt>
                <c:pt idx="147">
                  <c:v>14.025</c:v>
                </c:pt>
                <c:pt idx="148">
                  <c:v>11.60148</c:v>
                </c:pt>
                <c:pt idx="149">
                  <c:v>11.193742085029699</c:v>
                </c:pt>
                <c:pt idx="150">
                  <c:v>11.60148</c:v>
                </c:pt>
                <c:pt idx="151">
                  <c:v>14.025</c:v>
                </c:pt>
                <c:pt idx="152">
                  <c:v>14.025</c:v>
                </c:pt>
                <c:pt idx="153">
                  <c:v>14.025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D9F-407E-91F3-F00E4BD0EA2E}"/>
            </c:ext>
          </c:extLst>
        </c:ser>
        <c:ser>
          <c:idx val="1"/>
          <c:order val="30"/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Hoja2!$G$2:$G$169</c:f>
              <c:numCache>
                <c:formatCode>General</c:formatCode>
                <c:ptCount val="168"/>
                <c:pt idx="0">
                  <c:v>21.9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18.7</c:v>
                </c:pt>
                <c:pt idx="14">
                  <c:v>18.7</c:v>
                </c:pt>
                <c:pt idx="15">
                  <c:v>18.7</c:v>
                </c:pt>
                <c:pt idx="16">
                  <c:v>18.7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21.9</c:v>
                </c:pt>
                <c:pt idx="31">
                  <c:v>21.9</c:v>
                </c:pt>
                <c:pt idx="32">
                  <c:v>21.9</c:v>
                </c:pt>
                <c:pt idx="33">
                  <c:v>21.9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21.9</c:v>
                </c:pt>
                <c:pt idx="42">
                  <c:v>21.9</c:v>
                </c:pt>
                <c:pt idx="43">
                  <c:v>21.9</c:v>
                </c:pt>
                <c:pt idx="44">
                  <c:v>21.9</c:v>
                </c:pt>
                <c:pt idx="45">
                  <c:v>21.9</c:v>
                </c:pt>
                <c:pt idx="46">
                  <c:v>21.9</c:v>
                </c:pt>
                <c:pt idx="47">
                  <c:v>21.9</c:v>
                </c:pt>
                <c:pt idx="48">
                  <c:v>21.9</c:v>
                </c:pt>
                <c:pt idx="49">
                  <c:v>21.9</c:v>
                </c:pt>
                <c:pt idx="50">
                  <c:v>21.9</c:v>
                </c:pt>
                <c:pt idx="51">
                  <c:v>21.9</c:v>
                </c:pt>
                <c:pt idx="52">
                  <c:v>21.9</c:v>
                </c:pt>
                <c:pt idx="53">
                  <c:v>21.9</c:v>
                </c:pt>
                <c:pt idx="54">
                  <c:v>21.9</c:v>
                </c:pt>
                <c:pt idx="55">
                  <c:v>21.9</c:v>
                </c:pt>
                <c:pt idx="56">
                  <c:v>21.9</c:v>
                </c:pt>
                <c:pt idx="57">
                  <c:v>21.9</c:v>
                </c:pt>
                <c:pt idx="58">
                  <c:v>18.7</c:v>
                </c:pt>
                <c:pt idx="59">
                  <c:v>18.7</c:v>
                </c:pt>
                <c:pt idx="60">
                  <c:v>18.7</c:v>
                </c:pt>
                <c:pt idx="61">
                  <c:v>18.7</c:v>
                </c:pt>
                <c:pt idx="62">
                  <c:v>18.7</c:v>
                </c:pt>
                <c:pt idx="63">
                  <c:v>18.7</c:v>
                </c:pt>
                <c:pt idx="64">
                  <c:v>18.7</c:v>
                </c:pt>
                <c:pt idx="65">
                  <c:v>21.9</c:v>
                </c:pt>
                <c:pt idx="66">
                  <c:v>21.9</c:v>
                </c:pt>
                <c:pt idx="67">
                  <c:v>21.9</c:v>
                </c:pt>
                <c:pt idx="68">
                  <c:v>21.9</c:v>
                </c:pt>
                <c:pt idx="69">
                  <c:v>21.9</c:v>
                </c:pt>
                <c:pt idx="70">
                  <c:v>21.9</c:v>
                </c:pt>
                <c:pt idx="71">
                  <c:v>21.9</c:v>
                </c:pt>
                <c:pt idx="72">
                  <c:v>21.9</c:v>
                </c:pt>
                <c:pt idx="73">
                  <c:v>21.9</c:v>
                </c:pt>
                <c:pt idx="74">
                  <c:v>21.9</c:v>
                </c:pt>
                <c:pt idx="75">
                  <c:v>21.9</c:v>
                </c:pt>
                <c:pt idx="76">
                  <c:v>21.9</c:v>
                </c:pt>
                <c:pt idx="77">
                  <c:v>21.9</c:v>
                </c:pt>
                <c:pt idx="78">
                  <c:v>21.9</c:v>
                </c:pt>
                <c:pt idx="79">
                  <c:v>21.9</c:v>
                </c:pt>
                <c:pt idx="80">
                  <c:v>21.9</c:v>
                </c:pt>
                <c:pt idx="81">
                  <c:v>21.9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</c:v>
                </c:pt>
                <c:pt idx="89">
                  <c:v>21.9</c:v>
                </c:pt>
                <c:pt idx="90">
                  <c:v>21.9</c:v>
                </c:pt>
                <c:pt idx="91">
                  <c:v>21.9</c:v>
                </c:pt>
                <c:pt idx="92">
                  <c:v>21.9</c:v>
                </c:pt>
                <c:pt idx="93">
                  <c:v>21.9</c:v>
                </c:pt>
                <c:pt idx="94">
                  <c:v>21.9</c:v>
                </c:pt>
                <c:pt idx="95">
                  <c:v>21.9</c:v>
                </c:pt>
                <c:pt idx="96">
                  <c:v>21.9</c:v>
                </c:pt>
                <c:pt idx="97">
                  <c:v>22.1</c:v>
                </c:pt>
                <c:pt idx="98">
                  <c:v>22.1</c:v>
                </c:pt>
                <c:pt idx="99">
                  <c:v>21.9</c:v>
                </c:pt>
                <c:pt idx="100">
                  <c:v>21.9</c:v>
                </c:pt>
                <c:pt idx="101">
                  <c:v>22.1</c:v>
                </c:pt>
                <c:pt idx="102">
                  <c:v>22.1</c:v>
                </c:pt>
                <c:pt idx="103">
                  <c:v>22.1</c:v>
                </c:pt>
                <c:pt idx="104">
                  <c:v>22.1</c:v>
                </c:pt>
                <c:pt idx="105">
                  <c:v>18.7</c:v>
                </c:pt>
                <c:pt idx="106">
                  <c:v>18.7</c:v>
                </c:pt>
                <c:pt idx="107">
                  <c:v>18.7</c:v>
                </c:pt>
                <c:pt idx="108">
                  <c:v>18.7</c:v>
                </c:pt>
                <c:pt idx="109">
                  <c:v>18.7</c:v>
                </c:pt>
                <c:pt idx="110">
                  <c:v>18.7</c:v>
                </c:pt>
                <c:pt idx="111">
                  <c:v>18.7</c:v>
                </c:pt>
                <c:pt idx="112">
                  <c:v>18.7</c:v>
                </c:pt>
                <c:pt idx="113">
                  <c:v>18.7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18.7</c:v>
                </c:pt>
                <c:pt idx="130">
                  <c:v>18.7</c:v>
                </c:pt>
                <c:pt idx="131">
                  <c:v>18.7</c:v>
                </c:pt>
                <c:pt idx="132">
                  <c:v>18.7</c:v>
                </c:pt>
                <c:pt idx="133">
                  <c:v>18.7</c:v>
                </c:pt>
                <c:pt idx="134">
                  <c:v>18.7</c:v>
                </c:pt>
                <c:pt idx="135">
                  <c:v>18.7</c:v>
                </c:pt>
                <c:pt idx="136">
                  <c:v>18.7</c:v>
                </c:pt>
                <c:pt idx="137">
                  <c:v>18.7</c:v>
                </c:pt>
                <c:pt idx="138">
                  <c:v>18.7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18.7</c:v>
                </c:pt>
                <c:pt idx="144">
                  <c:v>18.7</c:v>
                </c:pt>
                <c:pt idx="145">
                  <c:v>18.7</c:v>
                </c:pt>
                <c:pt idx="146">
                  <c:v>18.7</c:v>
                </c:pt>
                <c:pt idx="147">
                  <c:v>18.7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D9F-407E-91F3-F00E4BD0EA2E}"/>
            </c:ext>
          </c:extLst>
        </c:ser>
        <c:ser>
          <c:idx val="0"/>
          <c:order val="31"/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Hoja2!$K$2:$K$169</c:f>
              <c:numCache>
                <c:formatCode>General</c:formatCode>
                <c:ptCount val="168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D9F-407E-91F3-F00E4BD0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49743"/>
        <c:axId val="1681850703"/>
      </c:lineChart>
      <c:catAx>
        <c:axId val="1681849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1850703"/>
        <c:crosses val="autoZero"/>
        <c:auto val="1"/>
        <c:lblAlgn val="ctr"/>
        <c:lblOffset val="100"/>
        <c:noMultiLvlLbl val="0"/>
      </c:catAx>
      <c:valAx>
        <c:axId val="16818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184974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E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Precio</a:t>
            </a:r>
            <a:r>
              <a:rPr lang="es-ES" sz="12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Marginal Electricity Market ES</a:t>
            </a:r>
            <a:endParaRPr lang="es-E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Hoja2!$V$2:$V$169</c:f>
              <c:numCache>
                <c:formatCode>General</c:formatCode>
                <c:ptCount val="168"/>
                <c:pt idx="0">
                  <c:v>73.900000000000006</c:v>
                </c:pt>
                <c:pt idx="1">
                  <c:v>31.642857142857139</c:v>
                </c:pt>
                <c:pt idx="2">
                  <c:v>31.642857142857139</c:v>
                </c:pt>
                <c:pt idx="3">
                  <c:v>31.642857142857139</c:v>
                </c:pt>
                <c:pt idx="4">
                  <c:v>31.642857142857139</c:v>
                </c:pt>
                <c:pt idx="5">
                  <c:v>31.642857142857139</c:v>
                </c:pt>
                <c:pt idx="6">
                  <c:v>31.642857142857139</c:v>
                </c:pt>
                <c:pt idx="7">
                  <c:v>31.642857142857139</c:v>
                </c:pt>
                <c:pt idx="8">
                  <c:v>73.900000000000006</c:v>
                </c:pt>
                <c:pt idx="9">
                  <c:v>29.056944285714291</c:v>
                </c:pt>
                <c:pt idx="10">
                  <c:v>0.2142857142857143</c:v>
                </c:pt>
                <c:pt idx="11">
                  <c:v>0.2142857142857143</c:v>
                </c:pt>
                <c:pt idx="12">
                  <c:v>0.2142857142857143</c:v>
                </c:pt>
                <c:pt idx="13">
                  <c:v>0.2142857142857143</c:v>
                </c:pt>
                <c:pt idx="14">
                  <c:v>0.2142857142857143</c:v>
                </c:pt>
                <c:pt idx="15">
                  <c:v>0.2142857142857143</c:v>
                </c:pt>
                <c:pt idx="16">
                  <c:v>0.2142857142857143</c:v>
                </c:pt>
                <c:pt idx="17">
                  <c:v>31.642857142857139</c:v>
                </c:pt>
                <c:pt idx="18">
                  <c:v>31.642857142857139</c:v>
                </c:pt>
                <c:pt idx="19">
                  <c:v>31.642857142857139</c:v>
                </c:pt>
                <c:pt idx="20">
                  <c:v>31.44285714285714</c:v>
                </c:pt>
                <c:pt idx="21">
                  <c:v>31.44285714285714</c:v>
                </c:pt>
                <c:pt idx="22">
                  <c:v>31.44285714285714</c:v>
                </c:pt>
                <c:pt idx="23">
                  <c:v>31.642857142857139</c:v>
                </c:pt>
                <c:pt idx="24">
                  <c:v>31.642857142857139</c:v>
                </c:pt>
                <c:pt idx="25">
                  <c:v>31.642857142857139</c:v>
                </c:pt>
                <c:pt idx="26">
                  <c:v>31.642857142857139</c:v>
                </c:pt>
                <c:pt idx="27">
                  <c:v>31.642857142857139</c:v>
                </c:pt>
                <c:pt idx="28">
                  <c:v>31.642857142857139</c:v>
                </c:pt>
                <c:pt idx="29">
                  <c:v>31.44285714285714</c:v>
                </c:pt>
                <c:pt idx="30">
                  <c:v>31.44285714285714</c:v>
                </c:pt>
                <c:pt idx="31">
                  <c:v>31.642857142857139</c:v>
                </c:pt>
                <c:pt idx="32">
                  <c:v>31.642857142857139</c:v>
                </c:pt>
                <c:pt idx="33">
                  <c:v>31.642857142857139</c:v>
                </c:pt>
                <c:pt idx="34">
                  <c:v>0.35714285714285721</c:v>
                </c:pt>
                <c:pt idx="35">
                  <c:v>0.35714285714285721</c:v>
                </c:pt>
                <c:pt idx="36">
                  <c:v>0.35714285714285721</c:v>
                </c:pt>
                <c:pt idx="37">
                  <c:v>0.3</c:v>
                </c:pt>
                <c:pt idx="38">
                  <c:v>0.35714285714285721</c:v>
                </c:pt>
                <c:pt idx="39">
                  <c:v>0.35714285714285721</c:v>
                </c:pt>
                <c:pt idx="40">
                  <c:v>0.35714285714285721</c:v>
                </c:pt>
                <c:pt idx="41">
                  <c:v>31.642857142857139</c:v>
                </c:pt>
                <c:pt idx="42">
                  <c:v>31.642857142857139</c:v>
                </c:pt>
                <c:pt idx="43">
                  <c:v>31.44285714285714</c:v>
                </c:pt>
                <c:pt idx="44">
                  <c:v>31.44285714285714</c:v>
                </c:pt>
                <c:pt idx="45">
                  <c:v>31.44285714285714</c:v>
                </c:pt>
                <c:pt idx="46">
                  <c:v>31.44285714285714</c:v>
                </c:pt>
                <c:pt idx="47">
                  <c:v>31.44285714285714</c:v>
                </c:pt>
                <c:pt idx="48">
                  <c:v>31.44285714285714</c:v>
                </c:pt>
                <c:pt idx="49">
                  <c:v>31.44285714285714</c:v>
                </c:pt>
                <c:pt idx="50">
                  <c:v>31.44285714285714</c:v>
                </c:pt>
                <c:pt idx="51">
                  <c:v>31.44285714285714</c:v>
                </c:pt>
                <c:pt idx="52">
                  <c:v>31.44285714285714</c:v>
                </c:pt>
                <c:pt idx="53">
                  <c:v>31.44285714285714</c:v>
                </c:pt>
                <c:pt idx="54">
                  <c:v>31.44285714285714</c:v>
                </c:pt>
                <c:pt idx="55">
                  <c:v>31.44285714285714</c:v>
                </c:pt>
                <c:pt idx="56">
                  <c:v>31.44285714285714</c:v>
                </c:pt>
                <c:pt idx="57">
                  <c:v>31.642857142857139</c:v>
                </c:pt>
                <c:pt idx="58">
                  <c:v>20.25</c:v>
                </c:pt>
                <c:pt idx="59">
                  <c:v>20.25</c:v>
                </c:pt>
                <c:pt idx="60">
                  <c:v>20.25</c:v>
                </c:pt>
                <c:pt idx="61">
                  <c:v>20.25</c:v>
                </c:pt>
                <c:pt idx="62">
                  <c:v>20.25</c:v>
                </c:pt>
                <c:pt idx="63">
                  <c:v>20.25</c:v>
                </c:pt>
                <c:pt idx="64">
                  <c:v>20.25</c:v>
                </c:pt>
                <c:pt idx="65">
                  <c:v>31.642857142857139</c:v>
                </c:pt>
                <c:pt idx="66">
                  <c:v>31.44285714285714</c:v>
                </c:pt>
                <c:pt idx="67">
                  <c:v>31.44285714285714</c:v>
                </c:pt>
                <c:pt idx="68">
                  <c:v>31.44285714285714</c:v>
                </c:pt>
                <c:pt idx="69">
                  <c:v>31.44285714285714</c:v>
                </c:pt>
                <c:pt idx="70">
                  <c:v>31.44285714285714</c:v>
                </c:pt>
                <c:pt idx="71">
                  <c:v>31.44285714285714</c:v>
                </c:pt>
                <c:pt idx="72">
                  <c:v>31.44285714285714</c:v>
                </c:pt>
                <c:pt idx="73">
                  <c:v>31.44285714285714</c:v>
                </c:pt>
                <c:pt idx="74">
                  <c:v>31.44285714285714</c:v>
                </c:pt>
                <c:pt idx="75">
                  <c:v>31.44285714285714</c:v>
                </c:pt>
                <c:pt idx="76">
                  <c:v>31.44285714285714</c:v>
                </c:pt>
                <c:pt idx="77">
                  <c:v>31.44285714285714</c:v>
                </c:pt>
                <c:pt idx="78">
                  <c:v>31.44285714285714</c:v>
                </c:pt>
                <c:pt idx="79">
                  <c:v>31.44285714285714</c:v>
                </c:pt>
                <c:pt idx="80">
                  <c:v>31.642857142857139</c:v>
                </c:pt>
                <c:pt idx="81">
                  <c:v>31.642857142857139</c:v>
                </c:pt>
                <c:pt idx="82">
                  <c:v>25.363601093834369</c:v>
                </c:pt>
                <c:pt idx="83">
                  <c:v>25.363601093834369</c:v>
                </c:pt>
                <c:pt idx="84">
                  <c:v>25.363601093834369</c:v>
                </c:pt>
                <c:pt idx="85">
                  <c:v>25.363601093834369</c:v>
                </c:pt>
                <c:pt idx="86">
                  <c:v>25.363601093834369</c:v>
                </c:pt>
                <c:pt idx="87">
                  <c:v>25.363601093834369</c:v>
                </c:pt>
                <c:pt idx="88">
                  <c:v>25.363601093834369</c:v>
                </c:pt>
                <c:pt idx="89">
                  <c:v>31.642857142857139</c:v>
                </c:pt>
                <c:pt idx="90">
                  <c:v>31.642857142857139</c:v>
                </c:pt>
                <c:pt idx="91">
                  <c:v>31.642857142857139</c:v>
                </c:pt>
                <c:pt idx="92">
                  <c:v>31.642857142857139</c:v>
                </c:pt>
                <c:pt idx="93">
                  <c:v>31.642857142857139</c:v>
                </c:pt>
                <c:pt idx="94">
                  <c:v>31.642857142857139</c:v>
                </c:pt>
                <c:pt idx="95">
                  <c:v>31.642857142857139</c:v>
                </c:pt>
                <c:pt idx="96">
                  <c:v>31.642857142857139</c:v>
                </c:pt>
                <c:pt idx="97">
                  <c:v>31.642857142857139</c:v>
                </c:pt>
                <c:pt idx="98">
                  <c:v>31.642857142857139</c:v>
                </c:pt>
                <c:pt idx="99">
                  <c:v>31.642857142857139</c:v>
                </c:pt>
                <c:pt idx="100">
                  <c:v>31.642857142857139</c:v>
                </c:pt>
                <c:pt idx="101">
                  <c:v>31.642857142857139</c:v>
                </c:pt>
                <c:pt idx="102">
                  <c:v>31.642857142857139</c:v>
                </c:pt>
                <c:pt idx="103">
                  <c:v>31.642857142857139</c:v>
                </c:pt>
                <c:pt idx="104">
                  <c:v>31.642857142857139</c:v>
                </c:pt>
                <c:pt idx="105">
                  <c:v>20.25</c:v>
                </c:pt>
                <c:pt idx="106">
                  <c:v>0.2142857142857143</c:v>
                </c:pt>
                <c:pt idx="107">
                  <c:v>0.2142857142857143</c:v>
                </c:pt>
                <c:pt idx="108">
                  <c:v>0.2142857142857143</c:v>
                </c:pt>
                <c:pt idx="109">
                  <c:v>0.2142857142857143</c:v>
                </c:pt>
                <c:pt idx="110">
                  <c:v>0.2142857142857143</c:v>
                </c:pt>
                <c:pt idx="111">
                  <c:v>0.2142857142857143</c:v>
                </c:pt>
                <c:pt idx="112">
                  <c:v>0.2142857142857143</c:v>
                </c:pt>
                <c:pt idx="113">
                  <c:v>20.25</c:v>
                </c:pt>
                <c:pt idx="114">
                  <c:v>29.056944285714291</c:v>
                </c:pt>
                <c:pt idx="115">
                  <c:v>29.056944285714291</c:v>
                </c:pt>
                <c:pt idx="116">
                  <c:v>29.056944285714291</c:v>
                </c:pt>
                <c:pt idx="117">
                  <c:v>29.056944285714291</c:v>
                </c:pt>
                <c:pt idx="118">
                  <c:v>29.056944285714291</c:v>
                </c:pt>
                <c:pt idx="119">
                  <c:v>29.056944285714291</c:v>
                </c:pt>
                <c:pt idx="120">
                  <c:v>31.642857142857139</c:v>
                </c:pt>
                <c:pt idx="121">
                  <c:v>73.900000000000006</c:v>
                </c:pt>
                <c:pt idx="122">
                  <c:v>31.642857142857139</c:v>
                </c:pt>
                <c:pt idx="123">
                  <c:v>73.900000000000006</c:v>
                </c:pt>
                <c:pt idx="124">
                  <c:v>73.900000000000006</c:v>
                </c:pt>
                <c:pt idx="125">
                  <c:v>31.642857142857139</c:v>
                </c:pt>
                <c:pt idx="126">
                  <c:v>73.900000000000006</c:v>
                </c:pt>
                <c:pt idx="127">
                  <c:v>73.900000000000006</c:v>
                </c:pt>
                <c:pt idx="128">
                  <c:v>73.900000000000006</c:v>
                </c:pt>
                <c:pt idx="129">
                  <c:v>29.056944285714291</c:v>
                </c:pt>
                <c:pt idx="130">
                  <c:v>0.2142857142857143</c:v>
                </c:pt>
                <c:pt idx="131">
                  <c:v>0.2142857142857143</c:v>
                </c:pt>
                <c:pt idx="132">
                  <c:v>0.2142857142857143</c:v>
                </c:pt>
                <c:pt idx="133">
                  <c:v>0.2142857142857143</c:v>
                </c:pt>
                <c:pt idx="134">
                  <c:v>0.2142857142857143</c:v>
                </c:pt>
                <c:pt idx="135">
                  <c:v>0.2142857142857143</c:v>
                </c:pt>
                <c:pt idx="136">
                  <c:v>0.2142857142857143</c:v>
                </c:pt>
                <c:pt idx="137">
                  <c:v>29.056944285714291</c:v>
                </c:pt>
                <c:pt idx="138">
                  <c:v>73.900000000000006</c:v>
                </c:pt>
                <c:pt idx="139">
                  <c:v>31.642857142857139</c:v>
                </c:pt>
                <c:pt idx="140">
                  <c:v>31.642857142857139</c:v>
                </c:pt>
                <c:pt idx="141">
                  <c:v>31.642857142857139</c:v>
                </c:pt>
                <c:pt idx="142">
                  <c:v>29.056944285714291</c:v>
                </c:pt>
                <c:pt idx="143">
                  <c:v>29.056944285714291</c:v>
                </c:pt>
                <c:pt idx="144">
                  <c:v>29.056944285714291</c:v>
                </c:pt>
                <c:pt idx="145">
                  <c:v>29.056944285714291</c:v>
                </c:pt>
                <c:pt idx="146">
                  <c:v>20.25</c:v>
                </c:pt>
                <c:pt idx="147">
                  <c:v>20.25</c:v>
                </c:pt>
                <c:pt idx="148">
                  <c:v>16.78782857142857</c:v>
                </c:pt>
                <c:pt idx="149">
                  <c:v>16.20534583575672</c:v>
                </c:pt>
                <c:pt idx="150">
                  <c:v>16.78782857142857</c:v>
                </c:pt>
                <c:pt idx="151">
                  <c:v>20.25</c:v>
                </c:pt>
                <c:pt idx="152">
                  <c:v>20.25</c:v>
                </c:pt>
                <c:pt idx="153">
                  <c:v>20.25</c:v>
                </c:pt>
                <c:pt idx="154">
                  <c:v>0.2142857142857143</c:v>
                </c:pt>
                <c:pt idx="155">
                  <c:v>0.2142857142857143</c:v>
                </c:pt>
                <c:pt idx="156">
                  <c:v>0.2142857142857143</c:v>
                </c:pt>
                <c:pt idx="157">
                  <c:v>0.2142857142857143</c:v>
                </c:pt>
                <c:pt idx="158">
                  <c:v>0.2142857142857143</c:v>
                </c:pt>
                <c:pt idx="159">
                  <c:v>0.2142857142857143</c:v>
                </c:pt>
                <c:pt idx="160">
                  <c:v>0.2142857142857143</c:v>
                </c:pt>
                <c:pt idx="161">
                  <c:v>0.2142857142857143</c:v>
                </c:pt>
                <c:pt idx="162">
                  <c:v>29.056944285714291</c:v>
                </c:pt>
                <c:pt idx="163">
                  <c:v>29.056944285714291</c:v>
                </c:pt>
                <c:pt idx="164">
                  <c:v>29.056944285714291</c:v>
                </c:pt>
                <c:pt idx="165">
                  <c:v>29.056944285714291</c:v>
                </c:pt>
                <c:pt idx="166">
                  <c:v>29.056944285714291</c:v>
                </c:pt>
                <c:pt idx="167">
                  <c:v>29.056944285714291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D-4626-95A1-51A22988F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849743"/>
        <c:axId val="1681850703"/>
      </c:lineChart>
      <c:catAx>
        <c:axId val="1681849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1850703"/>
        <c:crosses val="autoZero"/>
        <c:auto val="1"/>
        <c:lblAlgn val="ctr"/>
        <c:lblOffset val="100"/>
        <c:noMultiLvlLbl val="0"/>
      </c:catAx>
      <c:valAx>
        <c:axId val="16818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S"/>
          </a:p>
        </c:txPr>
        <c:crossAx val="168184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131536</xdr:colOff>
      <xdr:row>10</xdr:row>
      <xdr:rowOff>118135</xdr:rowOff>
    </xdr:from>
    <xdr:to>
      <xdr:col>5</xdr:col>
      <xdr:colOff>2677058</xdr:colOff>
      <xdr:row>33</xdr:row>
      <xdr:rowOff>10058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99E53-8C61-8782-CB6A-A0DAACCE5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5</xdr:row>
      <xdr:rowOff>48079</xdr:rowOff>
    </xdr:from>
    <xdr:to>
      <xdr:col>10</xdr:col>
      <xdr:colOff>2041072</xdr:colOff>
      <xdr:row>32</xdr:row>
      <xdr:rowOff>149679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E4D994C-9BFE-4E7D-92BC-D01F73203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258536</xdr:colOff>
      <xdr:row>10</xdr:row>
      <xdr:rowOff>95249</xdr:rowOff>
    </xdr:from>
    <xdr:to>
      <xdr:col>24</xdr:col>
      <xdr:colOff>106668</xdr:colOff>
      <xdr:row>32</xdr:row>
      <xdr:rowOff>164065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E1548B-46F5-48E5-90B0-890EB3498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207282</xdr:colOff>
      <xdr:row>10</xdr:row>
      <xdr:rowOff>64860</xdr:rowOff>
    </xdr:from>
    <xdr:to>
      <xdr:col>33</xdr:col>
      <xdr:colOff>413283</xdr:colOff>
      <xdr:row>32</xdr:row>
      <xdr:rowOff>136851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812B333-C7D5-443C-AC42-4EE320B70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40820</xdr:colOff>
      <xdr:row>5</xdr:row>
      <xdr:rowOff>30391</xdr:rowOff>
    </xdr:from>
    <xdr:to>
      <xdr:col>16</xdr:col>
      <xdr:colOff>911678</xdr:colOff>
      <xdr:row>33</xdr:row>
      <xdr:rowOff>108857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B76E81-381D-4999-B73F-350106BBB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163285</xdr:colOff>
      <xdr:row>6</xdr:row>
      <xdr:rowOff>27214</xdr:rowOff>
    </xdr:from>
    <xdr:to>
      <xdr:col>44</xdr:col>
      <xdr:colOff>15500</xdr:colOff>
      <xdr:row>28</xdr:row>
      <xdr:rowOff>99204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5D40612-AB49-4CA9-BC74-F7452C847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233773</xdr:colOff>
      <xdr:row>10</xdr:row>
      <xdr:rowOff>62086</xdr:rowOff>
    </xdr:from>
    <xdr:to>
      <xdr:col>7</xdr:col>
      <xdr:colOff>52855</xdr:colOff>
      <xdr:row>37</xdr:row>
      <xdr:rowOff>84793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B88446-6776-AE2A-0285-35EE87DFC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479423</xdr:colOff>
      <xdr:row>4</xdr:row>
      <xdr:rowOff>104027</xdr:rowOff>
    </xdr:from>
    <xdr:to>
      <xdr:col>5</xdr:col>
      <xdr:colOff>1210234</xdr:colOff>
      <xdr:row>24</xdr:row>
      <xdr:rowOff>74144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0E7053-E447-A831-66DE-8576D5A93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557119</xdr:colOff>
      <xdr:row>5</xdr:row>
      <xdr:rowOff>100852</xdr:rowOff>
    </xdr:from>
    <xdr:to>
      <xdr:col>21</xdr:col>
      <xdr:colOff>1824130</xdr:colOff>
      <xdr:row>25</xdr:row>
      <xdr:rowOff>67795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75C10-1EB1-4F07-90B6-4453BC346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BenchMarking.xlsx" TargetMode="External"/><Relationship Id="rId1" Type="http://schemas.openxmlformats.org/officeDocument/2006/relationships/externalLinkPath" Target="ResultadosBenchMa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Y2040_WS071/Copia%20de%20TimeSeriesDashboard_ES_TY2040_WS071.xlsx" TargetMode="External"/><Relationship Id="rId2" Type="http://schemas.openxmlformats.org/officeDocument/2006/relationships/externalLinkPath" Target="file:///C:\Users\EXT10348\Downloads\WinPython%203.12.10\WPy64-31241\PROYECTOS%20PYPSA\Dispatching-Project-in-PypSA\TY2040_WS071\Copia%20de%20TimeSeriesDashboard_ES_TY2040_WS071.xlsx" TargetMode="External"/><Relationship Id="rId1" Type="http://schemas.openxmlformats.org/officeDocument/2006/relationships/externalLinkPath" Target="/Users/EXT10348/Downloads/WinPython%203.12.10/WPy64-31241/PROYECTOS%20PYPSA/Dispatching-Project-in-PypSA/TY2040_WS071/Copia%20de%20TimeSeriesDashboard_ES_TY2040_WS07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te%20III.%20Modelo%20Espa&#241;a-Portugal-Francia/modelo_dispatching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modelo_dispatching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modelo_dispatch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hojas_de_datos\ResultadosDispatchingg.xlsx" TargetMode="External"/><Relationship Id="rId1" Type="http://schemas.openxmlformats.org/officeDocument/2006/relationships/externalLinkPath" Target="ResultadosDispatching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sub_networks"/>
      <sheetName val="loads"/>
      <sheetName val="loads-p_set"/>
      <sheetName val="loads-p"/>
      <sheetName val="stores"/>
      <sheetName val="stores-e"/>
      <sheetName val="carriers"/>
      <sheetName val="links"/>
      <sheetName val="links-p0"/>
      <sheetName val="links-p1"/>
      <sheetName val="generators"/>
      <sheetName val="generators-p"/>
      <sheetName val="buses"/>
      <sheetName val="generators-p_max_pu"/>
      <sheetName val="buses-p"/>
      <sheetName val="buses-marginal_price"/>
      <sheetName val="storage_units"/>
      <sheetName val="storage_units-p"/>
      <sheetName val="storage_units-p_dispatch"/>
      <sheetName val="storage_units-p_store"/>
      <sheetName val="storage_units-state_of_charge"/>
      <sheetName val="stores-p"/>
      <sheetName val="generators-p_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ES_turbina</v>
          </cell>
          <cell r="C1" t="str">
            <v>ES_pump</v>
          </cell>
          <cell r="D1" t="str">
            <v>ES_electrolyzer</v>
          </cell>
          <cell r="G1" t="str">
            <v>PT_turbina</v>
          </cell>
          <cell r="H1" t="str">
            <v>PT_pump</v>
          </cell>
          <cell r="J1" t="str">
            <v>ES_PT_interconexion_electricidad</v>
          </cell>
          <cell r="K1" t="str">
            <v>ES_PT_interconexion_hidrogeno</v>
          </cell>
          <cell r="L1" t="str">
            <v>PT_ES_interconexion_electricidad</v>
          </cell>
          <cell r="M1" t="str">
            <v>PT_ES_interconexion_hidrogeno</v>
          </cell>
          <cell r="N1" t="str">
            <v>ES_FR_interconexion_electricidad</v>
          </cell>
          <cell r="O1" t="str">
            <v>FR_ES_interconexion_electricidad</v>
          </cell>
          <cell r="P1" t="str">
            <v>ES_FR_interconexion_hidrogeno_IrunLarrau</v>
          </cell>
          <cell r="Q1" t="str">
            <v>ES_FR_interconexion_hidrogeno_BarMar</v>
          </cell>
          <cell r="R1" t="str">
            <v>FR_ES_interconexion_hidrogeno_BarMar</v>
          </cell>
          <cell r="S1" t="str">
            <v>FR_FR_interconexion_hidrogeno_SWtoS</v>
          </cell>
          <cell r="T1" t="str">
            <v>FR_FR_interconexion_hidrogeno_StoFRh2</v>
          </cell>
          <cell r="U1" t="str">
            <v>FR_FR_interconexion_hidrogeno_FRh2toS</v>
          </cell>
          <cell r="V1" t="str">
            <v>MA_ES_interconexion_hidrogeno</v>
          </cell>
        </row>
        <row r="2">
          <cell r="B2">
            <v>15707.52826457718</v>
          </cell>
          <cell r="C2">
            <v>0</v>
          </cell>
          <cell r="D2">
            <v>15500</v>
          </cell>
          <cell r="G2">
            <v>3135</v>
          </cell>
          <cell r="H2">
            <v>0</v>
          </cell>
          <cell r="J2">
            <v>0</v>
          </cell>
          <cell r="K2">
            <v>776.98825558499652</v>
          </cell>
          <cell r="L2">
            <v>2837.788522564801</v>
          </cell>
          <cell r="M2">
            <v>0</v>
          </cell>
          <cell r="N2">
            <v>0</v>
          </cell>
          <cell r="O2">
            <v>5000</v>
          </cell>
          <cell r="P2">
            <v>0</v>
          </cell>
          <cell r="Q2">
            <v>3985.9887250000002</v>
          </cell>
          <cell r="R2">
            <v>0</v>
          </cell>
          <cell r="S2">
            <v>1553.672292</v>
          </cell>
          <cell r="T2">
            <v>6779.6610170000004</v>
          </cell>
          <cell r="U2">
            <v>0</v>
          </cell>
          <cell r="V2">
            <v>2089.2078461605961</v>
          </cell>
        </row>
        <row r="3">
          <cell r="B3">
            <v>0</v>
          </cell>
          <cell r="C3">
            <v>0</v>
          </cell>
          <cell r="D3">
            <v>15500</v>
          </cell>
          <cell r="G3">
            <v>0</v>
          </cell>
          <cell r="H3">
            <v>0</v>
          </cell>
          <cell r="J3">
            <v>0</v>
          </cell>
          <cell r="K3">
            <v>821.77942529061022</v>
          </cell>
          <cell r="L3">
            <v>3500</v>
          </cell>
          <cell r="M3">
            <v>0</v>
          </cell>
          <cell r="N3">
            <v>0</v>
          </cell>
          <cell r="O3">
            <v>5000</v>
          </cell>
          <cell r="P3">
            <v>0</v>
          </cell>
          <cell r="Q3">
            <v>3985.9887250000002</v>
          </cell>
          <cell r="R3">
            <v>0</v>
          </cell>
          <cell r="S3">
            <v>1553.672292</v>
          </cell>
          <cell r="T3">
            <v>6779.6610170000004</v>
          </cell>
          <cell r="U3">
            <v>0</v>
          </cell>
          <cell r="V3">
            <v>1517.7757899999999</v>
          </cell>
        </row>
        <row r="4">
          <cell r="B4">
            <v>0</v>
          </cell>
          <cell r="C4">
            <v>0</v>
          </cell>
          <cell r="D4">
            <v>15500</v>
          </cell>
          <cell r="G4">
            <v>0</v>
          </cell>
          <cell r="H4">
            <v>0</v>
          </cell>
          <cell r="J4">
            <v>0</v>
          </cell>
          <cell r="K4">
            <v>851.4727861446263</v>
          </cell>
          <cell r="L4">
            <v>3500</v>
          </cell>
          <cell r="M4">
            <v>0</v>
          </cell>
          <cell r="N4">
            <v>0</v>
          </cell>
          <cell r="O4">
            <v>5000</v>
          </cell>
          <cell r="P4">
            <v>0</v>
          </cell>
          <cell r="Q4">
            <v>3985.9887250000002</v>
          </cell>
          <cell r="R4">
            <v>0</v>
          </cell>
          <cell r="S4">
            <v>1553.672292</v>
          </cell>
          <cell r="T4">
            <v>6779.6610170000004</v>
          </cell>
          <cell r="U4">
            <v>0</v>
          </cell>
          <cell r="V4">
            <v>1517.7757899999999</v>
          </cell>
        </row>
        <row r="5">
          <cell r="B5">
            <v>0</v>
          </cell>
          <cell r="C5">
            <v>7241.9776929587479</v>
          </cell>
          <cell r="D5">
            <v>15500</v>
          </cell>
          <cell r="G5">
            <v>0</v>
          </cell>
          <cell r="H5">
            <v>0</v>
          </cell>
          <cell r="J5">
            <v>0</v>
          </cell>
          <cell r="K5">
            <v>879.28283200569149</v>
          </cell>
          <cell r="L5">
            <v>3500</v>
          </cell>
          <cell r="M5">
            <v>0</v>
          </cell>
          <cell r="N5">
            <v>0</v>
          </cell>
          <cell r="O5">
            <v>5000</v>
          </cell>
          <cell r="P5">
            <v>0</v>
          </cell>
          <cell r="Q5">
            <v>3985.9887250000002</v>
          </cell>
          <cell r="R5">
            <v>0</v>
          </cell>
          <cell r="S5">
            <v>1553.672292</v>
          </cell>
          <cell r="T5">
            <v>6779.6610170000004</v>
          </cell>
          <cell r="U5">
            <v>0</v>
          </cell>
          <cell r="V5">
            <v>1517.7757899999999</v>
          </cell>
        </row>
        <row r="6">
          <cell r="B6">
            <v>0</v>
          </cell>
          <cell r="C6">
            <v>13320.750632965201</v>
          </cell>
          <cell r="D6">
            <v>15500</v>
          </cell>
          <cell r="G6">
            <v>0</v>
          </cell>
          <cell r="H6">
            <v>0</v>
          </cell>
          <cell r="J6">
            <v>0</v>
          </cell>
          <cell r="K6">
            <v>899.13394189035535</v>
          </cell>
          <cell r="L6">
            <v>3500</v>
          </cell>
          <cell r="M6">
            <v>0</v>
          </cell>
          <cell r="N6">
            <v>0</v>
          </cell>
          <cell r="O6">
            <v>5000</v>
          </cell>
          <cell r="P6">
            <v>0</v>
          </cell>
          <cell r="Q6">
            <v>3985.9887250000002</v>
          </cell>
          <cell r="R6">
            <v>0</v>
          </cell>
          <cell r="S6">
            <v>1553.672292</v>
          </cell>
          <cell r="T6">
            <v>6779.6610170000004</v>
          </cell>
          <cell r="U6">
            <v>0</v>
          </cell>
          <cell r="V6">
            <v>1517.7757899999999</v>
          </cell>
        </row>
        <row r="7">
          <cell r="B7">
            <v>0</v>
          </cell>
          <cell r="C7">
            <v>0</v>
          </cell>
          <cell r="D7">
            <v>15500</v>
          </cell>
          <cell r="G7">
            <v>0</v>
          </cell>
          <cell r="H7">
            <v>0</v>
          </cell>
          <cell r="J7">
            <v>0</v>
          </cell>
          <cell r="K7">
            <v>1008.199371115198</v>
          </cell>
          <cell r="L7">
            <v>3500</v>
          </cell>
          <cell r="M7">
            <v>0</v>
          </cell>
          <cell r="N7">
            <v>0</v>
          </cell>
          <cell r="O7">
            <v>5000</v>
          </cell>
          <cell r="P7">
            <v>0</v>
          </cell>
          <cell r="Q7">
            <v>3985.9887250000002</v>
          </cell>
          <cell r="R7">
            <v>0</v>
          </cell>
          <cell r="S7">
            <v>1553.672292</v>
          </cell>
          <cell r="T7">
            <v>6779.6610170000004</v>
          </cell>
          <cell r="U7">
            <v>0</v>
          </cell>
          <cell r="V7">
            <v>1517.7757899999999</v>
          </cell>
        </row>
        <row r="8">
          <cell r="B8">
            <v>0</v>
          </cell>
          <cell r="C8">
            <v>0</v>
          </cell>
          <cell r="D8">
            <v>15500</v>
          </cell>
          <cell r="G8">
            <v>0</v>
          </cell>
          <cell r="H8">
            <v>0</v>
          </cell>
          <cell r="J8">
            <v>0</v>
          </cell>
          <cell r="K8">
            <v>1119.785084109395</v>
          </cell>
          <cell r="L8">
            <v>3500</v>
          </cell>
          <cell r="M8">
            <v>0</v>
          </cell>
          <cell r="N8">
            <v>0</v>
          </cell>
          <cell r="O8">
            <v>5000</v>
          </cell>
          <cell r="P8">
            <v>0</v>
          </cell>
          <cell r="Q8">
            <v>3985.9887250000002</v>
          </cell>
          <cell r="R8">
            <v>0</v>
          </cell>
          <cell r="S8">
            <v>1553.672292</v>
          </cell>
          <cell r="T8">
            <v>6779.6610170000004</v>
          </cell>
          <cell r="U8">
            <v>0</v>
          </cell>
          <cell r="V8">
            <v>1517.7757899999999</v>
          </cell>
        </row>
        <row r="9">
          <cell r="B9">
            <v>0</v>
          </cell>
          <cell r="C9">
            <v>0</v>
          </cell>
          <cell r="D9">
            <v>15500</v>
          </cell>
          <cell r="G9">
            <v>441.56193428777618</v>
          </cell>
          <cell r="H9">
            <v>0</v>
          </cell>
          <cell r="J9">
            <v>0</v>
          </cell>
          <cell r="K9">
            <v>1210.8580242095229</v>
          </cell>
          <cell r="L9">
            <v>3500</v>
          </cell>
          <cell r="M9">
            <v>0</v>
          </cell>
          <cell r="N9">
            <v>0</v>
          </cell>
          <cell r="O9">
            <v>5000</v>
          </cell>
          <cell r="P9">
            <v>0</v>
          </cell>
          <cell r="Q9">
            <v>3985.9887250000002</v>
          </cell>
          <cell r="R9">
            <v>0</v>
          </cell>
          <cell r="S9">
            <v>1553.672292</v>
          </cell>
          <cell r="T9">
            <v>6779.6610170000004</v>
          </cell>
          <cell r="U9">
            <v>0</v>
          </cell>
          <cell r="V9">
            <v>1517.7757899999999</v>
          </cell>
        </row>
        <row r="10">
          <cell r="B10">
            <v>0</v>
          </cell>
          <cell r="C10">
            <v>0</v>
          </cell>
          <cell r="D10">
            <v>15500</v>
          </cell>
          <cell r="G10">
            <v>2983.092696539763</v>
          </cell>
          <cell r="H10">
            <v>0</v>
          </cell>
          <cell r="J10">
            <v>0</v>
          </cell>
          <cell r="K10">
            <v>1309.004085612316</v>
          </cell>
          <cell r="L10">
            <v>3500</v>
          </cell>
          <cell r="M10">
            <v>0</v>
          </cell>
          <cell r="N10">
            <v>0</v>
          </cell>
          <cell r="O10">
            <v>5000</v>
          </cell>
          <cell r="P10">
            <v>0</v>
          </cell>
          <cell r="Q10">
            <v>3985.9887250000002</v>
          </cell>
          <cell r="R10">
            <v>0</v>
          </cell>
          <cell r="S10">
            <v>1553.672292</v>
          </cell>
          <cell r="T10">
            <v>6779.6610170000004</v>
          </cell>
          <cell r="U10">
            <v>0</v>
          </cell>
          <cell r="V10">
            <v>2158.535113398565</v>
          </cell>
        </row>
        <row r="11">
          <cell r="B11">
            <v>0</v>
          </cell>
          <cell r="C11">
            <v>3396.1015126881571</v>
          </cell>
          <cell r="D11">
            <v>15500</v>
          </cell>
          <cell r="G11">
            <v>0</v>
          </cell>
          <cell r="H11">
            <v>3669.5085522191989</v>
          </cell>
          <cell r="J11">
            <v>0</v>
          </cell>
          <cell r="K11">
            <v>770.00042369744347</v>
          </cell>
          <cell r="L11">
            <v>3500</v>
          </cell>
          <cell r="M11">
            <v>0</v>
          </cell>
          <cell r="N11">
            <v>0</v>
          </cell>
          <cell r="O11">
            <v>5000</v>
          </cell>
          <cell r="P11">
            <v>0</v>
          </cell>
          <cell r="Q11">
            <v>3985.9887250000002</v>
          </cell>
          <cell r="R11">
            <v>0</v>
          </cell>
          <cell r="S11">
            <v>1553.672292</v>
          </cell>
          <cell r="T11">
            <v>6779.6610170000004</v>
          </cell>
          <cell r="U11">
            <v>0</v>
          </cell>
          <cell r="V11">
            <v>1517.7757899999999</v>
          </cell>
        </row>
        <row r="12">
          <cell r="B12">
            <v>0</v>
          </cell>
          <cell r="C12">
            <v>13320.750632965201</v>
          </cell>
          <cell r="D12">
            <v>9981.9090151396431</v>
          </cell>
          <cell r="G12">
            <v>0</v>
          </cell>
          <cell r="H12">
            <v>3837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578.16100895</v>
          </cell>
          <cell r="O12">
            <v>0</v>
          </cell>
          <cell r="P12">
            <v>0</v>
          </cell>
          <cell r="Q12">
            <v>5352.1076543300014</v>
          </cell>
          <cell r="R12">
            <v>0</v>
          </cell>
          <cell r="S12">
            <v>1232.4533626699999</v>
          </cell>
          <cell r="T12">
            <v>6779.6610170000004</v>
          </cell>
          <cell r="U12">
            <v>0</v>
          </cell>
          <cell r="V12">
            <v>1517.7757899999999</v>
          </cell>
        </row>
        <row r="13">
          <cell r="B13">
            <v>0</v>
          </cell>
          <cell r="C13">
            <v>13320.750632965201</v>
          </cell>
          <cell r="D13">
            <v>10747.549760600001</v>
          </cell>
          <cell r="G13">
            <v>0</v>
          </cell>
          <cell r="H13">
            <v>3837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5000</v>
          </cell>
          <cell r="O13">
            <v>0</v>
          </cell>
          <cell r="P13">
            <v>0</v>
          </cell>
          <cell r="Q13">
            <v>7024.7477724199998</v>
          </cell>
          <cell r="R13">
            <v>0</v>
          </cell>
          <cell r="S13">
            <v>572.91324458000008</v>
          </cell>
          <cell r="T13">
            <v>6779.6610170000004</v>
          </cell>
          <cell r="U13">
            <v>0</v>
          </cell>
          <cell r="V13">
            <v>1517.7757899999999</v>
          </cell>
        </row>
        <row r="14">
          <cell r="B14">
            <v>0</v>
          </cell>
          <cell r="C14">
            <v>13320.750632965201</v>
          </cell>
          <cell r="D14">
            <v>11667.30707215714</v>
          </cell>
          <cell r="G14">
            <v>0</v>
          </cell>
          <cell r="H14">
            <v>3837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5000</v>
          </cell>
          <cell r="O14">
            <v>0</v>
          </cell>
          <cell r="P14">
            <v>86.626873509999939</v>
          </cell>
          <cell r="Q14">
            <v>7597.6610170000004</v>
          </cell>
          <cell r="R14">
            <v>0</v>
          </cell>
          <cell r="S14">
            <v>0</v>
          </cell>
          <cell r="T14">
            <v>6779.6610170000004</v>
          </cell>
          <cell r="U14">
            <v>0</v>
          </cell>
          <cell r="V14">
            <v>1517.7757899999999</v>
          </cell>
        </row>
        <row r="15">
          <cell r="B15">
            <v>0</v>
          </cell>
          <cell r="C15">
            <v>13320.750632965201</v>
          </cell>
          <cell r="D15">
            <v>10945.050797671431</v>
          </cell>
          <cell r="G15">
            <v>0</v>
          </cell>
          <cell r="H15">
            <v>3837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5000</v>
          </cell>
          <cell r="O15">
            <v>0</v>
          </cell>
          <cell r="P15">
            <v>0</v>
          </cell>
          <cell r="Q15">
            <v>7178.7084983700006</v>
          </cell>
          <cell r="R15">
            <v>0</v>
          </cell>
          <cell r="S15">
            <v>418.95251862999987</v>
          </cell>
          <cell r="T15">
            <v>6779.6610170000004</v>
          </cell>
          <cell r="U15">
            <v>0</v>
          </cell>
          <cell r="V15">
            <v>1517.7757899999999</v>
          </cell>
        </row>
        <row r="16">
          <cell r="B16">
            <v>0</v>
          </cell>
          <cell r="C16">
            <v>13320.750632965201</v>
          </cell>
          <cell r="D16">
            <v>10747.549760600001</v>
          </cell>
          <cell r="G16">
            <v>0</v>
          </cell>
          <cell r="H16">
            <v>3837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5000</v>
          </cell>
          <cell r="O16">
            <v>0</v>
          </cell>
          <cell r="P16">
            <v>0</v>
          </cell>
          <cell r="Q16">
            <v>7024.7477724199998</v>
          </cell>
          <cell r="R16">
            <v>0</v>
          </cell>
          <cell r="S16">
            <v>572.91324458000008</v>
          </cell>
          <cell r="T16">
            <v>6779.6610170000004</v>
          </cell>
          <cell r="U16">
            <v>0</v>
          </cell>
          <cell r="V16">
            <v>1517.7757899999999</v>
          </cell>
        </row>
        <row r="17">
          <cell r="B17">
            <v>0</v>
          </cell>
          <cell r="C17">
            <v>13320.750632965201</v>
          </cell>
          <cell r="D17">
            <v>9323.363877614287</v>
          </cell>
          <cell r="G17">
            <v>0</v>
          </cell>
          <cell r="H17">
            <v>3837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5000</v>
          </cell>
          <cell r="O17">
            <v>0</v>
          </cell>
          <cell r="P17">
            <v>0</v>
          </cell>
          <cell r="Q17">
            <v>6012.1076543300014</v>
          </cell>
          <cell r="R17">
            <v>0</v>
          </cell>
          <cell r="S17">
            <v>572.45336266999993</v>
          </cell>
          <cell r="T17">
            <v>6779.6610170000004</v>
          </cell>
          <cell r="U17">
            <v>0</v>
          </cell>
          <cell r="V17">
            <v>1517.7757899999999</v>
          </cell>
        </row>
        <row r="18">
          <cell r="B18">
            <v>0</v>
          </cell>
          <cell r="C18">
            <v>13320.750632965201</v>
          </cell>
          <cell r="D18">
            <v>10099.677338214209</v>
          </cell>
          <cell r="G18">
            <v>0</v>
          </cell>
          <cell r="H18">
            <v>3837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3985.9887250000002</v>
          </cell>
          <cell r="R18">
            <v>0</v>
          </cell>
          <cell r="S18">
            <v>1553.672292</v>
          </cell>
          <cell r="T18">
            <v>6779.6610170000004</v>
          </cell>
          <cell r="U18">
            <v>0</v>
          </cell>
          <cell r="V18">
            <v>1517.7757899999999</v>
          </cell>
        </row>
        <row r="19">
          <cell r="B19">
            <v>0</v>
          </cell>
          <cell r="C19">
            <v>0</v>
          </cell>
          <cell r="D19">
            <v>10176.28639958006</v>
          </cell>
          <cell r="G19">
            <v>0</v>
          </cell>
          <cell r="H19">
            <v>3837</v>
          </cell>
          <cell r="J19">
            <v>0</v>
          </cell>
          <cell r="K19">
            <v>364.38916456263769</v>
          </cell>
          <cell r="L19">
            <v>3500</v>
          </cell>
          <cell r="M19">
            <v>0</v>
          </cell>
          <cell r="N19">
            <v>0</v>
          </cell>
          <cell r="O19">
            <v>5000</v>
          </cell>
          <cell r="P19">
            <v>0</v>
          </cell>
          <cell r="Q19">
            <v>2941.0887250000001</v>
          </cell>
          <cell r="R19">
            <v>0</v>
          </cell>
          <cell r="S19">
            <v>1553.672292</v>
          </cell>
          <cell r="T19">
            <v>5734.7610169999998</v>
          </cell>
          <cell r="U19">
            <v>0</v>
          </cell>
          <cell r="V19">
            <v>1517.7757899999999</v>
          </cell>
        </row>
        <row r="20">
          <cell r="B20">
            <v>0</v>
          </cell>
          <cell r="C20">
            <v>0</v>
          </cell>
          <cell r="D20">
            <v>12079.91846148339</v>
          </cell>
          <cell r="G20">
            <v>3135</v>
          </cell>
          <cell r="H20">
            <v>0</v>
          </cell>
          <cell r="J20">
            <v>0</v>
          </cell>
          <cell r="K20">
            <v>1163.5626823002219</v>
          </cell>
          <cell r="L20">
            <v>3500</v>
          </cell>
          <cell r="M20">
            <v>0</v>
          </cell>
          <cell r="N20">
            <v>0</v>
          </cell>
          <cell r="O20">
            <v>5000</v>
          </cell>
          <cell r="P20">
            <v>0</v>
          </cell>
          <cell r="Q20">
            <v>1896.6486069099999</v>
          </cell>
          <cell r="R20">
            <v>0</v>
          </cell>
          <cell r="S20">
            <v>1553.672292</v>
          </cell>
          <cell r="T20">
            <v>4690.3208989100003</v>
          </cell>
          <cell r="U20">
            <v>0</v>
          </cell>
          <cell r="V20">
            <v>1517.7757899999999</v>
          </cell>
        </row>
        <row r="21">
          <cell r="B21">
            <v>0</v>
          </cell>
          <cell r="C21">
            <v>0</v>
          </cell>
          <cell r="D21">
            <v>10390.28826700733</v>
          </cell>
          <cell r="G21">
            <v>3135</v>
          </cell>
          <cell r="H21">
            <v>0</v>
          </cell>
          <cell r="J21">
            <v>0</v>
          </cell>
          <cell r="K21">
            <v>987.2042914150785</v>
          </cell>
          <cell r="L21">
            <v>3500</v>
          </cell>
          <cell r="M21">
            <v>0</v>
          </cell>
          <cell r="N21">
            <v>0</v>
          </cell>
          <cell r="O21">
            <v>5000</v>
          </cell>
          <cell r="P21">
            <v>0</v>
          </cell>
          <cell r="Q21">
            <v>852.20848882999985</v>
          </cell>
          <cell r="R21">
            <v>0</v>
          </cell>
          <cell r="S21">
            <v>1553.672292</v>
          </cell>
          <cell r="T21">
            <v>3645.8807808299998</v>
          </cell>
          <cell r="U21">
            <v>0</v>
          </cell>
          <cell r="V21">
            <v>1517.7757899999999</v>
          </cell>
        </row>
        <row r="22">
          <cell r="B22">
            <v>0</v>
          </cell>
          <cell r="C22">
            <v>0</v>
          </cell>
          <cell r="D22">
            <v>8675.5093644496847</v>
          </cell>
          <cell r="G22">
            <v>3135</v>
          </cell>
          <cell r="H22">
            <v>0</v>
          </cell>
          <cell r="J22">
            <v>0</v>
          </cell>
          <cell r="K22">
            <v>867.29104756752884</v>
          </cell>
          <cell r="L22">
            <v>3500</v>
          </cell>
          <cell r="M22">
            <v>0</v>
          </cell>
          <cell r="N22">
            <v>0</v>
          </cell>
          <cell r="O22">
            <v>5000</v>
          </cell>
          <cell r="P22">
            <v>0</v>
          </cell>
          <cell r="Q22">
            <v>0</v>
          </cell>
          <cell r="R22">
            <v>192.23162926000029</v>
          </cell>
          <cell r="S22">
            <v>1553.672292</v>
          </cell>
          <cell r="T22">
            <v>2601.4406627399999</v>
          </cell>
          <cell r="U22">
            <v>0</v>
          </cell>
          <cell r="V22">
            <v>1517.7757899999999</v>
          </cell>
        </row>
        <row r="23">
          <cell r="B23">
            <v>0</v>
          </cell>
          <cell r="C23">
            <v>0</v>
          </cell>
          <cell r="D23">
            <v>6935.0240987242714</v>
          </cell>
          <cell r="G23">
            <v>3135</v>
          </cell>
          <cell r="H23">
            <v>0</v>
          </cell>
          <cell r="J23">
            <v>0</v>
          </cell>
          <cell r="K23">
            <v>779.34892758403794</v>
          </cell>
          <cell r="L23">
            <v>3500</v>
          </cell>
          <cell r="M23">
            <v>0</v>
          </cell>
          <cell r="N23">
            <v>0</v>
          </cell>
          <cell r="O23">
            <v>5000</v>
          </cell>
          <cell r="P23">
            <v>0</v>
          </cell>
          <cell r="Q23">
            <v>0</v>
          </cell>
          <cell r="R23">
            <v>1236.67174735</v>
          </cell>
          <cell r="S23">
            <v>1553.672292</v>
          </cell>
          <cell r="T23">
            <v>1557.0005446499999</v>
          </cell>
          <cell r="U23">
            <v>0</v>
          </cell>
          <cell r="V23">
            <v>1517.7757899999999</v>
          </cell>
        </row>
        <row r="24">
          <cell r="B24">
            <v>0</v>
          </cell>
          <cell r="C24">
            <v>0</v>
          </cell>
          <cell r="D24">
            <v>7878.632478134874</v>
          </cell>
          <cell r="G24">
            <v>3135</v>
          </cell>
          <cell r="H24">
            <v>0</v>
          </cell>
          <cell r="J24">
            <v>0</v>
          </cell>
          <cell r="K24">
            <v>749.25015490811268</v>
          </cell>
          <cell r="L24">
            <v>3500</v>
          </cell>
          <cell r="M24">
            <v>0</v>
          </cell>
          <cell r="N24">
            <v>0</v>
          </cell>
          <cell r="O24">
            <v>5000</v>
          </cell>
          <cell r="P24">
            <v>0</v>
          </cell>
          <cell r="Q24">
            <v>0</v>
          </cell>
          <cell r="R24">
            <v>381.55949709000009</v>
          </cell>
          <cell r="S24">
            <v>1553.672292</v>
          </cell>
          <cell r="T24">
            <v>2412.11279491</v>
          </cell>
          <cell r="U24">
            <v>0</v>
          </cell>
          <cell r="V24">
            <v>1517.7757899999999</v>
          </cell>
        </row>
        <row r="25">
          <cell r="B25">
            <v>0</v>
          </cell>
          <cell r="C25">
            <v>0</v>
          </cell>
          <cell r="D25">
            <v>9219.2639969455358</v>
          </cell>
          <cell r="G25">
            <v>3135</v>
          </cell>
          <cell r="H25">
            <v>0</v>
          </cell>
          <cell r="J25">
            <v>0</v>
          </cell>
          <cell r="K25">
            <v>778.08097925132427</v>
          </cell>
          <cell r="L25">
            <v>3500</v>
          </cell>
          <cell r="M25">
            <v>0</v>
          </cell>
          <cell r="N25">
            <v>0</v>
          </cell>
          <cell r="O25">
            <v>5000</v>
          </cell>
          <cell r="P25">
            <v>0</v>
          </cell>
          <cell r="Q25">
            <v>663.34050290999994</v>
          </cell>
          <cell r="R25">
            <v>0</v>
          </cell>
          <cell r="S25">
            <v>1553.672292</v>
          </cell>
          <cell r="T25">
            <v>3457.0127949100001</v>
          </cell>
          <cell r="U25">
            <v>0</v>
          </cell>
          <cell r="V25">
            <v>1517.7757899999999</v>
          </cell>
        </row>
        <row r="26">
          <cell r="B26">
            <v>0</v>
          </cell>
          <cell r="C26">
            <v>0</v>
          </cell>
          <cell r="D26">
            <v>10554.382983599229</v>
          </cell>
          <cell r="G26">
            <v>3135</v>
          </cell>
          <cell r="H26">
            <v>0</v>
          </cell>
          <cell r="J26">
            <v>0</v>
          </cell>
          <cell r="K26">
            <v>776.86822610066076</v>
          </cell>
          <cell r="L26">
            <v>3500</v>
          </cell>
          <cell r="M26">
            <v>0</v>
          </cell>
          <cell r="N26">
            <v>0</v>
          </cell>
          <cell r="O26">
            <v>5000</v>
          </cell>
          <cell r="P26">
            <v>0</v>
          </cell>
          <cell r="Q26">
            <v>1708.24148896</v>
          </cell>
          <cell r="R26">
            <v>0</v>
          </cell>
          <cell r="S26">
            <v>1553.672292</v>
          </cell>
          <cell r="T26">
            <v>4501.9137809599997</v>
          </cell>
          <cell r="U26">
            <v>0</v>
          </cell>
          <cell r="V26">
            <v>1517.7757899999999</v>
          </cell>
        </row>
        <row r="27">
          <cell r="B27">
            <v>0</v>
          </cell>
          <cell r="C27">
            <v>0</v>
          </cell>
          <cell r="D27">
            <v>12218.29702324264</v>
          </cell>
          <cell r="G27">
            <v>0</v>
          </cell>
          <cell r="H27">
            <v>0</v>
          </cell>
          <cell r="J27">
            <v>0</v>
          </cell>
          <cell r="K27">
            <v>807.88944014449521</v>
          </cell>
          <cell r="L27">
            <v>3500</v>
          </cell>
          <cell r="M27">
            <v>0</v>
          </cell>
          <cell r="N27">
            <v>0</v>
          </cell>
          <cell r="O27">
            <v>5000</v>
          </cell>
          <cell r="P27">
            <v>0</v>
          </cell>
          <cell r="Q27">
            <v>2753.1414889600001</v>
          </cell>
          <cell r="R27">
            <v>0</v>
          </cell>
          <cell r="S27">
            <v>1553.672292</v>
          </cell>
          <cell r="T27">
            <v>5546.8137809600003</v>
          </cell>
          <cell r="U27">
            <v>0</v>
          </cell>
          <cell r="V27">
            <v>1517.7757899999999</v>
          </cell>
        </row>
        <row r="28">
          <cell r="B28">
            <v>18663.195870855769</v>
          </cell>
          <cell r="C28">
            <v>0</v>
          </cell>
          <cell r="D28">
            <v>12734.55176977134</v>
          </cell>
          <cell r="G28">
            <v>3135</v>
          </cell>
          <cell r="H28">
            <v>0</v>
          </cell>
          <cell r="J28">
            <v>0</v>
          </cell>
          <cell r="K28">
            <v>843.63758897934076</v>
          </cell>
          <cell r="L28">
            <v>3500</v>
          </cell>
          <cell r="M28">
            <v>0</v>
          </cell>
          <cell r="N28">
            <v>0</v>
          </cell>
          <cell r="O28">
            <v>5000</v>
          </cell>
          <cell r="P28">
            <v>0</v>
          </cell>
          <cell r="Q28">
            <v>2953.4013814999998</v>
          </cell>
          <cell r="R28">
            <v>0</v>
          </cell>
          <cell r="S28">
            <v>1553.672292</v>
          </cell>
          <cell r="T28">
            <v>5747.0736735</v>
          </cell>
          <cell r="U28">
            <v>0</v>
          </cell>
          <cell r="V28">
            <v>1517.7757899999999</v>
          </cell>
        </row>
        <row r="29">
          <cell r="B29">
            <v>17984.34924388232</v>
          </cell>
          <cell r="C29">
            <v>0</v>
          </cell>
          <cell r="D29">
            <v>11498.13453300605</v>
          </cell>
          <cell r="G29">
            <v>0</v>
          </cell>
          <cell r="H29">
            <v>0</v>
          </cell>
          <cell r="J29">
            <v>0</v>
          </cell>
          <cell r="K29">
            <v>875.2131173724847</v>
          </cell>
          <cell r="L29">
            <v>3500</v>
          </cell>
          <cell r="M29">
            <v>0</v>
          </cell>
          <cell r="N29">
            <v>0</v>
          </cell>
          <cell r="O29">
            <v>5000</v>
          </cell>
          <cell r="P29">
            <v>0</v>
          </cell>
          <cell r="Q29">
            <v>1908.5013815</v>
          </cell>
          <cell r="R29">
            <v>0</v>
          </cell>
          <cell r="S29">
            <v>1553.672292</v>
          </cell>
          <cell r="T29">
            <v>4702.1736735000004</v>
          </cell>
          <cell r="U29">
            <v>0</v>
          </cell>
          <cell r="V29">
            <v>1517.7757899999999</v>
          </cell>
        </row>
        <row r="30">
          <cell r="B30">
            <v>18325.78259964093</v>
          </cell>
          <cell r="C30">
            <v>0</v>
          </cell>
          <cell r="D30">
            <v>10221.464606999391</v>
          </cell>
          <cell r="G30">
            <v>0</v>
          </cell>
          <cell r="H30">
            <v>0</v>
          </cell>
          <cell r="J30">
            <v>0</v>
          </cell>
          <cell r="K30">
            <v>901.70594591957183</v>
          </cell>
          <cell r="L30">
            <v>3500</v>
          </cell>
          <cell r="M30">
            <v>0</v>
          </cell>
          <cell r="N30">
            <v>0</v>
          </cell>
          <cell r="O30">
            <v>5000</v>
          </cell>
          <cell r="P30">
            <v>0</v>
          </cell>
          <cell r="Q30">
            <v>863.14149958999997</v>
          </cell>
          <cell r="R30">
            <v>0</v>
          </cell>
          <cell r="S30">
            <v>1553.672292</v>
          </cell>
          <cell r="T30">
            <v>3656.8137915900002</v>
          </cell>
          <cell r="U30">
            <v>0</v>
          </cell>
          <cell r="V30">
            <v>1517.7757899999999</v>
          </cell>
        </row>
        <row r="31">
          <cell r="B31">
            <v>10136.58796517365</v>
          </cell>
          <cell r="C31">
            <v>0</v>
          </cell>
          <cell r="D31">
            <v>9101.8555154336009</v>
          </cell>
          <cell r="G31">
            <v>0</v>
          </cell>
          <cell r="H31">
            <v>0</v>
          </cell>
          <cell r="J31">
            <v>0</v>
          </cell>
          <cell r="K31">
            <v>1029.7902377376699</v>
          </cell>
          <cell r="L31">
            <v>3500</v>
          </cell>
          <cell r="M31">
            <v>0</v>
          </cell>
          <cell r="N31">
            <v>0</v>
          </cell>
          <cell r="O31">
            <v>5000</v>
          </cell>
          <cell r="P31">
            <v>0</v>
          </cell>
          <cell r="Q31">
            <v>0</v>
          </cell>
          <cell r="R31">
            <v>182.67826424000029</v>
          </cell>
          <cell r="S31">
            <v>1553.672292</v>
          </cell>
          <cell r="T31">
            <v>2610.9940277599999</v>
          </cell>
          <cell r="U31">
            <v>0</v>
          </cell>
          <cell r="V31">
            <v>1517.7757899999999</v>
          </cell>
        </row>
        <row r="32">
          <cell r="B32">
            <v>25140.2664733333</v>
          </cell>
          <cell r="C32">
            <v>0</v>
          </cell>
          <cell r="D32">
            <v>9540.0592955967877</v>
          </cell>
          <cell r="G32">
            <v>0</v>
          </cell>
          <cell r="H32">
            <v>0</v>
          </cell>
          <cell r="J32">
            <v>0</v>
          </cell>
          <cell r="K32">
            <v>1140.398981040202</v>
          </cell>
          <cell r="L32">
            <v>3500</v>
          </cell>
          <cell r="M32">
            <v>0</v>
          </cell>
          <cell r="N32">
            <v>0</v>
          </cell>
          <cell r="O32">
            <v>5000</v>
          </cell>
          <cell r="P32">
            <v>0</v>
          </cell>
          <cell r="Q32">
            <v>0</v>
          </cell>
          <cell r="R32">
            <v>193.15139309000011</v>
          </cell>
          <cell r="S32">
            <v>1553.672292</v>
          </cell>
          <cell r="T32">
            <v>2600.5208989100001</v>
          </cell>
          <cell r="U32">
            <v>0</v>
          </cell>
          <cell r="V32">
            <v>1517.7757899999999</v>
          </cell>
        </row>
        <row r="33">
          <cell r="B33">
            <v>25140.2664733333</v>
          </cell>
          <cell r="C33">
            <v>0</v>
          </cell>
          <cell r="D33">
            <v>11524.78677847875</v>
          </cell>
          <cell r="G33">
            <v>3135</v>
          </cell>
          <cell r="H33">
            <v>0</v>
          </cell>
          <cell r="J33">
            <v>0</v>
          </cell>
          <cell r="K33">
            <v>1223.1070613919239</v>
          </cell>
          <cell r="L33">
            <v>3500</v>
          </cell>
          <cell r="M33">
            <v>0</v>
          </cell>
          <cell r="N33">
            <v>0</v>
          </cell>
          <cell r="O33">
            <v>5000</v>
          </cell>
          <cell r="P33">
            <v>0</v>
          </cell>
          <cell r="Q33">
            <v>851.28872499999989</v>
          </cell>
          <cell r="R33">
            <v>0</v>
          </cell>
          <cell r="S33">
            <v>1553.672292</v>
          </cell>
          <cell r="T33">
            <v>3644.9610170000001</v>
          </cell>
          <cell r="U33">
            <v>0</v>
          </cell>
          <cell r="V33">
            <v>1517.7757899999999</v>
          </cell>
        </row>
        <row r="34">
          <cell r="B34">
            <v>25140.2664733333</v>
          </cell>
          <cell r="C34">
            <v>0</v>
          </cell>
          <cell r="D34">
            <v>13019.625665803889</v>
          </cell>
          <cell r="G34">
            <v>3135</v>
          </cell>
          <cell r="H34">
            <v>0</v>
          </cell>
          <cell r="J34">
            <v>0</v>
          </cell>
          <cell r="K34">
            <v>1305.9412858525729</v>
          </cell>
          <cell r="L34">
            <v>3500</v>
          </cell>
          <cell r="M34">
            <v>0</v>
          </cell>
          <cell r="N34">
            <v>0</v>
          </cell>
          <cell r="O34">
            <v>5000</v>
          </cell>
          <cell r="P34">
            <v>0</v>
          </cell>
          <cell r="Q34">
            <v>1896.188725</v>
          </cell>
          <cell r="R34">
            <v>0</v>
          </cell>
          <cell r="S34">
            <v>1553.672292</v>
          </cell>
          <cell r="T34">
            <v>4689.8610170000002</v>
          </cell>
          <cell r="U34">
            <v>0</v>
          </cell>
          <cell r="V34">
            <v>1517.7757899999999</v>
          </cell>
        </row>
        <row r="35">
          <cell r="B35">
            <v>6494.8939973451079</v>
          </cell>
          <cell r="C35">
            <v>0</v>
          </cell>
          <cell r="D35">
            <v>9945.6923388878695</v>
          </cell>
          <cell r="G35">
            <v>0</v>
          </cell>
          <cell r="H35">
            <v>2318.8537633976011</v>
          </cell>
          <cell r="J35">
            <v>0</v>
          </cell>
          <cell r="K35">
            <v>789.31396755505762</v>
          </cell>
          <cell r="L35">
            <v>3500</v>
          </cell>
          <cell r="M35">
            <v>0</v>
          </cell>
          <cell r="N35">
            <v>0</v>
          </cell>
          <cell r="O35">
            <v>5000</v>
          </cell>
          <cell r="P35">
            <v>0</v>
          </cell>
          <cell r="Q35">
            <v>2941.0887250000001</v>
          </cell>
          <cell r="R35">
            <v>0</v>
          </cell>
          <cell r="S35">
            <v>1553.672292</v>
          </cell>
          <cell r="T35">
            <v>5734.7610169999998</v>
          </cell>
          <cell r="U35">
            <v>0</v>
          </cell>
          <cell r="V35">
            <v>1517.7757899999999</v>
          </cell>
        </row>
        <row r="36">
          <cell r="B36">
            <v>0</v>
          </cell>
          <cell r="C36">
            <v>13320.750632965201</v>
          </cell>
          <cell r="D36">
            <v>9789.8582310057827</v>
          </cell>
          <cell r="G36">
            <v>0</v>
          </cell>
          <cell r="H36">
            <v>3837</v>
          </cell>
          <cell r="J36">
            <v>0</v>
          </cell>
          <cell r="K36">
            <v>0</v>
          </cell>
          <cell r="L36">
            <v>0</v>
          </cell>
          <cell r="M36">
            <v>534.1384010465506</v>
          </cell>
          <cell r="N36">
            <v>0</v>
          </cell>
          <cell r="O36">
            <v>0</v>
          </cell>
          <cell r="P36">
            <v>0</v>
          </cell>
          <cell r="Q36">
            <v>3985.9887250000002</v>
          </cell>
          <cell r="R36">
            <v>0</v>
          </cell>
          <cell r="S36">
            <v>1553.672292</v>
          </cell>
          <cell r="T36">
            <v>6779.6610170000004</v>
          </cell>
          <cell r="U36">
            <v>0</v>
          </cell>
          <cell r="V36">
            <v>1517.7757899999999</v>
          </cell>
        </row>
        <row r="37">
          <cell r="B37">
            <v>0</v>
          </cell>
          <cell r="C37">
            <v>13320.750632965201</v>
          </cell>
          <cell r="D37">
            <v>5589.3177388221084</v>
          </cell>
          <cell r="G37">
            <v>0</v>
          </cell>
          <cell r="H37">
            <v>3837</v>
          </cell>
          <cell r="J37">
            <v>0</v>
          </cell>
          <cell r="K37">
            <v>0</v>
          </cell>
          <cell r="L37">
            <v>0</v>
          </cell>
          <cell r="M37">
            <v>1861.385555285673</v>
          </cell>
          <cell r="N37">
            <v>0</v>
          </cell>
          <cell r="O37">
            <v>0</v>
          </cell>
          <cell r="P37">
            <v>0</v>
          </cell>
          <cell r="Q37">
            <v>5031.3486069099999</v>
          </cell>
          <cell r="R37">
            <v>0</v>
          </cell>
          <cell r="S37">
            <v>1553.672292</v>
          </cell>
          <cell r="T37">
            <v>6779.6610170000004</v>
          </cell>
          <cell r="U37">
            <v>0</v>
          </cell>
          <cell r="V37">
            <v>1517.7757899999999</v>
          </cell>
        </row>
        <row r="38">
          <cell r="B38">
            <v>0</v>
          </cell>
          <cell r="C38">
            <v>13320.750632965201</v>
          </cell>
          <cell r="D38">
            <v>5166.2667644523808</v>
          </cell>
          <cell r="G38">
            <v>0</v>
          </cell>
          <cell r="H38">
            <v>3837</v>
          </cell>
          <cell r="J38">
            <v>0</v>
          </cell>
          <cell r="K38">
            <v>0</v>
          </cell>
          <cell r="L38">
            <v>0</v>
          </cell>
          <cell r="M38">
            <v>2813.5703980833332</v>
          </cell>
          <cell r="N38">
            <v>0</v>
          </cell>
          <cell r="O38">
            <v>0</v>
          </cell>
          <cell r="P38">
            <v>0</v>
          </cell>
          <cell r="Q38">
            <v>5947.1300732</v>
          </cell>
          <cell r="R38">
            <v>0</v>
          </cell>
          <cell r="S38">
            <v>832.53094380000005</v>
          </cell>
          <cell r="T38">
            <v>6779.6610170000004</v>
          </cell>
          <cell r="U38">
            <v>0</v>
          </cell>
          <cell r="V38">
            <v>1517.7757899999999</v>
          </cell>
        </row>
        <row r="39">
          <cell r="B39">
            <v>0</v>
          </cell>
          <cell r="C39">
            <v>13320.750632965201</v>
          </cell>
          <cell r="D39">
            <v>4651.6656024565164</v>
          </cell>
          <cell r="G39">
            <v>0</v>
          </cell>
          <cell r="H39">
            <v>3837</v>
          </cell>
          <cell r="J39">
            <v>0</v>
          </cell>
          <cell r="K39">
            <v>0</v>
          </cell>
          <cell r="L39">
            <v>0</v>
          </cell>
          <cell r="M39">
            <v>2772.9480427404392</v>
          </cell>
          <cell r="N39">
            <v>0</v>
          </cell>
          <cell r="O39">
            <v>0</v>
          </cell>
          <cell r="P39">
            <v>0</v>
          </cell>
          <cell r="Q39">
            <v>5546.2869044600002</v>
          </cell>
          <cell r="R39">
            <v>0</v>
          </cell>
          <cell r="S39">
            <v>1233.3741125399999</v>
          </cell>
          <cell r="T39">
            <v>6779.6610170000004</v>
          </cell>
          <cell r="U39">
            <v>0</v>
          </cell>
          <cell r="V39">
            <v>1517.7757899999999</v>
          </cell>
        </row>
        <row r="40">
          <cell r="B40">
            <v>0</v>
          </cell>
          <cell r="C40">
            <v>13320.750632965201</v>
          </cell>
          <cell r="D40">
            <v>3144.409616242855</v>
          </cell>
          <cell r="G40">
            <v>0</v>
          </cell>
          <cell r="H40">
            <v>3837</v>
          </cell>
          <cell r="J40">
            <v>0</v>
          </cell>
          <cell r="K40">
            <v>0</v>
          </cell>
          <cell r="L40">
            <v>1751.833555632868</v>
          </cell>
          <cell r="M40">
            <v>2860.169492</v>
          </cell>
          <cell r="N40">
            <v>0</v>
          </cell>
          <cell r="O40">
            <v>0</v>
          </cell>
          <cell r="P40">
            <v>0</v>
          </cell>
          <cell r="Q40">
            <v>4562.7191633700004</v>
          </cell>
          <cell r="R40">
            <v>0</v>
          </cell>
          <cell r="S40">
            <v>1232.91423063</v>
          </cell>
          <cell r="T40">
            <v>6779.6610170000004</v>
          </cell>
          <cell r="U40">
            <v>0</v>
          </cell>
          <cell r="V40">
            <v>1517.7757899999999</v>
          </cell>
        </row>
        <row r="41">
          <cell r="B41">
            <v>0</v>
          </cell>
          <cell r="C41">
            <v>13320.750632965201</v>
          </cell>
          <cell r="D41">
            <v>3608.5727195416471</v>
          </cell>
          <cell r="G41">
            <v>0</v>
          </cell>
          <cell r="H41">
            <v>3837</v>
          </cell>
          <cell r="J41">
            <v>0</v>
          </cell>
          <cell r="K41">
            <v>0</v>
          </cell>
          <cell r="L41">
            <v>0</v>
          </cell>
          <cell r="M41">
            <v>2072.1780036563482</v>
          </cell>
          <cell r="N41">
            <v>0</v>
          </cell>
          <cell r="O41">
            <v>3682.2798601</v>
          </cell>
          <cell r="P41">
            <v>0</v>
          </cell>
          <cell r="Q41">
            <v>3517.8191633699998</v>
          </cell>
          <cell r="R41">
            <v>0</v>
          </cell>
          <cell r="S41">
            <v>1232.4543487200001</v>
          </cell>
          <cell r="T41">
            <v>5990.2735120899997</v>
          </cell>
          <cell r="U41">
            <v>0</v>
          </cell>
          <cell r="V41">
            <v>1517.7757899999999</v>
          </cell>
        </row>
        <row r="42">
          <cell r="B42">
            <v>0</v>
          </cell>
          <cell r="C42">
            <v>13320.750632965201</v>
          </cell>
          <cell r="D42">
            <v>8373.0664183294666</v>
          </cell>
          <cell r="G42">
            <v>0</v>
          </cell>
          <cell r="H42">
            <v>3837</v>
          </cell>
          <cell r="J42">
            <v>0</v>
          </cell>
          <cell r="K42">
            <v>0</v>
          </cell>
          <cell r="L42">
            <v>3500</v>
          </cell>
          <cell r="M42">
            <v>908.35293108927317</v>
          </cell>
          <cell r="N42">
            <v>0</v>
          </cell>
          <cell r="O42">
            <v>5000</v>
          </cell>
          <cell r="P42">
            <v>0</v>
          </cell>
          <cell r="Q42">
            <v>2151.7012200899999</v>
          </cell>
          <cell r="R42">
            <v>0</v>
          </cell>
          <cell r="S42">
            <v>1553.672292</v>
          </cell>
          <cell r="T42">
            <v>4945.3735120900001</v>
          </cell>
          <cell r="U42">
            <v>0</v>
          </cell>
          <cell r="V42">
            <v>1517.7757899999999</v>
          </cell>
        </row>
        <row r="43">
          <cell r="B43">
            <v>0</v>
          </cell>
          <cell r="C43">
            <v>0</v>
          </cell>
          <cell r="D43">
            <v>9333.7597356054957</v>
          </cell>
          <cell r="G43">
            <v>0</v>
          </cell>
          <cell r="H43">
            <v>3837</v>
          </cell>
          <cell r="J43">
            <v>0</v>
          </cell>
          <cell r="K43">
            <v>363.99378765304778</v>
          </cell>
          <cell r="L43">
            <v>3500</v>
          </cell>
          <cell r="M43">
            <v>0</v>
          </cell>
          <cell r="N43">
            <v>0</v>
          </cell>
          <cell r="O43">
            <v>5000</v>
          </cell>
          <cell r="P43">
            <v>0</v>
          </cell>
          <cell r="Q43">
            <v>1106.80122009</v>
          </cell>
          <cell r="R43">
            <v>0</v>
          </cell>
          <cell r="S43">
            <v>1553.672292</v>
          </cell>
          <cell r="T43">
            <v>3900.47351209</v>
          </cell>
          <cell r="U43">
            <v>0</v>
          </cell>
          <cell r="V43">
            <v>1517.7757899999999</v>
          </cell>
        </row>
        <row r="44">
          <cell r="B44">
            <v>0</v>
          </cell>
          <cell r="C44">
            <v>0</v>
          </cell>
          <cell r="D44">
            <v>10251.91949607515</v>
          </cell>
          <cell r="G44">
            <v>0</v>
          </cell>
          <cell r="H44">
            <v>0</v>
          </cell>
          <cell r="J44">
            <v>0</v>
          </cell>
          <cell r="K44">
            <v>1141.6594014845559</v>
          </cell>
          <cell r="L44">
            <v>3500</v>
          </cell>
          <cell r="M44">
            <v>0</v>
          </cell>
          <cell r="N44">
            <v>0</v>
          </cell>
          <cell r="O44">
            <v>5000</v>
          </cell>
          <cell r="P44">
            <v>0</v>
          </cell>
          <cell r="Q44">
            <v>62.361101999999853</v>
          </cell>
          <cell r="R44">
            <v>0</v>
          </cell>
          <cell r="S44">
            <v>1553.672292</v>
          </cell>
          <cell r="T44">
            <v>2856.033394</v>
          </cell>
          <cell r="U44">
            <v>0</v>
          </cell>
          <cell r="V44">
            <v>1517.7757899999999</v>
          </cell>
        </row>
        <row r="45">
          <cell r="B45">
            <v>0</v>
          </cell>
          <cell r="C45">
            <v>0</v>
          </cell>
          <cell r="D45">
            <v>10169.16144038249</v>
          </cell>
          <cell r="G45">
            <v>0</v>
          </cell>
          <cell r="H45">
            <v>0</v>
          </cell>
          <cell r="J45">
            <v>0</v>
          </cell>
          <cell r="K45">
            <v>917.10254704249189</v>
          </cell>
          <cell r="L45">
            <v>3500</v>
          </cell>
          <cell r="M45">
            <v>0</v>
          </cell>
          <cell r="N45">
            <v>0</v>
          </cell>
          <cell r="O45">
            <v>5000</v>
          </cell>
          <cell r="P45">
            <v>0</v>
          </cell>
          <cell r="Q45">
            <v>0</v>
          </cell>
          <cell r="R45">
            <v>982.0790160900001</v>
          </cell>
          <cell r="S45">
            <v>1553.672292</v>
          </cell>
          <cell r="T45">
            <v>1811.5932759100001</v>
          </cell>
          <cell r="U45">
            <v>0</v>
          </cell>
          <cell r="V45">
            <v>1517.7757899999999</v>
          </cell>
        </row>
        <row r="46">
          <cell r="B46">
            <v>0</v>
          </cell>
          <cell r="C46">
            <v>0</v>
          </cell>
          <cell r="D46">
            <v>6428.7480692471781</v>
          </cell>
          <cell r="G46">
            <v>0</v>
          </cell>
          <cell r="H46">
            <v>0</v>
          </cell>
          <cell r="J46">
            <v>0</v>
          </cell>
          <cell r="K46">
            <v>785.10267915137513</v>
          </cell>
          <cell r="L46">
            <v>3500</v>
          </cell>
          <cell r="M46">
            <v>0</v>
          </cell>
          <cell r="N46">
            <v>0</v>
          </cell>
          <cell r="O46">
            <v>5000</v>
          </cell>
          <cell r="P46">
            <v>0</v>
          </cell>
          <cell r="Q46">
            <v>0</v>
          </cell>
          <cell r="R46">
            <v>2026.51913418</v>
          </cell>
          <cell r="S46">
            <v>1553.672292</v>
          </cell>
          <cell r="T46">
            <v>767.15315782000005</v>
          </cell>
          <cell r="U46">
            <v>0</v>
          </cell>
          <cell r="V46">
            <v>1517.7757899999999</v>
          </cell>
        </row>
        <row r="47">
          <cell r="B47">
            <v>0</v>
          </cell>
          <cell r="C47">
            <v>0</v>
          </cell>
          <cell r="D47">
            <v>6111.3766429255093</v>
          </cell>
          <cell r="G47">
            <v>0</v>
          </cell>
          <cell r="H47">
            <v>503.87658077719948</v>
          </cell>
          <cell r="J47">
            <v>0</v>
          </cell>
          <cell r="K47">
            <v>702.49348256595681</v>
          </cell>
          <cell r="L47">
            <v>3500</v>
          </cell>
          <cell r="M47">
            <v>0</v>
          </cell>
          <cell r="N47">
            <v>0</v>
          </cell>
          <cell r="O47">
            <v>5000</v>
          </cell>
          <cell r="P47">
            <v>0</v>
          </cell>
          <cell r="Q47">
            <v>0</v>
          </cell>
          <cell r="R47">
            <v>2370.9623610399999</v>
          </cell>
          <cell r="S47">
            <v>1553.672292</v>
          </cell>
          <cell r="T47">
            <v>422.70993096000001</v>
          </cell>
          <cell r="U47">
            <v>0</v>
          </cell>
          <cell r="V47">
            <v>1517.7757899999999</v>
          </cell>
        </row>
        <row r="48">
          <cell r="B48">
            <v>0</v>
          </cell>
          <cell r="C48">
            <v>0</v>
          </cell>
          <cell r="D48">
            <v>5989.8313105900024</v>
          </cell>
          <cell r="G48">
            <v>0</v>
          </cell>
          <cell r="H48">
            <v>1435.1359131728</v>
          </cell>
          <cell r="J48">
            <v>0</v>
          </cell>
          <cell r="K48">
            <v>644.50306314495185</v>
          </cell>
          <cell r="L48">
            <v>3500</v>
          </cell>
          <cell r="M48">
            <v>0</v>
          </cell>
          <cell r="N48">
            <v>0</v>
          </cell>
          <cell r="O48">
            <v>5000</v>
          </cell>
          <cell r="P48">
            <v>0</v>
          </cell>
          <cell r="Q48">
            <v>0</v>
          </cell>
          <cell r="R48">
            <v>2470.59763802</v>
          </cell>
          <cell r="S48">
            <v>1553.672292</v>
          </cell>
          <cell r="T48">
            <v>323.07465397999999</v>
          </cell>
          <cell r="U48">
            <v>0</v>
          </cell>
          <cell r="V48">
            <v>1517.7757899999999</v>
          </cell>
        </row>
        <row r="49">
          <cell r="B49">
            <v>12538.080902538421</v>
          </cell>
          <cell r="C49">
            <v>0</v>
          </cell>
          <cell r="D49">
            <v>5879.1557739473374</v>
          </cell>
          <cell r="G49">
            <v>0</v>
          </cell>
          <cell r="H49">
            <v>2316.531472724002</v>
          </cell>
          <cell r="J49">
            <v>0</v>
          </cell>
          <cell r="K49">
            <v>672.96208914818646</v>
          </cell>
          <cell r="L49">
            <v>3500</v>
          </cell>
          <cell r="M49">
            <v>0</v>
          </cell>
          <cell r="N49">
            <v>0</v>
          </cell>
          <cell r="O49">
            <v>5000</v>
          </cell>
          <cell r="P49">
            <v>0</v>
          </cell>
          <cell r="Q49">
            <v>0</v>
          </cell>
          <cell r="R49">
            <v>2629.32736802</v>
          </cell>
          <cell r="S49">
            <v>1553.672292</v>
          </cell>
          <cell r="T49">
            <v>164.34492398</v>
          </cell>
          <cell r="U49">
            <v>0</v>
          </cell>
          <cell r="V49">
            <v>1517.7757899999999</v>
          </cell>
        </row>
        <row r="50">
          <cell r="B50">
            <v>25140.2664733333</v>
          </cell>
          <cell r="C50">
            <v>0</v>
          </cell>
          <cell r="D50">
            <v>7859.505303340341</v>
          </cell>
          <cell r="G50">
            <v>0</v>
          </cell>
          <cell r="H50">
            <v>3029.9862730948012</v>
          </cell>
          <cell r="J50">
            <v>0</v>
          </cell>
          <cell r="K50">
            <v>578.19973259908897</v>
          </cell>
          <cell r="L50">
            <v>3500</v>
          </cell>
          <cell r="M50">
            <v>0</v>
          </cell>
          <cell r="N50">
            <v>0</v>
          </cell>
          <cell r="O50">
            <v>5000</v>
          </cell>
          <cell r="P50">
            <v>0</v>
          </cell>
          <cell r="Q50">
            <v>0</v>
          </cell>
          <cell r="R50">
            <v>2618.8018549799999</v>
          </cell>
          <cell r="S50">
            <v>1553.672292</v>
          </cell>
          <cell r="T50">
            <v>174.87043702</v>
          </cell>
          <cell r="U50">
            <v>0</v>
          </cell>
          <cell r="V50">
            <v>1517.7757899999999</v>
          </cell>
        </row>
        <row r="51">
          <cell r="B51">
            <v>18782.400574459909</v>
          </cell>
          <cell r="C51">
            <v>0</v>
          </cell>
          <cell r="D51">
            <v>5743.6092099901271</v>
          </cell>
          <cell r="G51">
            <v>0</v>
          </cell>
          <cell r="H51">
            <v>3837</v>
          </cell>
          <cell r="J51">
            <v>0</v>
          </cell>
          <cell r="K51">
            <v>583.58413759178984</v>
          </cell>
          <cell r="L51">
            <v>3500</v>
          </cell>
          <cell r="M51">
            <v>0</v>
          </cell>
          <cell r="N51">
            <v>0</v>
          </cell>
          <cell r="O51">
            <v>5000</v>
          </cell>
          <cell r="P51">
            <v>0</v>
          </cell>
          <cell r="Q51">
            <v>0</v>
          </cell>
          <cell r="R51">
            <v>2527.4830749799999</v>
          </cell>
          <cell r="S51">
            <v>1553.672292</v>
          </cell>
          <cell r="T51">
            <v>266.18921702</v>
          </cell>
          <cell r="U51">
            <v>0</v>
          </cell>
          <cell r="V51">
            <v>1517.7757899999999</v>
          </cell>
        </row>
        <row r="52">
          <cell r="B52">
            <v>20288.462752423871</v>
          </cell>
          <cell r="C52">
            <v>0</v>
          </cell>
          <cell r="D52">
            <v>5807.3620600659597</v>
          </cell>
          <cell r="G52">
            <v>0</v>
          </cell>
          <cell r="H52">
            <v>3837</v>
          </cell>
          <cell r="J52">
            <v>0</v>
          </cell>
          <cell r="K52">
            <v>562.5719205669219</v>
          </cell>
          <cell r="L52">
            <v>3500</v>
          </cell>
          <cell r="M52">
            <v>0</v>
          </cell>
          <cell r="N52">
            <v>0</v>
          </cell>
          <cell r="O52">
            <v>5000</v>
          </cell>
          <cell r="P52">
            <v>0</v>
          </cell>
          <cell r="Q52">
            <v>0</v>
          </cell>
          <cell r="R52">
            <v>2435.0858049799999</v>
          </cell>
          <cell r="S52">
            <v>1553.672292</v>
          </cell>
          <cell r="T52">
            <v>358.58648701999999</v>
          </cell>
          <cell r="U52">
            <v>0</v>
          </cell>
          <cell r="V52">
            <v>1517.7757899999999</v>
          </cell>
        </row>
        <row r="53">
          <cell r="B53">
            <v>17356.97986098718</v>
          </cell>
          <cell r="C53">
            <v>0</v>
          </cell>
          <cell r="D53">
            <v>5736.7380917731562</v>
          </cell>
          <cell r="G53">
            <v>0</v>
          </cell>
          <cell r="H53">
            <v>3837</v>
          </cell>
          <cell r="J53">
            <v>0</v>
          </cell>
          <cell r="K53">
            <v>550.27514614320864</v>
          </cell>
          <cell r="L53">
            <v>3500</v>
          </cell>
          <cell r="M53">
            <v>0</v>
          </cell>
          <cell r="N53">
            <v>0</v>
          </cell>
          <cell r="O53">
            <v>5000</v>
          </cell>
          <cell r="P53">
            <v>0</v>
          </cell>
          <cell r="Q53">
            <v>0</v>
          </cell>
          <cell r="R53">
            <v>2530.01777498</v>
          </cell>
          <cell r="S53">
            <v>1553.672292</v>
          </cell>
          <cell r="T53">
            <v>263.65451702000001</v>
          </cell>
          <cell r="U53">
            <v>0</v>
          </cell>
          <cell r="V53">
            <v>1517.7757899999999</v>
          </cell>
        </row>
        <row r="54">
          <cell r="B54">
            <v>21221.737214195022</v>
          </cell>
          <cell r="C54">
            <v>0</v>
          </cell>
          <cell r="D54">
            <v>7838.8940139433753</v>
          </cell>
          <cell r="G54">
            <v>0</v>
          </cell>
          <cell r="H54">
            <v>3837</v>
          </cell>
          <cell r="J54">
            <v>0</v>
          </cell>
          <cell r="K54">
            <v>544.81436547226167</v>
          </cell>
          <cell r="L54">
            <v>3500</v>
          </cell>
          <cell r="M54">
            <v>0</v>
          </cell>
          <cell r="N54">
            <v>0</v>
          </cell>
          <cell r="O54">
            <v>5000</v>
          </cell>
          <cell r="P54">
            <v>0</v>
          </cell>
          <cell r="Q54">
            <v>0</v>
          </cell>
          <cell r="R54">
            <v>2655.55179774</v>
          </cell>
          <cell r="S54">
            <v>1553.672292</v>
          </cell>
          <cell r="T54">
            <v>138.12049425999999</v>
          </cell>
          <cell r="U54">
            <v>0</v>
          </cell>
          <cell r="V54">
            <v>1517.7757899999999</v>
          </cell>
        </row>
        <row r="55">
          <cell r="B55">
            <v>21555.0969520738</v>
          </cell>
          <cell r="C55">
            <v>0</v>
          </cell>
          <cell r="D55">
            <v>5598.33963558292</v>
          </cell>
          <cell r="G55">
            <v>0</v>
          </cell>
          <cell r="H55">
            <v>3837</v>
          </cell>
          <cell r="J55">
            <v>0</v>
          </cell>
          <cell r="K55">
            <v>634.00111144214338</v>
          </cell>
          <cell r="L55">
            <v>3500</v>
          </cell>
          <cell r="M55">
            <v>0</v>
          </cell>
          <cell r="N55">
            <v>0</v>
          </cell>
          <cell r="O55">
            <v>5000</v>
          </cell>
          <cell r="P55">
            <v>0</v>
          </cell>
          <cell r="Q55">
            <v>0</v>
          </cell>
          <cell r="R55">
            <v>2861.8570897499999</v>
          </cell>
          <cell r="S55">
            <v>1553.672292</v>
          </cell>
          <cell r="T55">
            <v>0</v>
          </cell>
          <cell r="U55">
            <v>68.184797750000001</v>
          </cell>
          <cell r="V55">
            <v>1517.7757899999999</v>
          </cell>
        </row>
        <row r="56">
          <cell r="B56">
            <v>25140.2664733333</v>
          </cell>
          <cell r="C56">
            <v>0</v>
          </cell>
          <cell r="D56">
            <v>6758.4167666109406</v>
          </cell>
          <cell r="G56">
            <v>0</v>
          </cell>
          <cell r="H56">
            <v>3837</v>
          </cell>
          <cell r="J56">
            <v>0</v>
          </cell>
          <cell r="K56">
            <v>741.80239878100906</v>
          </cell>
          <cell r="L56">
            <v>3500</v>
          </cell>
          <cell r="M56">
            <v>0</v>
          </cell>
          <cell r="N56">
            <v>0</v>
          </cell>
          <cell r="O56">
            <v>5000</v>
          </cell>
          <cell r="P56">
            <v>0</v>
          </cell>
          <cell r="Q56">
            <v>0</v>
          </cell>
          <cell r="R56">
            <v>2275.83945877</v>
          </cell>
          <cell r="S56">
            <v>1553.672292</v>
          </cell>
          <cell r="T56">
            <v>517.83283323000001</v>
          </cell>
          <cell r="U56">
            <v>0</v>
          </cell>
          <cell r="V56">
            <v>1517.7757899999999</v>
          </cell>
        </row>
        <row r="57">
          <cell r="B57">
            <v>25140.2664733333</v>
          </cell>
          <cell r="C57">
            <v>0</v>
          </cell>
          <cell r="D57">
            <v>8694.4838579903517</v>
          </cell>
          <cell r="G57">
            <v>0</v>
          </cell>
          <cell r="H57">
            <v>3837</v>
          </cell>
          <cell r="J57">
            <v>0</v>
          </cell>
          <cell r="K57">
            <v>862.56003785119549</v>
          </cell>
          <cell r="L57">
            <v>3500</v>
          </cell>
          <cell r="M57">
            <v>0</v>
          </cell>
          <cell r="N57">
            <v>0</v>
          </cell>
          <cell r="O57">
            <v>5000</v>
          </cell>
          <cell r="P57">
            <v>0</v>
          </cell>
          <cell r="Q57">
            <v>0</v>
          </cell>
          <cell r="R57">
            <v>1231.39934068</v>
          </cell>
          <cell r="S57">
            <v>1553.672292</v>
          </cell>
          <cell r="T57">
            <v>1562.2729513199999</v>
          </cell>
          <cell r="U57">
            <v>0</v>
          </cell>
          <cell r="V57">
            <v>1517.7757899999999</v>
          </cell>
        </row>
        <row r="58">
          <cell r="B58">
            <v>25140.2664733333</v>
          </cell>
          <cell r="C58">
            <v>0</v>
          </cell>
          <cell r="D58">
            <v>10259.16722737204</v>
          </cell>
          <cell r="G58">
            <v>0</v>
          </cell>
          <cell r="H58">
            <v>3837</v>
          </cell>
          <cell r="J58">
            <v>0</v>
          </cell>
          <cell r="K58">
            <v>1003.184780751028</v>
          </cell>
          <cell r="L58">
            <v>3500</v>
          </cell>
          <cell r="M58">
            <v>0</v>
          </cell>
          <cell r="N58">
            <v>0</v>
          </cell>
          <cell r="O58">
            <v>5000</v>
          </cell>
          <cell r="P58">
            <v>0</v>
          </cell>
          <cell r="Q58">
            <v>0</v>
          </cell>
          <cell r="R58">
            <v>186.49934068000039</v>
          </cell>
          <cell r="S58">
            <v>1553.672292</v>
          </cell>
          <cell r="T58">
            <v>2607.1729513199998</v>
          </cell>
          <cell r="U58">
            <v>0</v>
          </cell>
          <cell r="V58">
            <v>1517.7757899999999</v>
          </cell>
        </row>
        <row r="59">
          <cell r="B59">
            <v>7463.9393072748544</v>
          </cell>
          <cell r="C59">
            <v>0</v>
          </cell>
          <cell r="D59">
            <v>9252.637101182625</v>
          </cell>
          <cell r="G59">
            <v>0</v>
          </cell>
          <cell r="H59">
            <v>3837</v>
          </cell>
          <cell r="J59">
            <v>0</v>
          </cell>
          <cell r="K59">
            <v>612.54078858508581</v>
          </cell>
          <cell r="L59">
            <v>3500</v>
          </cell>
          <cell r="M59">
            <v>0</v>
          </cell>
          <cell r="N59">
            <v>0</v>
          </cell>
          <cell r="O59">
            <v>5000</v>
          </cell>
          <cell r="P59">
            <v>0</v>
          </cell>
          <cell r="Q59">
            <v>858.4006593199997</v>
          </cell>
          <cell r="R59">
            <v>0</v>
          </cell>
          <cell r="S59">
            <v>1553.672292</v>
          </cell>
          <cell r="T59">
            <v>3652.0729513199999</v>
          </cell>
          <cell r="U59">
            <v>0</v>
          </cell>
          <cell r="V59">
            <v>1517.7757899999999</v>
          </cell>
        </row>
        <row r="60">
          <cell r="B60">
            <v>0</v>
          </cell>
          <cell r="C60">
            <v>13320.750632965201</v>
          </cell>
          <cell r="D60">
            <v>7487.572803600644</v>
          </cell>
          <cell r="G60">
            <v>0</v>
          </cell>
          <cell r="H60">
            <v>3837</v>
          </cell>
          <cell r="J60">
            <v>0</v>
          </cell>
          <cell r="K60">
            <v>0</v>
          </cell>
          <cell r="L60">
            <v>3500</v>
          </cell>
          <cell r="M60">
            <v>569.29568604819997</v>
          </cell>
          <cell r="N60">
            <v>0</v>
          </cell>
          <cell r="O60">
            <v>5000</v>
          </cell>
          <cell r="P60">
            <v>0</v>
          </cell>
          <cell r="Q60">
            <v>1903.30065932</v>
          </cell>
          <cell r="R60">
            <v>0</v>
          </cell>
          <cell r="S60">
            <v>1553.672292</v>
          </cell>
          <cell r="T60">
            <v>4696.97295132</v>
          </cell>
          <cell r="U60">
            <v>0</v>
          </cell>
          <cell r="V60">
            <v>1517.7757899999999</v>
          </cell>
        </row>
        <row r="61">
          <cell r="B61">
            <v>0</v>
          </cell>
          <cell r="C61">
            <v>13320.750632965201</v>
          </cell>
          <cell r="D61">
            <v>3796.121125583275</v>
          </cell>
          <cell r="G61">
            <v>0</v>
          </cell>
          <cell r="H61">
            <v>3837</v>
          </cell>
          <cell r="J61">
            <v>0</v>
          </cell>
          <cell r="K61">
            <v>0</v>
          </cell>
          <cell r="L61">
            <v>3500</v>
          </cell>
          <cell r="M61">
            <v>1832.7152631895581</v>
          </cell>
          <cell r="N61">
            <v>0</v>
          </cell>
          <cell r="O61">
            <v>5000</v>
          </cell>
          <cell r="P61">
            <v>0</v>
          </cell>
          <cell r="Q61">
            <v>2948.66054123</v>
          </cell>
          <cell r="R61">
            <v>0</v>
          </cell>
          <cell r="S61">
            <v>1553.672292</v>
          </cell>
          <cell r="T61">
            <v>5742.3328332299998</v>
          </cell>
          <cell r="U61">
            <v>0</v>
          </cell>
          <cell r="V61">
            <v>1517.7757899999999</v>
          </cell>
        </row>
        <row r="62">
          <cell r="B62">
            <v>0</v>
          </cell>
          <cell r="C62">
            <v>13320.750632965201</v>
          </cell>
          <cell r="D62">
            <v>2907.2372363187278</v>
          </cell>
          <cell r="G62">
            <v>0</v>
          </cell>
          <cell r="H62">
            <v>3837</v>
          </cell>
          <cell r="J62">
            <v>0</v>
          </cell>
          <cell r="K62">
            <v>0</v>
          </cell>
          <cell r="L62">
            <v>3500</v>
          </cell>
          <cell r="M62">
            <v>2762.0786111368898</v>
          </cell>
          <cell r="N62">
            <v>0</v>
          </cell>
          <cell r="O62">
            <v>5000</v>
          </cell>
          <cell r="P62">
            <v>0</v>
          </cell>
          <cell r="Q62">
            <v>4314.3176165599998</v>
          </cell>
          <cell r="R62">
            <v>0</v>
          </cell>
          <cell r="S62">
            <v>1233.3750985900001</v>
          </cell>
          <cell r="T62">
            <v>6779.6610170000004</v>
          </cell>
          <cell r="U62">
            <v>0</v>
          </cell>
          <cell r="V62">
            <v>1517.7757899999999</v>
          </cell>
        </row>
        <row r="63">
          <cell r="B63">
            <v>0</v>
          </cell>
          <cell r="C63">
            <v>13320.750632965201</v>
          </cell>
          <cell r="D63">
            <v>3268.533658128571</v>
          </cell>
          <cell r="G63">
            <v>0</v>
          </cell>
          <cell r="H63">
            <v>3837</v>
          </cell>
          <cell r="J63">
            <v>0</v>
          </cell>
          <cell r="K63">
            <v>0</v>
          </cell>
          <cell r="L63">
            <v>3500</v>
          </cell>
          <cell r="M63">
            <v>2860.169492</v>
          </cell>
          <cell r="N63">
            <v>0</v>
          </cell>
          <cell r="O63">
            <v>5000</v>
          </cell>
          <cell r="P63">
            <v>0</v>
          </cell>
          <cell r="Q63">
            <v>4665.3159926900007</v>
          </cell>
          <cell r="R63">
            <v>0</v>
          </cell>
          <cell r="S63">
            <v>1233.3750985900001</v>
          </cell>
          <cell r="T63">
            <v>6779.6610170000004</v>
          </cell>
          <cell r="U63">
            <v>0</v>
          </cell>
          <cell r="V63">
            <v>1517.7757899999999</v>
          </cell>
        </row>
        <row r="64">
          <cell r="B64">
            <v>0</v>
          </cell>
          <cell r="C64">
            <v>13320.750632965201</v>
          </cell>
          <cell r="D64">
            <v>2353.867754631141</v>
          </cell>
          <cell r="G64">
            <v>0</v>
          </cell>
          <cell r="H64">
            <v>3837</v>
          </cell>
          <cell r="J64">
            <v>0</v>
          </cell>
          <cell r="K64">
            <v>0</v>
          </cell>
          <cell r="L64">
            <v>3500</v>
          </cell>
          <cell r="M64">
            <v>2860.169492</v>
          </cell>
          <cell r="N64">
            <v>0</v>
          </cell>
          <cell r="O64">
            <v>5000</v>
          </cell>
          <cell r="P64">
            <v>0</v>
          </cell>
          <cell r="Q64">
            <v>3620.4159926900002</v>
          </cell>
          <cell r="R64">
            <v>0</v>
          </cell>
          <cell r="S64">
            <v>1232.91521668</v>
          </cell>
          <cell r="T64">
            <v>6093.3312093699997</v>
          </cell>
          <cell r="U64">
            <v>0</v>
          </cell>
          <cell r="V64">
            <v>1517.7757899999999</v>
          </cell>
        </row>
        <row r="65">
          <cell r="B65">
            <v>0</v>
          </cell>
          <cell r="C65">
            <v>1514.0212773591629</v>
          </cell>
          <cell r="D65">
            <v>3863.72440724845</v>
          </cell>
          <cell r="G65">
            <v>0</v>
          </cell>
          <cell r="H65">
            <v>3837</v>
          </cell>
          <cell r="J65">
            <v>0</v>
          </cell>
          <cell r="K65">
            <v>0</v>
          </cell>
          <cell r="L65">
            <v>3500</v>
          </cell>
          <cell r="M65">
            <v>2175.0412062628839</v>
          </cell>
          <cell r="N65">
            <v>0</v>
          </cell>
          <cell r="O65">
            <v>5000</v>
          </cell>
          <cell r="P65">
            <v>0</v>
          </cell>
          <cell r="Q65">
            <v>2254.2990354600001</v>
          </cell>
          <cell r="R65">
            <v>0</v>
          </cell>
          <cell r="S65">
            <v>1553.672292</v>
          </cell>
          <cell r="T65">
            <v>5047.9713274599999</v>
          </cell>
          <cell r="U65">
            <v>0</v>
          </cell>
          <cell r="V65">
            <v>1517.7757899999999</v>
          </cell>
        </row>
        <row r="66">
          <cell r="B66">
            <v>0</v>
          </cell>
          <cell r="C66">
            <v>12616.404672042399</v>
          </cell>
          <cell r="D66">
            <v>6711.9550554173584</v>
          </cell>
          <cell r="G66">
            <v>0</v>
          </cell>
          <cell r="H66">
            <v>3837</v>
          </cell>
          <cell r="J66">
            <v>0</v>
          </cell>
          <cell r="K66">
            <v>0</v>
          </cell>
          <cell r="L66">
            <v>3500</v>
          </cell>
          <cell r="M66">
            <v>1094.5551122283489</v>
          </cell>
          <cell r="N66">
            <v>0</v>
          </cell>
          <cell r="O66">
            <v>5000</v>
          </cell>
          <cell r="P66">
            <v>0</v>
          </cell>
          <cell r="Q66">
            <v>1209.3990354600001</v>
          </cell>
          <cell r="R66">
            <v>0</v>
          </cell>
          <cell r="S66">
            <v>1553.672292</v>
          </cell>
          <cell r="T66">
            <v>4003.0713274599998</v>
          </cell>
          <cell r="U66">
            <v>0</v>
          </cell>
          <cell r="V66">
            <v>1517.7757899999999</v>
          </cell>
        </row>
        <row r="67">
          <cell r="B67">
            <v>25140.2664733333</v>
          </cell>
          <cell r="C67">
            <v>0</v>
          </cell>
          <cell r="D67">
            <v>8811.4151698314799</v>
          </cell>
          <cell r="G67">
            <v>0</v>
          </cell>
          <cell r="H67">
            <v>3837</v>
          </cell>
          <cell r="J67">
            <v>0</v>
          </cell>
          <cell r="K67">
            <v>128.18461059773401</v>
          </cell>
          <cell r="L67">
            <v>3500</v>
          </cell>
          <cell r="M67">
            <v>0</v>
          </cell>
          <cell r="N67">
            <v>0</v>
          </cell>
          <cell r="O67">
            <v>5000</v>
          </cell>
          <cell r="P67">
            <v>0</v>
          </cell>
          <cell r="Q67">
            <v>164.49903545999999</v>
          </cell>
          <cell r="R67">
            <v>0</v>
          </cell>
          <cell r="S67">
            <v>1553.672292</v>
          </cell>
          <cell r="T67">
            <v>2958.1713274600002</v>
          </cell>
          <cell r="U67">
            <v>0</v>
          </cell>
          <cell r="V67">
            <v>1517.7757899999999</v>
          </cell>
        </row>
        <row r="68">
          <cell r="B68">
            <v>25140.2664733333</v>
          </cell>
          <cell r="C68">
            <v>0</v>
          </cell>
          <cell r="D68">
            <v>11919.845400387851</v>
          </cell>
          <cell r="G68">
            <v>1396.0426157811739</v>
          </cell>
          <cell r="H68">
            <v>0</v>
          </cell>
          <cell r="J68">
            <v>0</v>
          </cell>
          <cell r="K68">
            <v>946.44046930144373</v>
          </cell>
          <cell r="L68">
            <v>3500</v>
          </cell>
          <cell r="M68">
            <v>0</v>
          </cell>
          <cell r="N68">
            <v>0</v>
          </cell>
          <cell r="O68">
            <v>5000</v>
          </cell>
          <cell r="P68">
            <v>0</v>
          </cell>
          <cell r="Q68">
            <v>0</v>
          </cell>
          <cell r="R68">
            <v>1209.94108263</v>
          </cell>
          <cell r="S68">
            <v>1232.91521668</v>
          </cell>
          <cell r="T68">
            <v>1262.97413405</v>
          </cell>
          <cell r="U68">
            <v>0</v>
          </cell>
          <cell r="V68">
            <v>1517.7757899999999</v>
          </cell>
        </row>
        <row r="69">
          <cell r="B69">
            <v>25140.2664733333</v>
          </cell>
          <cell r="C69">
            <v>0</v>
          </cell>
          <cell r="D69">
            <v>7951.6384249908779</v>
          </cell>
          <cell r="G69">
            <v>861.98770554258635</v>
          </cell>
          <cell r="H69">
            <v>0</v>
          </cell>
          <cell r="J69">
            <v>0</v>
          </cell>
          <cell r="K69">
            <v>765.44888910801353</v>
          </cell>
          <cell r="L69">
            <v>3500</v>
          </cell>
          <cell r="M69">
            <v>0</v>
          </cell>
          <cell r="N69">
            <v>0</v>
          </cell>
          <cell r="O69">
            <v>5000</v>
          </cell>
          <cell r="P69">
            <v>0</v>
          </cell>
          <cell r="Q69">
            <v>0</v>
          </cell>
          <cell r="R69">
            <v>2254.3812007199999</v>
          </cell>
          <cell r="S69">
            <v>1299.38497426</v>
          </cell>
          <cell r="T69">
            <v>285.00377354</v>
          </cell>
          <cell r="U69">
            <v>0</v>
          </cell>
          <cell r="V69">
            <v>1517.7757899999999</v>
          </cell>
        </row>
        <row r="70">
          <cell r="B70">
            <v>25140.2664733333</v>
          </cell>
          <cell r="C70">
            <v>0</v>
          </cell>
          <cell r="D70">
            <v>9154.7947298723775</v>
          </cell>
          <cell r="G70">
            <v>501.28102807811558</v>
          </cell>
          <cell r="H70">
            <v>0</v>
          </cell>
          <cell r="J70">
            <v>0</v>
          </cell>
          <cell r="K70">
            <v>659.9066923014625</v>
          </cell>
          <cell r="L70">
            <v>3500</v>
          </cell>
          <cell r="M70">
            <v>0</v>
          </cell>
          <cell r="N70">
            <v>0</v>
          </cell>
          <cell r="O70">
            <v>5000</v>
          </cell>
          <cell r="P70">
            <v>0</v>
          </cell>
          <cell r="Q70">
            <v>0</v>
          </cell>
          <cell r="R70">
            <v>2968.8213188099999</v>
          </cell>
          <cell r="S70">
            <v>1553.672292</v>
          </cell>
          <cell r="T70">
            <v>0</v>
          </cell>
          <cell r="U70">
            <v>175.14902681000001</v>
          </cell>
          <cell r="V70">
            <v>1517.7757899999999</v>
          </cell>
        </row>
        <row r="71">
          <cell r="B71">
            <v>25140.2664733333</v>
          </cell>
          <cell r="C71">
            <v>0</v>
          </cell>
          <cell r="D71">
            <v>7671.2779759513351</v>
          </cell>
          <cell r="G71">
            <v>871.38426290635005</v>
          </cell>
          <cell r="H71">
            <v>0</v>
          </cell>
          <cell r="J71">
            <v>0</v>
          </cell>
          <cell r="K71">
            <v>624.72657721573364</v>
          </cell>
          <cell r="L71">
            <v>3500</v>
          </cell>
          <cell r="M71">
            <v>0</v>
          </cell>
          <cell r="N71">
            <v>0</v>
          </cell>
          <cell r="O71">
            <v>5000</v>
          </cell>
          <cell r="P71">
            <v>0</v>
          </cell>
          <cell r="Q71">
            <v>0</v>
          </cell>
          <cell r="R71">
            <v>4013.2614368899999</v>
          </cell>
          <cell r="S71">
            <v>1553.672292</v>
          </cell>
          <cell r="T71">
            <v>0</v>
          </cell>
          <cell r="U71">
            <v>1219.5891448899999</v>
          </cell>
          <cell r="V71">
            <v>1517.7757899999999</v>
          </cell>
        </row>
        <row r="72">
          <cell r="B72">
            <v>25140.2664733333</v>
          </cell>
          <cell r="C72">
            <v>0</v>
          </cell>
          <cell r="D72">
            <v>3913.0884314847131</v>
          </cell>
          <cell r="G72">
            <v>1506.345033281882</v>
          </cell>
          <cell r="H72">
            <v>0</v>
          </cell>
          <cell r="J72">
            <v>0</v>
          </cell>
          <cell r="K72">
            <v>598.56768546584908</v>
          </cell>
          <cell r="L72">
            <v>3500</v>
          </cell>
          <cell r="M72">
            <v>0</v>
          </cell>
          <cell r="N72">
            <v>0</v>
          </cell>
          <cell r="O72">
            <v>5000</v>
          </cell>
          <cell r="P72">
            <v>0</v>
          </cell>
          <cell r="Q72">
            <v>0</v>
          </cell>
          <cell r="R72">
            <v>5057.7015549799999</v>
          </cell>
          <cell r="S72">
            <v>1553.672292</v>
          </cell>
          <cell r="T72">
            <v>0</v>
          </cell>
          <cell r="U72">
            <v>2264.0292629800001</v>
          </cell>
          <cell r="V72">
            <v>1517.7757899999999</v>
          </cell>
        </row>
        <row r="73">
          <cell r="B73">
            <v>25140.2664733333</v>
          </cell>
          <cell r="C73">
            <v>0</v>
          </cell>
          <cell r="D73">
            <v>4340.6932997268859</v>
          </cell>
          <cell r="G73">
            <v>204.12504093364589</v>
          </cell>
          <cell r="H73">
            <v>0</v>
          </cell>
          <cell r="J73">
            <v>0</v>
          </cell>
          <cell r="K73">
            <v>625.76487201566943</v>
          </cell>
          <cell r="L73">
            <v>3500</v>
          </cell>
          <cell r="M73">
            <v>0</v>
          </cell>
          <cell r="N73">
            <v>0</v>
          </cell>
          <cell r="O73">
            <v>5000</v>
          </cell>
          <cell r="P73">
            <v>0</v>
          </cell>
          <cell r="Q73">
            <v>0</v>
          </cell>
          <cell r="R73">
            <v>4776.0455759500001</v>
          </cell>
          <cell r="S73">
            <v>1553.672292</v>
          </cell>
          <cell r="T73">
            <v>0</v>
          </cell>
          <cell r="U73">
            <v>1982.3732839500001</v>
          </cell>
          <cell r="V73">
            <v>1517.7757899999999</v>
          </cell>
        </row>
        <row r="74">
          <cell r="B74">
            <v>25140.2664733333</v>
          </cell>
          <cell r="C74">
            <v>0</v>
          </cell>
          <cell r="D74">
            <v>4484.3924284176164</v>
          </cell>
          <cell r="G74">
            <v>0</v>
          </cell>
          <cell r="H74">
            <v>787.77113083360177</v>
          </cell>
          <cell r="J74">
            <v>0</v>
          </cell>
          <cell r="K74">
            <v>648.29268199228227</v>
          </cell>
          <cell r="L74">
            <v>3500</v>
          </cell>
          <cell r="M74">
            <v>0</v>
          </cell>
          <cell r="N74">
            <v>0</v>
          </cell>
          <cell r="O74">
            <v>5000</v>
          </cell>
          <cell r="P74">
            <v>0</v>
          </cell>
          <cell r="Q74">
            <v>0</v>
          </cell>
          <cell r="R74">
            <v>4653.3086893399995</v>
          </cell>
          <cell r="S74">
            <v>1553.672292</v>
          </cell>
          <cell r="T74">
            <v>0</v>
          </cell>
          <cell r="U74">
            <v>1859.63639734</v>
          </cell>
          <cell r="V74">
            <v>1517.7757899999999</v>
          </cell>
        </row>
        <row r="75">
          <cell r="B75">
            <v>25140.2664733333</v>
          </cell>
          <cell r="C75">
            <v>0</v>
          </cell>
          <cell r="D75">
            <v>6706.1619178756246</v>
          </cell>
          <cell r="G75">
            <v>0</v>
          </cell>
          <cell r="H75">
            <v>796.66113184360051</v>
          </cell>
          <cell r="J75">
            <v>0</v>
          </cell>
          <cell r="K75">
            <v>680.94721821813778</v>
          </cell>
          <cell r="L75">
            <v>3500</v>
          </cell>
          <cell r="M75">
            <v>0</v>
          </cell>
          <cell r="N75">
            <v>0</v>
          </cell>
          <cell r="O75">
            <v>5000</v>
          </cell>
          <cell r="P75">
            <v>0</v>
          </cell>
          <cell r="Q75">
            <v>0</v>
          </cell>
          <cell r="R75">
            <v>4606.4039593400003</v>
          </cell>
          <cell r="S75">
            <v>1553.672292</v>
          </cell>
          <cell r="T75">
            <v>0</v>
          </cell>
          <cell r="U75">
            <v>1812.7316673400001</v>
          </cell>
          <cell r="V75">
            <v>1517.7757899999999</v>
          </cell>
        </row>
        <row r="76">
          <cell r="B76">
            <v>25140.2664733333</v>
          </cell>
          <cell r="C76">
            <v>0</v>
          </cell>
          <cell r="D76">
            <v>4633.6286569486329</v>
          </cell>
          <cell r="G76">
            <v>0</v>
          </cell>
          <cell r="H76">
            <v>1280.172498514401</v>
          </cell>
          <cell r="J76">
            <v>0</v>
          </cell>
          <cell r="K76">
            <v>685.55847822149303</v>
          </cell>
          <cell r="L76">
            <v>3500</v>
          </cell>
          <cell r="M76">
            <v>0</v>
          </cell>
          <cell r="N76">
            <v>0</v>
          </cell>
          <cell r="O76">
            <v>5000</v>
          </cell>
          <cell r="P76">
            <v>0</v>
          </cell>
          <cell r="Q76">
            <v>0</v>
          </cell>
          <cell r="R76">
            <v>4455.0603593400001</v>
          </cell>
          <cell r="S76">
            <v>1553.672292</v>
          </cell>
          <cell r="T76">
            <v>0</v>
          </cell>
          <cell r="U76">
            <v>1661.3880673399999</v>
          </cell>
          <cell r="V76">
            <v>1517.7757899999999</v>
          </cell>
        </row>
        <row r="77">
          <cell r="B77">
            <v>23660.73859695479</v>
          </cell>
          <cell r="C77">
            <v>0</v>
          </cell>
          <cell r="D77">
            <v>4792.7649179546524</v>
          </cell>
          <cell r="G77">
            <v>0</v>
          </cell>
          <cell r="H77">
            <v>1664.1752959388029</v>
          </cell>
          <cell r="J77">
            <v>0</v>
          </cell>
          <cell r="K77">
            <v>681.99141369995664</v>
          </cell>
          <cell r="L77">
            <v>3500</v>
          </cell>
          <cell r="M77">
            <v>0</v>
          </cell>
          <cell r="N77">
            <v>0</v>
          </cell>
          <cell r="O77">
            <v>5000</v>
          </cell>
          <cell r="P77">
            <v>0</v>
          </cell>
          <cell r="Q77">
            <v>0</v>
          </cell>
          <cell r="R77">
            <v>4234.6231093400002</v>
          </cell>
          <cell r="S77">
            <v>1553.672292</v>
          </cell>
          <cell r="T77">
            <v>0</v>
          </cell>
          <cell r="U77">
            <v>1440.95081734</v>
          </cell>
          <cell r="V77">
            <v>1517.7757899999999</v>
          </cell>
        </row>
        <row r="78">
          <cell r="B78">
            <v>23678.404654623861</v>
          </cell>
          <cell r="C78">
            <v>0</v>
          </cell>
          <cell r="D78">
            <v>5013.6818605551434</v>
          </cell>
          <cell r="G78">
            <v>0</v>
          </cell>
          <cell r="H78">
            <v>1430.4505576216011</v>
          </cell>
          <cell r="J78">
            <v>0</v>
          </cell>
          <cell r="K78">
            <v>666.23946788919966</v>
          </cell>
          <cell r="L78">
            <v>3500</v>
          </cell>
          <cell r="M78">
            <v>0</v>
          </cell>
          <cell r="N78">
            <v>0</v>
          </cell>
          <cell r="O78">
            <v>5000</v>
          </cell>
          <cell r="P78">
            <v>0</v>
          </cell>
          <cell r="Q78">
            <v>0</v>
          </cell>
          <cell r="R78">
            <v>3941.6156821</v>
          </cell>
          <cell r="S78">
            <v>1553.672292</v>
          </cell>
          <cell r="T78">
            <v>0</v>
          </cell>
          <cell r="U78">
            <v>1147.9433901</v>
          </cell>
          <cell r="V78">
            <v>1517.7757899999999</v>
          </cell>
        </row>
        <row r="79">
          <cell r="B79">
            <v>25140.2664733333</v>
          </cell>
          <cell r="C79">
            <v>0</v>
          </cell>
          <cell r="D79">
            <v>6244.0814281665826</v>
          </cell>
          <cell r="G79">
            <v>0</v>
          </cell>
          <cell r="H79">
            <v>1063.7715676887999</v>
          </cell>
          <cell r="J79">
            <v>0</v>
          </cell>
          <cell r="K79">
            <v>741.51578428955816</v>
          </cell>
          <cell r="L79">
            <v>3500</v>
          </cell>
          <cell r="M79">
            <v>0</v>
          </cell>
          <cell r="N79">
            <v>0</v>
          </cell>
          <cell r="O79">
            <v>5000</v>
          </cell>
          <cell r="P79">
            <v>0</v>
          </cell>
          <cell r="Q79">
            <v>0</v>
          </cell>
          <cell r="R79">
            <v>3075.42857749</v>
          </cell>
          <cell r="S79">
            <v>1553.672292</v>
          </cell>
          <cell r="T79">
            <v>0</v>
          </cell>
          <cell r="U79">
            <v>281.75628548999998</v>
          </cell>
          <cell r="V79">
            <v>1517.7757899999999</v>
          </cell>
        </row>
        <row r="80">
          <cell r="B80">
            <v>0</v>
          </cell>
          <cell r="C80">
            <v>0</v>
          </cell>
          <cell r="D80">
            <v>7733.1646900428732</v>
          </cell>
          <cell r="G80">
            <v>0</v>
          </cell>
          <cell r="H80">
            <v>462.23591443039891</v>
          </cell>
          <cell r="J80">
            <v>0</v>
          </cell>
          <cell r="K80">
            <v>812.66123599646221</v>
          </cell>
          <cell r="L80">
            <v>3500</v>
          </cell>
          <cell r="M80">
            <v>0</v>
          </cell>
          <cell r="N80">
            <v>0</v>
          </cell>
          <cell r="O80">
            <v>5000</v>
          </cell>
          <cell r="P80">
            <v>0</v>
          </cell>
          <cell r="Q80">
            <v>0</v>
          </cell>
          <cell r="R80">
            <v>2030.9884594</v>
          </cell>
          <cell r="S80">
            <v>1553.672292</v>
          </cell>
          <cell r="T80">
            <v>762.68383259999996</v>
          </cell>
          <cell r="U80">
            <v>0</v>
          </cell>
          <cell r="V80">
            <v>1517.7757899999999</v>
          </cell>
        </row>
        <row r="81">
          <cell r="B81">
            <v>0</v>
          </cell>
          <cell r="C81">
            <v>0</v>
          </cell>
          <cell r="D81">
            <v>9295.9927668235759</v>
          </cell>
          <cell r="G81">
            <v>717.28833501223596</v>
          </cell>
          <cell r="H81">
            <v>0</v>
          </cell>
          <cell r="J81">
            <v>0</v>
          </cell>
          <cell r="K81">
            <v>898.47742775705206</v>
          </cell>
          <cell r="L81">
            <v>3500</v>
          </cell>
          <cell r="M81">
            <v>0</v>
          </cell>
          <cell r="N81">
            <v>0</v>
          </cell>
          <cell r="O81">
            <v>5000</v>
          </cell>
          <cell r="P81">
            <v>0</v>
          </cell>
          <cell r="Q81">
            <v>0</v>
          </cell>
          <cell r="R81">
            <v>986.54834132000019</v>
          </cell>
          <cell r="S81">
            <v>1553.672292</v>
          </cell>
          <cell r="T81">
            <v>1807.12395068</v>
          </cell>
          <cell r="U81">
            <v>0</v>
          </cell>
          <cell r="V81">
            <v>1517.7757899999999</v>
          </cell>
        </row>
        <row r="82">
          <cell r="B82">
            <v>12888.67651040831</v>
          </cell>
          <cell r="C82">
            <v>0</v>
          </cell>
          <cell r="D82">
            <v>12794.947151247061</v>
          </cell>
          <cell r="G82">
            <v>1866.409852491764</v>
          </cell>
          <cell r="H82">
            <v>0</v>
          </cell>
          <cell r="J82">
            <v>0</v>
          </cell>
          <cell r="K82">
            <v>982.91350713543761</v>
          </cell>
          <cell r="L82">
            <v>3500</v>
          </cell>
          <cell r="M82">
            <v>0</v>
          </cell>
          <cell r="N82">
            <v>0</v>
          </cell>
          <cell r="O82">
            <v>5000</v>
          </cell>
          <cell r="P82">
            <v>0</v>
          </cell>
          <cell r="Q82">
            <v>58.351658679999673</v>
          </cell>
          <cell r="R82">
            <v>0</v>
          </cell>
          <cell r="S82">
            <v>1553.672292</v>
          </cell>
          <cell r="T82">
            <v>2852.0239506799999</v>
          </cell>
          <cell r="U82">
            <v>0</v>
          </cell>
          <cell r="V82">
            <v>1517.7757899999999</v>
          </cell>
        </row>
        <row r="83">
          <cell r="B83">
            <v>0</v>
          </cell>
          <cell r="C83">
            <v>0</v>
          </cell>
          <cell r="D83">
            <v>8799.5532534298891</v>
          </cell>
          <cell r="G83">
            <v>0</v>
          </cell>
          <cell r="H83">
            <v>263.62143970960159</v>
          </cell>
          <cell r="J83">
            <v>0</v>
          </cell>
          <cell r="K83">
            <v>720.45270640267233</v>
          </cell>
          <cell r="L83">
            <v>3500</v>
          </cell>
          <cell r="M83">
            <v>0</v>
          </cell>
          <cell r="N83">
            <v>0</v>
          </cell>
          <cell r="O83">
            <v>5000</v>
          </cell>
          <cell r="P83">
            <v>0</v>
          </cell>
          <cell r="Q83">
            <v>1103.25165868</v>
          </cell>
          <cell r="R83">
            <v>0</v>
          </cell>
          <cell r="S83">
            <v>1553.672292</v>
          </cell>
          <cell r="T83">
            <v>3896.92395068</v>
          </cell>
          <cell r="U83">
            <v>0</v>
          </cell>
          <cell r="V83">
            <v>1517.7757899999999</v>
          </cell>
        </row>
        <row r="84">
          <cell r="B84">
            <v>0</v>
          </cell>
          <cell r="C84">
            <v>0</v>
          </cell>
          <cell r="D84">
            <v>11212.920920703091</v>
          </cell>
          <cell r="G84">
            <v>0</v>
          </cell>
          <cell r="H84">
            <v>3837</v>
          </cell>
          <cell r="J84">
            <v>0</v>
          </cell>
          <cell r="K84">
            <v>0</v>
          </cell>
          <cell r="L84">
            <v>3500</v>
          </cell>
          <cell r="M84">
            <v>51.416885861837947</v>
          </cell>
          <cell r="N84">
            <v>0</v>
          </cell>
          <cell r="O84">
            <v>5000</v>
          </cell>
          <cell r="P84">
            <v>0</v>
          </cell>
          <cell r="Q84">
            <v>2148.1516586799999</v>
          </cell>
          <cell r="R84">
            <v>0</v>
          </cell>
          <cell r="S84">
            <v>1553.672292</v>
          </cell>
          <cell r="T84">
            <v>4941.8239506800001</v>
          </cell>
          <cell r="U84">
            <v>0</v>
          </cell>
          <cell r="V84">
            <v>1517.7757899999999</v>
          </cell>
        </row>
        <row r="85">
          <cell r="B85">
            <v>0</v>
          </cell>
          <cell r="C85">
            <v>0</v>
          </cell>
          <cell r="D85">
            <v>8126.0993365601516</v>
          </cell>
          <cell r="G85">
            <v>0</v>
          </cell>
          <cell r="H85">
            <v>3837</v>
          </cell>
          <cell r="J85">
            <v>0</v>
          </cell>
          <cell r="K85">
            <v>0</v>
          </cell>
          <cell r="L85">
            <v>3500</v>
          </cell>
          <cell r="M85">
            <v>925.61024964984313</v>
          </cell>
          <cell r="N85">
            <v>0</v>
          </cell>
          <cell r="O85">
            <v>0</v>
          </cell>
          <cell r="P85">
            <v>0</v>
          </cell>
          <cell r="Q85">
            <v>3193.5115406</v>
          </cell>
          <cell r="R85">
            <v>0</v>
          </cell>
          <cell r="S85">
            <v>1553.672292</v>
          </cell>
          <cell r="T85">
            <v>5987.1838325999997</v>
          </cell>
          <cell r="U85">
            <v>0</v>
          </cell>
          <cell r="V85">
            <v>1517.7757899999999</v>
          </cell>
        </row>
        <row r="86">
          <cell r="B86">
            <v>0</v>
          </cell>
          <cell r="C86">
            <v>0</v>
          </cell>
          <cell r="D86">
            <v>6685.5223213714544</v>
          </cell>
          <cell r="G86">
            <v>0</v>
          </cell>
          <cell r="H86">
            <v>3837</v>
          </cell>
          <cell r="J86">
            <v>0</v>
          </cell>
          <cell r="K86">
            <v>0</v>
          </cell>
          <cell r="L86">
            <v>3500</v>
          </cell>
          <cell r="M86">
            <v>1681.055150775132</v>
          </cell>
          <cell r="N86">
            <v>0</v>
          </cell>
          <cell r="O86">
            <v>0</v>
          </cell>
          <cell r="P86">
            <v>0</v>
          </cell>
          <cell r="Q86">
            <v>4559.1676298700004</v>
          </cell>
          <cell r="R86">
            <v>0</v>
          </cell>
          <cell r="S86">
            <v>1233.37608464</v>
          </cell>
          <cell r="T86">
            <v>6779.6610170000004</v>
          </cell>
          <cell r="U86">
            <v>0</v>
          </cell>
          <cell r="V86">
            <v>1517.7757899999999</v>
          </cell>
        </row>
        <row r="87">
          <cell r="B87">
            <v>0</v>
          </cell>
          <cell r="C87">
            <v>0</v>
          </cell>
          <cell r="D87">
            <v>6728.8791625186132</v>
          </cell>
          <cell r="G87">
            <v>0</v>
          </cell>
          <cell r="H87">
            <v>3837</v>
          </cell>
          <cell r="J87">
            <v>0</v>
          </cell>
          <cell r="K87">
            <v>0</v>
          </cell>
          <cell r="L87">
            <v>3500</v>
          </cell>
          <cell r="M87">
            <v>2053.9490774608721</v>
          </cell>
          <cell r="N87">
            <v>0</v>
          </cell>
          <cell r="O87">
            <v>0</v>
          </cell>
          <cell r="P87">
            <v>0</v>
          </cell>
          <cell r="Q87">
            <v>5546.2849323600003</v>
          </cell>
          <cell r="R87">
            <v>0</v>
          </cell>
          <cell r="S87">
            <v>1233.37608464</v>
          </cell>
          <cell r="T87">
            <v>6779.6610170000004</v>
          </cell>
          <cell r="U87">
            <v>0</v>
          </cell>
          <cell r="V87">
            <v>1517.7757899999999</v>
          </cell>
        </row>
        <row r="88">
          <cell r="B88">
            <v>0</v>
          </cell>
          <cell r="C88">
            <v>0</v>
          </cell>
          <cell r="D88">
            <v>7202.3847891494725</v>
          </cell>
          <cell r="G88">
            <v>0</v>
          </cell>
          <cell r="H88">
            <v>3837</v>
          </cell>
          <cell r="J88">
            <v>0</v>
          </cell>
          <cell r="K88">
            <v>0</v>
          </cell>
          <cell r="L88">
            <v>3500</v>
          </cell>
          <cell r="M88">
            <v>2084.7243209659191</v>
          </cell>
          <cell r="N88">
            <v>0</v>
          </cell>
          <cell r="O88">
            <v>0</v>
          </cell>
          <cell r="P88">
            <v>0</v>
          </cell>
          <cell r="Q88">
            <v>5546.7448142699996</v>
          </cell>
          <cell r="R88">
            <v>0</v>
          </cell>
          <cell r="S88">
            <v>1232.9162027299999</v>
          </cell>
          <cell r="T88">
            <v>6779.6610170000004</v>
          </cell>
          <cell r="U88">
            <v>0</v>
          </cell>
          <cell r="V88">
            <v>1517.7757899999999</v>
          </cell>
        </row>
        <row r="89">
          <cell r="B89">
            <v>0</v>
          </cell>
          <cell r="C89">
            <v>0</v>
          </cell>
          <cell r="D89">
            <v>9329.6814330750749</v>
          </cell>
          <cell r="G89">
            <v>0</v>
          </cell>
          <cell r="H89">
            <v>3837</v>
          </cell>
          <cell r="J89">
            <v>0</v>
          </cell>
          <cell r="K89">
            <v>0</v>
          </cell>
          <cell r="L89">
            <v>3500</v>
          </cell>
          <cell r="M89">
            <v>1539.678847467098</v>
          </cell>
          <cell r="N89">
            <v>0</v>
          </cell>
          <cell r="O89">
            <v>3139.1474637299998</v>
          </cell>
          <cell r="P89">
            <v>0</v>
          </cell>
          <cell r="Q89">
            <v>5547.2046961800006</v>
          </cell>
          <cell r="R89">
            <v>0</v>
          </cell>
          <cell r="S89">
            <v>1232.45632082</v>
          </cell>
          <cell r="T89">
            <v>6779.6610170000004</v>
          </cell>
          <cell r="U89">
            <v>0</v>
          </cell>
          <cell r="V89">
            <v>1517.7757899999999</v>
          </cell>
        </row>
        <row r="90">
          <cell r="B90">
            <v>0</v>
          </cell>
          <cell r="C90">
            <v>0</v>
          </cell>
          <cell r="D90">
            <v>12788.227664453059</v>
          </cell>
          <cell r="G90">
            <v>0</v>
          </cell>
          <cell r="H90">
            <v>3837</v>
          </cell>
          <cell r="J90">
            <v>0</v>
          </cell>
          <cell r="K90">
            <v>0</v>
          </cell>
          <cell r="L90">
            <v>3500</v>
          </cell>
          <cell r="M90">
            <v>766.82030962720592</v>
          </cell>
          <cell r="N90">
            <v>0</v>
          </cell>
          <cell r="O90">
            <v>0</v>
          </cell>
          <cell r="P90">
            <v>0</v>
          </cell>
          <cell r="Q90">
            <v>5225.9887250000002</v>
          </cell>
          <cell r="R90">
            <v>0</v>
          </cell>
          <cell r="S90">
            <v>1553.672292</v>
          </cell>
          <cell r="T90">
            <v>6779.6610170000004</v>
          </cell>
          <cell r="U90">
            <v>0</v>
          </cell>
          <cell r="V90">
            <v>1517.7757899999999</v>
          </cell>
        </row>
        <row r="91">
          <cell r="B91">
            <v>0</v>
          </cell>
          <cell r="C91">
            <v>0</v>
          </cell>
          <cell r="D91">
            <v>12298.027130509659</v>
          </cell>
          <cell r="G91">
            <v>0</v>
          </cell>
          <cell r="H91">
            <v>2374.4623462244022</v>
          </cell>
          <cell r="J91">
            <v>0</v>
          </cell>
          <cell r="K91">
            <v>0</v>
          </cell>
          <cell r="L91">
            <v>3500</v>
          </cell>
          <cell r="M91">
            <v>149.47337682778721</v>
          </cell>
          <cell r="N91">
            <v>0</v>
          </cell>
          <cell r="O91">
            <v>5000</v>
          </cell>
          <cell r="P91">
            <v>0</v>
          </cell>
          <cell r="Q91">
            <v>3985.9887250000002</v>
          </cell>
          <cell r="R91">
            <v>0</v>
          </cell>
          <cell r="S91">
            <v>1553.672292</v>
          </cell>
          <cell r="T91">
            <v>6779.6610170000004</v>
          </cell>
          <cell r="U91">
            <v>0</v>
          </cell>
          <cell r="V91">
            <v>1517.7757899999999</v>
          </cell>
        </row>
        <row r="92">
          <cell r="B92">
            <v>0</v>
          </cell>
          <cell r="C92">
            <v>0</v>
          </cell>
          <cell r="D92">
            <v>14284.415959250689</v>
          </cell>
          <cell r="G92">
            <v>2509.5443627359969</v>
          </cell>
          <cell r="H92">
            <v>0</v>
          </cell>
          <cell r="J92">
            <v>0</v>
          </cell>
          <cell r="K92">
            <v>123.0910581219316</v>
          </cell>
          <cell r="L92">
            <v>3500</v>
          </cell>
          <cell r="M92">
            <v>0</v>
          </cell>
          <cell r="N92">
            <v>0</v>
          </cell>
          <cell r="O92">
            <v>5000</v>
          </cell>
          <cell r="P92">
            <v>0</v>
          </cell>
          <cell r="Q92">
            <v>3985.9887250000002</v>
          </cell>
          <cell r="R92">
            <v>0</v>
          </cell>
          <cell r="S92">
            <v>1553.672292</v>
          </cell>
          <cell r="T92">
            <v>6779.6610170000004</v>
          </cell>
          <cell r="U92">
            <v>0</v>
          </cell>
          <cell r="V92">
            <v>1517.7757899999999</v>
          </cell>
        </row>
        <row r="93">
          <cell r="B93">
            <v>0</v>
          </cell>
          <cell r="C93">
            <v>0</v>
          </cell>
          <cell r="D93">
            <v>13315.277348291869</v>
          </cell>
          <cell r="G93">
            <v>1698.861256026353</v>
          </cell>
          <cell r="H93">
            <v>0</v>
          </cell>
          <cell r="J93">
            <v>0</v>
          </cell>
          <cell r="K93">
            <v>0</v>
          </cell>
          <cell r="L93">
            <v>3500</v>
          </cell>
          <cell r="M93">
            <v>114.1984983141397</v>
          </cell>
          <cell r="N93">
            <v>0</v>
          </cell>
          <cell r="O93">
            <v>5000</v>
          </cell>
          <cell r="P93">
            <v>0</v>
          </cell>
          <cell r="Q93">
            <v>3985.9887250000002</v>
          </cell>
          <cell r="R93">
            <v>0</v>
          </cell>
          <cell r="S93">
            <v>1553.672292</v>
          </cell>
          <cell r="T93">
            <v>6779.6610170000004</v>
          </cell>
          <cell r="U93">
            <v>0</v>
          </cell>
          <cell r="V93">
            <v>1517.7757899999999</v>
          </cell>
        </row>
        <row r="94">
          <cell r="B94">
            <v>0</v>
          </cell>
          <cell r="C94">
            <v>0</v>
          </cell>
          <cell r="D94">
            <v>14714.540864913441</v>
          </cell>
          <cell r="G94">
            <v>664.54086310070363</v>
          </cell>
          <cell r="H94">
            <v>0</v>
          </cell>
          <cell r="J94">
            <v>0</v>
          </cell>
          <cell r="K94">
            <v>0</v>
          </cell>
          <cell r="L94">
            <v>3500</v>
          </cell>
          <cell r="M94">
            <v>377.31659670344311</v>
          </cell>
          <cell r="N94">
            <v>0</v>
          </cell>
          <cell r="O94">
            <v>5000</v>
          </cell>
          <cell r="P94">
            <v>0</v>
          </cell>
          <cell r="Q94">
            <v>3985.9887250000002</v>
          </cell>
          <cell r="R94">
            <v>0</v>
          </cell>
          <cell r="S94">
            <v>1553.672292</v>
          </cell>
          <cell r="T94">
            <v>6779.6610170000004</v>
          </cell>
          <cell r="U94">
            <v>0</v>
          </cell>
          <cell r="V94">
            <v>1517.7757899999999</v>
          </cell>
        </row>
        <row r="95">
          <cell r="B95">
            <v>0</v>
          </cell>
          <cell r="C95">
            <v>0</v>
          </cell>
          <cell r="D95">
            <v>11817.530778884629</v>
          </cell>
          <cell r="G95">
            <v>341.9295337265882</v>
          </cell>
          <cell r="H95">
            <v>0</v>
          </cell>
          <cell r="J95">
            <v>0</v>
          </cell>
          <cell r="K95">
            <v>0</v>
          </cell>
          <cell r="L95">
            <v>3500</v>
          </cell>
          <cell r="M95">
            <v>686.33920549890877</v>
          </cell>
          <cell r="N95">
            <v>0</v>
          </cell>
          <cell r="O95">
            <v>5000</v>
          </cell>
          <cell r="P95">
            <v>0</v>
          </cell>
          <cell r="Q95">
            <v>3985.9887250000002</v>
          </cell>
          <cell r="R95">
            <v>0</v>
          </cell>
          <cell r="S95">
            <v>1553.672292</v>
          </cell>
          <cell r="T95">
            <v>6779.6610170000004</v>
          </cell>
          <cell r="U95">
            <v>0</v>
          </cell>
          <cell r="V95">
            <v>1517.7757899999999</v>
          </cell>
        </row>
        <row r="96">
          <cell r="B96">
            <v>0</v>
          </cell>
          <cell r="C96">
            <v>0</v>
          </cell>
          <cell r="D96">
            <v>12445.617455383421</v>
          </cell>
          <cell r="G96">
            <v>1106.400645703528</v>
          </cell>
          <cell r="H96">
            <v>0</v>
          </cell>
          <cell r="J96">
            <v>0</v>
          </cell>
          <cell r="K96">
            <v>0</v>
          </cell>
          <cell r="L96">
            <v>3500</v>
          </cell>
          <cell r="M96">
            <v>860.23420739545827</v>
          </cell>
          <cell r="N96">
            <v>0</v>
          </cell>
          <cell r="O96">
            <v>746.27792890000001</v>
          </cell>
          <cell r="P96">
            <v>0</v>
          </cell>
          <cell r="Q96">
            <v>5031.3486069099999</v>
          </cell>
          <cell r="R96">
            <v>0</v>
          </cell>
          <cell r="S96">
            <v>1553.672292</v>
          </cell>
          <cell r="T96">
            <v>6779.6610170000004</v>
          </cell>
          <cell r="U96">
            <v>0</v>
          </cell>
          <cell r="V96">
            <v>1517.7757899999999</v>
          </cell>
        </row>
        <row r="97">
          <cell r="B97">
            <v>0</v>
          </cell>
          <cell r="C97">
            <v>0</v>
          </cell>
          <cell r="D97">
            <v>13036.39012929132</v>
          </cell>
          <cell r="G97">
            <v>2887.7284663232908</v>
          </cell>
          <cell r="H97">
            <v>0</v>
          </cell>
          <cell r="J97">
            <v>0</v>
          </cell>
          <cell r="K97">
            <v>0</v>
          </cell>
          <cell r="L97">
            <v>3500</v>
          </cell>
          <cell r="M97">
            <v>903.96671862402582</v>
          </cell>
          <cell r="N97">
            <v>0</v>
          </cell>
          <cell r="O97">
            <v>0</v>
          </cell>
          <cell r="P97">
            <v>0</v>
          </cell>
          <cell r="Q97">
            <v>5947.5919272000001</v>
          </cell>
          <cell r="R97">
            <v>0</v>
          </cell>
          <cell r="S97">
            <v>832.06908980000003</v>
          </cell>
          <cell r="T97">
            <v>6779.6610170000004</v>
          </cell>
          <cell r="U97">
            <v>0</v>
          </cell>
          <cell r="V97">
            <v>1517.7757899999999</v>
          </cell>
        </row>
        <row r="98">
          <cell r="B98">
            <v>0</v>
          </cell>
          <cell r="C98">
            <v>0</v>
          </cell>
          <cell r="D98">
            <v>12309.52232006267</v>
          </cell>
          <cell r="G98">
            <v>3135</v>
          </cell>
          <cell r="H98">
            <v>0</v>
          </cell>
          <cell r="J98">
            <v>0</v>
          </cell>
          <cell r="K98">
            <v>0</v>
          </cell>
          <cell r="L98">
            <v>3500</v>
          </cell>
          <cell r="M98">
            <v>836.69964648763175</v>
          </cell>
          <cell r="N98">
            <v>0</v>
          </cell>
          <cell r="O98">
            <v>0</v>
          </cell>
          <cell r="P98">
            <v>0</v>
          </cell>
          <cell r="Q98">
            <v>5544.9043005699996</v>
          </cell>
          <cell r="R98">
            <v>0</v>
          </cell>
          <cell r="S98">
            <v>1234.7567164300001</v>
          </cell>
          <cell r="T98">
            <v>6779.6610170000004</v>
          </cell>
          <cell r="U98">
            <v>0</v>
          </cell>
          <cell r="V98">
            <v>1517.7757899999999</v>
          </cell>
        </row>
        <row r="99">
          <cell r="B99">
            <v>7120.9488768150441</v>
          </cell>
          <cell r="C99">
            <v>0</v>
          </cell>
          <cell r="D99">
            <v>12739.75499110314</v>
          </cell>
          <cell r="G99">
            <v>3135</v>
          </cell>
          <cell r="H99">
            <v>0</v>
          </cell>
          <cell r="J99">
            <v>0</v>
          </cell>
          <cell r="K99">
            <v>0</v>
          </cell>
          <cell r="L99">
            <v>3500</v>
          </cell>
          <cell r="M99">
            <v>861.53258409650402</v>
          </cell>
          <cell r="N99">
            <v>353.90529597</v>
          </cell>
          <cell r="O99">
            <v>0</v>
          </cell>
          <cell r="P99">
            <v>0</v>
          </cell>
          <cell r="Q99">
            <v>5544.9043005699996</v>
          </cell>
          <cell r="R99">
            <v>0</v>
          </cell>
          <cell r="S99">
            <v>1234.7567164300001</v>
          </cell>
          <cell r="T99">
            <v>6779.6610170000004</v>
          </cell>
          <cell r="U99">
            <v>0</v>
          </cell>
          <cell r="V99">
            <v>1517.7757899999999</v>
          </cell>
        </row>
        <row r="100">
          <cell r="B100">
            <v>0</v>
          </cell>
          <cell r="C100">
            <v>0</v>
          </cell>
          <cell r="D100">
            <v>13534.652275159029</v>
          </cell>
          <cell r="G100">
            <v>3135</v>
          </cell>
          <cell r="H100">
            <v>0</v>
          </cell>
          <cell r="J100">
            <v>0</v>
          </cell>
          <cell r="K100">
            <v>0</v>
          </cell>
          <cell r="L100">
            <v>3500</v>
          </cell>
          <cell r="M100">
            <v>874.25312986892482</v>
          </cell>
          <cell r="N100">
            <v>2858.6637063200001</v>
          </cell>
          <cell r="O100">
            <v>0</v>
          </cell>
          <cell r="P100">
            <v>0</v>
          </cell>
          <cell r="Q100">
            <v>6010.2309963100006</v>
          </cell>
          <cell r="R100">
            <v>0</v>
          </cell>
          <cell r="S100">
            <v>769.43002068999999</v>
          </cell>
          <cell r="T100">
            <v>6779.6610170000004</v>
          </cell>
          <cell r="U100">
            <v>0</v>
          </cell>
          <cell r="V100">
            <v>1517.7757899999999</v>
          </cell>
        </row>
        <row r="101">
          <cell r="B101">
            <v>5770.0759640519327</v>
          </cell>
          <cell r="C101">
            <v>0</v>
          </cell>
          <cell r="D101">
            <v>13460.239389597749</v>
          </cell>
          <cell r="G101">
            <v>3135</v>
          </cell>
          <cell r="H101">
            <v>0</v>
          </cell>
          <cell r="J101">
            <v>0</v>
          </cell>
          <cell r="K101">
            <v>0</v>
          </cell>
          <cell r="L101">
            <v>3500</v>
          </cell>
          <cell r="M101">
            <v>819.28743824172375</v>
          </cell>
          <cell r="N101">
            <v>0</v>
          </cell>
          <cell r="O101">
            <v>0</v>
          </cell>
          <cell r="P101">
            <v>0</v>
          </cell>
          <cell r="Q101">
            <v>6204.9043005699996</v>
          </cell>
          <cell r="R101">
            <v>0</v>
          </cell>
          <cell r="S101">
            <v>574.75671642999998</v>
          </cell>
          <cell r="T101">
            <v>6779.6610170000004</v>
          </cell>
          <cell r="U101">
            <v>0</v>
          </cell>
          <cell r="V101">
            <v>1517.7757899999999</v>
          </cell>
        </row>
        <row r="102">
          <cell r="B102">
            <v>0</v>
          </cell>
          <cell r="C102">
            <v>0</v>
          </cell>
          <cell r="D102">
            <v>13061.51519050525</v>
          </cell>
          <cell r="G102">
            <v>3135</v>
          </cell>
          <cell r="H102">
            <v>0</v>
          </cell>
          <cell r="J102">
            <v>0</v>
          </cell>
          <cell r="K102">
            <v>0</v>
          </cell>
          <cell r="L102">
            <v>3500</v>
          </cell>
          <cell r="M102">
            <v>742.34772193640606</v>
          </cell>
          <cell r="N102">
            <v>0</v>
          </cell>
          <cell r="O102">
            <v>0</v>
          </cell>
          <cell r="P102">
            <v>0</v>
          </cell>
          <cell r="Q102">
            <v>5545.3641824799997</v>
          </cell>
          <cell r="R102">
            <v>0</v>
          </cell>
          <cell r="S102">
            <v>1234.2968345199999</v>
          </cell>
          <cell r="T102">
            <v>6779.6610170000004</v>
          </cell>
          <cell r="U102">
            <v>0</v>
          </cell>
          <cell r="V102">
            <v>1517.7757899999999</v>
          </cell>
        </row>
        <row r="103">
          <cell r="B103">
            <v>0</v>
          </cell>
          <cell r="C103">
            <v>0</v>
          </cell>
          <cell r="D103">
            <v>12901.470058906991</v>
          </cell>
          <cell r="G103">
            <v>3135</v>
          </cell>
          <cell r="H103">
            <v>0</v>
          </cell>
          <cell r="J103">
            <v>0</v>
          </cell>
          <cell r="K103">
            <v>0</v>
          </cell>
          <cell r="L103">
            <v>3500</v>
          </cell>
          <cell r="M103">
            <v>619.10182454635788</v>
          </cell>
          <cell r="N103">
            <v>1329.8327752099999</v>
          </cell>
          <cell r="O103">
            <v>0</v>
          </cell>
          <cell r="P103">
            <v>0</v>
          </cell>
          <cell r="Q103">
            <v>5546.2839463100008</v>
          </cell>
          <cell r="R103">
            <v>0</v>
          </cell>
          <cell r="S103">
            <v>1233.37707069</v>
          </cell>
          <cell r="T103">
            <v>6779.6610170000004</v>
          </cell>
          <cell r="U103">
            <v>0</v>
          </cell>
          <cell r="V103">
            <v>1517.7757899999999</v>
          </cell>
        </row>
        <row r="104">
          <cell r="B104">
            <v>0</v>
          </cell>
          <cell r="C104">
            <v>0</v>
          </cell>
          <cell r="D104">
            <v>11307.970840134471</v>
          </cell>
          <cell r="G104">
            <v>3135</v>
          </cell>
          <cell r="H104">
            <v>0</v>
          </cell>
          <cell r="J104">
            <v>0</v>
          </cell>
          <cell r="K104">
            <v>0</v>
          </cell>
          <cell r="L104">
            <v>3500</v>
          </cell>
          <cell r="M104">
            <v>535.05736437155019</v>
          </cell>
          <cell r="N104">
            <v>3030.0808235099998</v>
          </cell>
          <cell r="O104">
            <v>0</v>
          </cell>
          <cell r="P104">
            <v>0</v>
          </cell>
          <cell r="Q104">
            <v>6206.7438282200001</v>
          </cell>
          <cell r="R104">
            <v>0</v>
          </cell>
          <cell r="S104">
            <v>572.91718877999995</v>
          </cell>
          <cell r="T104">
            <v>6779.6610170000004</v>
          </cell>
          <cell r="U104">
            <v>0</v>
          </cell>
          <cell r="V104">
            <v>1517.7757899999999</v>
          </cell>
        </row>
        <row r="105">
          <cell r="B105">
            <v>0</v>
          </cell>
          <cell r="C105">
            <v>0</v>
          </cell>
          <cell r="D105">
            <v>13445.204338149169</v>
          </cell>
          <cell r="G105">
            <v>3135</v>
          </cell>
          <cell r="H105">
            <v>0</v>
          </cell>
          <cell r="J105">
            <v>0</v>
          </cell>
          <cell r="K105">
            <v>0</v>
          </cell>
          <cell r="L105">
            <v>3500</v>
          </cell>
          <cell r="M105">
            <v>361.23874767143337</v>
          </cell>
          <cell r="N105">
            <v>197.61554663999999</v>
          </cell>
          <cell r="O105">
            <v>0</v>
          </cell>
          <cell r="P105">
            <v>0</v>
          </cell>
          <cell r="Q105">
            <v>6207.2037101300002</v>
          </cell>
          <cell r="R105">
            <v>0</v>
          </cell>
          <cell r="S105">
            <v>572.45730687000002</v>
          </cell>
          <cell r="T105">
            <v>6779.6610170000004</v>
          </cell>
          <cell r="U105">
            <v>0</v>
          </cell>
          <cell r="V105">
            <v>1517.7757899999999</v>
          </cell>
        </row>
        <row r="106">
          <cell r="B106">
            <v>0</v>
          </cell>
          <cell r="C106">
            <v>0</v>
          </cell>
          <cell r="D106">
            <v>13262.799419456131</v>
          </cell>
          <cell r="G106">
            <v>3135</v>
          </cell>
          <cell r="H106">
            <v>0</v>
          </cell>
          <cell r="J106">
            <v>0</v>
          </cell>
          <cell r="K106">
            <v>0</v>
          </cell>
          <cell r="L106">
            <v>3500</v>
          </cell>
          <cell r="M106">
            <v>132.02899165931009</v>
          </cell>
          <cell r="N106">
            <v>843.23938495000004</v>
          </cell>
          <cell r="O106">
            <v>0</v>
          </cell>
          <cell r="P106">
            <v>0</v>
          </cell>
          <cell r="Q106">
            <v>6310.3037101300006</v>
          </cell>
          <cell r="R106">
            <v>0</v>
          </cell>
          <cell r="S106">
            <v>572.45730687000002</v>
          </cell>
          <cell r="T106">
            <v>6779.6610170000004</v>
          </cell>
          <cell r="U106">
            <v>0</v>
          </cell>
          <cell r="V106">
            <v>1517.7757899999999</v>
          </cell>
        </row>
        <row r="107">
          <cell r="B107">
            <v>0</v>
          </cell>
          <cell r="C107">
            <v>11123.67611735894</v>
          </cell>
          <cell r="D107">
            <v>13937.029613833151</v>
          </cell>
          <cell r="G107">
            <v>3135</v>
          </cell>
          <cell r="H107">
            <v>0</v>
          </cell>
          <cell r="J107">
            <v>0</v>
          </cell>
          <cell r="K107">
            <v>0</v>
          </cell>
          <cell r="L107">
            <v>3500</v>
          </cell>
          <cell r="M107">
            <v>405.24471567759628</v>
          </cell>
          <cell r="N107">
            <v>5000</v>
          </cell>
          <cell r="O107">
            <v>0</v>
          </cell>
          <cell r="P107">
            <v>87.542693130000004</v>
          </cell>
          <cell r="Q107">
            <v>7597.6610170000004</v>
          </cell>
          <cell r="R107">
            <v>0</v>
          </cell>
          <cell r="S107">
            <v>0</v>
          </cell>
          <cell r="T107">
            <v>6779.6610170000004</v>
          </cell>
          <cell r="U107">
            <v>0</v>
          </cell>
          <cell r="V107">
            <v>1517.7757899999999</v>
          </cell>
        </row>
        <row r="108">
          <cell r="B108">
            <v>0</v>
          </cell>
          <cell r="C108">
            <v>13320.750632965201</v>
          </cell>
          <cell r="D108">
            <v>11713.50110018572</v>
          </cell>
          <cell r="G108">
            <v>0</v>
          </cell>
          <cell r="H108">
            <v>3837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5000</v>
          </cell>
          <cell r="O108">
            <v>0</v>
          </cell>
          <cell r="P108">
            <v>87.542693130000004</v>
          </cell>
          <cell r="Q108">
            <v>7597.6610170000004</v>
          </cell>
          <cell r="R108">
            <v>0</v>
          </cell>
          <cell r="S108">
            <v>0</v>
          </cell>
          <cell r="T108">
            <v>6779.6610170000004</v>
          </cell>
          <cell r="U108">
            <v>0</v>
          </cell>
          <cell r="V108">
            <v>1517.7757899999999</v>
          </cell>
        </row>
        <row r="109">
          <cell r="B109">
            <v>0</v>
          </cell>
          <cell r="C109">
            <v>13320.750632965201</v>
          </cell>
          <cell r="D109">
            <v>11690.401268885709</v>
          </cell>
          <cell r="G109">
            <v>0</v>
          </cell>
          <cell r="H109">
            <v>3837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5000</v>
          </cell>
          <cell r="O109">
            <v>0</v>
          </cell>
          <cell r="P109">
            <v>87.082811220000025</v>
          </cell>
          <cell r="Q109">
            <v>7597.6610170000004</v>
          </cell>
          <cell r="R109">
            <v>0</v>
          </cell>
          <cell r="S109">
            <v>0</v>
          </cell>
          <cell r="T109">
            <v>6779.6610170000004</v>
          </cell>
          <cell r="U109">
            <v>0</v>
          </cell>
          <cell r="V109">
            <v>1517.7757899999999</v>
          </cell>
        </row>
        <row r="110">
          <cell r="B110">
            <v>0</v>
          </cell>
          <cell r="C110">
            <v>13320.750632965201</v>
          </cell>
          <cell r="D110">
            <v>11667.301437585709</v>
          </cell>
          <cell r="G110">
            <v>0</v>
          </cell>
          <cell r="H110">
            <v>3837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5000</v>
          </cell>
          <cell r="O110">
            <v>0</v>
          </cell>
          <cell r="P110">
            <v>86.622929309999961</v>
          </cell>
          <cell r="Q110">
            <v>7597.6610170000004</v>
          </cell>
          <cell r="R110">
            <v>0</v>
          </cell>
          <cell r="S110">
            <v>0</v>
          </cell>
          <cell r="T110">
            <v>6779.6610170000004</v>
          </cell>
          <cell r="U110">
            <v>0</v>
          </cell>
          <cell r="V110">
            <v>1517.7757899999999</v>
          </cell>
        </row>
        <row r="111">
          <cell r="B111">
            <v>0</v>
          </cell>
          <cell r="C111">
            <v>13320.750632965201</v>
          </cell>
          <cell r="D111">
            <v>11667.301437585709</v>
          </cell>
          <cell r="G111">
            <v>0</v>
          </cell>
          <cell r="H111">
            <v>3837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5000</v>
          </cell>
          <cell r="O111">
            <v>0</v>
          </cell>
          <cell r="P111">
            <v>86.622929309999961</v>
          </cell>
          <cell r="Q111">
            <v>7597.6610170000004</v>
          </cell>
          <cell r="R111">
            <v>0</v>
          </cell>
          <cell r="S111">
            <v>0</v>
          </cell>
          <cell r="T111">
            <v>6779.6610170000004</v>
          </cell>
          <cell r="U111">
            <v>0</v>
          </cell>
          <cell r="V111">
            <v>1517.7757899999999</v>
          </cell>
        </row>
        <row r="112">
          <cell r="B112">
            <v>0</v>
          </cell>
          <cell r="C112">
            <v>13320.750632965201</v>
          </cell>
          <cell r="D112">
            <v>11690.401268885709</v>
          </cell>
          <cell r="G112">
            <v>0</v>
          </cell>
          <cell r="H112">
            <v>3837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5000</v>
          </cell>
          <cell r="O112">
            <v>0</v>
          </cell>
          <cell r="P112">
            <v>87.082811220000025</v>
          </cell>
          <cell r="Q112">
            <v>7597.6610170000004</v>
          </cell>
          <cell r="R112">
            <v>0</v>
          </cell>
          <cell r="S112">
            <v>0</v>
          </cell>
          <cell r="T112">
            <v>6779.6610170000004</v>
          </cell>
          <cell r="U112">
            <v>0</v>
          </cell>
          <cell r="V112">
            <v>1517.7757899999999</v>
          </cell>
        </row>
        <row r="113">
          <cell r="B113">
            <v>0</v>
          </cell>
          <cell r="C113">
            <v>13320.750632965201</v>
          </cell>
          <cell r="D113">
            <v>11713.50110018572</v>
          </cell>
          <cell r="G113">
            <v>0</v>
          </cell>
          <cell r="H113">
            <v>3837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5000</v>
          </cell>
          <cell r="O113">
            <v>0</v>
          </cell>
          <cell r="P113">
            <v>87.542693130000004</v>
          </cell>
          <cell r="Q113">
            <v>7597.6610170000004</v>
          </cell>
          <cell r="R113">
            <v>0</v>
          </cell>
          <cell r="S113">
            <v>0</v>
          </cell>
          <cell r="T113">
            <v>6779.6610170000004</v>
          </cell>
          <cell r="U113">
            <v>0</v>
          </cell>
          <cell r="V113">
            <v>1517.7757899999999</v>
          </cell>
        </row>
        <row r="114">
          <cell r="B114">
            <v>0</v>
          </cell>
          <cell r="C114">
            <v>13320.750632965201</v>
          </cell>
          <cell r="D114">
            <v>11713.501100185709</v>
          </cell>
          <cell r="G114">
            <v>0</v>
          </cell>
          <cell r="H114">
            <v>3837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5000</v>
          </cell>
          <cell r="O114">
            <v>0</v>
          </cell>
          <cell r="P114">
            <v>87.542693130000004</v>
          </cell>
          <cell r="Q114">
            <v>7597.6610170000004</v>
          </cell>
          <cell r="R114">
            <v>0</v>
          </cell>
          <cell r="S114">
            <v>0</v>
          </cell>
          <cell r="T114">
            <v>6779.6610170000004</v>
          </cell>
          <cell r="U114">
            <v>0</v>
          </cell>
          <cell r="V114">
            <v>1517.7757899999999</v>
          </cell>
        </row>
        <row r="115">
          <cell r="B115">
            <v>0</v>
          </cell>
          <cell r="C115">
            <v>10109.56370713379</v>
          </cell>
          <cell r="D115">
            <v>12676.17817541494</v>
          </cell>
          <cell r="G115">
            <v>0</v>
          </cell>
          <cell r="H115">
            <v>113.4609815391982</v>
          </cell>
          <cell r="J115">
            <v>0</v>
          </cell>
          <cell r="K115">
            <v>0</v>
          </cell>
          <cell r="L115">
            <v>3500</v>
          </cell>
          <cell r="M115">
            <v>431.75987302849148</v>
          </cell>
          <cell r="N115">
            <v>5000</v>
          </cell>
          <cell r="O115">
            <v>0</v>
          </cell>
          <cell r="P115">
            <v>0</v>
          </cell>
          <cell r="Q115">
            <v>7025.2037101300002</v>
          </cell>
          <cell r="R115">
            <v>0</v>
          </cell>
          <cell r="S115">
            <v>572.45730687000002</v>
          </cell>
          <cell r="T115">
            <v>6779.6610170000004</v>
          </cell>
          <cell r="U115">
            <v>0</v>
          </cell>
          <cell r="V115">
            <v>1517.7757899999999</v>
          </cell>
        </row>
        <row r="116">
          <cell r="B116">
            <v>0</v>
          </cell>
          <cell r="C116">
            <v>0</v>
          </cell>
          <cell r="D116">
            <v>15500</v>
          </cell>
          <cell r="G116">
            <v>3135</v>
          </cell>
          <cell r="H116">
            <v>0</v>
          </cell>
          <cell r="J116">
            <v>0</v>
          </cell>
          <cell r="K116">
            <v>329.59331874529681</v>
          </cell>
          <cell r="L116">
            <v>0</v>
          </cell>
          <cell r="M116">
            <v>0</v>
          </cell>
          <cell r="N116">
            <v>5000</v>
          </cell>
          <cell r="O116">
            <v>0</v>
          </cell>
          <cell r="P116">
            <v>0</v>
          </cell>
          <cell r="Q116">
            <v>6373.7442540200009</v>
          </cell>
          <cell r="R116">
            <v>0</v>
          </cell>
          <cell r="S116">
            <v>572.91718877999995</v>
          </cell>
          <cell r="T116">
            <v>6779.6610170000004</v>
          </cell>
          <cell r="U116">
            <v>0</v>
          </cell>
          <cell r="V116">
            <v>1517.7757899999999</v>
          </cell>
        </row>
        <row r="117">
          <cell r="B117">
            <v>0</v>
          </cell>
          <cell r="C117">
            <v>0</v>
          </cell>
          <cell r="D117">
            <v>15500</v>
          </cell>
          <cell r="G117">
            <v>3135</v>
          </cell>
          <cell r="H117">
            <v>0</v>
          </cell>
          <cell r="J117">
            <v>0</v>
          </cell>
          <cell r="K117">
            <v>283.5411713872636</v>
          </cell>
          <cell r="L117">
            <v>0</v>
          </cell>
          <cell r="M117">
            <v>0</v>
          </cell>
          <cell r="N117">
            <v>5000</v>
          </cell>
          <cell r="O117">
            <v>0</v>
          </cell>
          <cell r="P117">
            <v>0</v>
          </cell>
          <cell r="Q117">
            <v>5546.2839463100008</v>
          </cell>
          <cell r="R117">
            <v>0</v>
          </cell>
          <cell r="S117">
            <v>1233.37707069</v>
          </cell>
          <cell r="T117">
            <v>6779.6610170000004</v>
          </cell>
          <cell r="U117">
            <v>0</v>
          </cell>
          <cell r="V117">
            <v>1517.7757899999999</v>
          </cell>
        </row>
        <row r="118">
          <cell r="B118">
            <v>0</v>
          </cell>
          <cell r="C118">
            <v>0</v>
          </cell>
          <cell r="D118">
            <v>15500</v>
          </cell>
          <cell r="G118">
            <v>3135</v>
          </cell>
          <cell r="H118">
            <v>0</v>
          </cell>
          <cell r="J118">
            <v>0</v>
          </cell>
          <cell r="K118">
            <v>264.57023048291308</v>
          </cell>
          <cell r="L118">
            <v>0</v>
          </cell>
          <cell r="M118">
            <v>0</v>
          </cell>
          <cell r="N118">
            <v>2797.6247696400001</v>
          </cell>
          <cell r="O118">
            <v>0</v>
          </cell>
          <cell r="P118">
            <v>0</v>
          </cell>
          <cell r="Q118">
            <v>5545.8240643999998</v>
          </cell>
          <cell r="R118">
            <v>0</v>
          </cell>
          <cell r="S118">
            <v>1233.8369525999999</v>
          </cell>
          <cell r="T118">
            <v>6779.6610170000004</v>
          </cell>
          <cell r="U118">
            <v>0</v>
          </cell>
          <cell r="V118">
            <v>1517.7757899999999</v>
          </cell>
        </row>
        <row r="119">
          <cell r="B119">
            <v>0</v>
          </cell>
          <cell r="C119">
            <v>0</v>
          </cell>
          <cell r="D119">
            <v>15500</v>
          </cell>
          <cell r="G119">
            <v>3135</v>
          </cell>
          <cell r="H119">
            <v>0</v>
          </cell>
          <cell r="J119">
            <v>0</v>
          </cell>
          <cell r="K119">
            <v>293.90015141343491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6205.3641824800006</v>
          </cell>
          <cell r="R119">
            <v>0</v>
          </cell>
          <cell r="S119">
            <v>574.29683451999995</v>
          </cell>
          <cell r="T119">
            <v>6779.6610170000004</v>
          </cell>
          <cell r="U119">
            <v>0</v>
          </cell>
          <cell r="V119">
            <v>1517.7757899999999</v>
          </cell>
        </row>
        <row r="120">
          <cell r="B120">
            <v>0</v>
          </cell>
          <cell r="C120">
            <v>0</v>
          </cell>
          <cell r="D120">
            <v>15500</v>
          </cell>
          <cell r="G120">
            <v>3135</v>
          </cell>
          <cell r="H120">
            <v>0</v>
          </cell>
          <cell r="J120">
            <v>0</v>
          </cell>
          <cell r="K120">
            <v>380.00503362311127</v>
          </cell>
          <cell r="L120">
            <v>3500</v>
          </cell>
          <cell r="M120">
            <v>0</v>
          </cell>
          <cell r="N120">
            <v>29.88274315</v>
          </cell>
          <cell r="O120">
            <v>0</v>
          </cell>
          <cell r="P120">
            <v>0</v>
          </cell>
          <cell r="Q120">
            <v>5544.9043005699996</v>
          </cell>
          <cell r="R120">
            <v>0</v>
          </cell>
          <cell r="S120">
            <v>1234.7567164300001</v>
          </cell>
          <cell r="T120">
            <v>6779.6610170000004</v>
          </cell>
          <cell r="U120">
            <v>0</v>
          </cell>
          <cell r="V120">
            <v>1517.7757899999999</v>
          </cell>
        </row>
        <row r="121">
          <cell r="B121">
            <v>0</v>
          </cell>
          <cell r="C121">
            <v>13320.750632965201</v>
          </cell>
          <cell r="D121">
            <v>15500</v>
          </cell>
          <cell r="G121">
            <v>3135</v>
          </cell>
          <cell r="H121">
            <v>0</v>
          </cell>
          <cell r="J121">
            <v>0</v>
          </cell>
          <cell r="K121">
            <v>498.61612662618711</v>
          </cell>
          <cell r="L121">
            <v>3500</v>
          </cell>
          <cell r="M121">
            <v>0</v>
          </cell>
          <cell r="N121">
            <v>2244.1603927199999</v>
          </cell>
          <cell r="O121">
            <v>0</v>
          </cell>
          <cell r="P121">
            <v>0</v>
          </cell>
          <cell r="Q121">
            <v>6204.9043005699996</v>
          </cell>
          <cell r="R121">
            <v>0</v>
          </cell>
          <cell r="S121">
            <v>574.75671642999998</v>
          </cell>
          <cell r="T121">
            <v>6779.6610170000004</v>
          </cell>
          <cell r="U121">
            <v>0</v>
          </cell>
          <cell r="V121">
            <v>1517.7757899999999</v>
          </cell>
        </row>
        <row r="122">
          <cell r="B122">
            <v>0</v>
          </cell>
          <cell r="C122">
            <v>0</v>
          </cell>
          <cell r="D122">
            <v>15500</v>
          </cell>
          <cell r="G122">
            <v>3135</v>
          </cell>
          <cell r="H122">
            <v>0</v>
          </cell>
          <cell r="J122">
            <v>0</v>
          </cell>
          <cell r="K122">
            <v>1013.524995788168</v>
          </cell>
          <cell r="L122">
            <v>3500</v>
          </cell>
          <cell r="M122">
            <v>0</v>
          </cell>
          <cell r="N122">
            <v>5000</v>
          </cell>
          <cell r="O122">
            <v>0</v>
          </cell>
          <cell r="P122">
            <v>85.159673730000009</v>
          </cell>
          <cell r="Q122">
            <v>6779.6610170000004</v>
          </cell>
          <cell r="R122">
            <v>0</v>
          </cell>
          <cell r="S122">
            <v>0</v>
          </cell>
          <cell r="T122">
            <v>6779.6610170000004</v>
          </cell>
          <cell r="U122">
            <v>0</v>
          </cell>
          <cell r="V122">
            <v>1517.7757899999999</v>
          </cell>
        </row>
        <row r="123">
          <cell r="B123">
            <v>0</v>
          </cell>
          <cell r="C123">
            <v>13320.750632965201</v>
          </cell>
          <cell r="D123">
            <v>15500</v>
          </cell>
          <cell r="G123">
            <v>3135</v>
          </cell>
          <cell r="H123">
            <v>0</v>
          </cell>
          <cell r="J123">
            <v>0</v>
          </cell>
          <cell r="K123">
            <v>1117.867599585127</v>
          </cell>
          <cell r="L123">
            <v>3500</v>
          </cell>
          <cell r="M123">
            <v>0</v>
          </cell>
          <cell r="N123">
            <v>5000</v>
          </cell>
          <cell r="O123">
            <v>0</v>
          </cell>
          <cell r="P123">
            <v>10.804415430000009</v>
          </cell>
          <cell r="Q123">
            <v>7597.6610170000004</v>
          </cell>
          <cell r="R123">
            <v>0</v>
          </cell>
          <cell r="S123">
            <v>0</v>
          </cell>
          <cell r="T123">
            <v>6779.6610170000004</v>
          </cell>
          <cell r="U123">
            <v>0</v>
          </cell>
          <cell r="V123">
            <v>1612.9434590047269</v>
          </cell>
        </row>
        <row r="124">
          <cell r="B124">
            <v>0</v>
          </cell>
          <cell r="C124">
            <v>0</v>
          </cell>
          <cell r="D124">
            <v>15500</v>
          </cell>
          <cell r="G124">
            <v>3135</v>
          </cell>
          <cell r="H124">
            <v>0</v>
          </cell>
          <cell r="J124">
            <v>0</v>
          </cell>
          <cell r="K124">
            <v>1186.4051702391289</v>
          </cell>
          <cell r="L124">
            <v>3500</v>
          </cell>
          <cell r="M124">
            <v>0</v>
          </cell>
          <cell r="N124">
            <v>5000</v>
          </cell>
          <cell r="O124">
            <v>0</v>
          </cell>
          <cell r="P124">
            <v>0</v>
          </cell>
          <cell r="Q124">
            <v>7022.82069073</v>
          </cell>
          <cell r="R124">
            <v>0</v>
          </cell>
          <cell r="S124">
            <v>574.84032626999999</v>
          </cell>
          <cell r="T124">
            <v>6779.6610170000004</v>
          </cell>
          <cell r="U124">
            <v>0</v>
          </cell>
          <cell r="V124">
            <v>1517.7757899999999</v>
          </cell>
        </row>
        <row r="125">
          <cell r="B125">
            <v>0</v>
          </cell>
          <cell r="C125">
            <v>8722.2838805998363</v>
          </cell>
          <cell r="D125">
            <v>15500</v>
          </cell>
          <cell r="G125">
            <v>3135</v>
          </cell>
          <cell r="H125">
            <v>0</v>
          </cell>
          <cell r="J125">
            <v>0</v>
          </cell>
          <cell r="K125">
            <v>1228.3934055970319</v>
          </cell>
          <cell r="L125">
            <v>3500</v>
          </cell>
          <cell r="M125">
            <v>0</v>
          </cell>
          <cell r="N125">
            <v>5000</v>
          </cell>
          <cell r="O125">
            <v>0</v>
          </cell>
          <cell r="P125">
            <v>85.159673730000009</v>
          </cell>
          <cell r="Q125">
            <v>7597.6610170000004</v>
          </cell>
          <cell r="R125">
            <v>0</v>
          </cell>
          <cell r="S125">
            <v>0</v>
          </cell>
          <cell r="T125">
            <v>6779.6610170000004</v>
          </cell>
          <cell r="U125">
            <v>0</v>
          </cell>
          <cell r="V125">
            <v>1901.9727924005811</v>
          </cell>
        </row>
        <row r="126">
          <cell r="B126">
            <v>0</v>
          </cell>
          <cell r="C126">
            <v>13320.750632965201</v>
          </cell>
          <cell r="D126">
            <v>15500</v>
          </cell>
          <cell r="G126">
            <v>3135</v>
          </cell>
          <cell r="H126">
            <v>0</v>
          </cell>
          <cell r="J126">
            <v>0</v>
          </cell>
          <cell r="K126">
            <v>1241.1604996893579</v>
          </cell>
          <cell r="L126">
            <v>3500</v>
          </cell>
          <cell r="M126">
            <v>0</v>
          </cell>
          <cell r="N126">
            <v>5000</v>
          </cell>
          <cell r="O126">
            <v>0</v>
          </cell>
          <cell r="P126">
            <v>86.087407649999989</v>
          </cell>
          <cell r="Q126">
            <v>7597.6610170000004</v>
          </cell>
          <cell r="R126">
            <v>0</v>
          </cell>
          <cell r="S126">
            <v>0</v>
          </cell>
          <cell r="T126">
            <v>6779.6610170000004</v>
          </cell>
          <cell r="U126">
            <v>0</v>
          </cell>
          <cell r="V126">
            <v>1969.6930616824091</v>
          </cell>
        </row>
        <row r="127">
          <cell r="B127">
            <v>0</v>
          </cell>
          <cell r="C127">
            <v>0</v>
          </cell>
          <cell r="D127">
            <v>15500</v>
          </cell>
          <cell r="G127">
            <v>3135</v>
          </cell>
          <cell r="H127">
            <v>0</v>
          </cell>
          <cell r="J127">
            <v>0</v>
          </cell>
          <cell r="K127">
            <v>1217.8051840425171</v>
          </cell>
          <cell r="L127">
            <v>2026.669196652407</v>
          </cell>
          <cell r="M127">
            <v>0</v>
          </cell>
          <cell r="N127">
            <v>5000</v>
          </cell>
          <cell r="O127">
            <v>0</v>
          </cell>
          <cell r="P127">
            <v>87.015141559999961</v>
          </cell>
          <cell r="Q127">
            <v>6779.6610170000004</v>
          </cell>
          <cell r="R127">
            <v>0</v>
          </cell>
          <cell r="S127">
            <v>0</v>
          </cell>
          <cell r="T127">
            <v>6779.6610170000004</v>
          </cell>
          <cell r="U127">
            <v>0</v>
          </cell>
          <cell r="V127">
            <v>1517.7757899999999</v>
          </cell>
        </row>
        <row r="128">
          <cell r="B128">
            <v>0</v>
          </cell>
          <cell r="C128">
            <v>13320.750632965201</v>
          </cell>
          <cell r="D128">
            <v>15500</v>
          </cell>
          <cell r="G128">
            <v>3135</v>
          </cell>
          <cell r="H128">
            <v>0</v>
          </cell>
          <cell r="J128">
            <v>0</v>
          </cell>
          <cell r="K128">
            <v>1213.7830586959531</v>
          </cell>
          <cell r="L128">
            <v>1414.4880560888</v>
          </cell>
          <cell r="M128">
            <v>0</v>
          </cell>
          <cell r="N128">
            <v>5000</v>
          </cell>
          <cell r="O128">
            <v>0</v>
          </cell>
          <cell r="P128">
            <v>87.479008520000008</v>
          </cell>
          <cell r="Q128">
            <v>7597.6610170000004</v>
          </cell>
          <cell r="R128">
            <v>0</v>
          </cell>
          <cell r="S128">
            <v>0</v>
          </cell>
          <cell r="T128">
            <v>6779.6610170000004</v>
          </cell>
          <cell r="U128">
            <v>0</v>
          </cell>
          <cell r="V128">
            <v>2145.5189282283031</v>
          </cell>
        </row>
        <row r="129">
          <cell r="B129">
            <v>0</v>
          </cell>
          <cell r="C129">
            <v>13320.750632965201</v>
          </cell>
          <cell r="D129">
            <v>15500</v>
          </cell>
          <cell r="G129">
            <v>3135</v>
          </cell>
          <cell r="H129">
            <v>0</v>
          </cell>
          <cell r="J129">
            <v>0</v>
          </cell>
          <cell r="K129">
            <v>1222.6908082682889</v>
          </cell>
          <cell r="L129">
            <v>1236.5047157432</v>
          </cell>
          <cell r="M129">
            <v>0</v>
          </cell>
          <cell r="N129">
            <v>5000</v>
          </cell>
          <cell r="O129">
            <v>0</v>
          </cell>
          <cell r="P129">
            <v>0</v>
          </cell>
          <cell r="Q129">
            <v>7024.6761585600007</v>
          </cell>
          <cell r="R129">
            <v>0</v>
          </cell>
          <cell r="S129">
            <v>572.98485844000004</v>
          </cell>
          <cell r="T129">
            <v>6779.6610170000004</v>
          </cell>
          <cell r="U129">
            <v>0</v>
          </cell>
          <cell r="V129">
            <v>1681.1761659290889</v>
          </cell>
        </row>
        <row r="130">
          <cell r="B130">
            <v>0</v>
          </cell>
          <cell r="C130">
            <v>13320.750632965201</v>
          </cell>
          <cell r="D130">
            <v>15500</v>
          </cell>
          <cell r="G130">
            <v>3135</v>
          </cell>
          <cell r="H130">
            <v>0</v>
          </cell>
          <cell r="J130">
            <v>0</v>
          </cell>
          <cell r="K130">
            <v>1232.428451398546</v>
          </cell>
          <cell r="L130">
            <v>404.81008111760087</v>
          </cell>
          <cell r="M130">
            <v>0</v>
          </cell>
          <cell r="N130">
            <v>5000</v>
          </cell>
          <cell r="O130">
            <v>0</v>
          </cell>
          <cell r="P130">
            <v>0</v>
          </cell>
          <cell r="Q130">
            <v>7024.6761585600007</v>
          </cell>
          <cell r="R130">
            <v>0</v>
          </cell>
          <cell r="S130">
            <v>572.98485844000004</v>
          </cell>
          <cell r="T130">
            <v>6779.6610170000004</v>
          </cell>
          <cell r="U130">
            <v>0</v>
          </cell>
          <cell r="V130">
            <v>1846.895921258895</v>
          </cell>
        </row>
        <row r="131">
          <cell r="B131">
            <v>0</v>
          </cell>
          <cell r="C131">
            <v>13320.750632965201</v>
          </cell>
          <cell r="D131">
            <v>15500</v>
          </cell>
          <cell r="G131">
            <v>0</v>
          </cell>
          <cell r="H131">
            <v>1693.3772465120001</v>
          </cell>
          <cell r="J131">
            <v>0</v>
          </cell>
          <cell r="K131">
            <v>803.05312001577067</v>
          </cell>
          <cell r="L131">
            <v>0</v>
          </cell>
          <cell r="M131">
            <v>0</v>
          </cell>
          <cell r="N131">
            <v>5000</v>
          </cell>
          <cell r="O131">
            <v>0</v>
          </cell>
          <cell r="P131">
            <v>87.015141559999961</v>
          </cell>
          <cell r="Q131">
            <v>7597.6610170000004</v>
          </cell>
          <cell r="R131">
            <v>0</v>
          </cell>
          <cell r="S131">
            <v>0</v>
          </cell>
          <cell r="T131">
            <v>6779.6610170000004</v>
          </cell>
          <cell r="U131">
            <v>0</v>
          </cell>
          <cell r="V131">
            <v>1517.7757899999999</v>
          </cell>
        </row>
        <row r="132">
          <cell r="B132">
            <v>0</v>
          </cell>
          <cell r="C132">
            <v>13320.750632965201</v>
          </cell>
          <cell r="D132">
            <v>11687.272112228569</v>
          </cell>
          <cell r="G132">
            <v>0</v>
          </cell>
          <cell r="H132">
            <v>3837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5000</v>
          </cell>
          <cell r="O132">
            <v>0</v>
          </cell>
          <cell r="P132">
            <v>87.015141559999961</v>
          </cell>
          <cell r="Q132">
            <v>7597.6610170000004</v>
          </cell>
          <cell r="R132">
            <v>0</v>
          </cell>
          <cell r="S132">
            <v>0</v>
          </cell>
          <cell r="T132">
            <v>6779.6610170000004</v>
          </cell>
          <cell r="U132">
            <v>0</v>
          </cell>
          <cell r="V132">
            <v>1517.7757899999999</v>
          </cell>
        </row>
        <row r="133">
          <cell r="B133">
            <v>0</v>
          </cell>
          <cell r="C133">
            <v>13320.750632965201</v>
          </cell>
          <cell r="D133">
            <v>11710.57212217143</v>
          </cell>
          <cell r="G133">
            <v>0</v>
          </cell>
          <cell r="H133">
            <v>3837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5000</v>
          </cell>
          <cell r="O133">
            <v>0</v>
          </cell>
          <cell r="P133">
            <v>87.479008520000008</v>
          </cell>
          <cell r="Q133">
            <v>7597.6610170000004</v>
          </cell>
          <cell r="R133">
            <v>0</v>
          </cell>
          <cell r="S133">
            <v>0</v>
          </cell>
          <cell r="T133">
            <v>6779.6610170000004</v>
          </cell>
          <cell r="U133">
            <v>0</v>
          </cell>
          <cell r="V133">
            <v>1517.7757899999999</v>
          </cell>
        </row>
        <row r="134">
          <cell r="B134">
            <v>0</v>
          </cell>
          <cell r="C134">
            <v>13320.750632965201</v>
          </cell>
          <cell r="D134">
            <v>11687.272112228569</v>
          </cell>
          <cell r="G134">
            <v>0</v>
          </cell>
          <cell r="H134">
            <v>3837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5000</v>
          </cell>
          <cell r="O134">
            <v>0</v>
          </cell>
          <cell r="P134">
            <v>87.015141559999961</v>
          </cell>
          <cell r="Q134">
            <v>7597.6610170000004</v>
          </cell>
          <cell r="R134">
            <v>0</v>
          </cell>
          <cell r="S134">
            <v>0</v>
          </cell>
          <cell r="T134">
            <v>6779.6610170000004</v>
          </cell>
          <cell r="U134">
            <v>0</v>
          </cell>
          <cell r="V134">
            <v>1517.7757899999999</v>
          </cell>
        </row>
        <row r="135">
          <cell r="B135">
            <v>0</v>
          </cell>
          <cell r="C135">
            <v>13320.750632965201</v>
          </cell>
          <cell r="D135">
            <v>11687.272112228569</v>
          </cell>
          <cell r="G135">
            <v>0</v>
          </cell>
          <cell r="H135">
            <v>3837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5000</v>
          </cell>
          <cell r="O135">
            <v>0</v>
          </cell>
          <cell r="P135">
            <v>87.015141559999961</v>
          </cell>
          <cell r="Q135">
            <v>7597.6610170000004</v>
          </cell>
          <cell r="R135">
            <v>0</v>
          </cell>
          <cell r="S135">
            <v>0</v>
          </cell>
          <cell r="T135">
            <v>6779.6610170000004</v>
          </cell>
          <cell r="U135">
            <v>0</v>
          </cell>
          <cell r="V135">
            <v>1517.7757899999999</v>
          </cell>
        </row>
        <row r="136">
          <cell r="B136">
            <v>0</v>
          </cell>
          <cell r="C136">
            <v>13320.750632965201</v>
          </cell>
          <cell r="D136">
            <v>11710.57212217143</v>
          </cell>
          <cell r="G136">
            <v>0</v>
          </cell>
          <cell r="H136">
            <v>3837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5000</v>
          </cell>
          <cell r="O136">
            <v>0</v>
          </cell>
          <cell r="P136">
            <v>87.479008520000008</v>
          </cell>
          <cell r="Q136">
            <v>7597.6610170000004</v>
          </cell>
          <cell r="R136">
            <v>0</v>
          </cell>
          <cell r="S136">
            <v>0</v>
          </cell>
          <cell r="T136">
            <v>6779.6610170000004</v>
          </cell>
          <cell r="U136">
            <v>0</v>
          </cell>
          <cell r="V136">
            <v>1517.7757899999999</v>
          </cell>
        </row>
        <row r="137">
          <cell r="B137">
            <v>0</v>
          </cell>
          <cell r="C137">
            <v>13320.750632965201</v>
          </cell>
          <cell r="D137">
            <v>11687.272112228569</v>
          </cell>
          <cell r="G137">
            <v>0</v>
          </cell>
          <cell r="H137">
            <v>3837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5000</v>
          </cell>
          <cell r="O137">
            <v>0</v>
          </cell>
          <cell r="P137">
            <v>87.015141559999961</v>
          </cell>
          <cell r="Q137">
            <v>7597.6610170000004</v>
          </cell>
          <cell r="R137">
            <v>0</v>
          </cell>
          <cell r="S137">
            <v>0</v>
          </cell>
          <cell r="T137">
            <v>6779.6610170000004</v>
          </cell>
          <cell r="U137">
            <v>0</v>
          </cell>
          <cell r="V137">
            <v>1517.7757899999999</v>
          </cell>
        </row>
        <row r="138">
          <cell r="B138">
            <v>0</v>
          </cell>
          <cell r="C138">
            <v>13320.750632965201</v>
          </cell>
          <cell r="D138">
            <v>11858.572546860571</v>
          </cell>
          <cell r="G138">
            <v>0</v>
          </cell>
          <cell r="H138">
            <v>3837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5000</v>
          </cell>
          <cell r="O138">
            <v>0</v>
          </cell>
          <cell r="P138">
            <v>87.015141559999961</v>
          </cell>
          <cell r="Q138">
            <v>7597.6610170000004</v>
          </cell>
          <cell r="R138">
            <v>0</v>
          </cell>
          <cell r="S138">
            <v>0</v>
          </cell>
          <cell r="T138">
            <v>6779.6610170000004</v>
          </cell>
          <cell r="U138">
            <v>0</v>
          </cell>
          <cell r="V138">
            <v>1517.7757899999999</v>
          </cell>
        </row>
        <row r="139">
          <cell r="B139">
            <v>0</v>
          </cell>
          <cell r="C139">
            <v>13320.750632965201</v>
          </cell>
          <cell r="D139">
            <v>15500</v>
          </cell>
          <cell r="G139">
            <v>3027.5947436832948</v>
          </cell>
          <cell r="H139">
            <v>0</v>
          </cell>
          <cell r="J139">
            <v>0</v>
          </cell>
          <cell r="K139">
            <v>0</v>
          </cell>
          <cell r="L139">
            <v>3500</v>
          </cell>
          <cell r="M139">
            <v>283.45966871112932</v>
          </cell>
          <cell r="N139">
            <v>5000</v>
          </cell>
          <cell r="O139">
            <v>0</v>
          </cell>
          <cell r="P139">
            <v>0</v>
          </cell>
          <cell r="Q139">
            <v>6414.7316264000001</v>
          </cell>
          <cell r="R139">
            <v>0</v>
          </cell>
          <cell r="S139">
            <v>364.92939059999998</v>
          </cell>
          <cell r="T139">
            <v>6779.6610170000004</v>
          </cell>
          <cell r="U139">
            <v>0</v>
          </cell>
          <cell r="V139">
            <v>1517.7757899999999</v>
          </cell>
        </row>
        <row r="140">
          <cell r="B140">
            <v>0</v>
          </cell>
          <cell r="C140">
            <v>13320.750632965201</v>
          </cell>
          <cell r="D140">
            <v>15500</v>
          </cell>
          <cell r="G140">
            <v>3135</v>
          </cell>
          <cell r="H140">
            <v>0</v>
          </cell>
          <cell r="J140">
            <v>0</v>
          </cell>
          <cell r="K140">
            <v>16.299484337253261</v>
          </cell>
          <cell r="L140">
            <v>0</v>
          </cell>
          <cell r="M140">
            <v>0</v>
          </cell>
          <cell r="N140">
            <v>5000</v>
          </cell>
          <cell r="O140">
            <v>0</v>
          </cell>
          <cell r="P140">
            <v>87.479008520000008</v>
          </cell>
          <cell r="Q140">
            <v>7597.6610170000004</v>
          </cell>
          <cell r="R140">
            <v>0</v>
          </cell>
          <cell r="S140">
            <v>0</v>
          </cell>
          <cell r="T140">
            <v>6779.6610170000004</v>
          </cell>
          <cell r="U140">
            <v>0</v>
          </cell>
          <cell r="V140">
            <v>2629.6909121113531</v>
          </cell>
        </row>
        <row r="141">
          <cell r="B141">
            <v>0</v>
          </cell>
          <cell r="C141">
            <v>13320.750632965201</v>
          </cell>
          <cell r="D141">
            <v>15500</v>
          </cell>
          <cell r="G141">
            <v>3135</v>
          </cell>
          <cell r="H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117.2068820847137</v>
          </cell>
          <cell r="N141">
            <v>5000</v>
          </cell>
          <cell r="O141">
            <v>0</v>
          </cell>
          <cell r="P141">
            <v>0</v>
          </cell>
          <cell r="Q141">
            <v>7024.6761585600007</v>
          </cell>
          <cell r="R141">
            <v>0</v>
          </cell>
          <cell r="S141">
            <v>572.98485844000004</v>
          </cell>
          <cell r="T141">
            <v>6779.6610170000004</v>
          </cell>
          <cell r="U141">
            <v>0</v>
          </cell>
          <cell r="V141">
            <v>1517.7757899999999</v>
          </cell>
        </row>
        <row r="142">
          <cell r="B142">
            <v>0</v>
          </cell>
          <cell r="C142">
            <v>13320.750632965201</v>
          </cell>
          <cell r="D142">
            <v>15500</v>
          </cell>
          <cell r="G142">
            <v>3135</v>
          </cell>
          <cell r="H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263.33376335910862</v>
          </cell>
          <cell r="N142">
            <v>5000</v>
          </cell>
          <cell r="O142">
            <v>0</v>
          </cell>
          <cell r="P142">
            <v>86.551274600000028</v>
          </cell>
          <cell r="Q142">
            <v>7597.6610170000004</v>
          </cell>
          <cell r="R142">
            <v>0</v>
          </cell>
          <cell r="S142">
            <v>0</v>
          </cell>
          <cell r="T142">
            <v>6779.6610170000004</v>
          </cell>
          <cell r="U142">
            <v>0</v>
          </cell>
          <cell r="V142">
            <v>1517.7757899999999</v>
          </cell>
        </row>
        <row r="143">
          <cell r="B143">
            <v>0</v>
          </cell>
          <cell r="C143">
            <v>13320.750632965201</v>
          </cell>
          <cell r="D143">
            <v>15500</v>
          </cell>
          <cell r="G143">
            <v>3135</v>
          </cell>
          <cell r="H143">
            <v>0</v>
          </cell>
          <cell r="J143">
            <v>0</v>
          </cell>
          <cell r="K143">
            <v>0</v>
          </cell>
          <cell r="L143">
            <v>3500</v>
          </cell>
          <cell r="M143">
            <v>389.32145791333119</v>
          </cell>
          <cell r="N143">
            <v>5000</v>
          </cell>
          <cell r="O143">
            <v>0</v>
          </cell>
          <cell r="P143">
            <v>0</v>
          </cell>
          <cell r="Q143">
            <v>7023.7484246500007</v>
          </cell>
          <cell r="R143">
            <v>0</v>
          </cell>
          <cell r="S143">
            <v>573.91259234999995</v>
          </cell>
          <cell r="T143">
            <v>6779.6610170000004</v>
          </cell>
          <cell r="U143">
            <v>0</v>
          </cell>
          <cell r="V143">
            <v>1517.7757899999999</v>
          </cell>
        </row>
        <row r="144">
          <cell r="B144">
            <v>0</v>
          </cell>
          <cell r="C144">
            <v>0</v>
          </cell>
          <cell r="D144">
            <v>15500</v>
          </cell>
          <cell r="G144">
            <v>3135</v>
          </cell>
          <cell r="H144">
            <v>0</v>
          </cell>
          <cell r="J144">
            <v>0</v>
          </cell>
          <cell r="K144">
            <v>0</v>
          </cell>
          <cell r="L144">
            <v>3301.3505845432651</v>
          </cell>
          <cell r="M144">
            <v>509.91916725365382</v>
          </cell>
          <cell r="N144">
            <v>5000</v>
          </cell>
          <cell r="O144">
            <v>0</v>
          </cell>
          <cell r="P144">
            <v>85.159673730000009</v>
          </cell>
          <cell r="Q144">
            <v>6779.6610170000004</v>
          </cell>
          <cell r="R144">
            <v>0</v>
          </cell>
          <cell r="S144">
            <v>0</v>
          </cell>
          <cell r="T144">
            <v>6779.6610170000004</v>
          </cell>
          <cell r="U144">
            <v>0</v>
          </cell>
          <cell r="V144">
            <v>1517.7757899999999</v>
          </cell>
        </row>
        <row r="145">
          <cell r="B145">
            <v>0</v>
          </cell>
          <cell r="C145">
            <v>0</v>
          </cell>
          <cell r="D145">
            <v>15500</v>
          </cell>
          <cell r="G145">
            <v>3135</v>
          </cell>
          <cell r="H145">
            <v>0</v>
          </cell>
          <cell r="J145">
            <v>0</v>
          </cell>
          <cell r="K145">
            <v>0</v>
          </cell>
          <cell r="L145">
            <v>3500</v>
          </cell>
          <cell r="M145">
            <v>630.87775678864068</v>
          </cell>
          <cell r="N145">
            <v>5000</v>
          </cell>
          <cell r="O145">
            <v>0</v>
          </cell>
          <cell r="P145">
            <v>0</v>
          </cell>
          <cell r="Q145">
            <v>7022.82069073</v>
          </cell>
          <cell r="R145">
            <v>0</v>
          </cell>
          <cell r="S145">
            <v>574.84032626999999</v>
          </cell>
          <cell r="T145">
            <v>6779.6610170000004</v>
          </cell>
          <cell r="U145">
            <v>0</v>
          </cell>
          <cell r="V145">
            <v>1517.7757899999999</v>
          </cell>
        </row>
        <row r="146">
          <cell r="B146">
            <v>0</v>
          </cell>
          <cell r="C146">
            <v>13320.750632965201</v>
          </cell>
          <cell r="D146">
            <v>15500</v>
          </cell>
          <cell r="G146">
            <v>3135</v>
          </cell>
          <cell r="H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707.28672951718249</v>
          </cell>
          <cell r="N146">
            <v>5000</v>
          </cell>
          <cell r="O146">
            <v>0</v>
          </cell>
          <cell r="P146">
            <v>85.158687680000014</v>
          </cell>
          <cell r="Q146">
            <v>7597.6610170000004</v>
          </cell>
          <cell r="R146">
            <v>0</v>
          </cell>
          <cell r="S146">
            <v>0</v>
          </cell>
          <cell r="T146">
            <v>6779.6610170000004</v>
          </cell>
          <cell r="U146">
            <v>0</v>
          </cell>
          <cell r="V146">
            <v>1517.7757899999999</v>
          </cell>
        </row>
        <row r="147">
          <cell r="B147">
            <v>0</v>
          </cell>
          <cell r="C147">
            <v>7193.7022539559448</v>
          </cell>
          <cell r="D147">
            <v>15500</v>
          </cell>
          <cell r="G147">
            <v>3135</v>
          </cell>
          <cell r="H147">
            <v>0</v>
          </cell>
          <cell r="J147">
            <v>0</v>
          </cell>
          <cell r="K147">
            <v>0</v>
          </cell>
          <cell r="L147">
            <v>3500</v>
          </cell>
          <cell r="M147">
            <v>780.0800768206384</v>
          </cell>
          <cell r="N147">
            <v>5000</v>
          </cell>
          <cell r="O147">
            <v>0</v>
          </cell>
          <cell r="P147">
            <v>85.158687680000014</v>
          </cell>
          <cell r="Q147">
            <v>7597.6610170000004</v>
          </cell>
          <cell r="R147">
            <v>0</v>
          </cell>
          <cell r="S147">
            <v>0</v>
          </cell>
          <cell r="T147">
            <v>6779.6610170000004</v>
          </cell>
          <cell r="U147">
            <v>0</v>
          </cell>
          <cell r="V147">
            <v>1517.7757899999999</v>
          </cell>
        </row>
        <row r="148">
          <cell r="B148">
            <v>0</v>
          </cell>
          <cell r="C148">
            <v>13320.750632965201</v>
          </cell>
          <cell r="D148">
            <v>15184.68192745639</v>
          </cell>
          <cell r="G148">
            <v>3135</v>
          </cell>
          <cell r="H148">
            <v>0</v>
          </cell>
          <cell r="J148">
            <v>0</v>
          </cell>
          <cell r="K148">
            <v>0</v>
          </cell>
          <cell r="L148">
            <v>3500</v>
          </cell>
          <cell r="M148">
            <v>859.25736881027365</v>
          </cell>
          <cell r="N148">
            <v>5000</v>
          </cell>
          <cell r="O148">
            <v>0</v>
          </cell>
          <cell r="P148">
            <v>85.158687680000014</v>
          </cell>
          <cell r="Q148">
            <v>7597.6610170000004</v>
          </cell>
          <cell r="R148">
            <v>0</v>
          </cell>
          <cell r="S148">
            <v>0</v>
          </cell>
          <cell r="T148">
            <v>6779.6610170000004</v>
          </cell>
          <cell r="U148">
            <v>0</v>
          </cell>
          <cell r="V148">
            <v>1517.7757899999999</v>
          </cell>
        </row>
        <row r="149">
          <cell r="B149">
            <v>0</v>
          </cell>
          <cell r="C149">
            <v>13320.750632965201</v>
          </cell>
          <cell r="D149">
            <v>14344.12412255906</v>
          </cell>
          <cell r="G149">
            <v>3135</v>
          </cell>
          <cell r="H149">
            <v>0</v>
          </cell>
          <cell r="J149">
            <v>0</v>
          </cell>
          <cell r="K149">
            <v>0</v>
          </cell>
          <cell r="L149">
            <v>1251.543351218739</v>
          </cell>
          <cell r="M149">
            <v>882.67936522090963</v>
          </cell>
          <cell r="N149">
            <v>5000</v>
          </cell>
          <cell r="O149">
            <v>0</v>
          </cell>
          <cell r="P149">
            <v>85.158687680000014</v>
          </cell>
          <cell r="Q149">
            <v>7597.6610170000004</v>
          </cell>
          <cell r="R149">
            <v>0</v>
          </cell>
          <cell r="S149">
            <v>0</v>
          </cell>
          <cell r="T149">
            <v>6779.6610170000004</v>
          </cell>
          <cell r="U149">
            <v>0</v>
          </cell>
          <cell r="V149">
            <v>1517.7757899999999</v>
          </cell>
        </row>
        <row r="150">
          <cell r="B150">
            <v>0</v>
          </cell>
          <cell r="C150">
            <v>13320.750632965201</v>
          </cell>
          <cell r="D150">
            <v>13656.861991071941</v>
          </cell>
          <cell r="G150">
            <v>3135</v>
          </cell>
          <cell r="H150">
            <v>0</v>
          </cell>
          <cell r="J150">
            <v>3471.1602574531062</v>
          </cell>
          <cell r="K150">
            <v>0</v>
          </cell>
          <cell r="L150">
            <v>0</v>
          </cell>
          <cell r="M150">
            <v>836.72763093869594</v>
          </cell>
          <cell r="N150">
            <v>5000</v>
          </cell>
          <cell r="O150">
            <v>0</v>
          </cell>
          <cell r="P150">
            <v>86.086421599999994</v>
          </cell>
          <cell r="Q150">
            <v>7597.6610170000004</v>
          </cell>
          <cell r="R150">
            <v>0</v>
          </cell>
          <cell r="S150">
            <v>0</v>
          </cell>
          <cell r="T150">
            <v>6779.6610170000004</v>
          </cell>
          <cell r="U150">
            <v>0</v>
          </cell>
          <cell r="V150">
            <v>1517.7757899999999</v>
          </cell>
        </row>
        <row r="151">
          <cell r="B151">
            <v>0</v>
          </cell>
          <cell r="C151">
            <v>13320.750632965201</v>
          </cell>
          <cell r="D151">
            <v>13476.187123276541</v>
          </cell>
          <cell r="G151">
            <v>3135</v>
          </cell>
          <cell r="H151">
            <v>0</v>
          </cell>
          <cell r="J151">
            <v>4200</v>
          </cell>
          <cell r="K151">
            <v>0</v>
          </cell>
          <cell r="L151">
            <v>0</v>
          </cell>
          <cell r="M151">
            <v>729.1818130853751</v>
          </cell>
          <cell r="N151">
            <v>5000</v>
          </cell>
          <cell r="O151">
            <v>0</v>
          </cell>
          <cell r="P151">
            <v>87.014155510000023</v>
          </cell>
          <cell r="Q151">
            <v>7597.6610170000004</v>
          </cell>
          <cell r="R151">
            <v>0</v>
          </cell>
          <cell r="S151">
            <v>0</v>
          </cell>
          <cell r="T151">
            <v>6779.6610170000004</v>
          </cell>
          <cell r="U151">
            <v>0</v>
          </cell>
          <cell r="V151">
            <v>1517.7757899999999</v>
          </cell>
        </row>
        <row r="152">
          <cell r="B152">
            <v>0</v>
          </cell>
          <cell r="C152">
            <v>13320.750632965201</v>
          </cell>
          <cell r="D152">
            <v>13696.402679174709</v>
          </cell>
          <cell r="G152">
            <v>3135</v>
          </cell>
          <cell r="H152">
            <v>0</v>
          </cell>
          <cell r="J152">
            <v>3097.8781241243869</v>
          </cell>
          <cell r="K152">
            <v>0</v>
          </cell>
          <cell r="L152">
            <v>0</v>
          </cell>
          <cell r="M152">
            <v>748.63744752570142</v>
          </cell>
          <cell r="N152">
            <v>5000</v>
          </cell>
          <cell r="O152">
            <v>0</v>
          </cell>
          <cell r="P152">
            <v>87.478022470000013</v>
          </cell>
          <cell r="Q152">
            <v>7597.6610170000004</v>
          </cell>
          <cell r="R152">
            <v>0</v>
          </cell>
          <cell r="S152">
            <v>0</v>
          </cell>
          <cell r="T152">
            <v>6779.6610170000004</v>
          </cell>
          <cell r="U152">
            <v>0</v>
          </cell>
          <cell r="V152">
            <v>1517.7757899999999</v>
          </cell>
        </row>
        <row r="153">
          <cell r="B153">
            <v>0</v>
          </cell>
          <cell r="C153">
            <v>13320.750632965201</v>
          </cell>
          <cell r="D153">
            <v>14268.943064588741</v>
          </cell>
          <cell r="G153">
            <v>3135</v>
          </cell>
          <cell r="H153">
            <v>0</v>
          </cell>
          <cell r="J153">
            <v>0</v>
          </cell>
          <cell r="K153">
            <v>0</v>
          </cell>
          <cell r="L153">
            <v>1541.8405241220239</v>
          </cell>
          <cell r="M153">
            <v>682.38244687828251</v>
          </cell>
          <cell r="N153">
            <v>5000</v>
          </cell>
          <cell r="O153">
            <v>0</v>
          </cell>
          <cell r="P153">
            <v>87.014155510000023</v>
          </cell>
          <cell r="Q153">
            <v>7597.6610170000004</v>
          </cell>
          <cell r="R153">
            <v>0</v>
          </cell>
          <cell r="S153">
            <v>0</v>
          </cell>
          <cell r="T153">
            <v>6779.6610170000004</v>
          </cell>
          <cell r="U153">
            <v>0</v>
          </cell>
          <cell r="V153">
            <v>1517.7757899999999</v>
          </cell>
        </row>
        <row r="154">
          <cell r="B154">
            <v>0</v>
          </cell>
          <cell r="C154">
            <v>13320.750632965201</v>
          </cell>
          <cell r="D154">
            <v>15160.093722696891</v>
          </cell>
          <cell r="G154">
            <v>3135</v>
          </cell>
          <cell r="H154">
            <v>0</v>
          </cell>
          <cell r="J154">
            <v>0</v>
          </cell>
          <cell r="K154">
            <v>0</v>
          </cell>
          <cell r="L154">
            <v>2429.886565586939</v>
          </cell>
          <cell r="M154">
            <v>437.08519809803221</v>
          </cell>
          <cell r="N154">
            <v>5000</v>
          </cell>
          <cell r="O154">
            <v>0</v>
          </cell>
          <cell r="P154">
            <v>87.014155510000023</v>
          </cell>
          <cell r="Q154">
            <v>7597.6610170000004</v>
          </cell>
          <cell r="R154">
            <v>0</v>
          </cell>
          <cell r="S154">
            <v>0</v>
          </cell>
          <cell r="T154">
            <v>6779.6610170000004</v>
          </cell>
          <cell r="U154">
            <v>0</v>
          </cell>
          <cell r="V154">
            <v>1517.7757899999999</v>
          </cell>
        </row>
        <row r="155">
          <cell r="B155">
            <v>0</v>
          </cell>
          <cell r="C155">
            <v>8488.1280153045391</v>
          </cell>
          <cell r="D155">
            <v>14795.08052001372</v>
          </cell>
          <cell r="G155">
            <v>3135</v>
          </cell>
          <cell r="H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285.63563010044601</v>
          </cell>
          <cell r="N155">
            <v>5000</v>
          </cell>
          <cell r="O155">
            <v>0</v>
          </cell>
          <cell r="P155">
            <v>87.014155510000023</v>
          </cell>
          <cell r="Q155">
            <v>7597.6610170000004</v>
          </cell>
          <cell r="R155">
            <v>0</v>
          </cell>
          <cell r="S155">
            <v>0</v>
          </cell>
          <cell r="T155">
            <v>6779.6610170000004</v>
          </cell>
          <cell r="U155">
            <v>0</v>
          </cell>
          <cell r="V155">
            <v>1517.7757899999999</v>
          </cell>
        </row>
        <row r="156">
          <cell r="B156">
            <v>0</v>
          </cell>
          <cell r="C156">
            <v>13320.750632965201</v>
          </cell>
          <cell r="D156">
            <v>12947.65331440622</v>
          </cell>
          <cell r="G156">
            <v>0</v>
          </cell>
          <cell r="H156">
            <v>2288.3325405536002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5000</v>
          </cell>
          <cell r="O156">
            <v>0</v>
          </cell>
          <cell r="P156">
            <v>87.014155510000023</v>
          </cell>
          <cell r="Q156">
            <v>7597.6610170000004</v>
          </cell>
          <cell r="R156">
            <v>0</v>
          </cell>
          <cell r="S156">
            <v>0</v>
          </cell>
          <cell r="T156">
            <v>6779.6610170000004</v>
          </cell>
          <cell r="U156">
            <v>0</v>
          </cell>
          <cell r="V156">
            <v>1517.7757899999999</v>
          </cell>
        </row>
        <row r="157">
          <cell r="B157">
            <v>0</v>
          </cell>
          <cell r="C157">
            <v>13320.750632965201</v>
          </cell>
          <cell r="D157">
            <v>11710.57071352857</v>
          </cell>
          <cell r="G157">
            <v>0</v>
          </cell>
          <cell r="H157">
            <v>3837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5000</v>
          </cell>
          <cell r="O157">
            <v>0</v>
          </cell>
          <cell r="P157">
            <v>87.478022470000013</v>
          </cell>
          <cell r="Q157">
            <v>7597.6610170000004</v>
          </cell>
          <cell r="R157">
            <v>0</v>
          </cell>
          <cell r="S157">
            <v>0</v>
          </cell>
          <cell r="T157">
            <v>6779.6610170000004</v>
          </cell>
          <cell r="U157">
            <v>0</v>
          </cell>
          <cell r="V157">
            <v>1517.7757899999999</v>
          </cell>
        </row>
        <row r="158">
          <cell r="B158">
            <v>0</v>
          </cell>
          <cell r="C158">
            <v>13320.750632965201</v>
          </cell>
          <cell r="D158">
            <v>11687.270703585709</v>
          </cell>
          <cell r="G158">
            <v>0</v>
          </cell>
          <cell r="H158">
            <v>3837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5000</v>
          </cell>
          <cell r="O158">
            <v>0</v>
          </cell>
          <cell r="P158">
            <v>87.014155510000023</v>
          </cell>
          <cell r="Q158">
            <v>7597.6610170000004</v>
          </cell>
          <cell r="R158">
            <v>0</v>
          </cell>
          <cell r="S158">
            <v>0</v>
          </cell>
          <cell r="T158">
            <v>6779.6610170000004</v>
          </cell>
          <cell r="U158">
            <v>0</v>
          </cell>
          <cell r="V158">
            <v>1517.7757899999999</v>
          </cell>
        </row>
        <row r="159">
          <cell r="B159">
            <v>0</v>
          </cell>
          <cell r="C159">
            <v>13320.750632965201</v>
          </cell>
          <cell r="D159">
            <v>11687.270703585709</v>
          </cell>
          <cell r="G159">
            <v>0</v>
          </cell>
          <cell r="H159">
            <v>3837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5000</v>
          </cell>
          <cell r="O159">
            <v>0</v>
          </cell>
          <cell r="P159">
            <v>87.014155510000023</v>
          </cell>
          <cell r="Q159">
            <v>7597.6610170000004</v>
          </cell>
          <cell r="R159">
            <v>0</v>
          </cell>
          <cell r="S159">
            <v>0</v>
          </cell>
          <cell r="T159">
            <v>6779.6610170000004</v>
          </cell>
          <cell r="U159">
            <v>0</v>
          </cell>
          <cell r="V159">
            <v>1517.7757899999999</v>
          </cell>
        </row>
        <row r="160">
          <cell r="B160">
            <v>0</v>
          </cell>
          <cell r="C160">
            <v>13320.750632965201</v>
          </cell>
          <cell r="D160">
            <v>11710.57071352857</v>
          </cell>
          <cell r="G160">
            <v>0</v>
          </cell>
          <cell r="H160">
            <v>3837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5000</v>
          </cell>
          <cell r="O160">
            <v>0</v>
          </cell>
          <cell r="P160">
            <v>87.478022470000013</v>
          </cell>
          <cell r="Q160">
            <v>7597.6610170000004</v>
          </cell>
          <cell r="R160">
            <v>0</v>
          </cell>
          <cell r="S160">
            <v>0</v>
          </cell>
          <cell r="T160">
            <v>6779.6610170000004</v>
          </cell>
          <cell r="U160">
            <v>0</v>
          </cell>
          <cell r="V160">
            <v>1517.7757899999999</v>
          </cell>
        </row>
        <row r="161">
          <cell r="B161">
            <v>0</v>
          </cell>
          <cell r="C161">
            <v>13320.750632965201</v>
          </cell>
          <cell r="D161">
            <v>11687.270703585709</v>
          </cell>
          <cell r="G161">
            <v>0</v>
          </cell>
          <cell r="H161">
            <v>3837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5000</v>
          </cell>
          <cell r="O161">
            <v>0</v>
          </cell>
          <cell r="P161">
            <v>87.014155510000023</v>
          </cell>
          <cell r="Q161">
            <v>7597.6610170000004</v>
          </cell>
          <cell r="R161">
            <v>0</v>
          </cell>
          <cell r="S161">
            <v>0</v>
          </cell>
          <cell r="T161">
            <v>6779.6610170000004</v>
          </cell>
          <cell r="U161">
            <v>0</v>
          </cell>
          <cell r="V161">
            <v>1517.7757899999999</v>
          </cell>
        </row>
        <row r="162">
          <cell r="B162">
            <v>0</v>
          </cell>
          <cell r="C162">
            <v>13320.750632965201</v>
          </cell>
          <cell r="D162">
            <v>11687.270703585709</v>
          </cell>
          <cell r="G162">
            <v>0</v>
          </cell>
          <cell r="H162">
            <v>3837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5000</v>
          </cell>
          <cell r="O162">
            <v>0</v>
          </cell>
          <cell r="P162">
            <v>87.014155510000023</v>
          </cell>
          <cell r="Q162">
            <v>7597.6610170000004</v>
          </cell>
          <cell r="R162">
            <v>0</v>
          </cell>
          <cell r="S162">
            <v>0</v>
          </cell>
          <cell r="T162">
            <v>6779.6610170000004</v>
          </cell>
          <cell r="U162">
            <v>0</v>
          </cell>
          <cell r="V162">
            <v>1517.7757899999999</v>
          </cell>
        </row>
        <row r="163">
          <cell r="B163">
            <v>0</v>
          </cell>
          <cell r="C163">
            <v>13320.750632965201</v>
          </cell>
          <cell r="D163">
            <v>13737.698830800229</v>
          </cell>
          <cell r="G163">
            <v>0</v>
          </cell>
          <cell r="H163">
            <v>3635.7726280779989</v>
          </cell>
          <cell r="J163">
            <v>0</v>
          </cell>
          <cell r="K163">
            <v>1006.570181842764</v>
          </cell>
          <cell r="L163">
            <v>0</v>
          </cell>
          <cell r="M163">
            <v>0</v>
          </cell>
          <cell r="N163">
            <v>5000</v>
          </cell>
          <cell r="O163">
            <v>0</v>
          </cell>
          <cell r="P163">
            <v>87.014155510000023</v>
          </cell>
          <cell r="Q163">
            <v>7597.6610170000004</v>
          </cell>
          <cell r="R163">
            <v>0</v>
          </cell>
          <cell r="S163">
            <v>0</v>
          </cell>
          <cell r="T163">
            <v>6779.6610170000004</v>
          </cell>
          <cell r="U163">
            <v>0</v>
          </cell>
          <cell r="V163">
            <v>1517.7757899999999</v>
          </cell>
        </row>
        <row r="164">
          <cell r="B164">
            <v>0</v>
          </cell>
          <cell r="C164">
            <v>13320.750632965201</v>
          </cell>
          <cell r="D164">
            <v>15500</v>
          </cell>
          <cell r="G164">
            <v>3135</v>
          </cell>
          <cell r="H164">
            <v>0</v>
          </cell>
          <cell r="J164">
            <v>0</v>
          </cell>
          <cell r="K164">
            <v>1631.1485899891261</v>
          </cell>
          <cell r="L164">
            <v>0</v>
          </cell>
          <cell r="M164">
            <v>0</v>
          </cell>
          <cell r="N164">
            <v>5000</v>
          </cell>
          <cell r="O164">
            <v>0</v>
          </cell>
          <cell r="P164">
            <v>87.478022470000013</v>
          </cell>
          <cell r="Q164">
            <v>7597.6610170000004</v>
          </cell>
          <cell r="R164">
            <v>0</v>
          </cell>
          <cell r="S164">
            <v>0</v>
          </cell>
          <cell r="T164">
            <v>6779.6610170000004</v>
          </cell>
          <cell r="U164">
            <v>0</v>
          </cell>
          <cell r="V164">
            <v>1517.7757899999999</v>
          </cell>
        </row>
        <row r="165">
          <cell r="B165">
            <v>0</v>
          </cell>
          <cell r="C165">
            <v>13320.750632965201</v>
          </cell>
          <cell r="D165">
            <v>15500</v>
          </cell>
          <cell r="G165">
            <v>3135</v>
          </cell>
          <cell r="H165">
            <v>0</v>
          </cell>
          <cell r="J165">
            <v>0</v>
          </cell>
          <cell r="K165">
            <v>1672.686025962814</v>
          </cell>
          <cell r="L165">
            <v>0</v>
          </cell>
          <cell r="M165">
            <v>0</v>
          </cell>
          <cell r="N165">
            <v>5000</v>
          </cell>
          <cell r="O165">
            <v>0</v>
          </cell>
          <cell r="P165">
            <v>87.014155510000023</v>
          </cell>
          <cell r="Q165">
            <v>7597.6610170000004</v>
          </cell>
          <cell r="R165">
            <v>0</v>
          </cell>
          <cell r="S165">
            <v>0</v>
          </cell>
          <cell r="T165">
            <v>6779.6610170000004</v>
          </cell>
          <cell r="U165">
            <v>0</v>
          </cell>
          <cell r="V165">
            <v>1517.7757899999999</v>
          </cell>
        </row>
        <row r="166">
          <cell r="B166">
            <v>0</v>
          </cell>
          <cell r="C166">
            <v>13320.750632965201</v>
          </cell>
          <cell r="D166">
            <v>15500</v>
          </cell>
          <cell r="G166">
            <v>3135</v>
          </cell>
          <cell r="H166">
            <v>0</v>
          </cell>
          <cell r="J166">
            <v>0</v>
          </cell>
          <cell r="K166">
            <v>1671.4230811118341</v>
          </cell>
          <cell r="L166">
            <v>0</v>
          </cell>
          <cell r="M166">
            <v>0</v>
          </cell>
          <cell r="N166">
            <v>5000</v>
          </cell>
          <cell r="O166">
            <v>0</v>
          </cell>
          <cell r="P166">
            <v>86.550288550000005</v>
          </cell>
          <cell r="Q166">
            <v>7597.6610170000004</v>
          </cell>
          <cell r="R166">
            <v>0</v>
          </cell>
          <cell r="S166">
            <v>0</v>
          </cell>
          <cell r="T166">
            <v>6779.6610170000004</v>
          </cell>
          <cell r="U166">
            <v>0</v>
          </cell>
          <cell r="V166">
            <v>1517.7757899999999</v>
          </cell>
        </row>
        <row r="167">
          <cell r="B167">
            <v>0</v>
          </cell>
          <cell r="C167">
            <v>13320.750632965201</v>
          </cell>
          <cell r="D167">
            <v>15500</v>
          </cell>
          <cell r="G167">
            <v>0</v>
          </cell>
          <cell r="H167">
            <v>0</v>
          </cell>
          <cell r="J167">
            <v>0</v>
          </cell>
          <cell r="K167">
            <v>1673.9951224408969</v>
          </cell>
          <cell r="L167">
            <v>0</v>
          </cell>
          <cell r="M167">
            <v>0</v>
          </cell>
          <cell r="N167">
            <v>5000</v>
          </cell>
          <cell r="O167">
            <v>0</v>
          </cell>
          <cell r="P167">
            <v>86.086421599999994</v>
          </cell>
          <cell r="Q167">
            <v>7597.6610170000004</v>
          </cell>
          <cell r="R167">
            <v>0</v>
          </cell>
          <cell r="S167">
            <v>0</v>
          </cell>
          <cell r="T167">
            <v>6779.6610170000004</v>
          </cell>
          <cell r="U167">
            <v>0</v>
          </cell>
          <cell r="V167">
            <v>1517.7757899999999</v>
          </cell>
        </row>
        <row r="168">
          <cell r="B168">
            <v>0</v>
          </cell>
          <cell r="C168">
            <v>13320.750632965201</v>
          </cell>
          <cell r="D168">
            <v>15500</v>
          </cell>
          <cell r="G168">
            <v>0</v>
          </cell>
          <cell r="H168">
            <v>0</v>
          </cell>
          <cell r="J168">
            <v>0</v>
          </cell>
          <cell r="K168">
            <v>1673.601037884122</v>
          </cell>
          <cell r="L168">
            <v>0</v>
          </cell>
          <cell r="M168">
            <v>0</v>
          </cell>
          <cell r="N168">
            <v>5000</v>
          </cell>
          <cell r="O168">
            <v>0</v>
          </cell>
          <cell r="P168">
            <v>85.158687680000014</v>
          </cell>
          <cell r="Q168">
            <v>7597.6610170000004</v>
          </cell>
          <cell r="R168">
            <v>0</v>
          </cell>
          <cell r="S168">
            <v>0</v>
          </cell>
          <cell r="T168">
            <v>6779.6610170000004</v>
          </cell>
          <cell r="U168">
            <v>0</v>
          </cell>
          <cell r="V168">
            <v>1517.7757899999999</v>
          </cell>
        </row>
        <row r="169">
          <cell r="B169">
            <v>0</v>
          </cell>
          <cell r="C169">
            <v>13320.750632965201</v>
          </cell>
          <cell r="D169">
            <v>15500</v>
          </cell>
          <cell r="G169">
            <v>0</v>
          </cell>
          <cell r="H169">
            <v>0</v>
          </cell>
          <cell r="J169">
            <v>1234.415537665687</v>
          </cell>
          <cell r="K169">
            <v>1671.016703624804</v>
          </cell>
          <cell r="L169">
            <v>0</v>
          </cell>
          <cell r="M169">
            <v>0</v>
          </cell>
          <cell r="N169">
            <v>5000</v>
          </cell>
          <cell r="O169">
            <v>0</v>
          </cell>
          <cell r="P169">
            <v>85.158687680000014</v>
          </cell>
          <cell r="Q169">
            <v>7597.6610170000004</v>
          </cell>
          <cell r="R169">
            <v>0</v>
          </cell>
          <cell r="S169">
            <v>0</v>
          </cell>
          <cell r="T169">
            <v>6779.6610170000004</v>
          </cell>
          <cell r="U169">
            <v>0</v>
          </cell>
          <cell r="V169">
            <v>1517.7757899999999</v>
          </cell>
        </row>
      </sheetData>
      <sheetData sheetId="13" refreshError="1"/>
      <sheetData sheetId="14" refreshError="1"/>
      <sheetData sheetId="15">
        <row r="1">
          <cell r="B1" t="str">
            <v>ES_solar</v>
          </cell>
          <cell r="C1" t="str">
            <v>ES_wind</v>
          </cell>
          <cell r="D1" t="str">
            <v>ES_biomass</v>
          </cell>
          <cell r="E1" t="str">
            <v>ES_water</v>
          </cell>
          <cell r="F1" t="str">
            <v>ES_SRES_excedentes</v>
          </cell>
          <cell r="H1" t="str">
            <v>PT_solar</v>
          </cell>
          <cell r="I1" t="str">
            <v>PT_wind</v>
          </cell>
          <cell r="J1" t="str">
            <v>PT_water</v>
          </cell>
        </row>
        <row r="2">
          <cell r="B2">
            <v>0</v>
          </cell>
          <cell r="C2">
            <v>25257.631676891091</v>
          </cell>
          <cell r="D2">
            <v>0</v>
          </cell>
          <cell r="E2">
            <v>794.87977565351252</v>
          </cell>
          <cell r="F2">
            <v>0</v>
          </cell>
          <cell r="H2">
            <v>0</v>
          </cell>
          <cell r="I2">
            <v>4914.8145225648004</v>
          </cell>
          <cell r="J2">
            <v>367.01</v>
          </cell>
        </row>
        <row r="3">
          <cell r="B3">
            <v>0</v>
          </cell>
          <cell r="C3">
            <v>27028.785791072009</v>
          </cell>
          <cell r="D3">
            <v>0</v>
          </cell>
          <cell r="E3">
            <v>794.87977565351252</v>
          </cell>
          <cell r="F3">
            <v>0</v>
          </cell>
          <cell r="H3">
            <v>0</v>
          </cell>
          <cell r="I3">
            <v>5189.2120493388002</v>
          </cell>
          <cell r="J3">
            <v>367.01</v>
          </cell>
        </row>
        <row r="4">
          <cell r="B4">
            <v>0</v>
          </cell>
          <cell r="C4">
            <v>27489.942333941199</v>
          </cell>
          <cell r="D4">
            <v>0</v>
          </cell>
          <cell r="E4">
            <v>794.87977565351252</v>
          </cell>
          <cell r="F4">
            <v>0</v>
          </cell>
          <cell r="H4">
            <v>0</v>
          </cell>
          <cell r="I4">
            <v>5175.2723176728005</v>
          </cell>
          <cell r="J4">
            <v>367.01</v>
          </cell>
        </row>
        <row r="5">
          <cell r="B5">
            <v>0</v>
          </cell>
          <cell r="C5">
            <v>28179.896186332571</v>
          </cell>
          <cell r="D5">
            <v>0</v>
          </cell>
          <cell r="E5">
            <v>794.87977565351252</v>
          </cell>
          <cell r="F5">
            <v>0</v>
          </cell>
          <cell r="H5">
            <v>0</v>
          </cell>
          <cell r="I5">
            <v>4527.0867872160006</v>
          </cell>
          <cell r="J5">
            <v>367.01</v>
          </cell>
        </row>
        <row r="6">
          <cell r="B6">
            <v>0</v>
          </cell>
          <cell r="C6">
            <v>29542.429586616421</v>
          </cell>
          <cell r="D6">
            <v>0</v>
          </cell>
          <cell r="E6">
            <v>794.87977565351252</v>
          </cell>
          <cell r="F6">
            <v>0</v>
          </cell>
          <cell r="H6">
            <v>0</v>
          </cell>
          <cell r="I6">
            <v>4260.0744067896003</v>
          </cell>
          <cell r="J6">
            <v>367.01</v>
          </cell>
        </row>
        <row r="7">
          <cell r="B7">
            <v>0</v>
          </cell>
          <cell r="C7">
            <v>29719.55508683193</v>
          </cell>
          <cell r="D7">
            <v>0</v>
          </cell>
          <cell r="E7">
            <v>794.87977565351252</v>
          </cell>
          <cell r="F7">
            <v>0</v>
          </cell>
          <cell r="H7">
            <v>0</v>
          </cell>
          <cell r="I7">
            <v>4441.8692542140006</v>
          </cell>
          <cell r="J7">
            <v>367.01</v>
          </cell>
        </row>
        <row r="8">
          <cell r="B8">
            <v>0</v>
          </cell>
          <cell r="C8">
            <v>27790.974239529911</v>
          </cell>
          <cell r="D8">
            <v>0</v>
          </cell>
          <cell r="E8">
            <v>794.87977565351252</v>
          </cell>
          <cell r="F8">
            <v>0</v>
          </cell>
          <cell r="H8">
            <v>0</v>
          </cell>
          <cell r="I8">
            <v>4593.7901829204011</v>
          </cell>
          <cell r="J8">
            <v>367.01</v>
          </cell>
        </row>
        <row r="9">
          <cell r="B9">
            <v>0</v>
          </cell>
          <cell r="C9">
            <v>22521.545412595991</v>
          </cell>
          <cell r="D9">
            <v>0</v>
          </cell>
          <cell r="E9">
            <v>794.87977565351252</v>
          </cell>
          <cell r="F9">
            <v>0</v>
          </cell>
          <cell r="H9">
            <v>0</v>
          </cell>
          <cell r="I9">
            <v>4986.632591136</v>
          </cell>
          <cell r="J9">
            <v>367.01</v>
          </cell>
        </row>
        <row r="10">
          <cell r="B10">
            <v>1117.7385522</v>
          </cell>
          <cell r="C10">
            <v>17575.587941208789</v>
          </cell>
          <cell r="D10">
            <v>0</v>
          </cell>
          <cell r="E10">
            <v>794.87977565351252</v>
          </cell>
          <cell r="F10">
            <v>0</v>
          </cell>
          <cell r="H10">
            <v>1.2348220000000001</v>
          </cell>
          <cell r="I10">
            <v>5309.1583859412003</v>
          </cell>
          <cell r="J10">
            <v>367.01</v>
          </cell>
        </row>
        <row r="11">
          <cell r="B11">
            <v>29843.77107658</v>
          </cell>
          <cell r="C11">
            <v>15116.88366045464</v>
          </cell>
          <cell r="D11">
            <v>0</v>
          </cell>
          <cell r="E11">
            <v>794.87977565351252</v>
          </cell>
          <cell r="F11">
            <v>0</v>
          </cell>
          <cell r="H11">
            <v>6862.3009970399999</v>
          </cell>
          <cell r="I11">
            <v>4851.5065551792004</v>
          </cell>
          <cell r="J11">
            <v>367.01</v>
          </cell>
        </row>
        <row r="12">
          <cell r="B12">
            <v>44579.735522057017</v>
          </cell>
          <cell r="C12">
            <v>14278.077359344319</v>
          </cell>
          <cell r="D12">
            <v>0</v>
          </cell>
          <cell r="E12">
            <v>794.87977565351252</v>
          </cell>
          <cell r="F12">
            <v>0</v>
          </cell>
          <cell r="H12">
            <v>8870.2819999999992</v>
          </cell>
          <cell r="I12">
            <v>0</v>
          </cell>
          <cell r="J12">
            <v>0</v>
          </cell>
        </row>
        <row r="13">
          <cell r="B13">
            <v>80036.737910990312</v>
          </cell>
          <cell r="C13">
            <v>15129.93079804206</v>
          </cell>
          <cell r="D13">
            <v>0</v>
          </cell>
          <cell r="E13">
            <v>794.87977565351252</v>
          </cell>
          <cell r="F13">
            <v>2423.8350507326591</v>
          </cell>
          <cell r="H13">
            <v>9078.0720000000001</v>
          </cell>
          <cell r="I13">
            <v>0</v>
          </cell>
          <cell r="J13">
            <v>0</v>
          </cell>
        </row>
        <row r="14">
          <cell r="B14">
            <v>102204.8432862223</v>
          </cell>
          <cell r="C14">
            <v>17438.534795471169</v>
          </cell>
          <cell r="D14">
            <v>0</v>
          </cell>
          <cell r="E14">
            <v>794.87977565351252</v>
          </cell>
          <cell r="F14">
            <v>4420.1988477753712</v>
          </cell>
          <cell r="H14">
            <v>9409.7849999999999</v>
          </cell>
          <cell r="I14">
            <v>0</v>
          </cell>
          <cell r="J14">
            <v>0</v>
          </cell>
        </row>
        <row r="15">
          <cell r="B15">
            <v>99922.022606105384</v>
          </cell>
          <cell r="C15">
            <v>19014.972457422769</v>
          </cell>
          <cell r="D15">
            <v>0</v>
          </cell>
          <cell r="E15">
            <v>794.87977565351252</v>
          </cell>
          <cell r="F15">
            <v>4745.1035914549602</v>
          </cell>
          <cell r="H15">
            <v>17211.844694747611</v>
          </cell>
          <cell r="I15">
            <v>0</v>
          </cell>
          <cell r="J15">
            <v>0</v>
          </cell>
        </row>
        <row r="16">
          <cell r="B16">
            <v>97704.157857550003</v>
          </cell>
          <cell r="C16">
            <v>19653.986236669109</v>
          </cell>
          <cell r="D16">
            <v>0</v>
          </cell>
          <cell r="E16">
            <v>794.87977565351252</v>
          </cell>
          <cell r="F16">
            <v>3525.498890236348</v>
          </cell>
          <cell r="H16">
            <v>20839.355</v>
          </cell>
          <cell r="I16">
            <v>0</v>
          </cell>
          <cell r="J16">
            <v>0</v>
          </cell>
        </row>
        <row r="17">
          <cell r="B17">
            <v>82899.450832269999</v>
          </cell>
          <cell r="C17">
            <v>19711.284638977831</v>
          </cell>
          <cell r="D17">
            <v>0</v>
          </cell>
          <cell r="E17">
            <v>794.87977565351252</v>
          </cell>
          <cell r="F17">
            <v>1149.5805602623229</v>
          </cell>
          <cell r="H17">
            <v>20864.03</v>
          </cell>
          <cell r="I17">
            <v>0</v>
          </cell>
          <cell r="J17">
            <v>0</v>
          </cell>
        </row>
        <row r="18">
          <cell r="B18">
            <v>53981.474733825002</v>
          </cell>
          <cell r="C18">
            <v>18955.417524366439</v>
          </cell>
          <cell r="D18">
            <v>0</v>
          </cell>
          <cell r="E18">
            <v>794.87977565351252</v>
          </cell>
          <cell r="F18">
            <v>0</v>
          </cell>
          <cell r="H18">
            <v>21087.475999999999</v>
          </cell>
          <cell r="I18">
            <v>0</v>
          </cell>
          <cell r="J18">
            <v>0</v>
          </cell>
        </row>
        <row r="19">
          <cell r="B19">
            <v>12591.19372069</v>
          </cell>
          <cell r="C19">
            <v>15781.896243089581</v>
          </cell>
          <cell r="D19">
            <v>2462.66</v>
          </cell>
          <cell r="E19">
            <v>794.87977565351252</v>
          </cell>
          <cell r="F19">
            <v>0</v>
          </cell>
          <cell r="H19">
            <v>10720.650514679999</v>
          </cell>
          <cell r="I19">
            <v>3219.700516074</v>
          </cell>
          <cell r="J19">
            <v>367.01</v>
          </cell>
        </row>
        <row r="20">
          <cell r="B20">
            <v>0.96953515000000012</v>
          </cell>
          <cell r="C20">
            <v>14593.714336832239</v>
          </cell>
          <cell r="D20">
            <v>2462.66</v>
          </cell>
          <cell r="E20">
            <v>794.87977565351252</v>
          </cell>
          <cell r="F20">
            <v>0</v>
          </cell>
          <cell r="H20">
            <v>133.68182972</v>
          </cell>
          <cell r="I20">
            <v>2775.7296274427999</v>
          </cell>
          <cell r="J20">
            <v>367.01</v>
          </cell>
        </row>
        <row r="21">
          <cell r="B21">
            <v>0</v>
          </cell>
          <cell r="C21">
            <v>14223.344761290769</v>
          </cell>
          <cell r="D21">
            <v>156.22439499914981</v>
          </cell>
          <cell r="E21">
            <v>794.87977565351252</v>
          </cell>
          <cell r="F21">
            <v>0</v>
          </cell>
          <cell r="H21">
            <v>0</v>
          </cell>
          <cell r="I21">
            <v>2930.0067050687999</v>
          </cell>
          <cell r="J21">
            <v>367.01</v>
          </cell>
        </row>
        <row r="22">
          <cell r="B22">
            <v>0</v>
          </cell>
          <cell r="C22">
            <v>14363.338713443911</v>
          </cell>
          <cell r="D22">
            <v>0</v>
          </cell>
          <cell r="E22">
            <v>794.87977565351252</v>
          </cell>
          <cell r="F22">
            <v>0</v>
          </cell>
          <cell r="H22">
            <v>0</v>
          </cell>
          <cell r="I22">
            <v>3017.37030903</v>
          </cell>
          <cell r="J22">
            <v>367.01</v>
          </cell>
        </row>
        <row r="23">
          <cell r="B23">
            <v>0</v>
          </cell>
          <cell r="C23">
            <v>14848.21623140177</v>
          </cell>
          <cell r="D23">
            <v>2462.66</v>
          </cell>
          <cell r="E23">
            <v>794.87977565351252</v>
          </cell>
          <cell r="F23">
            <v>0</v>
          </cell>
          <cell r="H23">
            <v>0</v>
          </cell>
          <cell r="I23">
            <v>3529.174944078</v>
          </cell>
          <cell r="J23">
            <v>367.01</v>
          </cell>
        </row>
        <row r="24">
          <cell r="B24">
            <v>0</v>
          </cell>
          <cell r="C24">
            <v>15875.142067911909</v>
          </cell>
          <cell r="D24">
            <v>2462.66</v>
          </cell>
          <cell r="E24">
            <v>794.87977565351252</v>
          </cell>
          <cell r="F24">
            <v>0</v>
          </cell>
          <cell r="H24">
            <v>0</v>
          </cell>
          <cell r="I24">
            <v>3613.019545699201</v>
          </cell>
          <cell r="J24">
            <v>367.01</v>
          </cell>
        </row>
        <row r="25">
          <cell r="B25">
            <v>0</v>
          </cell>
          <cell r="C25">
            <v>16808.962166086068</v>
          </cell>
          <cell r="D25">
            <v>2462.66</v>
          </cell>
          <cell r="E25">
            <v>794.87977565351252</v>
          </cell>
          <cell r="F25">
            <v>0</v>
          </cell>
          <cell r="H25">
            <v>0</v>
          </cell>
          <cell r="I25">
            <v>4030.974289641601</v>
          </cell>
          <cell r="J25">
            <v>367.01</v>
          </cell>
        </row>
        <row r="26">
          <cell r="B26">
            <v>0</v>
          </cell>
          <cell r="C26">
            <v>17562.050500919151</v>
          </cell>
          <cell r="D26">
            <v>2462.66</v>
          </cell>
          <cell r="E26">
            <v>794.87977565351252</v>
          </cell>
          <cell r="F26">
            <v>0</v>
          </cell>
          <cell r="H26">
            <v>0</v>
          </cell>
          <cell r="I26">
            <v>4417.9863493500006</v>
          </cell>
          <cell r="J26">
            <v>367.01</v>
          </cell>
        </row>
        <row r="27">
          <cell r="B27">
            <v>0</v>
          </cell>
          <cell r="C27">
            <v>16948.98696297015</v>
          </cell>
          <cell r="D27">
            <v>2462.66</v>
          </cell>
          <cell r="E27">
            <v>794.87977565351252</v>
          </cell>
          <cell r="F27">
            <v>0</v>
          </cell>
          <cell r="H27">
            <v>0</v>
          </cell>
          <cell r="I27">
            <v>5011.1712434448009</v>
          </cell>
          <cell r="J27">
            <v>367.01</v>
          </cell>
        </row>
        <row r="28">
          <cell r="B28">
            <v>0</v>
          </cell>
          <cell r="C28">
            <v>16083.628397510431</v>
          </cell>
          <cell r="D28">
            <v>2462.66</v>
          </cell>
          <cell r="E28">
            <v>794.87977565351252</v>
          </cell>
          <cell r="F28">
            <v>0</v>
          </cell>
          <cell r="H28">
            <v>0</v>
          </cell>
          <cell r="I28">
            <v>5295.9331615176006</v>
          </cell>
          <cell r="J28">
            <v>367.01</v>
          </cell>
        </row>
        <row r="29">
          <cell r="B29">
            <v>0</v>
          </cell>
          <cell r="C29">
            <v>15063.22677239256</v>
          </cell>
          <cell r="D29">
            <v>2462.66</v>
          </cell>
          <cell r="E29">
            <v>794.87977565351252</v>
          </cell>
          <cell r="F29">
            <v>0</v>
          </cell>
          <cell r="H29">
            <v>0</v>
          </cell>
          <cell r="I29">
            <v>5266.6774103160014</v>
          </cell>
          <cell r="J29">
            <v>367.01</v>
          </cell>
        </row>
        <row r="30">
          <cell r="B30">
            <v>0</v>
          </cell>
          <cell r="C30">
            <v>14307.493685481089</v>
          </cell>
          <cell r="D30">
            <v>2462.66</v>
          </cell>
          <cell r="E30">
            <v>794.87977565351252</v>
          </cell>
          <cell r="F30">
            <v>0</v>
          </cell>
          <cell r="H30">
            <v>0</v>
          </cell>
          <cell r="I30">
            <v>5393.9203074540001</v>
          </cell>
          <cell r="J30">
            <v>367.01</v>
          </cell>
        </row>
        <row r="31">
          <cell r="B31">
            <v>0</v>
          </cell>
          <cell r="C31">
            <v>13599.38045674861</v>
          </cell>
          <cell r="D31">
            <v>2462.66</v>
          </cell>
          <cell r="E31">
            <v>794.87977565351252</v>
          </cell>
          <cell r="F31">
            <v>0</v>
          </cell>
          <cell r="H31">
            <v>0</v>
          </cell>
          <cell r="I31">
            <v>4913.5340220876014</v>
          </cell>
          <cell r="J31">
            <v>367.01</v>
          </cell>
        </row>
        <row r="32">
          <cell r="B32">
            <v>0</v>
          </cell>
          <cell r="C32">
            <v>12281.728618574811</v>
          </cell>
          <cell r="D32">
            <v>2462.66</v>
          </cell>
          <cell r="E32">
            <v>794.87977565351252</v>
          </cell>
          <cell r="F32">
            <v>0</v>
          </cell>
          <cell r="H32">
            <v>0</v>
          </cell>
          <cell r="I32">
            <v>4659.2965442520008</v>
          </cell>
          <cell r="J32">
            <v>367.01</v>
          </cell>
        </row>
        <row r="33">
          <cell r="B33">
            <v>0</v>
          </cell>
          <cell r="C33">
            <v>10580.61958356276</v>
          </cell>
          <cell r="D33">
            <v>2462.66</v>
          </cell>
          <cell r="E33">
            <v>794.87977565351252</v>
          </cell>
          <cell r="F33">
            <v>0</v>
          </cell>
          <cell r="H33">
            <v>0</v>
          </cell>
          <cell r="I33">
            <v>4695.0203343456014</v>
          </cell>
          <cell r="J33">
            <v>367.01</v>
          </cell>
        </row>
        <row r="34">
          <cell r="B34">
            <v>934.59348017000002</v>
          </cell>
          <cell r="C34">
            <v>10413.82697641188</v>
          </cell>
          <cell r="D34">
            <v>2462.66</v>
          </cell>
          <cell r="E34">
            <v>794.87977565351252</v>
          </cell>
          <cell r="F34">
            <v>0</v>
          </cell>
          <cell r="H34">
            <v>0.91376827999999999</v>
          </cell>
          <cell r="I34">
            <v>4994.2658839752012</v>
          </cell>
          <cell r="J34">
            <v>367.01</v>
          </cell>
        </row>
        <row r="35">
          <cell r="B35">
            <v>25897.408658640001</v>
          </cell>
          <cell r="C35">
            <v>9460.1706868510191</v>
          </cell>
          <cell r="D35">
            <v>2462.66</v>
          </cell>
          <cell r="E35">
            <v>794.87977565351252</v>
          </cell>
          <cell r="F35">
            <v>0</v>
          </cell>
          <cell r="H35">
            <v>6370.3973051200001</v>
          </cell>
          <cell r="I35">
            <v>5573.3554582776014</v>
          </cell>
          <cell r="J35">
            <v>367.01</v>
          </cell>
        </row>
        <row r="36">
          <cell r="B36">
            <v>65304.680580679997</v>
          </cell>
          <cell r="C36">
            <v>7941.8884700892058</v>
          </cell>
          <cell r="D36">
            <v>0</v>
          </cell>
          <cell r="E36">
            <v>794.87977565351252</v>
          </cell>
          <cell r="F36">
            <v>0</v>
          </cell>
          <cell r="H36">
            <v>4521.7846964708006</v>
          </cell>
          <cell r="I36">
            <v>5329.3893035292003</v>
          </cell>
        </row>
        <row r="37">
          <cell r="B37">
            <v>89284.034880100007</v>
          </cell>
          <cell r="C37">
            <v>7497.5158672407233</v>
          </cell>
          <cell r="D37">
            <v>0</v>
          </cell>
          <cell r="E37">
            <v>794.87977565351252</v>
          </cell>
          <cell r="F37">
            <v>0</v>
          </cell>
          <cell r="H37">
            <v>10296.91</v>
          </cell>
          <cell r="I37">
            <v>0</v>
          </cell>
        </row>
        <row r="38">
          <cell r="B38">
            <v>102827.70323068999</v>
          </cell>
          <cell r="C38">
            <v>8021.6047494042296</v>
          </cell>
          <cell r="D38">
            <v>0</v>
          </cell>
          <cell r="E38">
            <v>794.87977565351252</v>
          </cell>
          <cell r="F38">
            <v>1944.247974535087</v>
          </cell>
          <cell r="H38">
            <v>10349.374</v>
          </cell>
          <cell r="I38">
            <v>0</v>
          </cell>
        </row>
        <row r="39">
          <cell r="B39">
            <v>106708.54557056</v>
          </cell>
          <cell r="C39">
            <v>8207.2718532950585</v>
          </cell>
          <cell r="D39">
            <v>0</v>
          </cell>
          <cell r="E39">
            <v>794.87977565351252</v>
          </cell>
          <cell r="F39">
            <v>2608.5980359131481</v>
          </cell>
          <cell r="H39">
            <v>10074.08</v>
          </cell>
          <cell r="I39">
            <v>0</v>
          </cell>
        </row>
        <row r="40">
          <cell r="B40">
            <v>102270.32866443</v>
          </cell>
          <cell r="C40">
            <v>7701.0753018705727</v>
          </cell>
          <cell r="D40">
            <v>0</v>
          </cell>
          <cell r="E40">
            <v>794.87977565351252</v>
          </cell>
          <cell r="F40">
            <v>1788.0104960417909</v>
          </cell>
          <cell r="H40">
            <v>11768.21955563287</v>
          </cell>
          <cell r="I40">
            <v>0</v>
          </cell>
        </row>
        <row r="41">
          <cell r="B41">
            <v>86801.982486299996</v>
          </cell>
          <cell r="C41">
            <v>7208.4567662448699</v>
          </cell>
          <cell r="D41">
            <v>0</v>
          </cell>
          <cell r="E41">
            <v>794.87977565351252</v>
          </cell>
          <cell r="F41">
            <v>0</v>
          </cell>
          <cell r="H41">
            <v>10031.556</v>
          </cell>
          <cell r="I41">
            <v>0</v>
          </cell>
        </row>
        <row r="42">
          <cell r="B42">
            <v>56153.48521911</v>
          </cell>
          <cell r="C42">
            <v>6674.4703974418626</v>
          </cell>
          <cell r="D42">
            <v>0</v>
          </cell>
          <cell r="E42">
            <v>794.87977565351252</v>
          </cell>
          <cell r="F42">
            <v>0</v>
          </cell>
          <cell r="H42">
            <v>13762.319</v>
          </cell>
          <cell r="I42">
            <v>0</v>
          </cell>
          <cell r="J42">
            <v>0</v>
          </cell>
        </row>
        <row r="43">
          <cell r="B43">
            <v>13159.578224445</v>
          </cell>
          <cell r="C43">
            <v>6746.0583557562222</v>
          </cell>
          <cell r="D43">
            <v>2462.66</v>
          </cell>
          <cell r="E43">
            <v>794.87977565351252</v>
          </cell>
          <cell r="F43">
            <v>0</v>
          </cell>
          <cell r="H43">
            <v>11084.4549656401</v>
          </cell>
          <cell r="I43">
            <v>6664.5902662668004</v>
          </cell>
          <cell r="J43">
            <v>367.01</v>
          </cell>
        </row>
        <row r="44">
          <cell r="B44">
            <v>1.9437825</v>
          </cell>
          <cell r="C44">
            <v>10613.07732868978</v>
          </cell>
          <cell r="D44">
            <v>0</v>
          </cell>
          <cell r="E44">
            <v>794.87977565351252</v>
          </cell>
          <cell r="F44">
            <v>0</v>
          </cell>
          <cell r="H44">
            <v>189.52048056000001</v>
          </cell>
          <cell r="I44">
            <v>8551.2635072424</v>
          </cell>
          <cell r="J44">
            <v>367.01</v>
          </cell>
        </row>
        <row r="45">
          <cell r="B45">
            <v>0</v>
          </cell>
          <cell r="C45">
            <v>12693.764835624561</v>
          </cell>
          <cell r="D45">
            <v>2462.66</v>
          </cell>
          <cell r="E45">
            <v>794.87977565351252</v>
          </cell>
          <cell r="F45">
            <v>0</v>
          </cell>
          <cell r="H45">
            <v>0</v>
          </cell>
          <cell r="I45">
            <v>9698.2827129720008</v>
          </cell>
          <cell r="J45">
            <v>367.01</v>
          </cell>
        </row>
        <row r="46">
          <cell r="B46">
            <v>0</v>
          </cell>
          <cell r="C46">
            <v>11990.67975703404</v>
          </cell>
          <cell r="D46">
            <v>2462.66</v>
          </cell>
          <cell r="E46">
            <v>794.87977565351252</v>
          </cell>
          <cell r="F46">
            <v>0</v>
          </cell>
          <cell r="H46">
            <v>0</v>
          </cell>
          <cell r="I46">
            <v>10019.9552373396</v>
          </cell>
          <cell r="J46">
            <v>367.01</v>
          </cell>
        </row>
        <row r="47">
          <cell r="B47">
            <v>0</v>
          </cell>
          <cell r="C47">
            <v>10467.98876334349</v>
          </cell>
          <cell r="D47">
            <v>2462.66</v>
          </cell>
          <cell r="E47">
            <v>794.87977565351252</v>
          </cell>
          <cell r="F47">
            <v>0</v>
          </cell>
          <cell r="H47">
            <v>0</v>
          </cell>
          <cell r="I47">
            <v>10477.3865807772</v>
          </cell>
          <cell r="J47">
            <v>367.01</v>
          </cell>
        </row>
        <row r="48">
          <cell r="B48">
            <v>0</v>
          </cell>
          <cell r="C48">
            <v>9858.8226774680825</v>
          </cell>
          <cell r="D48">
            <v>0</v>
          </cell>
          <cell r="E48">
            <v>794.87977565351252</v>
          </cell>
          <cell r="F48">
            <v>0</v>
          </cell>
          <cell r="H48">
            <v>0</v>
          </cell>
          <cell r="I48">
            <v>11513.8049131728</v>
          </cell>
          <cell r="J48">
            <v>367.01</v>
          </cell>
        </row>
        <row r="49">
          <cell r="B49">
            <v>0</v>
          </cell>
          <cell r="C49">
            <v>9494.3897946343404</v>
          </cell>
          <cell r="D49">
            <v>0</v>
          </cell>
          <cell r="E49">
            <v>794.87977565351252</v>
          </cell>
          <cell r="F49">
            <v>0</v>
          </cell>
          <cell r="H49">
            <v>0</v>
          </cell>
          <cell r="I49">
            <v>11889.577472724</v>
          </cell>
          <cell r="J49">
            <v>367.01</v>
          </cell>
        </row>
        <row r="50">
          <cell r="B50">
            <v>0</v>
          </cell>
          <cell r="C50">
            <v>9891.4066473124822</v>
          </cell>
          <cell r="D50">
            <v>0</v>
          </cell>
          <cell r="E50">
            <v>794.87977565351252</v>
          </cell>
          <cell r="F50">
            <v>0</v>
          </cell>
          <cell r="H50">
            <v>0</v>
          </cell>
          <cell r="I50">
            <v>11853.9392730948</v>
          </cell>
          <cell r="J50">
            <v>367.01</v>
          </cell>
        </row>
        <row r="51">
          <cell r="B51">
            <v>0</v>
          </cell>
          <cell r="C51">
            <v>10235.357435405689</v>
          </cell>
          <cell r="D51">
            <v>2462.66</v>
          </cell>
          <cell r="E51">
            <v>794.87977565351252</v>
          </cell>
          <cell r="F51">
            <v>0</v>
          </cell>
          <cell r="H51">
            <v>0</v>
          </cell>
          <cell r="I51">
            <v>12291.091</v>
          </cell>
          <cell r="J51">
            <v>367.01</v>
          </cell>
        </row>
        <row r="52">
          <cell r="B52">
            <v>0</v>
          </cell>
          <cell r="C52">
            <v>10420.05283847216</v>
          </cell>
          <cell r="D52">
            <v>0</v>
          </cell>
          <cell r="E52">
            <v>794.87977565351252</v>
          </cell>
          <cell r="F52">
            <v>0</v>
          </cell>
          <cell r="H52">
            <v>0</v>
          </cell>
          <cell r="I52">
            <v>11862.897999999999</v>
          </cell>
          <cell r="J52">
            <v>367.01</v>
          </cell>
        </row>
        <row r="53">
          <cell r="B53">
            <v>0</v>
          </cell>
          <cell r="C53">
            <v>10021.14830662054</v>
          </cell>
          <cell r="D53">
            <v>2462.66</v>
          </cell>
          <cell r="E53">
            <v>794.87977565351252</v>
          </cell>
          <cell r="F53">
            <v>0</v>
          </cell>
          <cell r="H53">
            <v>0</v>
          </cell>
          <cell r="I53">
            <v>11741.949000000001</v>
          </cell>
          <cell r="J53">
            <v>367.01</v>
          </cell>
        </row>
        <row r="54">
          <cell r="B54">
            <v>0</v>
          </cell>
          <cell r="C54">
            <v>9615.3276700540955</v>
          </cell>
          <cell r="D54">
            <v>2462.66</v>
          </cell>
          <cell r="E54">
            <v>794.87977565351252</v>
          </cell>
          <cell r="F54">
            <v>0</v>
          </cell>
          <cell r="H54">
            <v>0</v>
          </cell>
          <cell r="I54">
            <v>11743.788</v>
          </cell>
          <cell r="J54">
            <v>367.01</v>
          </cell>
        </row>
        <row r="55">
          <cell r="B55">
            <v>0</v>
          </cell>
          <cell r="C55">
            <v>9302.575684706675</v>
          </cell>
          <cell r="D55">
            <v>2462.66</v>
          </cell>
          <cell r="E55">
            <v>794.87977565351252</v>
          </cell>
          <cell r="F55">
            <v>0</v>
          </cell>
          <cell r="H55">
            <v>0</v>
          </cell>
          <cell r="I55">
            <v>11880.679</v>
          </cell>
          <cell r="J55">
            <v>367.01</v>
          </cell>
        </row>
        <row r="56">
          <cell r="B56">
            <v>0</v>
          </cell>
          <cell r="C56">
            <v>8594.9043801847329</v>
          </cell>
          <cell r="D56">
            <v>2462.66</v>
          </cell>
          <cell r="E56">
            <v>794.87977565351252</v>
          </cell>
          <cell r="F56">
            <v>0</v>
          </cell>
          <cell r="H56">
            <v>0</v>
          </cell>
          <cell r="I56">
            <v>12243.555</v>
          </cell>
          <cell r="J56">
            <v>367.01</v>
          </cell>
        </row>
        <row r="57">
          <cell r="B57">
            <v>0</v>
          </cell>
          <cell r="C57">
            <v>7391.5416337173328</v>
          </cell>
          <cell r="D57">
            <v>2462.66</v>
          </cell>
          <cell r="E57">
            <v>794.87977565351252</v>
          </cell>
          <cell r="F57">
            <v>0</v>
          </cell>
          <cell r="H57">
            <v>0</v>
          </cell>
          <cell r="I57">
            <v>12781.937</v>
          </cell>
          <cell r="J57">
            <v>367.01</v>
          </cell>
        </row>
        <row r="58">
          <cell r="B58">
            <v>1193.34297388</v>
          </cell>
          <cell r="C58">
            <v>7084.5452200831733</v>
          </cell>
          <cell r="D58">
            <v>2462.66</v>
          </cell>
          <cell r="E58">
            <v>794.87977565351252</v>
          </cell>
          <cell r="F58">
            <v>0</v>
          </cell>
          <cell r="H58">
            <v>0</v>
          </cell>
          <cell r="I58">
            <v>13284.102999999999</v>
          </cell>
          <cell r="J58">
            <v>367.01</v>
          </cell>
        </row>
        <row r="59">
          <cell r="B59">
            <v>28362.336328615002</v>
          </cell>
          <cell r="C59">
            <v>5839.1482657304832</v>
          </cell>
          <cell r="D59">
            <v>2462.66</v>
          </cell>
          <cell r="E59">
            <v>794.87977565351252</v>
          </cell>
          <cell r="F59">
            <v>0</v>
          </cell>
          <cell r="H59">
            <v>0</v>
          </cell>
          <cell r="I59">
            <v>13505.612999999999</v>
          </cell>
          <cell r="J59">
            <v>367.01</v>
          </cell>
        </row>
        <row r="60">
          <cell r="B60">
            <v>67238.470389359994</v>
          </cell>
          <cell r="C60">
            <v>2940.658342457637</v>
          </cell>
          <cell r="D60">
            <v>0</v>
          </cell>
          <cell r="E60">
            <v>794.87977565351252</v>
          </cell>
          <cell r="F60">
            <v>0</v>
          </cell>
          <cell r="H60">
            <v>151.5035805131993</v>
          </cell>
          <cell r="I60">
            <v>13258.103419486801</v>
          </cell>
          <cell r="J60">
            <v>367.01</v>
          </cell>
        </row>
        <row r="61">
          <cell r="B61">
            <v>90010.904453039999</v>
          </cell>
          <cell r="C61">
            <v>1417.5837174260389</v>
          </cell>
          <cell r="D61">
            <v>0</v>
          </cell>
          <cell r="E61">
            <v>794.87977565351252</v>
          </cell>
          <cell r="F61">
            <v>0</v>
          </cell>
          <cell r="H61">
            <v>13865.772000000001</v>
          </cell>
          <cell r="I61">
            <v>0</v>
          </cell>
          <cell r="J61">
            <v>0</v>
          </cell>
        </row>
        <row r="62">
          <cell r="B62">
            <v>101382.32588371</v>
          </cell>
          <cell r="C62">
            <v>1047.830302104984</v>
          </cell>
          <cell r="D62">
            <v>0</v>
          </cell>
          <cell r="E62">
            <v>794.87977565351252</v>
          </cell>
          <cell r="F62">
            <v>267.73931854667632</v>
          </cell>
          <cell r="H62">
            <v>13920.192999999999</v>
          </cell>
          <cell r="I62">
            <v>0</v>
          </cell>
          <cell r="J62">
            <v>0</v>
          </cell>
        </row>
        <row r="63">
          <cell r="B63">
            <v>103098.142396745</v>
          </cell>
          <cell r="C63">
            <v>948.78805466085657</v>
          </cell>
          <cell r="D63">
            <v>0</v>
          </cell>
          <cell r="E63">
            <v>794.87977565351252</v>
          </cell>
          <cell r="F63">
            <v>523.97565298184657</v>
          </cell>
          <cell r="H63">
            <v>13642.54</v>
          </cell>
          <cell r="I63">
            <v>0</v>
          </cell>
          <cell r="J63">
            <v>0</v>
          </cell>
        </row>
        <row r="64">
          <cell r="B64">
            <v>96419.360859484994</v>
          </cell>
          <cell r="C64">
            <v>937.12635957142493</v>
          </cell>
          <cell r="D64">
            <v>0</v>
          </cell>
          <cell r="E64">
            <v>794.87977565351252</v>
          </cell>
          <cell r="F64">
            <v>0</v>
          </cell>
          <cell r="H64">
            <v>13582.709000000001</v>
          </cell>
          <cell r="I64">
            <v>0</v>
          </cell>
          <cell r="J64">
            <v>0</v>
          </cell>
        </row>
        <row r="65">
          <cell r="B65">
            <v>81064.360290885001</v>
          </cell>
          <cell r="C65">
            <v>1015.341620447234</v>
          </cell>
          <cell r="D65">
            <v>0</v>
          </cell>
          <cell r="E65">
            <v>794.87977565351252</v>
          </cell>
          <cell r="F65">
            <v>0</v>
          </cell>
          <cell r="H65">
            <v>13585.928</v>
          </cell>
          <cell r="I65">
            <v>0</v>
          </cell>
          <cell r="J65">
            <v>0</v>
          </cell>
        </row>
        <row r="66">
          <cell r="B66">
            <v>51965.445019035003</v>
          </cell>
          <cell r="C66">
            <v>908.720932771256</v>
          </cell>
          <cell r="D66">
            <v>0</v>
          </cell>
          <cell r="E66">
            <v>794.87977565351252</v>
          </cell>
          <cell r="F66">
            <v>0</v>
          </cell>
          <cell r="H66">
            <v>13803.921</v>
          </cell>
          <cell r="I66">
            <v>0</v>
          </cell>
          <cell r="J66">
            <v>0</v>
          </cell>
        </row>
        <row r="67">
          <cell r="B67">
            <v>12525.413529179999</v>
          </cell>
          <cell r="C67">
            <v>1632.2207250531701</v>
          </cell>
          <cell r="D67">
            <v>2462.66</v>
          </cell>
          <cell r="E67">
            <v>794.87977565351252</v>
          </cell>
          <cell r="F67">
            <v>0</v>
          </cell>
          <cell r="H67">
            <v>5191.6694978691976</v>
          </cell>
          <cell r="I67">
            <v>8768.1685021308022</v>
          </cell>
          <cell r="J67">
            <v>367.01</v>
          </cell>
        </row>
        <row r="68">
          <cell r="B68">
            <v>4.5237119999999997</v>
          </cell>
          <cell r="C68">
            <v>2969.6079584393642</v>
          </cell>
          <cell r="D68">
            <v>2462.66</v>
          </cell>
          <cell r="E68">
            <v>794.87977565351252</v>
          </cell>
          <cell r="F68">
            <v>0</v>
          </cell>
          <cell r="H68">
            <v>263.01708600000001</v>
          </cell>
          <cell r="I68">
            <v>9145.9196905860008</v>
          </cell>
          <cell r="J68">
            <v>367.01</v>
          </cell>
        </row>
        <row r="69">
          <cell r="B69">
            <v>0</v>
          </cell>
          <cell r="C69">
            <v>3032.5158789883521</v>
          </cell>
          <cell r="D69">
            <v>2462.66</v>
          </cell>
          <cell r="E69">
            <v>794.87977565351252</v>
          </cell>
          <cell r="F69">
            <v>0</v>
          </cell>
          <cell r="H69">
            <v>0</v>
          </cell>
          <cell r="I69">
            <v>9953.065450288801</v>
          </cell>
          <cell r="J69">
            <v>367.01</v>
          </cell>
        </row>
        <row r="70">
          <cell r="B70">
            <v>0</v>
          </cell>
          <cell r="C70">
            <v>1997.8308484510681</v>
          </cell>
          <cell r="D70">
            <v>2462.66</v>
          </cell>
          <cell r="E70">
            <v>794.87977565351252</v>
          </cell>
          <cell r="F70">
            <v>0</v>
          </cell>
          <cell r="H70">
            <v>0</v>
          </cell>
          <cell r="I70">
            <v>9991.3011261336014</v>
          </cell>
          <cell r="J70">
            <v>367.01</v>
          </cell>
        </row>
        <row r="71">
          <cell r="B71">
            <v>0</v>
          </cell>
          <cell r="C71">
            <v>1605.3004353277749</v>
          </cell>
          <cell r="D71">
            <v>2462.66</v>
          </cell>
          <cell r="E71">
            <v>794.87977565351252</v>
          </cell>
          <cell r="F71">
            <v>0</v>
          </cell>
          <cell r="H71">
            <v>0</v>
          </cell>
          <cell r="I71">
            <v>9228.1483765296016</v>
          </cell>
          <cell r="J71">
            <v>367.01</v>
          </cell>
        </row>
        <row r="72">
          <cell r="B72">
            <v>0</v>
          </cell>
          <cell r="C72">
            <v>1718.6635425074569</v>
          </cell>
          <cell r="D72">
            <v>2462.66</v>
          </cell>
          <cell r="E72">
            <v>794.87977565351252</v>
          </cell>
          <cell r="F72">
            <v>0</v>
          </cell>
          <cell r="H72">
            <v>0</v>
          </cell>
          <cell r="I72">
            <v>8798.7117217104005</v>
          </cell>
          <cell r="J72">
            <v>367.01</v>
          </cell>
        </row>
        <row r="73">
          <cell r="B73">
            <v>0</v>
          </cell>
          <cell r="C73">
            <v>1784.441950829415</v>
          </cell>
          <cell r="D73">
            <v>2462.66</v>
          </cell>
          <cell r="E73">
            <v>794.87977565351252</v>
          </cell>
          <cell r="F73">
            <v>0</v>
          </cell>
          <cell r="H73">
            <v>0</v>
          </cell>
          <cell r="I73">
            <v>9395.4627152064004</v>
          </cell>
          <cell r="J73">
            <v>367.01</v>
          </cell>
        </row>
        <row r="74">
          <cell r="B74">
            <v>0</v>
          </cell>
          <cell r="C74">
            <v>2092.8097615930119</v>
          </cell>
          <cell r="D74">
            <v>2462.66</v>
          </cell>
          <cell r="E74">
            <v>794.87977565351252</v>
          </cell>
          <cell r="F74">
            <v>0</v>
          </cell>
          <cell r="H74">
            <v>0</v>
          </cell>
          <cell r="I74">
            <v>9609.3571308336013</v>
          </cell>
          <cell r="J74">
            <v>367.01</v>
          </cell>
        </row>
        <row r="75">
          <cell r="B75">
            <v>0</v>
          </cell>
          <cell r="C75">
            <v>2453.948776001735</v>
          </cell>
          <cell r="D75">
            <v>0</v>
          </cell>
          <cell r="E75">
            <v>794.87977565351252</v>
          </cell>
          <cell r="F75">
            <v>0</v>
          </cell>
          <cell r="H75">
            <v>0</v>
          </cell>
          <cell r="I75">
            <v>9244.3331318436012</v>
          </cell>
          <cell r="J75">
            <v>367.01</v>
          </cell>
        </row>
        <row r="76">
          <cell r="B76">
            <v>0</v>
          </cell>
          <cell r="C76">
            <v>2997.363626294346</v>
          </cell>
          <cell r="D76">
            <v>0</v>
          </cell>
          <cell r="E76">
            <v>794.87977565351252</v>
          </cell>
          <cell r="F76">
            <v>0</v>
          </cell>
          <cell r="H76">
            <v>0</v>
          </cell>
          <cell r="I76">
            <v>9299.5484985144012</v>
          </cell>
          <cell r="J76">
            <v>367.01</v>
          </cell>
        </row>
        <row r="77">
          <cell r="B77">
            <v>0</v>
          </cell>
          <cell r="C77">
            <v>3725.395207229572</v>
          </cell>
          <cell r="D77">
            <v>2462.66</v>
          </cell>
          <cell r="E77">
            <v>794.87977565351252</v>
          </cell>
          <cell r="F77">
            <v>0</v>
          </cell>
          <cell r="H77">
            <v>0</v>
          </cell>
          <cell r="I77">
            <v>9563.6622959388023</v>
          </cell>
          <cell r="J77">
            <v>367.01</v>
          </cell>
        </row>
        <row r="78">
          <cell r="B78">
            <v>0</v>
          </cell>
          <cell r="C78">
            <v>4680.1631923013483</v>
          </cell>
          <cell r="D78">
            <v>2462.66</v>
          </cell>
          <cell r="E78">
            <v>794.87977565351252</v>
          </cell>
          <cell r="F78">
            <v>0</v>
          </cell>
          <cell r="H78">
            <v>0</v>
          </cell>
          <cell r="I78">
            <v>9329.9895576216004</v>
          </cell>
          <cell r="J78">
            <v>367.01</v>
          </cell>
        </row>
        <row r="79">
          <cell r="B79">
            <v>0</v>
          </cell>
          <cell r="C79">
            <v>5450.4992397167543</v>
          </cell>
          <cell r="D79">
            <v>2462.66</v>
          </cell>
          <cell r="E79">
            <v>794.87977565351252</v>
          </cell>
          <cell r="F79">
            <v>0</v>
          </cell>
          <cell r="H79">
            <v>0</v>
          </cell>
          <cell r="I79">
            <v>9094.2185676888002</v>
          </cell>
          <cell r="J79">
            <v>367.01</v>
          </cell>
        </row>
        <row r="80">
          <cell r="B80">
            <v>0</v>
          </cell>
          <cell r="C80">
            <v>6064.3819072317219</v>
          </cell>
          <cell r="D80">
            <v>0</v>
          </cell>
          <cell r="E80">
            <v>794.87977565351252</v>
          </cell>
          <cell r="F80">
            <v>0</v>
          </cell>
          <cell r="H80">
            <v>0</v>
          </cell>
          <cell r="I80">
            <v>8842.0529144304001</v>
          </cell>
          <cell r="J80">
            <v>367.01</v>
          </cell>
        </row>
        <row r="81">
          <cell r="B81">
            <v>0</v>
          </cell>
          <cell r="C81">
            <v>6423.2157370017594</v>
          </cell>
          <cell r="D81">
            <v>2462.66</v>
          </cell>
          <cell r="E81">
            <v>794.87977565351252</v>
          </cell>
          <cell r="F81">
            <v>0</v>
          </cell>
          <cell r="H81">
            <v>0</v>
          </cell>
          <cell r="I81">
            <v>8297.2639152396005</v>
          </cell>
          <cell r="J81">
            <v>367.01</v>
          </cell>
        </row>
        <row r="82">
          <cell r="B82">
            <v>808.16055977500002</v>
          </cell>
          <cell r="C82">
            <v>7229.6280938422078</v>
          </cell>
          <cell r="D82">
            <v>2462.66</v>
          </cell>
          <cell r="E82">
            <v>794.87977565351252</v>
          </cell>
          <cell r="F82">
            <v>0</v>
          </cell>
          <cell r="H82">
            <v>0</v>
          </cell>
          <cell r="I82">
            <v>7808.7436253820006</v>
          </cell>
          <cell r="J82">
            <v>367.01</v>
          </cell>
        </row>
        <row r="83">
          <cell r="B83">
            <v>17541.952262035</v>
          </cell>
          <cell r="C83">
            <v>8348.136342899068</v>
          </cell>
          <cell r="D83">
            <v>0</v>
          </cell>
          <cell r="E83">
            <v>794.87977565351252</v>
          </cell>
          <cell r="F83">
            <v>0</v>
          </cell>
          <cell r="H83">
            <v>3379.7325104400002</v>
          </cell>
          <cell r="I83">
            <v>6494.726929269601</v>
          </cell>
          <cell r="J83">
            <v>367.01</v>
          </cell>
        </row>
        <row r="84">
          <cell r="B84">
            <v>42818.540351174997</v>
          </cell>
          <cell r="C84">
            <v>9234.8761820860545</v>
          </cell>
          <cell r="D84">
            <v>0</v>
          </cell>
          <cell r="E84">
            <v>794.87977565351252</v>
          </cell>
          <cell r="F84">
            <v>0</v>
          </cell>
          <cell r="H84">
            <v>7841.3072544471988</v>
          </cell>
          <cell r="I84">
            <v>5527.7737455528013</v>
          </cell>
          <cell r="J84">
            <v>367.01</v>
          </cell>
        </row>
        <row r="85">
          <cell r="B85">
            <v>61579.787439565</v>
          </cell>
          <cell r="C85">
            <v>10602.74259962927</v>
          </cell>
          <cell r="D85">
            <v>0</v>
          </cell>
          <cell r="E85">
            <v>794.87977565351252</v>
          </cell>
          <cell r="F85">
            <v>0</v>
          </cell>
          <cell r="H85">
            <v>8832.0870308779995</v>
          </cell>
          <cell r="I85">
            <v>4655.7079691220006</v>
          </cell>
          <cell r="J85">
            <v>367.01</v>
          </cell>
        </row>
        <row r="86">
          <cell r="B86">
            <v>73094.484489284994</v>
          </cell>
          <cell r="C86">
            <v>12693.81780410596</v>
          </cell>
          <cell r="D86">
            <v>0</v>
          </cell>
          <cell r="E86">
            <v>794.87977565351252</v>
          </cell>
          <cell r="F86">
            <v>0</v>
          </cell>
          <cell r="H86">
            <v>13941.152</v>
          </cell>
          <cell r="I86">
            <v>0</v>
          </cell>
          <cell r="J86">
            <v>0</v>
          </cell>
        </row>
        <row r="87">
          <cell r="B87">
            <v>75389.91715257999</v>
          </cell>
          <cell r="C87">
            <v>14935.23885635787</v>
          </cell>
          <cell r="D87">
            <v>0</v>
          </cell>
          <cell r="E87">
            <v>794.87977565351252</v>
          </cell>
          <cell r="F87">
            <v>0</v>
          </cell>
          <cell r="H87">
            <v>23748.23780092338</v>
          </cell>
          <cell r="I87">
            <v>0</v>
          </cell>
          <cell r="J87">
            <v>0</v>
          </cell>
        </row>
        <row r="88">
          <cell r="B88">
            <v>69286.496295564997</v>
          </cell>
          <cell r="C88">
            <v>17302.695151216511</v>
          </cell>
          <cell r="D88">
            <v>0</v>
          </cell>
          <cell r="E88">
            <v>794.87977565351252</v>
          </cell>
          <cell r="F88">
            <v>0</v>
          </cell>
          <cell r="H88">
            <v>25654.031999999999</v>
          </cell>
          <cell r="I88">
            <v>0</v>
          </cell>
          <cell r="J88">
            <v>0</v>
          </cell>
        </row>
        <row r="89">
          <cell r="B89">
            <v>58818.069274305002</v>
          </cell>
          <cell r="C89">
            <v>19055.53493100328</v>
          </cell>
          <cell r="D89">
            <v>0</v>
          </cell>
          <cell r="E89">
            <v>794.87977565351252</v>
          </cell>
          <cell r="F89">
            <v>0</v>
          </cell>
          <cell r="H89">
            <v>25681.664000000001</v>
          </cell>
          <cell r="I89">
            <v>0</v>
          </cell>
          <cell r="J89">
            <v>0</v>
          </cell>
        </row>
        <row r="90">
          <cell r="B90">
            <v>40800.48073843</v>
          </cell>
          <cell r="C90">
            <v>19502.5647707022</v>
          </cell>
          <cell r="D90">
            <v>0</v>
          </cell>
          <cell r="E90">
            <v>794.87977565351252</v>
          </cell>
          <cell r="F90">
            <v>0</v>
          </cell>
          <cell r="H90">
            <v>16547.849622000002</v>
          </cell>
          <cell r="I90">
            <v>4242.9736486872007</v>
          </cell>
          <cell r="J90">
            <v>367.01</v>
          </cell>
        </row>
        <row r="91">
          <cell r="B91">
            <v>12182.816208914999</v>
          </cell>
          <cell r="C91">
            <v>18779.82452991965</v>
          </cell>
          <cell r="D91">
            <v>0</v>
          </cell>
          <cell r="E91">
            <v>794.87977565351252</v>
          </cell>
          <cell r="F91">
            <v>0</v>
          </cell>
          <cell r="H91">
            <v>6214.0935363600001</v>
          </cell>
          <cell r="I91">
            <v>6336.3398098644011</v>
          </cell>
          <cell r="J91">
            <v>367.01</v>
          </cell>
        </row>
        <row r="92">
          <cell r="B92">
            <v>9.0827655000000007</v>
          </cell>
          <cell r="C92">
            <v>20441.524096769612</v>
          </cell>
          <cell r="D92">
            <v>2462.66</v>
          </cell>
          <cell r="E92">
            <v>794.87977565351252</v>
          </cell>
          <cell r="F92">
            <v>0</v>
          </cell>
          <cell r="H92">
            <v>275.63696684000001</v>
          </cell>
          <cell r="I92">
            <v>8159.1113248344009</v>
          </cell>
          <cell r="J92">
            <v>367.01</v>
          </cell>
        </row>
        <row r="93">
          <cell r="B93">
            <v>0</v>
          </cell>
          <cell r="C93">
            <v>23384.874651799371</v>
          </cell>
          <cell r="D93">
            <v>2462.66</v>
          </cell>
          <cell r="E93">
            <v>794.87977565351252</v>
          </cell>
          <cell r="F93">
            <v>0</v>
          </cell>
          <cell r="H93">
            <v>0</v>
          </cell>
          <cell r="I93">
            <v>9204.1469323776</v>
          </cell>
          <cell r="J93">
            <v>367.01</v>
          </cell>
        </row>
        <row r="94">
          <cell r="B94">
            <v>0</v>
          </cell>
          <cell r="C94">
            <v>25246.37105510366</v>
          </cell>
          <cell r="D94">
            <v>2462.66</v>
          </cell>
          <cell r="E94">
            <v>794.87977565351252</v>
          </cell>
          <cell r="F94">
            <v>0</v>
          </cell>
          <cell r="H94">
            <v>0</v>
          </cell>
          <cell r="I94">
            <v>9824.4592663644016</v>
          </cell>
          <cell r="J94">
            <v>367.01</v>
          </cell>
        </row>
        <row r="95">
          <cell r="B95">
            <v>0</v>
          </cell>
          <cell r="C95">
            <v>26455.499012262731</v>
          </cell>
          <cell r="D95">
            <v>2462.66</v>
          </cell>
          <cell r="E95">
            <v>794.87977565351252</v>
          </cell>
          <cell r="F95">
            <v>0</v>
          </cell>
          <cell r="H95">
            <v>0</v>
          </cell>
          <cell r="I95">
            <v>9664.5348963324013</v>
          </cell>
          <cell r="J95">
            <v>367.01</v>
          </cell>
        </row>
        <row r="96">
          <cell r="B96">
            <v>0</v>
          </cell>
          <cell r="C96">
            <v>29327.556745317321</v>
          </cell>
          <cell r="D96">
            <v>2462.66</v>
          </cell>
          <cell r="E96">
            <v>794.87977565351252</v>
          </cell>
          <cell r="F96">
            <v>0</v>
          </cell>
          <cell r="H96">
            <v>0</v>
          </cell>
          <cell r="I96">
            <v>9133.4164511520012</v>
          </cell>
          <cell r="J96">
            <v>367.01</v>
          </cell>
        </row>
        <row r="97">
          <cell r="B97">
            <v>0</v>
          </cell>
          <cell r="C97">
            <v>32495.56085894713</v>
          </cell>
          <cell r="D97">
            <v>2462.66</v>
          </cell>
          <cell r="E97">
            <v>794.87977565351252</v>
          </cell>
          <cell r="F97">
            <v>0</v>
          </cell>
          <cell r="H97">
            <v>0</v>
          </cell>
          <cell r="I97">
            <v>7121.4858036252008</v>
          </cell>
          <cell r="J97">
            <v>367.01</v>
          </cell>
        </row>
        <row r="98">
          <cell r="B98">
            <v>0</v>
          </cell>
          <cell r="C98">
            <v>33692.350464731819</v>
          </cell>
          <cell r="D98">
            <v>0</v>
          </cell>
          <cell r="E98">
            <v>794.87977565351252</v>
          </cell>
          <cell r="F98">
            <v>0</v>
          </cell>
          <cell r="H98">
            <v>0</v>
          </cell>
          <cell r="I98">
            <v>4324.9114247724001</v>
          </cell>
          <cell r="J98">
            <v>367.01</v>
          </cell>
        </row>
        <row r="99">
          <cell r="B99">
            <v>0</v>
          </cell>
          <cell r="C99">
            <v>31442.18988844772</v>
          </cell>
          <cell r="D99">
            <v>2462.66</v>
          </cell>
          <cell r="E99">
            <v>794.87977565351252</v>
          </cell>
          <cell r="F99">
            <v>0</v>
          </cell>
          <cell r="H99">
            <v>0</v>
          </cell>
          <cell r="I99">
            <v>2682.3195425879999</v>
          </cell>
          <cell r="J99">
            <v>367.01</v>
          </cell>
        </row>
        <row r="100">
          <cell r="B100">
            <v>0</v>
          </cell>
          <cell r="C100">
            <v>30725.5670023684</v>
          </cell>
          <cell r="D100">
            <v>0</v>
          </cell>
          <cell r="E100">
            <v>794.87977565351252</v>
          </cell>
          <cell r="F100">
            <v>0</v>
          </cell>
          <cell r="H100">
            <v>0</v>
          </cell>
          <cell r="I100">
            <v>2284.2667378440001</v>
          </cell>
          <cell r="J100">
            <v>367.01</v>
          </cell>
        </row>
        <row r="101">
          <cell r="B101">
            <v>0</v>
          </cell>
          <cell r="C101">
            <v>32808.221044500096</v>
          </cell>
          <cell r="D101">
            <v>2462.66</v>
          </cell>
          <cell r="E101">
            <v>794.87977565351252</v>
          </cell>
          <cell r="F101">
            <v>0</v>
          </cell>
          <cell r="H101">
            <v>0</v>
          </cell>
          <cell r="I101">
            <v>1881.8896708584</v>
          </cell>
          <cell r="J101">
            <v>367.01</v>
          </cell>
        </row>
        <row r="102">
          <cell r="B102">
            <v>0</v>
          </cell>
          <cell r="C102">
            <v>38083.80541485174</v>
          </cell>
          <cell r="D102">
            <v>2462.66</v>
          </cell>
          <cell r="E102">
            <v>794.87977565351252</v>
          </cell>
          <cell r="F102">
            <v>0</v>
          </cell>
          <cell r="H102">
            <v>0</v>
          </cell>
          <cell r="I102">
            <v>1570.9839977915999</v>
          </cell>
          <cell r="J102">
            <v>367.01</v>
          </cell>
        </row>
        <row r="103">
          <cell r="B103">
            <v>0</v>
          </cell>
          <cell r="C103">
            <v>43215.925984419227</v>
          </cell>
          <cell r="D103">
            <v>662.46407404423917</v>
          </cell>
          <cell r="E103">
            <v>794.87977565351252</v>
          </cell>
          <cell r="F103">
            <v>0</v>
          </cell>
          <cell r="H103">
            <v>0</v>
          </cell>
          <cell r="I103">
            <v>1388.915171658</v>
          </cell>
          <cell r="J103">
            <v>367.01</v>
          </cell>
        </row>
        <row r="104">
          <cell r="B104">
            <v>0</v>
          </cell>
          <cell r="C104">
            <v>45676.77452477238</v>
          </cell>
          <cell r="D104">
            <v>1398.060363218581</v>
          </cell>
          <cell r="E104">
            <v>794.87977565351252</v>
          </cell>
          <cell r="F104">
            <v>0</v>
          </cell>
          <cell r="H104">
            <v>0</v>
          </cell>
          <cell r="I104">
            <v>1383.6655169568</v>
          </cell>
          <cell r="J104">
            <v>367.01</v>
          </cell>
        </row>
        <row r="105">
          <cell r="B105">
            <v>0</v>
          </cell>
          <cell r="C105">
            <v>47147.468462484481</v>
          </cell>
          <cell r="D105">
            <v>2014.9666466511769</v>
          </cell>
          <cell r="E105">
            <v>794.87977565351252</v>
          </cell>
          <cell r="F105">
            <v>0</v>
          </cell>
          <cell r="H105">
            <v>0</v>
          </cell>
          <cell r="I105">
            <v>1352.9868906708</v>
          </cell>
          <cell r="J105">
            <v>367.01</v>
          </cell>
        </row>
        <row r="106">
          <cell r="B106">
            <v>589.20041164499992</v>
          </cell>
          <cell r="C106">
            <v>49863.399898306299</v>
          </cell>
          <cell r="D106">
            <v>999.74471880131932</v>
          </cell>
          <cell r="E106">
            <v>794.87977565351252</v>
          </cell>
          <cell r="F106">
            <v>0</v>
          </cell>
          <cell r="H106">
            <v>0</v>
          </cell>
          <cell r="I106">
            <v>1141.8532083252001</v>
          </cell>
          <cell r="J106">
            <v>367.01</v>
          </cell>
        </row>
        <row r="107">
          <cell r="B107">
            <v>15869.415774535</v>
          </cell>
          <cell r="C107">
            <v>52849.775181003577</v>
          </cell>
          <cell r="D107">
            <v>0</v>
          </cell>
          <cell r="E107">
            <v>794.87977565351252</v>
          </cell>
          <cell r="F107">
            <v>0</v>
          </cell>
          <cell r="H107">
            <v>4826.8204122399993</v>
          </cell>
          <cell r="I107">
            <v>1034.4762424835999</v>
          </cell>
          <cell r="J107">
            <v>367.01</v>
          </cell>
        </row>
        <row r="108">
          <cell r="B108">
            <v>13034.87564859214</v>
          </cell>
          <cell r="C108">
            <v>56504.39586789751</v>
          </cell>
          <cell r="D108">
            <v>0</v>
          </cell>
          <cell r="E108">
            <v>794.87977565351252</v>
          </cell>
          <cell r="F108">
            <v>2671.4354410077508</v>
          </cell>
          <cell r="H108">
            <v>9118.4310318923999</v>
          </cell>
          <cell r="I108">
            <v>774.73796810760007</v>
          </cell>
        </row>
        <row r="109">
          <cell r="B109">
            <v>6574.1743119566599</v>
          </cell>
          <cell r="C109">
            <v>59127.139771766473</v>
          </cell>
          <cell r="D109">
            <v>0</v>
          </cell>
          <cell r="E109">
            <v>794.87977565351252</v>
          </cell>
          <cell r="F109">
            <v>7050.7220424742754</v>
          </cell>
          <cell r="H109">
            <v>14565.26804347826</v>
          </cell>
          <cell r="I109">
            <v>0</v>
          </cell>
        </row>
        <row r="110">
          <cell r="B110">
            <v>42318.910989712997</v>
          </cell>
          <cell r="C110">
            <v>61539.214438724463</v>
          </cell>
          <cell r="D110">
            <v>0</v>
          </cell>
          <cell r="E110">
            <v>0</v>
          </cell>
          <cell r="F110">
            <v>10275.572480264491</v>
          </cell>
          <cell r="H110">
            <v>10514.201999999999</v>
          </cell>
          <cell r="I110">
            <v>0</v>
          </cell>
        </row>
        <row r="111">
          <cell r="B111">
            <v>55573.100721130882</v>
          </cell>
          <cell r="C111">
            <v>63213.31092521768</v>
          </cell>
          <cell r="D111">
            <v>0</v>
          </cell>
          <cell r="E111">
            <v>794.87977565351252</v>
          </cell>
          <cell r="F111">
            <v>11879.522648548849</v>
          </cell>
          <cell r="H111">
            <v>22289.083999999999</v>
          </cell>
          <cell r="I111">
            <v>0</v>
          </cell>
        </row>
        <row r="112">
          <cell r="B112">
            <v>54932.249815650743</v>
          </cell>
          <cell r="C112">
            <v>63954.563512551031</v>
          </cell>
          <cell r="D112">
            <v>0</v>
          </cell>
          <cell r="E112">
            <v>0</v>
          </cell>
          <cell r="F112">
            <v>11788.77057364913</v>
          </cell>
          <cell r="H112">
            <v>22249.623</v>
          </cell>
          <cell r="I112">
            <v>0</v>
          </cell>
        </row>
        <row r="113">
          <cell r="B113">
            <v>58222.366125030872</v>
          </cell>
          <cell r="C113">
            <v>63107.627880642307</v>
          </cell>
          <cell r="D113">
            <v>0</v>
          </cell>
          <cell r="E113">
            <v>0</v>
          </cell>
          <cell r="F113">
            <v>9227.2567274777412</v>
          </cell>
          <cell r="H113">
            <v>22250.602999999999</v>
          </cell>
          <cell r="I113">
            <v>0</v>
          </cell>
        </row>
        <row r="114">
          <cell r="B114">
            <v>50463.336671620003</v>
          </cell>
          <cell r="C114">
            <v>61800.40762031218</v>
          </cell>
          <cell r="D114">
            <v>0</v>
          </cell>
          <cell r="E114">
            <v>794.87977565351252</v>
          </cell>
          <cell r="F114">
            <v>4629.4806950609509</v>
          </cell>
          <cell r="H114">
            <v>21765.031838684401</v>
          </cell>
          <cell r="I114">
            <v>312.96116131560001</v>
          </cell>
        </row>
        <row r="115">
          <cell r="B115">
            <v>13507.845852775001</v>
          </cell>
          <cell r="C115">
            <v>56043.466254120212</v>
          </cell>
          <cell r="D115">
            <v>0</v>
          </cell>
          <cell r="E115">
            <v>794.87977565351252</v>
          </cell>
          <cell r="F115">
            <v>0</v>
          </cell>
          <cell r="H115">
            <v>9683.5482133199985</v>
          </cell>
          <cell r="I115">
            <v>624.48476821920008</v>
          </cell>
          <cell r="J115">
            <v>367.01</v>
          </cell>
        </row>
        <row r="116">
          <cell r="B116">
            <v>15.96776092</v>
          </cell>
          <cell r="C116">
            <v>49015.923932807389</v>
          </cell>
          <cell r="D116">
            <v>0</v>
          </cell>
          <cell r="E116">
            <v>794.87977565351252</v>
          </cell>
          <cell r="F116">
            <v>0</v>
          </cell>
          <cell r="H116">
            <v>416.62894279999989</v>
          </cell>
          <cell r="I116">
            <v>923.74716402360013</v>
          </cell>
          <cell r="J116">
            <v>367.01</v>
          </cell>
        </row>
        <row r="117">
          <cell r="B117">
            <v>0</v>
          </cell>
          <cell r="C117">
            <v>44376.945800292582</v>
          </cell>
          <cell r="D117">
            <v>0</v>
          </cell>
          <cell r="E117">
            <v>794.87977565351252</v>
          </cell>
          <cell r="F117">
            <v>0</v>
          </cell>
          <cell r="H117">
            <v>0</v>
          </cell>
          <cell r="I117">
            <v>1061.297647074</v>
          </cell>
        </row>
        <row r="118">
          <cell r="B118">
            <v>0</v>
          </cell>
          <cell r="C118">
            <v>43141.369496151427</v>
          </cell>
          <cell r="D118">
            <v>0</v>
          </cell>
          <cell r="E118">
            <v>794.87977565351252</v>
          </cell>
          <cell r="F118">
            <v>0</v>
          </cell>
          <cell r="H118">
            <v>0</v>
          </cell>
          <cell r="I118">
            <v>1029.0282787763999</v>
          </cell>
        </row>
        <row r="119">
          <cell r="B119">
            <v>0</v>
          </cell>
          <cell r="C119">
            <v>43170.125414566843</v>
          </cell>
          <cell r="D119">
            <v>0</v>
          </cell>
          <cell r="E119">
            <v>794.87977565351252</v>
          </cell>
          <cell r="F119">
            <v>0</v>
          </cell>
          <cell r="H119">
            <v>0</v>
          </cell>
          <cell r="I119">
            <v>1004.0041039896</v>
          </cell>
          <cell r="J119">
            <v>367.01</v>
          </cell>
        </row>
        <row r="120">
          <cell r="B120">
            <v>0</v>
          </cell>
          <cell r="C120">
            <v>43085.999807524313</v>
          </cell>
          <cell r="D120">
            <v>0</v>
          </cell>
          <cell r="E120">
            <v>794.87977565351252</v>
          </cell>
          <cell r="F120">
            <v>0</v>
          </cell>
          <cell r="H120">
            <v>0</v>
          </cell>
          <cell r="I120">
            <v>975.65655917520007</v>
          </cell>
          <cell r="J120">
            <v>367.01</v>
          </cell>
        </row>
        <row r="121">
          <cell r="B121">
            <v>0</v>
          </cell>
          <cell r="C121">
            <v>43948.385436640448</v>
          </cell>
          <cell r="D121">
            <v>0</v>
          </cell>
          <cell r="E121">
            <v>794.87977565351252</v>
          </cell>
          <cell r="F121">
            <v>0</v>
          </cell>
          <cell r="H121">
            <v>0</v>
          </cell>
          <cell r="I121">
            <v>1025.5935710412</v>
          </cell>
          <cell r="J121">
            <v>367.01</v>
          </cell>
        </row>
        <row r="122">
          <cell r="B122">
            <v>0</v>
          </cell>
          <cell r="C122">
            <v>45259.381238917129</v>
          </cell>
          <cell r="D122">
            <v>0</v>
          </cell>
          <cell r="E122">
            <v>794.87977565351252</v>
          </cell>
          <cell r="F122">
            <v>0</v>
          </cell>
          <cell r="H122">
            <v>0</v>
          </cell>
          <cell r="I122">
            <v>1175.7334363236</v>
          </cell>
          <cell r="J122">
            <v>367.01</v>
          </cell>
        </row>
        <row r="123">
          <cell r="B123">
            <v>0</v>
          </cell>
          <cell r="C123">
            <v>45336.453592351907</v>
          </cell>
          <cell r="D123">
            <v>0</v>
          </cell>
          <cell r="E123">
            <v>794.87977565351252</v>
          </cell>
          <cell r="F123">
            <v>0</v>
          </cell>
          <cell r="H123">
            <v>0</v>
          </cell>
          <cell r="I123">
            <v>1284.1651469051999</v>
          </cell>
        </row>
        <row r="124">
          <cell r="B124">
            <v>0</v>
          </cell>
          <cell r="C124">
            <v>44732.989467109794</v>
          </cell>
          <cell r="D124">
            <v>0</v>
          </cell>
          <cell r="E124">
            <v>794.87977565351252</v>
          </cell>
          <cell r="F124">
            <v>0</v>
          </cell>
          <cell r="H124">
            <v>0</v>
          </cell>
          <cell r="I124">
            <v>1594.6622205696001</v>
          </cell>
          <cell r="J124">
            <v>367.01</v>
          </cell>
        </row>
        <row r="125">
          <cell r="B125">
            <v>0</v>
          </cell>
          <cell r="C125">
            <v>44617.578306515723</v>
          </cell>
          <cell r="D125">
            <v>0</v>
          </cell>
          <cell r="E125">
            <v>794.87977565351252</v>
          </cell>
          <cell r="F125">
            <v>0</v>
          </cell>
          <cell r="H125">
            <v>0</v>
          </cell>
          <cell r="I125">
            <v>1970.7201666431999</v>
          </cell>
          <cell r="J125">
            <v>367.01</v>
          </cell>
        </row>
        <row r="126">
          <cell r="B126">
            <v>0</v>
          </cell>
          <cell r="C126">
            <v>44463.425337664652</v>
          </cell>
          <cell r="D126">
            <v>0</v>
          </cell>
          <cell r="E126">
            <v>794.87977565351252</v>
          </cell>
          <cell r="F126">
            <v>0</v>
          </cell>
          <cell r="H126">
            <v>0</v>
          </cell>
          <cell r="I126">
            <v>2484.9453824495999</v>
          </cell>
          <cell r="J126">
            <v>367.01</v>
          </cell>
        </row>
        <row r="127">
          <cell r="B127">
            <v>0</v>
          </cell>
          <cell r="C127">
            <v>43957.397697861968</v>
          </cell>
          <cell r="D127">
            <v>0</v>
          </cell>
          <cell r="E127">
            <v>794.87977565351252</v>
          </cell>
          <cell r="F127">
            <v>0</v>
          </cell>
          <cell r="H127">
            <v>0</v>
          </cell>
          <cell r="I127">
            <v>2901.8155768811998</v>
          </cell>
          <cell r="J127">
            <v>367.01</v>
          </cell>
        </row>
        <row r="128">
          <cell r="B128">
            <v>0</v>
          </cell>
          <cell r="C128">
            <v>43398.565898287947</v>
          </cell>
          <cell r="D128">
            <v>0</v>
          </cell>
          <cell r="E128">
            <v>794.87977565351252</v>
          </cell>
          <cell r="F128">
            <v>0</v>
          </cell>
          <cell r="H128">
            <v>0</v>
          </cell>
          <cell r="I128">
            <v>3121.984056088801</v>
          </cell>
          <cell r="J128">
            <v>367.01</v>
          </cell>
        </row>
        <row r="129">
          <cell r="B129">
            <v>0</v>
          </cell>
          <cell r="C129">
            <v>41996.963607079451</v>
          </cell>
          <cell r="D129">
            <v>0</v>
          </cell>
          <cell r="E129">
            <v>794.87977565351252</v>
          </cell>
          <cell r="F129">
            <v>0</v>
          </cell>
          <cell r="H129">
            <v>0</v>
          </cell>
          <cell r="I129">
            <v>3008.4647157432</v>
          </cell>
          <cell r="J129">
            <v>367.01</v>
          </cell>
        </row>
        <row r="130">
          <cell r="B130">
            <v>1089.0108605099999</v>
          </cell>
          <cell r="C130">
            <v>40071.69526356073</v>
          </cell>
          <cell r="D130">
            <v>0</v>
          </cell>
          <cell r="E130">
            <v>794.87977565351252</v>
          </cell>
          <cell r="F130">
            <v>0</v>
          </cell>
          <cell r="H130">
            <v>0.91376827999999999</v>
          </cell>
          <cell r="I130">
            <v>2266.1433128376002</v>
          </cell>
          <cell r="J130">
            <v>367.01</v>
          </cell>
        </row>
        <row r="131">
          <cell r="B131">
            <v>26447.803687416519</v>
          </cell>
          <cell r="C131">
            <v>39586.955169895176</v>
          </cell>
          <cell r="D131">
            <v>0</v>
          </cell>
          <cell r="E131">
            <v>794.87977565351252</v>
          </cell>
          <cell r="F131">
            <v>0</v>
          </cell>
          <cell r="H131">
            <v>5321.5394983199994</v>
          </cell>
          <cell r="I131">
            <v>1150.313748192</v>
          </cell>
        </row>
        <row r="132">
          <cell r="B132">
            <v>18912.517084259729</v>
          </cell>
          <cell r="C132">
            <v>40260.084323157091</v>
          </cell>
          <cell r="D132">
            <v>0</v>
          </cell>
          <cell r="E132">
            <v>794.87977565351252</v>
          </cell>
          <cell r="F132">
            <v>3489.867562123447</v>
          </cell>
          <cell r="H132">
            <v>8197.4878985315991</v>
          </cell>
          <cell r="I132">
            <v>494.75110146840001</v>
          </cell>
        </row>
        <row r="133">
          <cell r="B133">
            <v>15353.492335637009</v>
          </cell>
          <cell r="C133">
            <v>41393.020378710047</v>
          </cell>
          <cell r="D133">
            <v>0</v>
          </cell>
          <cell r="E133">
            <v>794.87977565351252</v>
          </cell>
          <cell r="F133">
            <v>7555.7107862779349</v>
          </cell>
          <cell r="H133">
            <v>9265.2360000000008</v>
          </cell>
          <cell r="I133">
            <v>0</v>
          </cell>
        </row>
        <row r="134">
          <cell r="B134">
            <v>69155.328637568018</v>
          </cell>
          <cell r="C134">
            <v>43259.007077160553</v>
          </cell>
          <cell r="D134">
            <v>0</v>
          </cell>
          <cell r="E134">
            <v>794.87977565351252</v>
          </cell>
          <cell r="F134">
            <v>9381.7122548116895</v>
          </cell>
          <cell r="H134">
            <v>17702.22216689026</v>
          </cell>
          <cell r="I134">
            <v>0</v>
          </cell>
        </row>
        <row r="135">
          <cell r="B135">
            <v>69121.14227914704</v>
          </cell>
          <cell r="C135">
            <v>43624.23604781185</v>
          </cell>
          <cell r="D135">
            <v>0</v>
          </cell>
          <cell r="E135">
            <v>794.87977565351252</v>
          </cell>
          <cell r="F135">
            <v>9381.4806425813786</v>
          </cell>
          <cell r="H135">
            <v>21378.148000000001</v>
          </cell>
          <cell r="I135">
            <v>0</v>
          </cell>
        </row>
        <row r="136">
          <cell r="B136">
            <v>70979.075261839433</v>
          </cell>
          <cell r="C136">
            <v>42328.657653815542</v>
          </cell>
          <cell r="D136">
            <v>0</v>
          </cell>
          <cell r="E136">
            <v>794.87977565351252</v>
          </cell>
          <cell r="F136">
            <v>7789.5280638281474</v>
          </cell>
          <cell r="H136">
            <v>21183.748</v>
          </cell>
          <cell r="I136">
            <v>0</v>
          </cell>
        </row>
        <row r="137">
          <cell r="B137">
            <v>75929.196827911699</v>
          </cell>
          <cell r="C137">
            <v>39854.978806989493</v>
          </cell>
          <cell r="D137">
            <v>0</v>
          </cell>
          <cell r="E137">
            <v>794.87977565351252</v>
          </cell>
          <cell r="F137">
            <v>4738.580334639074</v>
          </cell>
          <cell r="H137">
            <v>21200.021000000001</v>
          </cell>
          <cell r="I137">
            <v>0</v>
          </cell>
        </row>
        <row r="138">
          <cell r="B138">
            <v>51407.137083759997</v>
          </cell>
          <cell r="C138">
            <v>37869.841666917171</v>
          </cell>
          <cell r="D138">
            <v>0</v>
          </cell>
          <cell r="E138">
            <v>794.87977565351252</v>
          </cell>
          <cell r="F138">
            <v>0</v>
          </cell>
          <cell r="H138">
            <v>17075.09391956</v>
          </cell>
          <cell r="I138">
            <v>54.122957028000002</v>
          </cell>
        </row>
        <row r="139">
          <cell r="B139">
            <v>13138.253163345</v>
          </cell>
          <cell r="C139">
            <v>31635.808139735909</v>
          </cell>
          <cell r="D139">
            <v>0</v>
          </cell>
          <cell r="E139">
            <v>794.87977565351252</v>
          </cell>
          <cell r="F139">
            <v>0</v>
          </cell>
          <cell r="H139">
            <v>6673.2497488399986</v>
          </cell>
          <cell r="I139">
            <v>89.097719029200007</v>
          </cell>
          <cell r="J139">
            <v>367.01</v>
          </cell>
        </row>
        <row r="140">
          <cell r="B140">
            <v>27.28481605</v>
          </cell>
          <cell r="C140">
            <v>31769.808116109591</v>
          </cell>
          <cell r="D140">
            <v>0</v>
          </cell>
          <cell r="E140">
            <v>794.87977565351252</v>
          </cell>
          <cell r="F140">
            <v>0</v>
          </cell>
          <cell r="H140">
            <v>423.71682107999999</v>
          </cell>
          <cell r="I140">
            <v>177.08800919039999</v>
          </cell>
        </row>
        <row r="141">
          <cell r="B141">
            <v>0</v>
          </cell>
          <cell r="C141">
            <v>35284.882191248769</v>
          </cell>
          <cell r="D141">
            <v>0</v>
          </cell>
          <cell r="E141">
            <v>794.87977565351252</v>
          </cell>
          <cell r="F141">
            <v>0</v>
          </cell>
          <cell r="H141">
            <v>0</v>
          </cell>
          <cell r="I141">
            <v>177.37441540559999</v>
          </cell>
          <cell r="J141">
            <v>367.01</v>
          </cell>
        </row>
        <row r="142">
          <cell r="B142">
            <v>0</v>
          </cell>
          <cell r="C142">
            <v>37972.3074040961</v>
          </cell>
          <cell r="D142">
            <v>0</v>
          </cell>
          <cell r="E142">
            <v>794.87977565351252</v>
          </cell>
          <cell r="F142">
            <v>0</v>
          </cell>
          <cell r="H142">
            <v>0</v>
          </cell>
          <cell r="I142">
            <v>134.64663163559999</v>
          </cell>
          <cell r="J142">
            <v>367.01</v>
          </cell>
        </row>
        <row r="143">
          <cell r="B143">
            <v>0</v>
          </cell>
          <cell r="C143">
            <v>39676.274901108052</v>
          </cell>
          <cell r="D143">
            <v>0</v>
          </cell>
          <cell r="E143">
            <v>794.87977565351252</v>
          </cell>
          <cell r="F143">
            <v>0</v>
          </cell>
          <cell r="H143">
            <v>0</v>
          </cell>
          <cell r="I143">
            <v>95.458583959199999</v>
          </cell>
        </row>
        <row r="144">
          <cell r="B144">
            <v>0</v>
          </cell>
          <cell r="C144">
            <v>42088.032491575963</v>
          </cell>
          <cell r="D144">
            <v>0</v>
          </cell>
          <cell r="E144">
            <v>794.87977565351252</v>
          </cell>
          <cell r="F144">
            <v>0</v>
          </cell>
          <cell r="H144">
            <v>0</v>
          </cell>
          <cell r="I144">
            <v>118.23278533920001</v>
          </cell>
        </row>
        <row r="145">
          <cell r="B145">
            <v>0</v>
          </cell>
          <cell r="C145">
            <v>44627.775519484123</v>
          </cell>
          <cell r="D145">
            <v>0</v>
          </cell>
          <cell r="E145">
            <v>794.87977565351252</v>
          </cell>
          <cell r="F145">
            <v>0</v>
          </cell>
          <cell r="H145">
            <v>0</v>
          </cell>
          <cell r="I145">
            <v>129.7022899536</v>
          </cell>
          <cell r="J145">
            <v>367.01</v>
          </cell>
        </row>
        <row r="146">
          <cell r="B146">
            <v>0</v>
          </cell>
          <cell r="C146">
            <v>48063.671812902583</v>
          </cell>
          <cell r="D146">
            <v>0</v>
          </cell>
          <cell r="E146">
            <v>794.87977565351252</v>
          </cell>
          <cell r="F146">
            <v>0</v>
          </cell>
          <cell r="H146">
            <v>0</v>
          </cell>
          <cell r="I146">
            <v>101.53514579039999</v>
          </cell>
          <cell r="J146">
            <v>367.01</v>
          </cell>
        </row>
        <row r="147">
          <cell r="B147">
            <v>0</v>
          </cell>
          <cell r="C147">
            <v>51779.41225214921</v>
          </cell>
          <cell r="D147">
            <v>0</v>
          </cell>
          <cell r="E147">
            <v>794.87977565351252</v>
          </cell>
          <cell r="F147">
            <v>0</v>
          </cell>
          <cell r="H147">
            <v>0</v>
          </cell>
          <cell r="I147">
            <v>113.1108471612</v>
          </cell>
          <cell r="J147">
            <v>367.01</v>
          </cell>
        </row>
        <row r="148">
          <cell r="B148">
            <v>0</v>
          </cell>
          <cell r="C148">
            <v>55476.93694998094</v>
          </cell>
          <cell r="D148">
            <v>0</v>
          </cell>
          <cell r="E148">
            <v>794.87977565351252</v>
          </cell>
          <cell r="F148">
            <v>0</v>
          </cell>
          <cell r="H148">
            <v>0</v>
          </cell>
          <cell r="I148">
            <v>122.518001844</v>
          </cell>
          <cell r="J148">
            <v>367.01</v>
          </cell>
        </row>
        <row r="149">
          <cell r="B149">
            <v>0</v>
          </cell>
          <cell r="C149">
            <v>59376.587628652007</v>
          </cell>
          <cell r="D149">
            <v>0</v>
          </cell>
          <cell r="E149">
            <v>794.87977565351252</v>
          </cell>
          <cell r="F149">
            <v>0</v>
          </cell>
          <cell r="H149">
            <v>0</v>
          </cell>
          <cell r="I149">
            <v>157.53240440280001</v>
          </cell>
        </row>
        <row r="150">
          <cell r="B150">
            <v>0</v>
          </cell>
          <cell r="C150">
            <v>63239.564105836733</v>
          </cell>
          <cell r="D150">
            <v>0</v>
          </cell>
          <cell r="E150">
            <v>794.87977565351252</v>
          </cell>
          <cell r="F150">
            <v>0</v>
          </cell>
          <cell r="H150">
            <v>0</v>
          </cell>
          <cell r="I150">
            <v>143.53848031320001</v>
          </cell>
        </row>
        <row r="151">
          <cell r="B151">
            <v>0</v>
          </cell>
          <cell r="C151">
            <v>65080.013570265168</v>
          </cell>
          <cell r="D151">
            <v>0</v>
          </cell>
          <cell r="E151">
            <v>794.87977565351252</v>
          </cell>
          <cell r="F151">
            <v>0</v>
          </cell>
          <cell r="H151">
            <v>0</v>
          </cell>
          <cell r="I151">
            <v>167.44630391999999</v>
          </cell>
        </row>
        <row r="152">
          <cell r="B152">
            <v>0</v>
          </cell>
          <cell r="C152">
            <v>63994.286660610793</v>
          </cell>
          <cell r="D152">
            <v>0</v>
          </cell>
          <cell r="E152">
            <v>794.87977565351252</v>
          </cell>
          <cell r="F152">
            <v>0</v>
          </cell>
          <cell r="H152">
            <v>0</v>
          </cell>
          <cell r="I152">
            <v>208.07080134120011</v>
          </cell>
        </row>
        <row r="153">
          <cell r="B153">
            <v>0</v>
          </cell>
          <cell r="C153">
            <v>61572.687397778413</v>
          </cell>
          <cell r="D153">
            <v>0</v>
          </cell>
          <cell r="E153">
            <v>794.87977565351252</v>
          </cell>
          <cell r="F153">
            <v>0</v>
          </cell>
          <cell r="H153">
            <v>0</v>
          </cell>
          <cell r="I153">
            <v>260.07377455080001</v>
          </cell>
        </row>
        <row r="154">
          <cell r="B154">
            <v>290.36988717499997</v>
          </cell>
          <cell r="C154">
            <v>58733.792707671659</v>
          </cell>
          <cell r="D154">
            <v>0</v>
          </cell>
          <cell r="E154">
            <v>794.87977565351252</v>
          </cell>
          <cell r="F154">
            <v>0</v>
          </cell>
          <cell r="H154">
            <v>0</v>
          </cell>
          <cell r="I154">
            <v>313.66840324679998</v>
          </cell>
          <cell r="J154">
            <v>367.01</v>
          </cell>
        </row>
        <row r="155">
          <cell r="B155">
            <v>7895.1572735199998</v>
          </cell>
          <cell r="C155">
            <v>55616.747486144748</v>
          </cell>
          <cell r="D155">
            <v>0</v>
          </cell>
          <cell r="E155">
            <v>794.87977565351252</v>
          </cell>
          <cell r="F155">
            <v>0</v>
          </cell>
          <cell r="H155">
            <v>1475.1677540799999</v>
          </cell>
          <cell r="I155">
            <v>288.14957123400001</v>
          </cell>
          <cell r="J155">
            <v>0</v>
          </cell>
        </row>
        <row r="156">
          <cell r="B156">
            <v>11963.554270031829</v>
          </cell>
          <cell r="C156">
            <v>55314.942901686067</v>
          </cell>
          <cell r="D156">
            <v>0</v>
          </cell>
          <cell r="E156">
            <v>794.87977565351252</v>
          </cell>
          <cell r="F156">
            <v>0</v>
          </cell>
          <cell r="H156">
            <v>6490.5207892799999</v>
          </cell>
          <cell r="I156">
            <v>317.78675127359998</v>
          </cell>
        </row>
        <row r="157">
          <cell r="B157">
            <v>8673.1212174623579</v>
          </cell>
          <cell r="C157">
            <v>56767.414212998687</v>
          </cell>
          <cell r="D157">
            <v>0</v>
          </cell>
          <cell r="E157">
            <v>794.87977565351252</v>
          </cell>
          <cell r="F157">
            <v>1434.134140379223</v>
          </cell>
          <cell r="H157">
            <v>8262.5079179603999</v>
          </cell>
          <cell r="I157">
            <v>437.40808203960012</v>
          </cell>
        </row>
        <row r="158">
          <cell r="B158">
            <v>3029.7122053087442</v>
          </cell>
          <cell r="C158">
            <v>60447.124701716457</v>
          </cell>
          <cell r="D158">
            <v>0</v>
          </cell>
          <cell r="E158">
            <v>794.87977565351252</v>
          </cell>
          <cell r="F158">
            <v>4271.4996538721962</v>
          </cell>
          <cell r="H158">
            <v>14099.832700649509</v>
          </cell>
          <cell r="I158">
            <v>602.52897652920001</v>
          </cell>
        </row>
        <row r="159">
          <cell r="B159">
            <v>23786.136566087731</v>
          </cell>
          <cell r="C159">
            <v>63846.990034808347</v>
          </cell>
          <cell r="D159">
            <v>0</v>
          </cell>
          <cell r="E159">
            <v>794.87977565351252</v>
          </cell>
          <cell r="F159">
            <v>6049.220574487028</v>
          </cell>
          <cell r="H159">
            <v>21117.687000000002</v>
          </cell>
          <cell r="I159">
            <v>0</v>
          </cell>
        </row>
        <row r="160">
          <cell r="B160">
            <v>52214.657552355267</v>
          </cell>
          <cell r="C160">
            <v>66150.663740676406</v>
          </cell>
          <cell r="D160">
            <v>0</v>
          </cell>
          <cell r="E160">
            <v>794.87977565351252</v>
          </cell>
          <cell r="F160">
            <v>6387.5882778085761</v>
          </cell>
          <cell r="H160">
            <v>20836.612000000001</v>
          </cell>
          <cell r="I160">
            <v>0</v>
          </cell>
        </row>
        <row r="161">
          <cell r="B161">
            <v>44508.840183405002</v>
          </cell>
          <cell r="C161">
            <v>67868.771710827787</v>
          </cell>
          <cell r="D161">
            <v>0</v>
          </cell>
          <cell r="E161">
            <v>0</v>
          </cell>
          <cell r="F161">
            <v>4925.1039527736284</v>
          </cell>
          <cell r="H161">
            <v>19902.657171850798</v>
          </cell>
          <cell r="I161">
            <v>570.03582814920003</v>
          </cell>
        </row>
        <row r="162">
          <cell r="B162">
            <v>27144.796207734998</v>
          </cell>
          <cell r="C162">
            <v>71329.542902751273</v>
          </cell>
          <cell r="D162">
            <v>0</v>
          </cell>
          <cell r="E162">
            <v>0</v>
          </cell>
          <cell r="F162">
            <v>2840.833719233352</v>
          </cell>
          <cell r="H162">
            <v>16788.269465400001</v>
          </cell>
          <cell r="I162">
            <v>670.67661837960009</v>
          </cell>
        </row>
        <row r="163">
          <cell r="B163">
            <v>7021.1672797450001</v>
          </cell>
          <cell r="C163">
            <v>70326.101748658868</v>
          </cell>
          <cell r="D163">
            <v>0</v>
          </cell>
          <cell r="E163">
            <v>794.87977565351252</v>
          </cell>
          <cell r="F163">
            <v>0</v>
          </cell>
          <cell r="H163">
            <v>8366.1166215199992</v>
          </cell>
          <cell r="I163">
            <v>774.76800655800002</v>
          </cell>
        </row>
        <row r="164">
          <cell r="B164">
            <v>20.00588071</v>
          </cell>
          <cell r="C164">
            <v>65799.846327957581</v>
          </cell>
          <cell r="D164">
            <v>0</v>
          </cell>
          <cell r="E164">
            <v>794.87977565351252</v>
          </cell>
          <cell r="F164">
            <v>0</v>
          </cell>
          <cell r="H164">
            <v>530.40544188000001</v>
          </cell>
          <cell r="I164">
            <v>806.96752589880009</v>
          </cell>
        </row>
        <row r="165">
          <cell r="B165">
            <v>0</v>
          </cell>
          <cell r="C165">
            <v>63999.609488092967</v>
          </cell>
          <cell r="D165">
            <v>0</v>
          </cell>
          <cell r="E165">
            <v>794.87977565351252</v>
          </cell>
          <cell r="F165">
            <v>0</v>
          </cell>
          <cell r="H165">
            <v>0</v>
          </cell>
          <cell r="I165">
            <v>850.68097022160021</v>
          </cell>
        </row>
        <row r="166">
          <cell r="B166">
            <v>0</v>
          </cell>
          <cell r="C166">
            <v>64502.616731058319</v>
          </cell>
          <cell r="D166">
            <v>0</v>
          </cell>
          <cell r="E166">
            <v>794.87977565351252</v>
          </cell>
          <cell r="F166">
            <v>0</v>
          </cell>
          <cell r="H166">
            <v>0</v>
          </cell>
          <cell r="I166">
            <v>921.49264448640008</v>
          </cell>
        </row>
        <row r="167">
          <cell r="B167">
            <v>0</v>
          </cell>
          <cell r="C167">
            <v>65809.387631394566</v>
          </cell>
          <cell r="D167">
            <v>0</v>
          </cell>
          <cell r="E167">
            <v>794.87977565351252</v>
          </cell>
          <cell r="F167">
            <v>0</v>
          </cell>
          <cell r="H167">
            <v>0</v>
          </cell>
          <cell r="I167">
            <v>777.28163428440007</v>
          </cell>
        </row>
        <row r="168">
          <cell r="B168">
            <v>0</v>
          </cell>
          <cell r="C168">
            <v>67338.832060564164</v>
          </cell>
          <cell r="D168">
            <v>0</v>
          </cell>
          <cell r="E168">
            <v>794.87977565351252</v>
          </cell>
          <cell r="F168">
            <v>0</v>
          </cell>
          <cell r="H168">
            <v>0</v>
          </cell>
          <cell r="I168">
            <v>799.37744254200015</v>
          </cell>
        </row>
        <row r="169">
          <cell r="B169">
            <v>0</v>
          </cell>
          <cell r="C169">
            <v>69117.832394977377</v>
          </cell>
          <cell r="D169">
            <v>0</v>
          </cell>
          <cell r="E169">
            <v>794.87977565351252</v>
          </cell>
          <cell r="F169">
            <v>0</v>
          </cell>
          <cell r="H169">
            <v>0</v>
          </cell>
          <cell r="I169">
            <v>944.27770134600007</v>
          </cell>
        </row>
      </sheetData>
      <sheetData sheetId="16" refreshError="1"/>
      <sheetData sheetId="17" refreshError="1"/>
      <sheetData sheetId="18" refreshError="1"/>
      <sheetData sheetId="19">
        <row r="1">
          <cell r="B1" t="str">
            <v>ES_electricity_market_bus</v>
          </cell>
          <cell r="C1" t="str">
            <v>ES_water_bus</v>
          </cell>
          <cell r="D1" t="str">
            <v>ES_hydrogen_bus</v>
          </cell>
          <cell r="E1" t="str">
            <v>ES_SRES_excedentes_bus</v>
          </cell>
          <cell r="F1" t="str">
            <v>ES_SRES_electrolyzer_bus</v>
          </cell>
          <cell r="G1" t="str">
            <v>PT_electricity_market_bus</v>
          </cell>
          <cell r="H1" t="str">
            <v>PT_water_bus</v>
          </cell>
          <cell r="I1" t="str">
            <v>PT_hydrogen_bus</v>
          </cell>
          <cell r="J1" t="str">
            <v>PT_SRES_excedentes_bus</v>
          </cell>
          <cell r="K1" t="str">
            <v>PT_SRES_electrolyzer_bus</v>
          </cell>
          <cell r="L1" t="str">
            <v>FR_electricity_market_bus</v>
          </cell>
          <cell r="M1" t="str">
            <v>FR_hydrogen_bus</v>
          </cell>
          <cell r="N1" t="str">
            <v>FRS_hydrogen_bus</v>
          </cell>
          <cell r="O1" t="str">
            <v>FRSW_hydrogen_bus</v>
          </cell>
          <cell r="P1" t="str">
            <v>MA_hydrogen_bus</v>
          </cell>
        </row>
        <row r="2">
          <cell r="A2">
            <v>0</v>
          </cell>
          <cell r="B2">
            <v>22</v>
          </cell>
          <cell r="C2">
            <v>18.7</v>
          </cell>
          <cell r="D2">
            <v>73.7</v>
          </cell>
          <cell r="E2">
            <v>22</v>
          </cell>
          <cell r="F2">
            <v>51.59</v>
          </cell>
          <cell r="G2">
            <v>21.9</v>
          </cell>
          <cell r="H2">
            <v>8.4999999999999992E-2</v>
          </cell>
          <cell r="I2">
            <v>73.800000000000011</v>
          </cell>
          <cell r="J2">
            <v>21.9</v>
          </cell>
          <cell r="K2">
            <v>51.66</v>
          </cell>
          <cell r="L2">
            <v>21.9</v>
          </cell>
          <cell r="M2">
            <v>73.900000000000006</v>
          </cell>
          <cell r="N2">
            <v>73.800000000000011</v>
          </cell>
          <cell r="O2">
            <v>0</v>
          </cell>
          <cell r="P2">
            <v>73.7</v>
          </cell>
        </row>
        <row r="3">
          <cell r="A3">
            <v>1</v>
          </cell>
          <cell r="B3">
            <v>14.025</v>
          </cell>
          <cell r="C3">
            <v>18.7</v>
          </cell>
          <cell r="D3">
            <v>31.44285714285714</v>
          </cell>
          <cell r="E3">
            <v>14.025</v>
          </cell>
          <cell r="F3">
            <v>22.01</v>
          </cell>
          <cell r="G3">
            <v>0.1</v>
          </cell>
          <cell r="H3">
            <v>8.4999999999999992E-2</v>
          </cell>
          <cell r="I3">
            <v>31.542857142857141</v>
          </cell>
          <cell r="J3">
            <v>0.1</v>
          </cell>
          <cell r="K3">
            <v>22.08</v>
          </cell>
          <cell r="L3">
            <v>13.925000000000001</v>
          </cell>
          <cell r="M3">
            <v>31.642857142857139</v>
          </cell>
          <cell r="N3">
            <v>31.542857142857141</v>
          </cell>
          <cell r="O3">
            <v>0</v>
          </cell>
          <cell r="P3">
            <v>31.44285714285714</v>
          </cell>
        </row>
        <row r="4">
          <cell r="A4">
            <v>2</v>
          </cell>
          <cell r="B4">
            <v>14.025</v>
          </cell>
          <cell r="C4">
            <v>18.7</v>
          </cell>
          <cell r="D4">
            <v>31.44285714285714</v>
          </cell>
          <cell r="E4">
            <v>14.025</v>
          </cell>
          <cell r="F4">
            <v>22.01</v>
          </cell>
          <cell r="G4">
            <v>0.1</v>
          </cell>
          <cell r="H4">
            <v>8.4999999999999992E-2</v>
          </cell>
          <cell r="I4">
            <v>31.542857142857141</v>
          </cell>
          <cell r="J4">
            <v>0.1</v>
          </cell>
          <cell r="K4">
            <v>22.08</v>
          </cell>
          <cell r="L4">
            <v>13.925000000000001</v>
          </cell>
          <cell r="M4">
            <v>31.642857142857139</v>
          </cell>
          <cell r="N4">
            <v>31.542857142857141</v>
          </cell>
          <cell r="O4">
            <v>0</v>
          </cell>
          <cell r="P4">
            <v>31.44285714285714</v>
          </cell>
        </row>
        <row r="5">
          <cell r="A5">
            <v>3</v>
          </cell>
          <cell r="B5">
            <v>14.025</v>
          </cell>
          <cell r="C5">
            <v>18.7</v>
          </cell>
          <cell r="D5">
            <v>31.44285714285714</v>
          </cell>
          <cell r="E5">
            <v>14.025</v>
          </cell>
          <cell r="F5">
            <v>22.01</v>
          </cell>
          <cell r="G5">
            <v>0.1</v>
          </cell>
          <cell r="H5">
            <v>8.4999999999999992E-2</v>
          </cell>
          <cell r="I5">
            <v>31.542857142857141</v>
          </cell>
          <cell r="J5">
            <v>0.1</v>
          </cell>
          <cell r="K5">
            <v>22.08</v>
          </cell>
          <cell r="L5">
            <v>13.925000000000001</v>
          </cell>
          <cell r="M5">
            <v>31.642857142857139</v>
          </cell>
          <cell r="N5">
            <v>31.542857142857141</v>
          </cell>
          <cell r="O5">
            <v>0</v>
          </cell>
          <cell r="P5">
            <v>31.44285714285714</v>
          </cell>
        </row>
        <row r="6">
          <cell r="A6">
            <v>4</v>
          </cell>
          <cell r="B6">
            <v>14.025</v>
          </cell>
          <cell r="C6">
            <v>18.7</v>
          </cell>
          <cell r="D6">
            <v>31.44285714285714</v>
          </cell>
          <cell r="E6">
            <v>14.025</v>
          </cell>
          <cell r="F6">
            <v>22.01</v>
          </cell>
          <cell r="G6">
            <v>0.1</v>
          </cell>
          <cell r="H6">
            <v>8.4999999999999992E-2</v>
          </cell>
          <cell r="I6">
            <v>31.542857142857141</v>
          </cell>
          <cell r="J6">
            <v>0.1</v>
          </cell>
          <cell r="K6">
            <v>22.08</v>
          </cell>
          <cell r="L6">
            <v>13.925000000000001</v>
          </cell>
          <cell r="M6">
            <v>31.642857142857139</v>
          </cell>
          <cell r="N6">
            <v>31.542857142857141</v>
          </cell>
          <cell r="O6">
            <v>0</v>
          </cell>
          <cell r="P6">
            <v>31.44285714285714</v>
          </cell>
        </row>
        <row r="7">
          <cell r="A7">
            <v>5</v>
          </cell>
          <cell r="B7">
            <v>14.025</v>
          </cell>
          <cell r="C7">
            <v>18.7</v>
          </cell>
          <cell r="D7">
            <v>31.44285714285714</v>
          </cell>
          <cell r="E7">
            <v>14.025</v>
          </cell>
          <cell r="F7">
            <v>22.01</v>
          </cell>
          <cell r="G7">
            <v>0.1</v>
          </cell>
          <cell r="H7">
            <v>8.4999999999999992E-2</v>
          </cell>
          <cell r="I7">
            <v>31.542857142857141</v>
          </cell>
          <cell r="J7">
            <v>0.1</v>
          </cell>
          <cell r="K7">
            <v>22.08</v>
          </cell>
          <cell r="L7">
            <v>13.925000000000001</v>
          </cell>
          <cell r="M7">
            <v>31.642857142857139</v>
          </cell>
          <cell r="N7">
            <v>31.542857142857141</v>
          </cell>
          <cell r="O7">
            <v>0</v>
          </cell>
          <cell r="P7">
            <v>31.44285714285714</v>
          </cell>
        </row>
        <row r="8">
          <cell r="A8">
            <v>6</v>
          </cell>
          <cell r="B8">
            <v>14.025</v>
          </cell>
          <cell r="C8">
            <v>18.7</v>
          </cell>
          <cell r="D8">
            <v>31.44285714285714</v>
          </cell>
          <cell r="E8">
            <v>14.025</v>
          </cell>
          <cell r="F8">
            <v>22.01</v>
          </cell>
          <cell r="G8">
            <v>0.1</v>
          </cell>
          <cell r="H8">
            <v>8.4999999999999992E-2</v>
          </cell>
          <cell r="I8">
            <v>31.542857142857141</v>
          </cell>
          <cell r="J8">
            <v>0.1</v>
          </cell>
          <cell r="K8">
            <v>22.08</v>
          </cell>
          <cell r="L8">
            <v>13.925000000000001</v>
          </cell>
          <cell r="M8">
            <v>31.642857142857139</v>
          </cell>
          <cell r="N8">
            <v>31.542857142857141</v>
          </cell>
          <cell r="O8">
            <v>0</v>
          </cell>
          <cell r="P8">
            <v>31.44285714285714</v>
          </cell>
        </row>
        <row r="9">
          <cell r="A9">
            <v>7</v>
          </cell>
          <cell r="B9">
            <v>14.025</v>
          </cell>
          <cell r="C9">
            <v>18.7</v>
          </cell>
          <cell r="D9">
            <v>31.44285714285714</v>
          </cell>
          <cell r="E9">
            <v>14.025</v>
          </cell>
          <cell r="F9">
            <v>22.01</v>
          </cell>
          <cell r="G9">
            <v>0.1</v>
          </cell>
          <cell r="H9">
            <v>8.5000000000000006E-2</v>
          </cell>
          <cell r="I9">
            <v>31.542857142857141</v>
          </cell>
          <cell r="J9">
            <v>0.1</v>
          </cell>
          <cell r="K9">
            <v>22.08</v>
          </cell>
          <cell r="L9">
            <v>13.925000000000001</v>
          </cell>
          <cell r="M9">
            <v>31.642857142857139</v>
          </cell>
          <cell r="N9">
            <v>31.542857142857141</v>
          </cell>
          <cell r="O9">
            <v>0</v>
          </cell>
          <cell r="P9">
            <v>31.44285714285714</v>
          </cell>
        </row>
        <row r="10">
          <cell r="A10">
            <v>8</v>
          </cell>
          <cell r="B10">
            <v>14.025</v>
          </cell>
          <cell r="C10">
            <v>18.7</v>
          </cell>
          <cell r="D10">
            <v>73.7</v>
          </cell>
          <cell r="E10">
            <v>14.025</v>
          </cell>
          <cell r="F10">
            <v>51.59</v>
          </cell>
          <cell r="G10">
            <v>9.9999999999999992E-2</v>
          </cell>
          <cell r="H10">
            <v>8.4999999999999992E-2</v>
          </cell>
          <cell r="I10">
            <v>73.800000000000011</v>
          </cell>
          <cell r="J10">
            <v>9.9999999999999992E-2</v>
          </cell>
          <cell r="K10">
            <v>51.66</v>
          </cell>
          <cell r="L10">
            <v>13.925000000000001</v>
          </cell>
          <cell r="M10">
            <v>73.900000000000006</v>
          </cell>
          <cell r="N10">
            <v>73.800000000000011</v>
          </cell>
          <cell r="O10">
            <v>0</v>
          </cell>
          <cell r="P10">
            <v>73.7</v>
          </cell>
        </row>
        <row r="11">
          <cell r="A11">
            <v>9</v>
          </cell>
          <cell r="B11">
            <v>14.025</v>
          </cell>
          <cell r="C11">
            <v>18.7</v>
          </cell>
          <cell r="D11">
            <v>28.856944285714281</v>
          </cell>
          <cell r="E11">
            <v>14.025</v>
          </cell>
          <cell r="F11">
            <v>20.199860999999999</v>
          </cell>
          <cell r="G11">
            <v>6.3749999999999987E-2</v>
          </cell>
          <cell r="H11">
            <v>8.4999999999999992E-2</v>
          </cell>
          <cell r="I11">
            <v>28.95694428571429</v>
          </cell>
          <cell r="J11">
            <v>6.3749999999999987E-2</v>
          </cell>
          <cell r="K11">
            <v>20.269860999999999</v>
          </cell>
          <cell r="L11">
            <v>13.925000000000001</v>
          </cell>
          <cell r="M11">
            <v>29.056944285714291</v>
          </cell>
          <cell r="N11">
            <v>28.95694428571429</v>
          </cell>
          <cell r="O11">
            <v>0</v>
          </cell>
          <cell r="P11">
            <v>28.856944285714281</v>
          </cell>
        </row>
        <row r="12">
          <cell r="A12">
            <v>10</v>
          </cell>
          <cell r="B12">
            <v>0</v>
          </cell>
          <cell r="C12">
            <v>18.7</v>
          </cell>
          <cell r="D12">
            <v>1.428571428571429E-2</v>
          </cell>
          <cell r="E12">
            <v>0</v>
          </cell>
          <cell r="F12">
            <v>0.01</v>
          </cell>
          <cell r="G12">
            <v>0</v>
          </cell>
          <cell r="H12">
            <v>8.4999999999999992E-2</v>
          </cell>
          <cell r="I12">
            <v>0</v>
          </cell>
          <cell r="J12">
            <v>0</v>
          </cell>
          <cell r="K12">
            <v>0</v>
          </cell>
          <cell r="L12">
            <v>0.1</v>
          </cell>
          <cell r="M12">
            <v>0.2142857142857143</v>
          </cell>
          <cell r="N12">
            <v>0.1142857142857143</v>
          </cell>
          <cell r="O12">
            <v>1.428571428571429E-2</v>
          </cell>
          <cell r="P12">
            <v>1.428571428571429E-2</v>
          </cell>
        </row>
        <row r="13">
          <cell r="A13">
            <v>11</v>
          </cell>
          <cell r="B13">
            <v>0</v>
          </cell>
          <cell r="C13">
            <v>18.7</v>
          </cell>
          <cell r="D13">
            <v>1.428571428571429E-2</v>
          </cell>
          <cell r="E13">
            <v>0</v>
          </cell>
          <cell r="F13">
            <v>0.01</v>
          </cell>
          <cell r="G13">
            <v>0</v>
          </cell>
          <cell r="H13">
            <v>8.4999999999999992E-2</v>
          </cell>
          <cell r="I13">
            <v>0</v>
          </cell>
          <cell r="J13">
            <v>0</v>
          </cell>
          <cell r="K13">
            <v>0</v>
          </cell>
          <cell r="L13">
            <v>0.1</v>
          </cell>
          <cell r="M13">
            <v>0.2142857142857143</v>
          </cell>
          <cell r="N13">
            <v>0.1142857142857143</v>
          </cell>
          <cell r="O13">
            <v>1.428571428571429E-2</v>
          </cell>
          <cell r="P13">
            <v>1.428571428571429E-2</v>
          </cell>
        </row>
        <row r="14">
          <cell r="A14">
            <v>12</v>
          </cell>
          <cell r="B14">
            <v>0</v>
          </cell>
          <cell r="C14">
            <v>18.7</v>
          </cell>
          <cell r="D14">
            <v>1.428571428571429E-2</v>
          </cell>
          <cell r="E14">
            <v>0</v>
          </cell>
          <cell r="F14">
            <v>0.01</v>
          </cell>
          <cell r="G14">
            <v>0</v>
          </cell>
          <cell r="H14">
            <v>8.4999999999999992E-2</v>
          </cell>
          <cell r="I14">
            <v>0</v>
          </cell>
          <cell r="J14">
            <v>0</v>
          </cell>
          <cell r="K14">
            <v>0</v>
          </cell>
          <cell r="L14">
            <v>0.1</v>
          </cell>
          <cell r="M14">
            <v>0.2142857142857143</v>
          </cell>
          <cell r="N14">
            <v>0.1142857142857143</v>
          </cell>
          <cell r="O14">
            <v>0.1142857142857143</v>
          </cell>
          <cell r="P14">
            <v>1.428571428571429E-2</v>
          </cell>
        </row>
        <row r="15">
          <cell r="A15">
            <v>13</v>
          </cell>
          <cell r="B15">
            <v>0</v>
          </cell>
          <cell r="C15">
            <v>18.7</v>
          </cell>
          <cell r="D15">
            <v>1.428571428571429E-2</v>
          </cell>
          <cell r="E15">
            <v>0</v>
          </cell>
          <cell r="F15">
            <v>0.01</v>
          </cell>
          <cell r="G15">
            <v>0</v>
          </cell>
          <cell r="H15">
            <v>8.4999999999999992E-2</v>
          </cell>
          <cell r="I15">
            <v>0</v>
          </cell>
          <cell r="J15">
            <v>0</v>
          </cell>
          <cell r="K15">
            <v>0</v>
          </cell>
          <cell r="L15">
            <v>0.1</v>
          </cell>
          <cell r="M15">
            <v>0.2142857142857143</v>
          </cell>
          <cell r="N15">
            <v>0.1142857142857143</v>
          </cell>
          <cell r="O15">
            <v>1.428571428571429E-2</v>
          </cell>
          <cell r="P15">
            <v>1.428571428571429E-2</v>
          </cell>
        </row>
        <row r="16">
          <cell r="A16">
            <v>14</v>
          </cell>
          <cell r="B16">
            <v>0</v>
          </cell>
          <cell r="C16">
            <v>18.7</v>
          </cell>
          <cell r="D16">
            <v>1.428571428571429E-2</v>
          </cell>
          <cell r="E16">
            <v>0</v>
          </cell>
          <cell r="F16">
            <v>0.01</v>
          </cell>
          <cell r="G16">
            <v>0</v>
          </cell>
          <cell r="H16">
            <v>8.4999999999999992E-2</v>
          </cell>
          <cell r="I16">
            <v>0</v>
          </cell>
          <cell r="J16">
            <v>0</v>
          </cell>
          <cell r="K16">
            <v>0</v>
          </cell>
          <cell r="L16">
            <v>0.1</v>
          </cell>
          <cell r="M16">
            <v>0.2142857142857143</v>
          </cell>
          <cell r="N16">
            <v>0.1142857142857143</v>
          </cell>
          <cell r="O16">
            <v>1.428571428571429E-2</v>
          </cell>
          <cell r="P16">
            <v>1.428571428571429E-2</v>
          </cell>
        </row>
        <row r="17">
          <cell r="A17">
            <v>15</v>
          </cell>
          <cell r="B17">
            <v>0</v>
          </cell>
          <cell r="C17">
            <v>18.7</v>
          </cell>
          <cell r="D17">
            <v>1.428571428571429E-2</v>
          </cell>
          <cell r="E17">
            <v>0</v>
          </cell>
          <cell r="F17">
            <v>0.01</v>
          </cell>
          <cell r="G17">
            <v>0</v>
          </cell>
          <cell r="H17">
            <v>8.4999999999999992E-2</v>
          </cell>
          <cell r="I17">
            <v>0</v>
          </cell>
          <cell r="J17">
            <v>0</v>
          </cell>
          <cell r="K17">
            <v>0</v>
          </cell>
          <cell r="L17">
            <v>0.1</v>
          </cell>
          <cell r="M17">
            <v>0.2142857142857143</v>
          </cell>
          <cell r="N17">
            <v>0.1142857142857143</v>
          </cell>
          <cell r="O17">
            <v>1.428571428571429E-2</v>
          </cell>
          <cell r="P17">
            <v>1.428571428571429E-2</v>
          </cell>
        </row>
        <row r="18">
          <cell r="A18">
            <v>16</v>
          </cell>
          <cell r="B18">
            <v>0</v>
          </cell>
          <cell r="C18">
            <v>18.7</v>
          </cell>
          <cell r="D18">
            <v>1.428571428571429E-2</v>
          </cell>
          <cell r="E18">
            <v>0</v>
          </cell>
          <cell r="F18">
            <v>0.01</v>
          </cell>
          <cell r="G18">
            <v>0</v>
          </cell>
          <cell r="H18">
            <v>8.4999999999999992E-2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0.2142857142857143</v>
          </cell>
          <cell r="N18">
            <v>0.1142857142857143</v>
          </cell>
          <cell r="O18">
            <v>0</v>
          </cell>
          <cell r="P18">
            <v>1.428571428571429E-2</v>
          </cell>
        </row>
        <row r="19">
          <cell r="A19">
            <v>17</v>
          </cell>
          <cell r="B19">
            <v>22</v>
          </cell>
          <cell r="C19">
            <v>18.7</v>
          </cell>
          <cell r="D19">
            <v>31.44285714285714</v>
          </cell>
          <cell r="E19">
            <v>22</v>
          </cell>
          <cell r="F19">
            <v>22.01</v>
          </cell>
          <cell r="G19">
            <v>0</v>
          </cell>
          <cell r="H19">
            <v>8.4999999999999992E-2</v>
          </cell>
          <cell r="I19">
            <v>31.542857142857141</v>
          </cell>
          <cell r="J19">
            <v>0</v>
          </cell>
          <cell r="K19">
            <v>22.08</v>
          </cell>
          <cell r="L19">
            <v>21.9</v>
          </cell>
          <cell r="M19">
            <v>31.642857142857139</v>
          </cell>
          <cell r="N19">
            <v>31.542857142857141</v>
          </cell>
          <cell r="O19">
            <v>0</v>
          </cell>
          <cell r="P19">
            <v>31.44285714285714</v>
          </cell>
        </row>
        <row r="20">
          <cell r="A20">
            <v>18</v>
          </cell>
          <cell r="B20">
            <v>22</v>
          </cell>
          <cell r="C20">
            <v>18.7</v>
          </cell>
          <cell r="D20">
            <v>31.44285714285714</v>
          </cell>
          <cell r="E20">
            <v>22</v>
          </cell>
          <cell r="F20">
            <v>22.01</v>
          </cell>
          <cell r="G20">
            <v>0.1</v>
          </cell>
          <cell r="H20">
            <v>8.4999999999999992E-2</v>
          </cell>
          <cell r="I20">
            <v>31.542857142857141</v>
          </cell>
          <cell r="J20">
            <v>0.1</v>
          </cell>
          <cell r="K20">
            <v>22.08</v>
          </cell>
          <cell r="L20">
            <v>21.9</v>
          </cell>
          <cell r="M20">
            <v>31.642857142857139</v>
          </cell>
          <cell r="N20">
            <v>31.542857142857141</v>
          </cell>
          <cell r="O20">
            <v>0</v>
          </cell>
          <cell r="P20">
            <v>31.44285714285714</v>
          </cell>
        </row>
        <row r="21">
          <cell r="A21">
            <v>19</v>
          </cell>
          <cell r="B21">
            <v>22</v>
          </cell>
          <cell r="C21">
            <v>18.7</v>
          </cell>
          <cell r="D21">
            <v>31.44285714285714</v>
          </cell>
          <cell r="E21">
            <v>22</v>
          </cell>
          <cell r="F21">
            <v>22.01</v>
          </cell>
          <cell r="G21">
            <v>0.1</v>
          </cell>
          <cell r="H21">
            <v>8.4999999999999992E-2</v>
          </cell>
          <cell r="I21">
            <v>31.542857142857141</v>
          </cell>
          <cell r="J21">
            <v>0.1</v>
          </cell>
          <cell r="K21">
            <v>22.08</v>
          </cell>
          <cell r="L21">
            <v>21.9</v>
          </cell>
          <cell r="M21">
            <v>31.642857142857139</v>
          </cell>
          <cell r="N21">
            <v>31.542857142857141</v>
          </cell>
          <cell r="O21">
            <v>0</v>
          </cell>
          <cell r="P21">
            <v>31.44285714285714</v>
          </cell>
        </row>
        <row r="22">
          <cell r="A22">
            <v>20</v>
          </cell>
          <cell r="B22">
            <v>22</v>
          </cell>
          <cell r="C22">
            <v>18.7</v>
          </cell>
          <cell r="D22">
            <v>31.44285714285714</v>
          </cell>
          <cell r="E22">
            <v>22</v>
          </cell>
          <cell r="F22">
            <v>22.01</v>
          </cell>
          <cell r="G22">
            <v>0.1</v>
          </cell>
          <cell r="H22">
            <v>8.4999999999999992E-2</v>
          </cell>
          <cell r="I22">
            <v>31.542857142857141</v>
          </cell>
          <cell r="J22">
            <v>0.1</v>
          </cell>
          <cell r="K22">
            <v>22.08</v>
          </cell>
          <cell r="L22">
            <v>21.9</v>
          </cell>
          <cell r="M22">
            <v>31.44285714285714</v>
          </cell>
          <cell r="N22">
            <v>31.342857142857142</v>
          </cell>
          <cell r="O22">
            <v>0</v>
          </cell>
          <cell r="P22">
            <v>31.44285714285714</v>
          </cell>
        </row>
        <row r="23">
          <cell r="A23">
            <v>21</v>
          </cell>
          <cell r="B23">
            <v>22</v>
          </cell>
          <cell r="C23">
            <v>18.7</v>
          </cell>
          <cell r="D23">
            <v>31.44285714285714</v>
          </cell>
          <cell r="E23">
            <v>22</v>
          </cell>
          <cell r="F23">
            <v>22.01</v>
          </cell>
          <cell r="G23">
            <v>0.1</v>
          </cell>
          <cell r="H23">
            <v>8.4999999999999992E-2</v>
          </cell>
          <cell r="I23">
            <v>31.542857142857141</v>
          </cell>
          <cell r="J23">
            <v>0.1</v>
          </cell>
          <cell r="K23">
            <v>22.08</v>
          </cell>
          <cell r="L23">
            <v>21.9</v>
          </cell>
          <cell r="M23">
            <v>31.44285714285714</v>
          </cell>
          <cell r="N23">
            <v>31.342857142857142</v>
          </cell>
          <cell r="O23">
            <v>0</v>
          </cell>
          <cell r="P23">
            <v>31.44285714285714</v>
          </cell>
        </row>
        <row r="24">
          <cell r="A24">
            <v>22</v>
          </cell>
          <cell r="B24">
            <v>22</v>
          </cell>
          <cell r="C24">
            <v>18.7</v>
          </cell>
          <cell r="D24">
            <v>31.44285714285714</v>
          </cell>
          <cell r="E24">
            <v>22</v>
          </cell>
          <cell r="F24">
            <v>22.01</v>
          </cell>
          <cell r="G24">
            <v>0.1</v>
          </cell>
          <cell r="H24">
            <v>8.4999999999999992E-2</v>
          </cell>
          <cell r="I24">
            <v>31.542857142857141</v>
          </cell>
          <cell r="J24">
            <v>0.1</v>
          </cell>
          <cell r="K24">
            <v>22.08</v>
          </cell>
          <cell r="L24">
            <v>21.9</v>
          </cell>
          <cell r="M24">
            <v>31.44285714285714</v>
          </cell>
          <cell r="N24">
            <v>31.342857142857142</v>
          </cell>
          <cell r="O24">
            <v>0</v>
          </cell>
          <cell r="P24">
            <v>31.44285714285714</v>
          </cell>
        </row>
        <row r="25">
          <cell r="A25">
            <v>23</v>
          </cell>
          <cell r="B25">
            <v>22</v>
          </cell>
          <cell r="C25">
            <v>18.7</v>
          </cell>
          <cell r="D25">
            <v>31.44285714285714</v>
          </cell>
          <cell r="E25">
            <v>22</v>
          </cell>
          <cell r="F25">
            <v>22.01</v>
          </cell>
          <cell r="G25">
            <v>0.1</v>
          </cell>
          <cell r="H25">
            <v>8.4999999999999992E-2</v>
          </cell>
          <cell r="I25">
            <v>31.542857142857141</v>
          </cell>
          <cell r="J25">
            <v>0.1</v>
          </cell>
          <cell r="K25">
            <v>22.08</v>
          </cell>
          <cell r="L25">
            <v>21.9</v>
          </cell>
          <cell r="M25">
            <v>31.642857142857139</v>
          </cell>
          <cell r="N25">
            <v>31.542857142857141</v>
          </cell>
          <cell r="O25">
            <v>0</v>
          </cell>
          <cell r="P25">
            <v>31.44285714285714</v>
          </cell>
        </row>
        <row r="26">
          <cell r="A26">
            <v>24</v>
          </cell>
          <cell r="B26">
            <v>22</v>
          </cell>
          <cell r="C26">
            <v>18.7</v>
          </cell>
          <cell r="D26">
            <v>31.44285714285714</v>
          </cell>
          <cell r="E26">
            <v>22</v>
          </cell>
          <cell r="F26">
            <v>22.01</v>
          </cell>
          <cell r="G26">
            <v>0.1</v>
          </cell>
          <cell r="H26">
            <v>8.4999999999999992E-2</v>
          </cell>
          <cell r="I26">
            <v>31.542857142857141</v>
          </cell>
          <cell r="J26">
            <v>0.1</v>
          </cell>
          <cell r="K26">
            <v>22.08</v>
          </cell>
          <cell r="L26">
            <v>21.9</v>
          </cell>
          <cell r="M26">
            <v>31.642857142857139</v>
          </cell>
          <cell r="N26">
            <v>31.542857142857141</v>
          </cell>
          <cell r="O26">
            <v>0</v>
          </cell>
          <cell r="P26">
            <v>31.44285714285714</v>
          </cell>
        </row>
        <row r="27">
          <cell r="A27">
            <v>25</v>
          </cell>
          <cell r="B27">
            <v>22</v>
          </cell>
          <cell r="C27">
            <v>18.7</v>
          </cell>
          <cell r="D27">
            <v>31.44285714285714</v>
          </cell>
          <cell r="E27">
            <v>22</v>
          </cell>
          <cell r="F27">
            <v>22.01</v>
          </cell>
          <cell r="G27">
            <v>0.1</v>
          </cell>
          <cell r="H27">
            <v>8.4999999999999992E-2</v>
          </cell>
          <cell r="I27">
            <v>31.542857142857141</v>
          </cell>
          <cell r="J27">
            <v>0.1</v>
          </cell>
          <cell r="K27">
            <v>22.08</v>
          </cell>
          <cell r="L27">
            <v>21.9</v>
          </cell>
          <cell r="M27">
            <v>31.642857142857139</v>
          </cell>
          <cell r="N27">
            <v>31.542857142857141</v>
          </cell>
          <cell r="O27">
            <v>0</v>
          </cell>
          <cell r="P27">
            <v>31.44285714285714</v>
          </cell>
        </row>
        <row r="28">
          <cell r="A28">
            <v>26</v>
          </cell>
          <cell r="B28">
            <v>22</v>
          </cell>
          <cell r="C28">
            <v>18.7</v>
          </cell>
          <cell r="D28">
            <v>31.44285714285714</v>
          </cell>
          <cell r="E28">
            <v>22</v>
          </cell>
          <cell r="F28">
            <v>22.01</v>
          </cell>
          <cell r="G28">
            <v>0.1</v>
          </cell>
          <cell r="H28">
            <v>8.4999999999999992E-2</v>
          </cell>
          <cell r="I28">
            <v>31.542857142857141</v>
          </cell>
          <cell r="J28">
            <v>0.1</v>
          </cell>
          <cell r="K28">
            <v>22.08</v>
          </cell>
          <cell r="L28">
            <v>21.9</v>
          </cell>
          <cell r="M28">
            <v>31.642857142857139</v>
          </cell>
          <cell r="N28">
            <v>31.542857142857141</v>
          </cell>
          <cell r="O28">
            <v>0</v>
          </cell>
          <cell r="P28">
            <v>31.44285714285714</v>
          </cell>
        </row>
        <row r="29">
          <cell r="A29">
            <v>27</v>
          </cell>
          <cell r="B29">
            <v>22</v>
          </cell>
          <cell r="C29">
            <v>18.7</v>
          </cell>
          <cell r="D29">
            <v>31.44285714285714</v>
          </cell>
          <cell r="E29">
            <v>22</v>
          </cell>
          <cell r="F29">
            <v>22.01</v>
          </cell>
          <cell r="G29">
            <v>0.1</v>
          </cell>
          <cell r="H29">
            <v>8.4999999999999992E-2</v>
          </cell>
          <cell r="I29">
            <v>31.542857142857141</v>
          </cell>
          <cell r="J29">
            <v>0.1</v>
          </cell>
          <cell r="K29">
            <v>22.08</v>
          </cell>
          <cell r="L29">
            <v>21.9</v>
          </cell>
          <cell r="M29">
            <v>31.642857142857139</v>
          </cell>
          <cell r="N29">
            <v>31.542857142857141</v>
          </cell>
          <cell r="O29">
            <v>0</v>
          </cell>
          <cell r="P29">
            <v>31.44285714285714</v>
          </cell>
        </row>
        <row r="30">
          <cell r="A30">
            <v>28</v>
          </cell>
          <cell r="B30">
            <v>22</v>
          </cell>
          <cell r="C30">
            <v>18.7</v>
          </cell>
          <cell r="D30">
            <v>31.44285714285714</v>
          </cell>
          <cell r="E30">
            <v>22</v>
          </cell>
          <cell r="F30">
            <v>22.01</v>
          </cell>
          <cell r="G30">
            <v>0.1</v>
          </cell>
          <cell r="H30">
            <v>8.4999999999999992E-2</v>
          </cell>
          <cell r="I30">
            <v>31.542857142857141</v>
          </cell>
          <cell r="J30">
            <v>0.1</v>
          </cell>
          <cell r="K30">
            <v>22.08</v>
          </cell>
          <cell r="L30">
            <v>21.9</v>
          </cell>
          <cell r="M30">
            <v>31.642857142857139</v>
          </cell>
          <cell r="N30">
            <v>31.542857142857141</v>
          </cell>
          <cell r="O30">
            <v>0</v>
          </cell>
          <cell r="P30">
            <v>31.44285714285714</v>
          </cell>
        </row>
        <row r="31">
          <cell r="A31">
            <v>29</v>
          </cell>
          <cell r="B31">
            <v>22</v>
          </cell>
          <cell r="C31">
            <v>18.7</v>
          </cell>
          <cell r="D31">
            <v>31.44285714285714</v>
          </cell>
          <cell r="E31">
            <v>22</v>
          </cell>
          <cell r="F31">
            <v>22.01</v>
          </cell>
          <cell r="G31">
            <v>0.1</v>
          </cell>
          <cell r="H31">
            <v>8.4999999999999992E-2</v>
          </cell>
          <cell r="I31">
            <v>31.542857142857141</v>
          </cell>
          <cell r="J31">
            <v>0.1</v>
          </cell>
          <cell r="K31">
            <v>22.08</v>
          </cell>
          <cell r="L31">
            <v>21.9</v>
          </cell>
          <cell r="M31">
            <v>31.44285714285714</v>
          </cell>
          <cell r="N31">
            <v>31.342857142857142</v>
          </cell>
          <cell r="O31">
            <v>0</v>
          </cell>
          <cell r="P31">
            <v>31.44285714285714</v>
          </cell>
        </row>
        <row r="32">
          <cell r="A32">
            <v>30</v>
          </cell>
          <cell r="B32">
            <v>22</v>
          </cell>
          <cell r="C32">
            <v>18.7</v>
          </cell>
          <cell r="D32">
            <v>31.44285714285714</v>
          </cell>
          <cell r="E32">
            <v>22</v>
          </cell>
          <cell r="F32">
            <v>22.01</v>
          </cell>
          <cell r="G32">
            <v>0.1</v>
          </cell>
          <cell r="H32">
            <v>8.4999999999999992E-2</v>
          </cell>
          <cell r="I32">
            <v>31.542857142857141</v>
          </cell>
          <cell r="J32">
            <v>0.1</v>
          </cell>
          <cell r="K32">
            <v>22.08</v>
          </cell>
          <cell r="L32">
            <v>21.9</v>
          </cell>
          <cell r="M32">
            <v>31.44285714285714</v>
          </cell>
          <cell r="N32">
            <v>31.342857142857142</v>
          </cell>
          <cell r="O32">
            <v>0</v>
          </cell>
          <cell r="P32">
            <v>31.44285714285714</v>
          </cell>
        </row>
        <row r="33">
          <cell r="A33">
            <v>31</v>
          </cell>
          <cell r="B33">
            <v>22</v>
          </cell>
          <cell r="C33">
            <v>18.7</v>
          </cell>
          <cell r="D33">
            <v>31.44285714285714</v>
          </cell>
          <cell r="E33">
            <v>22</v>
          </cell>
          <cell r="F33">
            <v>22.01</v>
          </cell>
          <cell r="G33">
            <v>0.1</v>
          </cell>
          <cell r="H33">
            <v>8.4999999999999992E-2</v>
          </cell>
          <cell r="I33">
            <v>31.542857142857141</v>
          </cell>
          <cell r="J33">
            <v>0.1</v>
          </cell>
          <cell r="K33">
            <v>22.08</v>
          </cell>
          <cell r="L33">
            <v>21.9</v>
          </cell>
          <cell r="M33">
            <v>31.642857142857139</v>
          </cell>
          <cell r="N33">
            <v>31.542857142857141</v>
          </cell>
          <cell r="O33">
            <v>0</v>
          </cell>
          <cell r="P33">
            <v>31.44285714285714</v>
          </cell>
        </row>
        <row r="34">
          <cell r="A34">
            <v>32</v>
          </cell>
          <cell r="B34">
            <v>22</v>
          </cell>
          <cell r="C34">
            <v>18.7</v>
          </cell>
          <cell r="D34">
            <v>31.44285714285714</v>
          </cell>
          <cell r="E34">
            <v>22</v>
          </cell>
          <cell r="F34">
            <v>22.01</v>
          </cell>
          <cell r="G34">
            <v>0.1</v>
          </cell>
          <cell r="H34">
            <v>8.4999999999999992E-2</v>
          </cell>
          <cell r="I34">
            <v>31.542857142857141</v>
          </cell>
          <cell r="J34">
            <v>0.1</v>
          </cell>
          <cell r="K34">
            <v>22.08</v>
          </cell>
          <cell r="L34">
            <v>21.9</v>
          </cell>
          <cell r="M34">
            <v>31.642857142857139</v>
          </cell>
          <cell r="N34">
            <v>31.542857142857141</v>
          </cell>
          <cell r="O34">
            <v>0</v>
          </cell>
          <cell r="P34">
            <v>31.44285714285714</v>
          </cell>
        </row>
        <row r="35">
          <cell r="A35">
            <v>33</v>
          </cell>
          <cell r="B35">
            <v>22</v>
          </cell>
          <cell r="C35">
            <v>18.7</v>
          </cell>
          <cell r="D35">
            <v>31.44285714285714</v>
          </cell>
          <cell r="E35">
            <v>22</v>
          </cell>
          <cell r="F35">
            <v>22.01</v>
          </cell>
          <cell r="G35">
            <v>6.3749999999999987E-2</v>
          </cell>
          <cell r="H35">
            <v>8.4999999999999992E-2</v>
          </cell>
          <cell r="I35">
            <v>31.542857142857141</v>
          </cell>
          <cell r="J35">
            <v>6.3749999999999987E-2</v>
          </cell>
          <cell r="K35">
            <v>22.08</v>
          </cell>
          <cell r="L35">
            <v>21.9</v>
          </cell>
          <cell r="M35">
            <v>31.642857142857139</v>
          </cell>
          <cell r="N35">
            <v>31.542857142857141</v>
          </cell>
          <cell r="O35">
            <v>0</v>
          </cell>
          <cell r="P35">
            <v>31.44285714285714</v>
          </cell>
        </row>
        <row r="36">
          <cell r="A36">
            <v>34</v>
          </cell>
          <cell r="B36">
            <v>0.1</v>
          </cell>
          <cell r="C36">
            <v>18.7</v>
          </cell>
          <cell r="D36">
            <v>0.1571428571428572</v>
          </cell>
          <cell r="E36">
            <v>0.1</v>
          </cell>
          <cell r="F36">
            <v>0.11</v>
          </cell>
          <cell r="G36">
            <v>0</v>
          </cell>
          <cell r="H36">
            <v>8.4999999999999992E-2</v>
          </cell>
          <cell r="I36">
            <v>5.7142857142857162E-2</v>
          </cell>
          <cell r="J36">
            <v>0</v>
          </cell>
          <cell r="K36">
            <v>4.0000000000000008E-2</v>
          </cell>
          <cell r="L36">
            <v>0</v>
          </cell>
          <cell r="M36">
            <v>0.35714285714285721</v>
          </cell>
          <cell r="N36">
            <v>0.25714285714285717</v>
          </cell>
          <cell r="O36">
            <v>0</v>
          </cell>
          <cell r="P36">
            <v>0.1571428571428572</v>
          </cell>
        </row>
        <row r="37">
          <cell r="A37">
            <v>35</v>
          </cell>
          <cell r="B37">
            <v>0.1</v>
          </cell>
          <cell r="C37">
            <v>18.7</v>
          </cell>
          <cell r="D37">
            <v>0.1571428571428572</v>
          </cell>
          <cell r="E37">
            <v>0.1</v>
          </cell>
          <cell r="F37">
            <v>0.11</v>
          </cell>
          <cell r="G37">
            <v>0</v>
          </cell>
          <cell r="H37">
            <v>8.4999999999999992E-2</v>
          </cell>
          <cell r="I37">
            <v>5.7142857142857162E-2</v>
          </cell>
          <cell r="J37">
            <v>0</v>
          </cell>
          <cell r="K37">
            <v>4.0000000000000008E-2</v>
          </cell>
          <cell r="L37">
            <v>0</v>
          </cell>
          <cell r="M37">
            <v>0.35714285714285721</v>
          </cell>
          <cell r="N37">
            <v>0.25714285714285717</v>
          </cell>
          <cell r="O37">
            <v>0</v>
          </cell>
          <cell r="P37">
            <v>0.1571428571428572</v>
          </cell>
        </row>
        <row r="38">
          <cell r="A38">
            <v>36</v>
          </cell>
          <cell r="B38">
            <v>0.1</v>
          </cell>
          <cell r="C38">
            <v>18.7</v>
          </cell>
          <cell r="D38">
            <v>0.1571428571428572</v>
          </cell>
          <cell r="E38">
            <v>0.1</v>
          </cell>
          <cell r="F38">
            <v>0.11</v>
          </cell>
          <cell r="G38">
            <v>0</v>
          </cell>
          <cell r="H38">
            <v>8.4999999999999992E-2</v>
          </cell>
          <cell r="I38">
            <v>5.7142857142857162E-2</v>
          </cell>
          <cell r="J38">
            <v>0</v>
          </cell>
          <cell r="K38">
            <v>4.0000000000000008E-2</v>
          </cell>
          <cell r="L38">
            <v>0</v>
          </cell>
          <cell r="M38">
            <v>0.35714285714285721</v>
          </cell>
          <cell r="N38">
            <v>0.25714285714285717</v>
          </cell>
          <cell r="O38">
            <v>0.1571428571428572</v>
          </cell>
          <cell r="P38">
            <v>0.1571428571428572</v>
          </cell>
        </row>
        <row r="39">
          <cell r="A39">
            <v>37</v>
          </cell>
          <cell r="B39">
            <v>0.06</v>
          </cell>
          <cell r="C39">
            <v>18.7</v>
          </cell>
          <cell r="D39">
            <v>0.1</v>
          </cell>
          <cell r="E39">
            <v>0.06</v>
          </cell>
          <cell r="F39">
            <v>7.0000000000000007E-2</v>
          </cell>
          <cell r="G39">
            <v>0</v>
          </cell>
          <cell r="H39">
            <v>8.4999999999999992E-2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0.3</v>
          </cell>
          <cell r="N39">
            <v>0.2</v>
          </cell>
          <cell r="O39">
            <v>0.1</v>
          </cell>
          <cell r="P39">
            <v>0.1</v>
          </cell>
        </row>
        <row r="40">
          <cell r="A40">
            <v>38</v>
          </cell>
          <cell r="B40">
            <v>0.1</v>
          </cell>
          <cell r="C40">
            <v>18.7</v>
          </cell>
          <cell r="D40">
            <v>0.1571428571428572</v>
          </cell>
          <cell r="E40">
            <v>0.1</v>
          </cell>
          <cell r="F40">
            <v>0.11</v>
          </cell>
          <cell r="G40">
            <v>0</v>
          </cell>
          <cell r="H40">
            <v>8.4999999999999992E-2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0.35714285714285721</v>
          </cell>
          <cell r="N40">
            <v>0.25714285714285717</v>
          </cell>
          <cell r="O40">
            <v>0.1571428571428572</v>
          </cell>
          <cell r="P40">
            <v>0.1571428571428572</v>
          </cell>
        </row>
        <row r="41">
          <cell r="A41">
            <v>39</v>
          </cell>
          <cell r="B41">
            <v>0.1</v>
          </cell>
          <cell r="C41">
            <v>18.7</v>
          </cell>
          <cell r="D41">
            <v>0.1571428571428572</v>
          </cell>
          <cell r="E41">
            <v>0.1</v>
          </cell>
          <cell r="F41">
            <v>0.11</v>
          </cell>
          <cell r="G41">
            <v>0</v>
          </cell>
          <cell r="H41">
            <v>8.4999999999999992E-2</v>
          </cell>
          <cell r="I41">
            <v>5.7142857142857162E-2</v>
          </cell>
          <cell r="J41">
            <v>0</v>
          </cell>
          <cell r="K41">
            <v>4.0000000000000008E-2</v>
          </cell>
          <cell r="L41">
            <v>0</v>
          </cell>
          <cell r="M41">
            <v>0.35714285714285721</v>
          </cell>
          <cell r="N41">
            <v>0.25714285714285717</v>
          </cell>
          <cell r="O41">
            <v>0.1571428571428572</v>
          </cell>
          <cell r="P41">
            <v>0.1571428571428572</v>
          </cell>
        </row>
        <row r="42">
          <cell r="A42">
            <v>40</v>
          </cell>
          <cell r="B42">
            <v>0.1</v>
          </cell>
          <cell r="C42">
            <v>18.7</v>
          </cell>
          <cell r="D42">
            <v>0.1571428571428572</v>
          </cell>
          <cell r="E42">
            <v>0.1</v>
          </cell>
          <cell r="F42">
            <v>0.11</v>
          </cell>
          <cell r="G42">
            <v>0</v>
          </cell>
          <cell r="H42">
            <v>8.4999999999999992E-2</v>
          </cell>
          <cell r="I42">
            <v>5.7142857142857162E-2</v>
          </cell>
          <cell r="J42">
            <v>0</v>
          </cell>
          <cell r="K42">
            <v>4.0000000000000008E-2</v>
          </cell>
          <cell r="L42">
            <v>0</v>
          </cell>
          <cell r="M42">
            <v>0.35714285714285721</v>
          </cell>
          <cell r="N42">
            <v>0.25714285714285717</v>
          </cell>
          <cell r="O42">
            <v>0</v>
          </cell>
          <cell r="P42">
            <v>0.1571428571428572</v>
          </cell>
        </row>
        <row r="43">
          <cell r="A43">
            <v>41</v>
          </cell>
          <cell r="B43">
            <v>22</v>
          </cell>
          <cell r="C43">
            <v>18.7</v>
          </cell>
          <cell r="D43">
            <v>31.44285714285714</v>
          </cell>
          <cell r="E43">
            <v>22</v>
          </cell>
          <cell r="F43">
            <v>22.01</v>
          </cell>
          <cell r="G43">
            <v>0</v>
          </cell>
          <cell r="H43">
            <v>8.4999999999999992E-2</v>
          </cell>
          <cell r="I43">
            <v>31.542857142857141</v>
          </cell>
          <cell r="J43">
            <v>0</v>
          </cell>
          <cell r="K43">
            <v>22.08</v>
          </cell>
          <cell r="L43">
            <v>21.9</v>
          </cell>
          <cell r="M43">
            <v>31.642857142857139</v>
          </cell>
          <cell r="N43">
            <v>31.542857142857141</v>
          </cell>
          <cell r="O43">
            <v>0</v>
          </cell>
          <cell r="P43">
            <v>31.44285714285714</v>
          </cell>
        </row>
        <row r="44">
          <cell r="A44">
            <v>42</v>
          </cell>
          <cell r="B44">
            <v>22</v>
          </cell>
          <cell r="C44">
            <v>18.7</v>
          </cell>
          <cell r="D44">
            <v>31.44285714285714</v>
          </cell>
          <cell r="E44">
            <v>22</v>
          </cell>
          <cell r="F44">
            <v>22.01</v>
          </cell>
          <cell r="G44">
            <v>0.1</v>
          </cell>
          <cell r="H44">
            <v>8.4999999999999992E-2</v>
          </cell>
          <cell r="I44">
            <v>31.542857142857141</v>
          </cell>
          <cell r="J44">
            <v>0.1</v>
          </cell>
          <cell r="K44">
            <v>22.08</v>
          </cell>
          <cell r="L44">
            <v>21.9</v>
          </cell>
          <cell r="M44">
            <v>31.642857142857139</v>
          </cell>
          <cell r="N44">
            <v>31.542857142857141</v>
          </cell>
          <cell r="O44">
            <v>0</v>
          </cell>
          <cell r="P44">
            <v>31.44285714285714</v>
          </cell>
        </row>
        <row r="45">
          <cell r="A45">
            <v>43</v>
          </cell>
          <cell r="B45">
            <v>22</v>
          </cell>
          <cell r="C45">
            <v>18.7</v>
          </cell>
          <cell r="D45">
            <v>31.44285714285714</v>
          </cell>
          <cell r="E45">
            <v>22</v>
          </cell>
          <cell r="F45">
            <v>22.01</v>
          </cell>
          <cell r="G45">
            <v>0.1</v>
          </cell>
          <cell r="H45">
            <v>8.4999999999999992E-2</v>
          </cell>
          <cell r="I45">
            <v>31.542857142857141</v>
          </cell>
          <cell r="J45">
            <v>0.1</v>
          </cell>
          <cell r="K45">
            <v>22.08</v>
          </cell>
          <cell r="L45">
            <v>21.9</v>
          </cell>
          <cell r="M45">
            <v>31.44285714285714</v>
          </cell>
          <cell r="N45">
            <v>31.342857142857142</v>
          </cell>
          <cell r="O45">
            <v>0</v>
          </cell>
          <cell r="P45">
            <v>31.44285714285714</v>
          </cell>
        </row>
        <row r="46">
          <cell r="A46">
            <v>44</v>
          </cell>
          <cell r="B46">
            <v>22</v>
          </cell>
          <cell r="C46">
            <v>18.7</v>
          </cell>
          <cell r="D46">
            <v>31.44285714285714</v>
          </cell>
          <cell r="E46">
            <v>22</v>
          </cell>
          <cell r="F46">
            <v>22.01</v>
          </cell>
          <cell r="G46">
            <v>0.1</v>
          </cell>
          <cell r="H46">
            <v>8.4999999999999992E-2</v>
          </cell>
          <cell r="I46">
            <v>31.542857142857141</v>
          </cell>
          <cell r="J46">
            <v>0.1</v>
          </cell>
          <cell r="K46">
            <v>22.08</v>
          </cell>
          <cell r="L46">
            <v>21.9</v>
          </cell>
          <cell r="M46">
            <v>31.44285714285714</v>
          </cell>
          <cell r="N46">
            <v>31.342857142857142</v>
          </cell>
          <cell r="O46">
            <v>0</v>
          </cell>
          <cell r="P46">
            <v>31.44285714285714</v>
          </cell>
        </row>
        <row r="47">
          <cell r="A47">
            <v>45</v>
          </cell>
          <cell r="B47">
            <v>22</v>
          </cell>
          <cell r="C47">
            <v>18.7</v>
          </cell>
          <cell r="D47">
            <v>31.44285714285714</v>
          </cell>
          <cell r="E47">
            <v>22</v>
          </cell>
          <cell r="F47">
            <v>22.01</v>
          </cell>
          <cell r="G47">
            <v>6.3749999999999987E-2</v>
          </cell>
          <cell r="H47">
            <v>8.4999999999999992E-2</v>
          </cell>
          <cell r="I47">
            <v>31.542857142857141</v>
          </cell>
          <cell r="J47">
            <v>6.3749999999999987E-2</v>
          </cell>
          <cell r="K47">
            <v>22.08</v>
          </cell>
          <cell r="L47">
            <v>21.9</v>
          </cell>
          <cell r="M47">
            <v>31.44285714285714</v>
          </cell>
          <cell r="N47">
            <v>31.342857142857142</v>
          </cell>
          <cell r="O47">
            <v>0</v>
          </cell>
          <cell r="P47">
            <v>31.44285714285714</v>
          </cell>
        </row>
        <row r="48">
          <cell r="A48">
            <v>46</v>
          </cell>
          <cell r="B48">
            <v>22</v>
          </cell>
          <cell r="C48">
            <v>18.7</v>
          </cell>
          <cell r="D48">
            <v>31.44285714285714</v>
          </cell>
          <cell r="E48">
            <v>22</v>
          </cell>
          <cell r="F48">
            <v>22.01</v>
          </cell>
          <cell r="G48">
            <v>6.3749999999999987E-2</v>
          </cell>
          <cell r="H48">
            <v>8.4999999999999992E-2</v>
          </cell>
          <cell r="I48">
            <v>31.542857142857141</v>
          </cell>
          <cell r="J48">
            <v>6.3749999999999987E-2</v>
          </cell>
          <cell r="K48">
            <v>22.08</v>
          </cell>
          <cell r="L48">
            <v>21.9</v>
          </cell>
          <cell r="M48">
            <v>31.44285714285714</v>
          </cell>
          <cell r="N48">
            <v>31.342857142857142</v>
          </cell>
          <cell r="O48">
            <v>0</v>
          </cell>
          <cell r="P48">
            <v>31.44285714285714</v>
          </cell>
        </row>
        <row r="49">
          <cell r="A49">
            <v>47</v>
          </cell>
          <cell r="B49">
            <v>22</v>
          </cell>
          <cell r="C49">
            <v>18.7</v>
          </cell>
          <cell r="D49">
            <v>31.44285714285714</v>
          </cell>
          <cell r="E49">
            <v>22</v>
          </cell>
          <cell r="F49">
            <v>22.01</v>
          </cell>
          <cell r="G49">
            <v>6.3749999999999987E-2</v>
          </cell>
          <cell r="H49">
            <v>8.4999999999999992E-2</v>
          </cell>
          <cell r="I49">
            <v>31.542857142857141</v>
          </cell>
          <cell r="J49">
            <v>6.3749999999999987E-2</v>
          </cell>
          <cell r="K49">
            <v>22.08</v>
          </cell>
          <cell r="L49">
            <v>21.9</v>
          </cell>
          <cell r="M49">
            <v>31.44285714285714</v>
          </cell>
          <cell r="N49">
            <v>31.342857142857142</v>
          </cell>
          <cell r="O49">
            <v>0</v>
          </cell>
          <cell r="P49">
            <v>31.44285714285714</v>
          </cell>
        </row>
        <row r="50">
          <cell r="A50">
            <v>48</v>
          </cell>
          <cell r="B50">
            <v>22</v>
          </cell>
          <cell r="C50">
            <v>18.7</v>
          </cell>
          <cell r="D50">
            <v>31.44285714285714</v>
          </cell>
          <cell r="E50">
            <v>22</v>
          </cell>
          <cell r="F50">
            <v>22.01</v>
          </cell>
          <cell r="G50">
            <v>6.3749999999999987E-2</v>
          </cell>
          <cell r="H50">
            <v>8.4999999999999992E-2</v>
          </cell>
          <cell r="I50">
            <v>31.542857142857141</v>
          </cell>
          <cell r="J50">
            <v>6.3749999999999987E-2</v>
          </cell>
          <cell r="K50">
            <v>22.08</v>
          </cell>
          <cell r="L50">
            <v>21.9</v>
          </cell>
          <cell r="M50">
            <v>31.44285714285714</v>
          </cell>
          <cell r="N50">
            <v>31.342857142857142</v>
          </cell>
          <cell r="O50">
            <v>0</v>
          </cell>
          <cell r="P50">
            <v>31.44285714285714</v>
          </cell>
        </row>
        <row r="51">
          <cell r="A51">
            <v>49</v>
          </cell>
          <cell r="B51">
            <v>22</v>
          </cell>
          <cell r="C51">
            <v>18.7</v>
          </cell>
          <cell r="D51">
            <v>31.44285714285714</v>
          </cell>
          <cell r="E51">
            <v>22</v>
          </cell>
          <cell r="F51">
            <v>22.01</v>
          </cell>
          <cell r="G51">
            <v>0</v>
          </cell>
          <cell r="H51">
            <v>8.4999999999999992E-2</v>
          </cell>
          <cell r="I51">
            <v>31.542857142857141</v>
          </cell>
          <cell r="J51">
            <v>0</v>
          </cell>
          <cell r="K51">
            <v>22.08</v>
          </cell>
          <cell r="L51">
            <v>21.9</v>
          </cell>
          <cell r="M51">
            <v>31.44285714285714</v>
          </cell>
          <cell r="N51">
            <v>31.342857142857142</v>
          </cell>
          <cell r="O51">
            <v>0</v>
          </cell>
          <cell r="P51">
            <v>31.44285714285714</v>
          </cell>
        </row>
        <row r="52">
          <cell r="A52">
            <v>50</v>
          </cell>
          <cell r="B52">
            <v>22</v>
          </cell>
          <cell r="C52">
            <v>18.7</v>
          </cell>
          <cell r="D52">
            <v>31.44285714285714</v>
          </cell>
          <cell r="E52">
            <v>22</v>
          </cell>
          <cell r="F52">
            <v>22.01</v>
          </cell>
          <cell r="G52">
            <v>0</v>
          </cell>
          <cell r="H52">
            <v>8.4999999999999992E-2</v>
          </cell>
          <cell r="I52">
            <v>31.542857142857141</v>
          </cell>
          <cell r="J52">
            <v>0</v>
          </cell>
          <cell r="K52">
            <v>22.08</v>
          </cell>
          <cell r="L52">
            <v>21.9</v>
          </cell>
          <cell r="M52">
            <v>31.44285714285714</v>
          </cell>
          <cell r="N52">
            <v>31.342857142857142</v>
          </cell>
          <cell r="O52">
            <v>0</v>
          </cell>
          <cell r="P52">
            <v>31.44285714285714</v>
          </cell>
        </row>
        <row r="53">
          <cell r="A53">
            <v>51</v>
          </cell>
          <cell r="B53">
            <v>22</v>
          </cell>
          <cell r="C53">
            <v>18.7</v>
          </cell>
          <cell r="D53">
            <v>31.44285714285714</v>
          </cell>
          <cell r="E53">
            <v>22</v>
          </cell>
          <cell r="F53">
            <v>22.01</v>
          </cell>
          <cell r="G53">
            <v>0</v>
          </cell>
          <cell r="H53">
            <v>8.4999999999999992E-2</v>
          </cell>
          <cell r="I53">
            <v>31.542857142857141</v>
          </cell>
          <cell r="J53">
            <v>0</v>
          </cell>
          <cell r="K53">
            <v>22.08</v>
          </cell>
          <cell r="L53">
            <v>21.9</v>
          </cell>
          <cell r="M53">
            <v>31.44285714285714</v>
          </cell>
          <cell r="N53">
            <v>31.342857142857142</v>
          </cell>
          <cell r="O53">
            <v>0</v>
          </cell>
          <cell r="P53">
            <v>31.44285714285714</v>
          </cell>
        </row>
        <row r="54">
          <cell r="A54">
            <v>52</v>
          </cell>
          <cell r="B54">
            <v>22</v>
          </cell>
          <cell r="C54">
            <v>18.7</v>
          </cell>
          <cell r="D54">
            <v>31.44285714285714</v>
          </cell>
          <cell r="E54">
            <v>22</v>
          </cell>
          <cell r="F54">
            <v>22.01</v>
          </cell>
          <cell r="G54">
            <v>0</v>
          </cell>
          <cell r="H54">
            <v>8.4999999999999992E-2</v>
          </cell>
          <cell r="I54">
            <v>31.542857142857141</v>
          </cell>
          <cell r="J54">
            <v>0</v>
          </cell>
          <cell r="K54">
            <v>22.08</v>
          </cell>
          <cell r="L54">
            <v>21.9</v>
          </cell>
          <cell r="M54">
            <v>31.44285714285714</v>
          </cell>
          <cell r="N54">
            <v>31.342857142857142</v>
          </cell>
          <cell r="O54">
            <v>0</v>
          </cell>
          <cell r="P54">
            <v>31.44285714285714</v>
          </cell>
        </row>
        <row r="55">
          <cell r="A55">
            <v>53</v>
          </cell>
          <cell r="B55">
            <v>22</v>
          </cell>
          <cell r="C55">
            <v>18.7</v>
          </cell>
          <cell r="D55">
            <v>31.44285714285714</v>
          </cell>
          <cell r="E55">
            <v>22</v>
          </cell>
          <cell r="F55">
            <v>22.01</v>
          </cell>
          <cell r="G55">
            <v>0</v>
          </cell>
          <cell r="H55">
            <v>8.4999999999999992E-2</v>
          </cell>
          <cell r="I55">
            <v>31.542857142857141</v>
          </cell>
          <cell r="J55">
            <v>0</v>
          </cell>
          <cell r="K55">
            <v>22.08</v>
          </cell>
          <cell r="L55">
            <v>21.9</v>
          </cell>
          <cell r="M55">
            <v>31.24285714285714</v>
          </cell>
          <cell r="N55">
            <v>31.342857142857142</v>
          </cell>
          <cell r="O55">
            <v>0</v>
          </cell>
          <cell r="P55">
            <v>31.44285714285714</v>
          </cell>
        </row>
        <row r="56">
          <cell r="A56">
            <v>54</v>
          </cell>
          <cell r="B56">
            <v>22</v>
          </cell>
          <cell r="C56">
            <v>18.7</v>
          </cell>
          <cell r="D56">
            <v>31.44285714285714</v>
          </cell>
          <cell r="E56">
            <v>22</v>
          </cell>
          <cell r="F56">
            <v>22.01</v>
          </cell>
          <cell r="G56">
            <v>0</v>
          </cell>
          <cell r="H56">
            <v>8.4999999999999992E-2</v>
          </cell>
          <cell r="I56">
            <v>31.542857142857141</v>
          </cell>
          <cell r="J56">
            <v>0</v>
          </cell>
          <cell r="K56">
            <v>22.08</v>
          </cell>
          <cell r="L56">
            <v>21.9</v>
          </cell>
          <cell r="M56">
            <v>31.44285714285714</v>
          </cell>
          <cell r="N56">
            <v>31.342857142857142</v>
          </cell>
          <cell r="O56">
            <v>0</v>
          </cell>
          <cell r="P56">
            <v>31.44285714285714</v>
          </cell>
        </row>
        <row r="57">
          <cell r="A57">
            <v>55</v>
          </cell>
          <cell r="B57">
            <v>22</v>
          </cell>
          <cell r="C57">
            <v>18.7</v>
          </cell>
          <cell r="D57">
            <v>31.44285714285714</v>
          </cell>
          <cell r="E57">
            <v>22</v>
          </cell>
          <cell r="F57">
            <v>22.01</v>
          </cell>
          <cell r="G57">
            <v>0</v>
          </cell>
          <cell r="H57">
            <v>8.4999999999999992E-2</v>
          </cell>
          <cell r="I57">
            <v>31.542857142857141</v>
          </cell>
          <cell r="J57">
            <v>0</v>
          </cell>
          <cell r="K57">
            <v>22.08</v>
          </cell>
          <cell r="L57">
            <v>21.9</v>
          </cell>
          <cell r="M57">
            <v>31.44285714285714</v>
          </cell>
          <cell r="N57">
            <v>31.342857142857142</v>
          </cell>
          <cell r="O57">
            <v>0</v>
          </cell>
          <cell r="P57">
            <v>31.44285714285714</v>
          </cell>
        </row>
        <row r="58">
          <cell r="A58">
            <v>56</v>
          </cell>
          <cell r="B58">
            <v>22</v>
          </cell>
          <cell r="C58">
            <v>18.7</v>
          </cell>
          <cell r="D58">
            <v>31.44285714285714</v>
          </cell>
          <cell r="E58">
            <v>22</v>
          </cell>
          <cell r="F58">
            <v>22.01</v>
          </cell>
          <cell r="G58">
            <v>0</v>
          </cell>
          <cell r="H58">
            <v>8.4999999999999992E-2</v>
          </cell>
          <cell r="I58">
            <v>31.542857142857141</v>
          </cell>
          <cell r="J58">
            <v>0</v>
          </cell>
          <cell r="K58">
            <v>22.08</v>
          </cell>
          <cell r="L58">
            <v>21.9</v>
          </cell>
          <cell r="M58">
            <v>31.44285714285714</v>
          </cell>
          <cell r="N58">
            <v>31.342857142857142</v>
          </cell>
          <cell r="O58">
            <v>0</v>
          </cell>
          <cell r="P58">
            <v>31.44285714285714</v>
          </cell>
        </row>
        <row r="59">
          <cell r="A59">
            <v>57</v>
          </cell>
          <cell r="B59">
            <v>22</v>
          </cell>
          <cell r="C59">
            <v>18.7</v>
          </cell>
          <cell r="D59">
            <v>31.44285714285714</v>
          </cell>
          <cell r="E59">
            <v>22</v>
          </cell>
          <cell r="F59">
            <v>22.01</v>
          </cell>
          <cell r="G59">
            <v>0</v>
          </cell>
          <cell r="H59">
            <v>8.4999999999999992E-2</v>
          </cell>
          <cell r="I59">
            <v>31.542857142857141</v>
          </cell>
          <cell r="J59">
            <v>0</v>
          </cell>
          <cell r="K59">
            <v>22.08</v>
          </cell>
          <cell r="L59">
            <v>21.9</v>
          </cell>
          <cell r="M59">
            <v>31.642857142857139</v>
          </cell>
          <cell r="N59">
            <v>31.542857142857141</v>
          </cell>
          <cell r="O59">
            <v>0</v>
          </cell>
          <cell r="P59">
            <v>31.44285714285714</v>
          </cell>
        </row>
        <row r="60">
          <cell r="A60">
            <v>58</v>
          </cell>
          <cell r="B60">
            <v>14.025</v>
          </cell>
          <cell r="C60">
            <v>18.7</v>
          </cell>
          <cell r="D60">
            <v>20.05</v>
          </cell>
          <cell r="E60">
            <v>14.025</v>
          </cell>
          <cell r="F60">
            <v>14.035</v>
          </cell>
          <cell r="G60">
            <v>0</v>
          </cell>
          <cell r="H60">
            <v>8.4999999999999992E-2</v>
          </cell>
          <cell r="I60">
            <v>19.95</v>
          </cell>
          <cell r="J60">
            <v>0</v>
          </cell>
          <cell r="K60">
            <v>13.965</v>
          </cell>
          <cell r="L60">
            <v>13.925000000000001</v>
          </cell>
          <cell r="M60">
            <v>20.25</v>
          </cell>
          <cell r="N60">
            <v>20.149999999999999</v>
          </cell>
          <cell r="O60">
            <v>0</v>
          </cell>
          <cell r="P60">
            <v>20.05</v>
          </cell>
        </row>
        <row r="61">
          <cell r="A61">
            <v>59</v>
          </cell>
          <cell r="B61">
            <v>14.025</v>
          </cell>
          <cell r="C61">
            <v>18.7</v>
          </cell>
          <cell r="D61">
            <v>20.05</v>
          </cell>
          <cell r="E61">
            <v>14.025</v>
          </cell>
          <cell r="F61">
            <v>14.035</v>
          </cell>
          <cell r="G61">
            <v>0</v>
          </cell>
          <cell r="H61">
            <v>8.4999999999999992E-2</v>
          </cell>
          <cell r="I61">
            <v>19.95</v>
          </cell>
          <cell r="J61">
            <v>0</v>
          </cell>
          <cell r="K61">
            <v>13.965</v>
          </cell>
          <cell r="L61">
            <v>13.925000000000001</v>
          </cell>
          <cell r="M61">
            <v>20.25</v>
          </cell>
          <cell r="N61">
            <v>20.149999999999999</v>
          </cell>
          <cell r="O61">
            <v>0</v>
          </cell>
          <cell r="P61">
            <v>20.05</v>
          </cell>
        </row>
        <row r="62">
          <cell r="A62">
            <v>60</v>
          </cell>
          <cell r="B62">
            <v>14.025</v>
          </cell>
          <cell r="C62">
            <v>18.7</v>
          </cell>
          <cell r="D62">
            <v>20.05</v>
          </cell>
          <cell r="E62">
            <v>14.025</v>
          </cell>
          <cell r="F62">
            <v>14.035</v>
          </cell>
          <cell r="G62">
            <v>0</v>
          </cell>
          <cell r="H62">
            <v>8.4999999999999992E-2</v>
          </cell>
          <cell r="I62">
            <v>19.95</v>
          </cell>
          <cell r="J62">
            <v>0</v>
          </cell>
          <cell r="K62">
            <v>13.965</v>
          </cell>
          <cell r="L62">
            <v>13.925000000000001</v>
          </cell>
          <cell r="M62">
            <v>20.25</v>
          </cell>
          <cell r="N62">
            <v>20.149999999999999</v>
          </cell>
          <cell r="O62">
            <v>20.05</v>
          </cell>
          <cell r="P62">
            <v>20.05</v>
          </cell>
        </row>
        <row r="63">
          <cell r="A63">
            <v>61</v>
          </cell>
          <cell r="B63">
            <v>14.025</v>
          </cell>
          <cell r="C63">
            <v>18.7</v>
          </cell>
          <cell r="D63">
            <v>20.05</v>
          </cell>
          <cell r="E63">
            <v>14.025</v>
          </cell>
          <cell r="F63">
            <v>14.035</v>
          </cell>
          <cell r="G63">
            <v>0</v>
          </cell>
          <cell r="H63">
            <v>8.4999999999999992E-2</v>
          </cell>
          <cell r="I63">
            <v>0</v>
          </cell>
          <cell r="J63">
            <v>0</v>
          </cell>
          <cell r="K63">
            <v>0</v>
          </cell>
          <cell r="L63">
            <v>13.925000000000001</v>
          </cell>
          <cell r="M63">
            <v>20.25</v>
          </cell>
          <cell r="N63">
            <v>20.149999999999999</v>
          </cell>
          <cell r="O63">
            <v>20.05</v>
          </cell>
          <cell r="P63">
            <v>20.05</v>
          </cell>
        </row>
        <row r="64">
          <cell r="A64">
            <v>62</v>
          </cell>
          <cell r="B64">
            <v>14.025</v>
          </cell>
          <cell r="C64">
            <v>18.7</v>
          </cell>
          <cell r="D64">
            <v>20.05</v>
          </cell>
          <cell r="E64">
            <v>14.025</v>
          </cell>
          <cell r="F64">
            <v>14.035</v>
          </cell>
          <cell r="G64">
            <v>0</v>
          </cell>
          <cell r="H64">
            <v>8.4999999999999992E-2</v>
          </cell>
          <cell r="I64">
            <v>0</v>
          </cell>
          <cell r="J64">
            <v>0</v>
          </cell>
          <cell r="K64">
            <v>0</v>
          </cell>
          <cell r="L64">
            <v>13.925000000000001</v>
          </cell>
          <cell r="M64">
            <v>20.25</v>
          </cell>
          <cell r="N64">
            <v>20.149999999999999</v>
          </cell>
          <cell r="O64">
            <v>20.05</v>
          </cell>
          <cell r="P64">
            <v>20.05</v>
          </cell>
        </row>
        <row r="65">
          <cell r="A65">
            <v>63</v>
          </cell>
          <cell r="B65">
            <v>14.025</v>
          </cell>
          <cell r="C65">
            <v>18.7</v>
          </cell>
          <cell r="D65">
            <v>20.05</v>
          </cell>
          <cell r="E65">
            <v>14.025</v>
          </cell>
          <cell r="F65">
            <v>14.035</v>
          </cell>
          <cell r="G65">
            <v>0</v>
          </cell>
          <cell r="H65">
            <v>8.4999999999999992E-2</v>
          </cell>
          <cell r="I65">
            <v>19.95</v>
          </cell>
          <cell r="J65">
            <v>0</v>
          </cell>
          <cell r="K65">
            <v>13.965</v>
          </cell>
          <cell r="L65">
            <v>13.925000000000001</v>
          </cell>
          <cell r="M65">
            <v>20.25</v>
          </cell>
          <cell r="N65">
            <v>20.149999999999999</v>
          </cell>
          <cell r="O65">
            <v>0</v>
          </cell>
          <cell r="P65">
            <v>20.05</v>
          </cell>
        </row>
        <row r="66">
          <cell r="A66">
            <v>64</v>
          </cell>
          <cell r="B66">
            <v>14.025</v>
          </cell>
          <cell r="C66">
            <v>18.7</v>
          </cell>
          <cell r="D66">
            <v>20.05</v>
          </cell>
          <cell r="E66">
            <v>14.025</v>
          </cell>
          <cell r="F66">
            <v>14.035</v>
          </cell>
          <cell r="G66">
            <v>0</v>
          </cell>
          <cell r="H66">
            <v>8.4999999999999992E-2</v>
          </cell>
          <cell r="I66">
            <v>19.95</v>
          </cell>
          <cell r="J66">
            <v>0</v>
          </cell>
          <cell r="K66">
            <v>13.965</v>
          </cell>
          <cell r="L66">
            <v>13.925000000000001</v>
          </cell>
          <cell r="M66">
            <v>20.25</v>
          </cell>
          <cell r="N66">
            <v>20.149999999999999</v>
          </cell>
          <cell r="O66">
            <v>0</v>
          </cell>
          <cell r="P66">
            <v>20.05</v>
          </cell>
        </row>
        <row r="67">
          <cell r="A67">
            <v>65</v>
          </cell>
          <cell r="B67">
            <v>22</v>
          </cell>
          <cell r="C67">
            <v>18.7</v>
          </cell>
          <cell r="D67">
            <v>31.44285714285714</v>
          </cell>
          <cell r="E67">
            <v>22</v>
          </cell>
          <cell r="F67">
            <v>22.01</v>
          </cell>
          <cell r="G67">
            <v>0</v>
          </cell>
          <cell r="H67">
            <v>8.4999999999999992E-2</v>
          </cell>
          <cell r="I67">
            <v>31.542857142857141</v>
          </cell>
          <cell r="J67">
            <v>0</v>
          </cell>
          <cell r="K67">
            <v>22.08</v>
          </cell>
          <cell r="L67">
            <v>21.9</v>
          </cell>
          <cell r="M67">
            <v>31.642857142857139</v>
          </cell>
          <cell r="N67">
            <v>31.542857142857141</v>
          </cell>
          <cell r="O67">
            <v>0</v>
          </cell>
          <cell r="P67">
            <v>31.44285714285714</v>
          </cell>
        </row>
        <row r="68">
          <cell r="A68">
            <v>66</v>
          </cell>
          <cell r="B68">
            <v>22</v>
          </cell>
          <cell r="C68">
            <v>18.7</v>
          </cell>
          <cell r="D68">
            <v>31.44285714285714</v>
          </cell>
          <cell r="E68">
            <v>22</v>
          </cell>
          <cell r="F68">
            <v>22.01</v>
          </cell>
          <cell r="G68">
            <v>9.9999999999999992E-2</v>
          </cell>
          <cell r="H68">
            <v>8.4999999999999992E-2</v>
          </cell>
          <cell r="I68">
            <v>31.542857142857141</v>
          </cell>
          <cell r="J68">
            <v>9.9999999999999992E-2</v>
          </cell>
          <cell r="K68">
            <v>22.08</v>
          </cell>
          <cell r="L68">
            <v>21.9</v>
          </cell>
          <cell r="M68">
            <v>31.44285714285714</v>
          </cell>
          <cell r="N68">
            <v>31.342857142857142</v>
          </cell>
          <cell r="O68">
            <v>31.24285714285714</v>
          </cell>
          <cell r="P68">
            <v>31.44285714285714</v>
          </cell>
        </row>
        <row r="69">
          <cell r="A69">
            <v>67</v>
          </cell>
          <cell r="B69">
            <v>22</v>
          </cell>
          <cell r="C69">
            <v>18.7</v>
          </cell>
          <cell r="D69">
            <v>31.44285714285714</v>
          </cell>
          <cell r="E69">
            <v>22</v>
          </cell>
          <cell r="F69">
            <v>22.01</v>
          </cell>
          <cell r="G69">
            <v>9.9999999999999992E-2</v>
          </cell>
          <cell r="H69">
            <v>8.4999999999999992E-2</v>
          </cell>
          <cell r="I69">
            <v>31.542857142857141</v>
          </cell>
          <cell r="J69">
            <v>9.9999999999999992E-2</v>
          </cell>
          <cell r="K69">
            <v>22.08</v>
          </cell>
          <cell r="L69">
            <v>21.9</v>
          </cell>
          <cell r="M69">
            <v>31.44285714285714</v>
          </cell>
          <cell r="N69">
            <v>31.342857142857142</v>
          </cell>
          <cell r="O69">
            <v>31.24285714285714</v>
          </cell>
          <cell r="P69">
            <v>31.44285714285714</v>
          </cell>
        </row>
        <row r="70">
          <cell r="A70">
            <v>68</v>
          </cell>
          <cell r="B70">
            <v>22</v>
          </cell>
          <cell r="C70">
            <v>18.7</v>
          </cell>
          <cell r="D70">
            <v>31.44285714285714</v>
          </cell>
          <cell r="E70">
            <v>22</v>
          </cell>
          <cell r="F70">
            <v>22.01</v>
          </cell>
          <cell r="G70">
            <v>9.9999999999999992E-2</v>
          </cell>
          <cell r="H70">
            <v>8.4999999999999992E-2</v>
          </cell>
          <cell r="I70">
            <v>31.542857142857141</v>
          </cell>
          <cell r="J70">
            <v>9.9999999999999992E-2</v>
          </cell>
          <cell r="K70">
            <v>22.08</v>
          </cell>
          <cell r="L70">
            <v>21.9</v>
          </cell>
          <cell r="M70">
            <v>31.24285714285714</v>
          </cell>
          <cell r="N70">
            <v>31.342857142857142</v>
          </cell>
          <cell r="O70">
            <v>0</v>
          </cell>
          <cell r="P70">
            <v>31.44285714285714</v>
          </cell>
        </row>
        <row r="71">
          <cell r="A71">
            <v>69</v>
          </cell>
          <cell r="B71">
            <v>22</v>
          </cell>
          <cell r="C71">
            <v>18.7</v>
          </cell>
          <cell r="D71">
            <v>31.44285714285714</v>
          </cell>
          <cell r="E71">
            <v>22</v>
          </cell>
          <cell r="F71">
            <v>22.01</v>
          </cell>
          <cell r="G71">
            <v>9.9999999999999992E-2</v>
          </cell>
          <cell r="H71">
            <v>8.4999999999999992E-2</v>
          </cell>
          <cell r="I71">
            <v>31.542857142857141</v>
          </cell>
          <cell r="J71">
            <v>9.9999999999999992E-2</v>
          </cell>
          <cell r="K71">
            <v>22.08</v>
          </cell>
          <cell r="L71">
            <v>21.9</v>
          </cell>
          <cell r="M71">
            <v>31.24285714285714</v>
          </cell>
          <cell r="N71">
            <v>31.342857142857142</v>
          </cell>
          <cell r="O71">
            <v>0</v>
          </cell>
          <cell r="P71">
            <v>31.44285714285714</v>
          </cell>
        </row>
        <row r="72">
          <cell r="A72">
            <v>70</v>
          </cell>
          <cell r="B72">
            <v>22</v>
          </cell>
          <cell r="C72">
            <v>18.7</v>
          </cell>
          <cell r="D72">
            <v>31.44285714285714</v>
          </cell>
          <cell r="E72">
            <v>22</v>
          </cell>
          <cell r="F72">
            <v>22.01</v>
          </cell>
          <cell r="G72">
            <v>9.9999999999999992E-2</v>
          </cell>
          <cell r="H72">
            <v>8.4999999999999992E-2</v>
          </cell>
          <cell r="I72">
            <v>31.542857142857141</v>
          </cell>
          <cell r="J72">
            <v>9.9999999999999992E-2</v>
          </cell>
          <cell r="K72">
            <v>22.08</v>
          </cell>
          <cell r="L72">
            <v>21.9</v>
          </cell>
          <cell r="M72">
            <v>31.24285714285714</v>
          </cell>
          <cell r="N72">
            <v>31.342857142857142</v>
          </cell>
          <cell r="O72">
            <v>0</v>
          </cell>
          <cell r="P72">
            <v>31.44285714285714</v>
          </cell>
        </row>
        <row r="73">
          <cell r="A73">
            <v>71</v>
          </cell>
          <cell r="B73">
            <v>22</v>
          </cell>
          <cell r="C73">
            <v>18.7</v>
          </cell>
          <cell r="D73">
            <v>31.44285714285714</v>
          </cell>
          <cell r="E73">
            <v>22</v>
          </cell>
          <cell r="F73">
            <v>22.01</v>
          </cell>
          <cell r="G73">
            <v>9.9999999999999992E-2</v>
          </cell>
          <cell r="H73">
            <v>8.4999999999999992E-2</v>
          </cell>
          <cell r="I73">
            <v>31.542857142857141</v>
          </cell>
          <cell r="J73">
            <v>9.9999999999999992E-2</v>
          </cell>
          <cell r="K73">
            <v>22.08</v>
          </cell>
          <cell r="L73">
            <v>21.9</v>
          </cell>
          <cell r="M73">
            <v>31.24285714285714</v>
          </cell>
          <cell r="N73">
            <v>31.342857142857142</v>
          </cell>
          <cell r="O73">
            <v>0</v>
          </cell>
          <cell r="P73">
            <v>31.44285714285714</v>
          </cell>
        </row>
        <row r="74">
          <cell r="A74">
            <v>72</v>
          </cell>
          <cell r="B74">
            <v>22</v>
          </cell>
          <cell r="C74">
            <v>18.7</v>
          </cell>
          <cell r="D74">
            <v>31.44285714285714</v>
          </cell>
          <cell r="E74">
            <v>22</v>
          </cell>
          <cell r="F74">
            <v>22.01</v>
          </cell>
          <cell r="G74">
            <v>6.3749999999999987E-2</v>
          </cell>
          <cell r="H74">
            <v>8.4999999999999992E-2</v>
          </cell>
          <cell r="I74">
            <v>31.542857142857141</v>
          </cell>
          <cell r="J74">
            <v>6.3749999999999987E-2</v>
          </cell>
          <cell r="K74">
            <v>22.08</v>
          </cell>
          <cell r="L74">
            <v>21.9</v>
          </cell>
          <cell r="M74">
            <v>31.24285714285714</v>
          </cell>
          <cell r="N74">
            <v>31.342857142857142</v>
          </cell>
          <cell r="O74">
            <v>0</v>
          </cell>
          <cell r="P74">
            <v>31.44285714285714</v>
          </cell>
        </row>
        <row r="75">
          <cell r="A75">
            <v>73</v>
          </cell>
          <cell r="B75">
            <v>22</v>
          </cell>
          <cell r="C75">
            <v>18.7</v>
          </cell>
          <cell r="D75">
            <v>31.44285714285714</v>
          </cell>
          <cell r="E75">
            <v>22</v>
          </cell>
          <cell r="F75">
            <v>22.01</v>
          </cell>
          <cell r="G75">
            <v>6.3749999999999987E-2</v>
          </cell>
          <cell r="H75">
            <v>8.4999999999999992E-2</v>
          </cell>
          <cell r="I75">
            <v>31.542857142857141</v>
          </cell>
          <cell r="J75">
            <v>6.3749999999999987E-2</v>
          </cell>
          <cell r="K75">
            <v>22.08</v>
          </cell>
          <cell r="L75">
            <v>21.9</v>
          </cell>
          <cell r="M75">
            <v>31.24285714285714</v>
          </cell>
          <cell r="N75">
            <v>31.342857142857142</v>
          </cell>
          <cell r="O75">
            <v>0</v>
          </cell>
          <cell r="P75">
            <v>31.44285714285714</v>
          </cell>
        </row>
        <row r="76">
          <cell r="A76">
            <v>74</v>
          </cell>
          <cell r="B76">
            <v>22</v>
          </cell>
          <cell r="C76">
            <v>18.7</v>
          </cell>
          <cell r="D76">
            <v>31.44285714285714</v>
          </cell>
          <cell r="E76">
            <v>22</v>
          </cell>
          <cell r="F76">
            <v>22.01</v>
          </cell>
          <cell r="G76">
            <v>6.3749999999999987E-2</v>
          </cell>
          <cell r="H76">
            <v>8.4999999999999992E-2</v>
          </cell>
          <cell r="I76">
            <v>31.542857142857141</v>
          </cell>
          <cell r="J76">
            <v>6.3749999999999987E-2</v>
          </cell>
          <cell r="K76">
            <v>22.08</v>
          </cell>
          <cell r="L76">
            <v>21.9</v>
          </cell>
          <cell r="M76">
            <v>31.24285714285714</v>
          </cell>
          <cell r="N76">
            <v>31.342857142857142</v>
          </cell>
          <cell r="O76">
            <v>0</v>
          </cell>
          <cell r="P76">
            <v>31.44285714285714</v>
          </cell>
        </row>
        <row r="77">
          <cell r="A77">
            <v>75</v>
          </cell>
          <cell r="B77">
            <v>22</v>
          </cell>
          <cell r="C77">
            <v>18.7</v>
          </cell>
          <cell r="D77">
            <v>31.44285714285714</v>
          </cell>
          <cell r="E77">
            <v>22</v>
          </cell>
          <cell r="F77">
            <v>22.01</v>
          </cell>
          <cell r="G77">
            <v>6.3749999999999987E-2</v>
          </cell>
          <cell r="H77">
            <v>8.4999999999999992E-2</v>
          </cell>
          <cell r="I77">
            <v>31.542857142857141</v>
          </cell>
          <cell r="J77">
            <v>6.3749999999999987E-2</v>
          </cell>
          <cell r="K77">
            <v>22.08</v>
          </cell>
          <cell r="L77">
            <v>21.9</v>
          </cell>
          <cell r="M77">
            <v>31.24285714285714</v>
          </cell>
          <cell r="N77">
            <v>31.342857142857142</v>
          </cell>
          <cell r="O77">
            <v>0</v>
          </cell>
          <cell r="P77">
            <v>31.44285714285714</v>
          </cell>
        </row>
        <row r="78">
          <cell r="A78">
            <v>76</v>
          </cell>
          <cell r="B78">
            <v>22</v>
          </cell>
          <cell r="C78">
            <v>18.7</v>
          </cell>
          <cell r="D78">
            <v>31.44285714285714</v>
          </cell>
          <cell r="E78">
            <v>22</v>
          </cell>
          <cell r="F78">
            <v>22.01</v>
          </cell>
          <cell r="G78">
            <v>6.3749999999999987E-2</v>
          </cell>
          <cell r="H78">
            <v>8.4999999999999992E-2</v>
          </cell>
          <cell r="I78">
            <v>31.542857142857141</v>
          </cell>
          <cell r="J78">
            <v>6.3749999999999987E-2</v>
          </cell>
          <cell r="K78">
            <v>22.08</v>
          </cell>
          <cell r="L78">
            <v>21.9</v>
          </cell>
          <cell r="M78">
            <v>31.24285714285714</v>
          </cell>
          <cell r="N78">
            <v>31.342857142857142</v>
          </cell>
          <cell r="O78">
            <v>0</v>
          </cell>
          <cell r="P78">
            <v>31.44285714285714</v>
          </cell>
        </row>
        <row r="79">
          <cell r="A79">
            <v>77</v>
          </cell>
          <cell r="B79">
            <v>22</v>
          </cell>
          <cell r="C79">
            <v>18.7</v>
          </cell>
          <cell r="D79">
            <v>31.44285714285714</v>
          </cell>
          <cell r="E79">
            <v>22</v>
          </cell>
          <cell r="F79">
            <v>22.01</v>
          </cell>
          <cell r="G79">
            <v>6.3749999999999987E-2</v>
          </cell>
          <cell r="H79">
            <v>8.4999999999999992E-2</v>
          </cell>
          <cell r="I79">
            <v>31.542857142857141</v>
          </cell>
          <cell r="J79">
            <v>6.3749999999999987E-2</v>
          </cell>
          <cell r="K79">
            <v>22.08</v>
          </cell>
          <cell r="L79">
            <v>21.9</v>
          </cell>
          <cell r="M79">
            <v>31.24285714285714</v>
          </cell>
          <cell r="N79">
            <v>31.342857142857142</v>
          </cell>
          <cell r="O79">
            <v>0</v>
          </cell>
          <cell r="P79">
            <v>31.44285714285714</v>
          </cell>
        </row>
        <row r="80">
          <cell r="A80">
            <v>78</v>
          </cell>
          <cell r="B80">
            <v>22</v>
          </cell>
          <cell r="C80">
            <v>18.7</v>
          </cell>
          <cell r="D80">
            <v>31.44285714285714</v>
          </cell>
          <cell r="E80">
            <v>22</v>
          </cell>
          <cell r="F80">
            <v>22.01</v>
          </cell>
          <cell r="G80">
            <v>6.3749999999999987E-2</v>
          </cell>
          <cell r="H80">
            <v>8.4999999999999992E-2</v>
          </cell>
          <cell r="I80">
            <v>31.542857142857141</v>
          </cell>
          <cell r="J80">
            <v>6.3749999999999987E-2</v>
          </cell>
          <cell r="K80">
            <v>22.08</v>
          </cell>
          <cell r="L80">
            <v>21.9</v>
          </cell>
          <cell r="M80">
            <v>31.44285714285714</v>
          </cell>
          <cell r="N80">
            <v>31.342857142857142</v>
          </cell>
          <cell r="O80">
            <v>0</v>
          </cell>
          <cell r="P80">
            <v>31.44285714285714</v>
          </cell>
        </row>
        <row r="81">
          <cell r="A81">
            <v>79</v>
          </cell>
          <cell r="B81">
            <v>22</v>
          </cell>
          <cell r="C81">
            <v>18.7</v>
          </cell>
          <cell r="D81">
            <v>31.44285714285714</v>
          </cell>
          <cell r="E81">
            <v>22</v>
          </cell>
          <cell r="F81">
            <v>22.01</v>
          </cell>
          <cell r="G81">
            <v>9.9999999999999992E-2</v>
          </cell>
          <cell r="H81">
            <v>8.4999999999999992E-2</v>
          </cell>
          <cell r="I81">
            <v>31.542857142857141</v>
          </cell>
          <cell r="J81">
            <v>9.9999999999999992E-2</v>
          </cell>
          <cell r="K81">
            <v>22.08</v>
          </cell>
          <cell r="L81">
            <v>21.9</v>
          </cell>
          <cell r="M81">
            <v>31.44285714285714</v>
          </cell>
          <cell r="N81">
            <v>31.342857142857142</v>
          </cell>
          <cell r="O81">
            <v>0</v>
          </cell>
          <cell r="P81">
            <v>31.44285714285714</v>
          </cell>
        </row>
        <row r="82">
          <cell r="A82">
            <v>80</v>
          </cell>
          <cell r="B82">
            <v>22</v>
          </cell>
          <cell r="C82">
            <v>18.7</v>
          </cell>
          <cell r="D82">
            <v>31.44285714285714</v>
          </cell>
          <cell r="E82">
            <v>22</v>
          </cell>
          <cell r="F82">
            <v>22.01</v>
          </cell>
          <cell r="G82">
            <v>9.9999999999999992E-2</v>
          </cell>
          <cell r="H82">
            <v>8.4999999999999992E-2</v>
          </cell>
          <cell r="I82">
            <v>31.542857142857141</v>
          </cell>
          <cell r="J82">
            <v>9.9999999999999992E-2</v>
          </cell>
          <cell r="K82">
            <v>22.08</v>
          </cell>
          <cell r="L82">
            <v>21.9</v>
          </cell>
          <cell r="M82">
            <v>31.642857142857139</v>
          </cell>
          <cell r="N82">
            <v>31.542857142857141</v>
          </cell>
          <cell r="O82">
            <v>0</v>
          </cell>
          <cell r="P82">
            <v>31.44285714285714</v>
          </cell>
        </row>
        <row r="83">
          <cell r="A83">
            <v>81</v>
          </cell>
          <cell r="B83">
            <v>22</v>
          </cell>
          <cell r="C83">
            <v>18.7</v>
          </cell>
          <cell r="D83">
            <v>31.44285714285714</v>
          </cell>
          <cell r="E83">
            <v>22</v>
          </cell>
          <cell r="F83">
            <v>22.01</v>
          </cell>
          <cell r="G83">
            <v>6.3749999999999987E-2</v>
          </cell>
          <cell r="H83">
            <v>8.4999999999999992E-2</v>
          </cell>
          <cell r="I83">
            <v>31.542857142857141</v>
          </cell>
          <cell r="J83">
            <v>6.3749999999999987E-2</v>
          </cell>
          <cell r="K83">
            <v>22.08</v>
          </cell>
          <cell r="L83">
            <v>21.9</v>
          </cell>
          <cell r="M83">
            <v>31.642857142857139</v>
          </cell>
          <cell r="N83">
            <v>31.542857142857141</v>
          </cell>
          <cell r="O83">
            <v>0</v>
          </cell>
          <cell r="P83">
            <v>31.44285714285714</v>
          </cell>
        </row>
        <row r="84">
          <cell r="A84">
            <v>82</v>
          </cell>
          <cell r="B84">
            <v>17.60452076568405</v>
          </cell>
          <cell r="C84">
            <v>18.7</v>
          </cell>
          <cell r="D84">
            <v>25.163601093834369</v>
          </cell>
          <cell r="E84">
            <v>17.60452076568405</v>
          </cell>
          <cell r="F84">
            <v>17.614520765684059</v>
          </cell>
          <cell r="G84">
            <v>0</v>
          </cell>
          <cell r="H84">
            <v>8.4999999999999992E-2</v>
          </cell>
          <cell r="I84">
            <v>25.063601093834361</v>
          </cell>
          <cell r="J84">
            <v>0</v>
          </cell>
          <cell r="K84">
            <v>17.544520765684052</v>
          </cell>
          <cell r="L84">
            <v>17.50452076568406</v>
          </cell>
          <cell r="M84">
            <v>25.363601093834369</v>
          </cell>
          <cell r="N84">
            <v>25.26360109383436</v>
          </cell>
          <cell r="O84">
            <v>0</v>
          </cell>
          <cell r="P84">
            <v>25.163601093834369</v>
          </cell>
        </row>
        <row r="85">
          <cell r="A85">
            <v>83</v>
          </cell>
          <cell r="B85">
            <v>17.60452076568405</v>
          </cell>
          <cell r="C85">
            <v>18.7</v>
          </cell>
          <cell r="D85">
            <v>25.163601093834369</v>
          </cell>
          <cell r="E85">
            <v>17.60452076568405</v>
          </cell>
          <cell r="F85">
            <v>17.614520765684059</v>
          </cell>
          <cell r="G85">
            <v>0</v>
          </cell>
          <cell r="H85">
            <v>8.4999999999999992E-2</v>
          </cell>
          <cell r="I85">
            <v>25.063601093834361</v>
          </cell>
          <cell r="J85">
            <v>0</v>
          </cell>
          <cell r="K85">
            <v>17.544520765684052</v>
          </cell>
          <cell r="L85">
            <v>17.50452076568406</v>
          </cell>
          <cell r="M85">
            <v>25.363601093834369</v>
          </cell>
          <cell r="N85">
            <v>25.26360109383436</v>
          </cell>
          <cell r="O85">
            <v>0</v>
          </cell>
          <cell r="P85">
            <v>25.163601093834369</v>
          </cell>
        </row>
        <row r="86">
          <cell r="A86">
            <v>84</v>
          </cell>
          <cell r="B86">
            <v>17.60452076568405</v>
          </cell>
          <cell r="C86">
            <v>18.7</v>
          </cell>
          <cell r="D86">
            <v>25.163601093834369</v>
          </cell>
          <cell r="E86">
            <v>17.60452076568405</v>
          </cell>
          <cell r="F86">
            <v>17.614520765684059</v>
          </cell>
          <cell r="G86">
            <v>0</v>
          </cell>
          <cell r="H86">
            <v>8.4999999999999992E-2</v>
          </cell>
          <cell r="I86">
            <v>25.063601093834361</v>
          </cell>
          <cell r="J86">
            <v>0</v>
          </cell>
          <cell r="K86">
            <v>17.544520765684052</v>
          </cell>
          <cell r="L86">
            <v>17.50452076568406</v>
          </cell>
          <cell r="M86">
            <v>25.363601093834369</v>
          </cell>
          <cell r="N86">
            <v>25.26360109383436</v>
          </cell>
          <cell r="O86">
            <v>25.163601093834369</v>
          </cell>
          <cell r="P86">
            <v>25.163601093834369</v>
          </cell>
        </row>
        <row r="87">
          <cell r="A87">
            <v>85</v>
          </cell>
          <cell r="B87">
            <v>17.60452076568405</v>
          </cell>
          <cell r="C87">
            <v>18.7</v>
          </cell>
          <cell r="D87">
            <v>25.163601093834369</v>
          </cell>
          <cell r="E87">
            <v>17.60452076568405</v>
          </cell>
          <cell r="F87">
            <v>17.614520765684059</v>
          </cell>
          <cell r="G87">
            <v>0</v>
          </cell>
          <cell r="H87">
            <v>8.4999999999999992E-2</v>
          </cell>
          <cell r="I87">
            <v>25.063601093834361</v>
          </cell>
          <cell r="J87">
            <v>0</v>
          </cell>
          <cell r="K87">
            <v>17.544520765684052</v>
          </cell>
          <cell r="L87">
            <v>17.50452076568406</v>
          </cell>
          <cell r="M87">
            <v>25.363601093834369</v>
          </cell>
          <cell r="N87">
            <v>25.26360109383436</v>
          </cell>
          <cell r="O87">
            <v>25.163601093834369</v>
          </cell>
          <cell r="P87">
            <v>25.163601093834369</v>
          </cell>
        </row>
        <row r="88">
          <cell r="A88">
            <v>86</v>
          </cell>
          <cell r="B88">
            <v>17.60452076568405</v>
          </cell>
          <cell r="C88">
            <v>18.7</v>
          </cell>
          <cell r="D88">
            <v>25.163601093834369</v>
          </cell>
          <cell r="E88">
            <v>17.60452076568405</v>
          </cell>
          <cell r="F88">
            <v>17.614520765684059</v>
          </cell>
          <cell r="G88">
            <v>0</v>
          </cell>
          <cell r="H88">
            <v>8.4999999999999992E-2</v>
          </cell>
          <cell r="I88">
            <v>25.063601093834361</v>
          </cell>
          <cell r="J88">
            <v>0</v>
          </cell>
          <cell r="K88">
            <v>17.544520765684052</v>
          </cell>
          <cell r="L88">
            <v>17.50452076568406</v>
          </cell>
          <cell r="M88">
            <v>25.363601093834369</v>
          </cell>
          <cell r="N88">
            <v>25.26360109383436</v>
          </cell>
          <cell r="O88">
            <v>25.163601093834369</v>
          </cell>
          <cell r="P88">
            <v>25.163601093834369</v>
          </cell>
        </row>
        <row r="89">
          <cell r="A89">
            <v>87</v>
          </cell>
          <cell r="B89">
            <v>17.60452076568405</v>
          </cell>
          <cell r="C89">
            <v>18.7</v>
          </cell>
          <cell r="D89">
            <v>25.163601093834369</v>
          </cell>
          <cell r="E89">
            <v>17.60452076568405</v>
          </cell>
          <cell r="F89">
            <v>17.614520765684059</v>
          </cell>
          <cell r="G89">
            <v>0</v>
          </cell>
          <cell r="H89">
            <v>8.4999999999999992E-2</v>
          </cell>
          <cell r="I89">
            <v>25.063601093834361</v>
          </cell>
          <cell r="J89">
            <v>0</v>
          </cell>
          <cell r="K89">
            <v>17.544520765684052</v>
          </cell>
          <cell r="L89">
            <v>17.50452076568406</v>
          </cell>
          <cell r="M89">
            <v>25.363601093834369</v>
          </cell>
          <cell r="N89">
            <v>25.26360109383436</v>
          </cell>
          <cell r="O89">
            <v>25.163601093834369</v>
          </cell>
          <cell r="P89">
            <v>25.163601093834369</v>
          </cell>
        </row>
        <row r="90">
          <cell r="A90">
            <v>88</v>
          </cell>
          <cell r="B90">
            <v>17.60452076568405</v>
          </cell>
          <cell r="C90">
            <v>18.7</v>
          </cell>
          <cell r="D90">
            <v>25.163601093834369</v>
          </cell>
          <cell r="E90">
            <v>17.60452076568405</v>
          </cell>
          <cell r="F90">
            <v>17.614520765684059</v>
          </cell>
          <cell r="G90">
            <v>0</v>
          </cell>
          <cell r="H90">
            <v>8.4999999999999992E-2</v>
          </cell>
          <cell r="I90">
            <v>25.063601093834361</v>
          </cell>
          <cell r="J90">
            <v>0</v>
          </cell>
          <cell r="K90">
            <v>17.544520765684052</v>
          </cell>
          <cell r="L90">
            <v>17.50452076568406</v>
          </cell>
          <cell r="M90">
            <v>25.363601093834369</v>
          </cell>
          <cell r="N90">
            <v>25.26360109383436</v>
          </cell>
          <cell r="O90">
            <v>0</v>
          </cell>
          <cell r="P90">
            <v>25.163601093834369</v>
          </cell>
        </row>
        <row r="91">
          <cell r="A91">
            <v>89</v>
          </cell>
          <cell r="B91">
            <v>22</v>
          </cell>
          <cell r="C91">
            <v>18.7</v>
          </cell>
          <cell r="D91">
            <v>31.44285714285714</v>
          </cell>
          <cell r="E91">
            <v>22</v>
          </cell>
          <cell r="F91">
            <v>22.01</v>
          </cell>
          <cell r="G91">
            <v>6.3749999999999987E-2</v>
          </cell>
          <cell r="H91">
            <v>8.4999999999999992E-2</v>
          </cell>
          <cell r="I91">
            <v>31.342857142857142</v>
          </cell>
          <cell r="J91">
            <v>6.3749999999999987E-2</v>
          </cell>
          <cell r="K91">
            <v>21.939999999999991</v>
          </cell>
          <cell r="L91">
            <v>21.9</v>
          </cell>
          <cell r="M91">
            <v>31.642857142857139</v>
          </cell>
          <cell r="N91">
            <v>31.542857142857141</v>
          </cell>
          <cell r="O91">
            <v>0</v>
          </cell>
          <cell r="P91">
            <v>31.44285714285714</v>
          </cell>
        </row>
        <row r="92">
          <cell r="A92">
            <v>90</v>
          </cell>
          <cell r="B92">
            <v>22</v>
          </cell>
          <cell r="C92">
            <v>18.7</v>
          </cell>
          <cell r="D92">
            <v>31.44285714285714</v>
          </cell>
          <cell r="E92">
            <v>22</v>
          </cell>
          <cell r="F92">
            <v>22.01</v>
          </cell>
          <cell r="G92">
            <v>9.9999999999999992E-2</v>
          </cell>
          <cell r="H92">
            <v>8.4999999999999992E-2</v>
          </cell>
          <cell r="I92">
            <v>31.542857142857141</v>
          </cell>
          <cell r="J92">
            <v>9.9999999999999992E-2</v>
          </cell>
          <cell r="K92">
            <v>22.08</v>
          </cell>
          <cell r="L92">
            <v>21.9</v>
          </cell>
          <cell r="M92">
            <v>31.642857142857139</v>
          </cell>
          <cell r="N92">
            <v>31.542857142857141</v>
          </cell>
          <cell r="O92">
            <v>0</v>
          </cell>
          <cell r="P92">
            <v>31.44285714285714</v>
          </cell>
        </row>
        <row r="93">
          <cell r="A93">
            <v>91</v>
          </cell>
          <cell r="B93">
            <v>22</v>
          </cell>
          <cell r="C93">
            <v>18.7</v>
          </cell>
          <cell r="D93">
            <v>31.44285714285714</v>
          </cell>
          <cell r="E93">
            <v>22</v>
          </cell>
          <cell r="F93">
            <v>22.01</v>
          </cell>
          <cell r="G93">
            <v>9.9999999999999992E-2</v>
          </cell>
          <cell r="H93">
            <v>8.4999999999999992E-2</v>
          </cell>
          <cell r="I93">
            <v>31.342857142857142</v>
          </cell>
          <cell r="J93">
            <v>9.9999999999999992E-2</v>
          </cell>
          <cell r="K93">
            <v>21.939999999999991</v>
          </cell>
          <cell r="L93">
            <v>21.9</v>
          </cell>
          <cell r="M93">
            <v>31.642857142857139</v>
          </cell>
          <cell r="N93">
            <v>31.542857142857141</v>
          </cell>
          <cell r="O93">
            <v>0</v>
          </cell>
          <cell r="P93">
            <v>31.44285714285714</v>
          </cell>
        </row>
        <row r="94">
          <cell r="A94">
            <v>92</v>
          </cell>
          <cell r="B94">
            <v>22</v>
          </cell>
          <cell r="C94">
            <v>18.7</v>
          </cell>
          <cell r="D94">
            <v>31.44285714285714</v>
          </cell>
          <cell r="E94">
            <v>22</v>
          </cell>
          <cell r="F94">
            <v>22.01</v>
          </cell>
          <cell r="G94">
            <v>9.9999999999999992E-2</v>
          </cell>
          <cell r="H94">
            <v>8.4999999999999992E-2</v>
          </cell>
          <cell r="I94">
            <v>31.342857142857142</v>
          </cell>
          <cell r="J94">
            <v>9.9999999999999992E-2</v>
          </cell>
          <cell r="K94">
            <v>21.939999999999991</v>
          </cell>
          <cell r="L94">
            <v>21.9</v>
          </cell>
          <cell r="M94">
            <v>31.642857142857139</v>
          </cell>
          <cell r="N94">
            <v>31.542857142857141</v>
          </cell>
          <cell r="O94">
            <v>0</v>
          </cell>
          <cell r="P94">
            <v>31.44285714285714</v>
          </cell>
        </row>
        <row r="95">
          <cell r="A95">
            <v>93</v>
          </cell>
          <cell r="B95">
            <v>22</v>
          </cell>
          <cell r="C95">
            <v>18.7</v>
          </cell>
          <cell r="D95">
            <v>31.44285714285714</v>
          </cell>
          <cell r="E95">
            <v>22</v>
          </cell>
          <cell r="F95">
            <v>22.01</v>
          </cell>
          <cell r="G95">
            <v>9.9999999999999992E-2</v>
          </cell>
          <cell r="H95">
            <v>8.4999999999999992E-2</v>
          </cell>
          <cell r="I95">
            <v>31.342857142857142</v>
          </cell>
          <cell r="J95">
            <v>9.9999999999999992E-2</v>
          </cell>
          <cell r="K95">
            <v>21.939999999999991</v>
          </cell>
          <cell r="L95">
            <v>21.9</v>
          </cell>
          <cell r="M95">
            <v>31.642857142857139</v>
          </cell>
          <cell r="N95">
            <v>31.542857142857141</v>
          </cell>
          <cell r="O95">
            <v>0</v>
          </cell>
          <cell r="P95">
            <v>31.44285714285714</v>
          </cell>
        </row>
        <row r="96">
          <cell r="A96">
            <v>94</v>
          </cell>
          <cell r="B96">
            <v>22</v>
          </cell>
          <cell r="C96">
            <v>18.7</v>
          </cell>
          <cell r="D96">
            <v>31.44285714285714</v>
          </cell>
          <cell r="E96">
            <v>22</v>
          </cell>
          <cell r="F96">
            <v>22.01</v>
          </cell>
          <cell r="G96">
            <v>9.9999999999999992E-2</v>
          </cell>
          <cell r="H96">
            <v>8.4999999999999992E-2</v>
          </cell>
          <cell r="I96">
            <v>31.342857142857142</v>
          </cell>
          <cell r="J96">
            <v>9.9999999999999992E-2</v>
          </cell>
          <cell r="K96">
            <v>21.939999999999991</v>
          </cell>
          <cell r="L96">
            <v>21.9</v>
          </cell>
          <cell r="M96">
            <v>31.642857142857139</v>
          </cell>
          <cell r="N96">
            <v>31.542857142857141</v>
          </cell>
          <cell r="O96">
            <v>0</v>
          </cell>
          <cell r="P96">
            <v>31.44285714285714</v>
          </cell>
        </row>
        <row r="97">
          <cell r="A97">
            <v>95</v>
          </cell>
          <cell r="B97">
            <v>22</v>
          </cell>
          <cell r="C97">
            <v>18.7</v>
          </cell>
          <cell r="D97">
            <v>31.44285714285714</v>
          </cell>
          <cell r="E97">
            <v>22</v>
          </cell>
          <cell r="F97">
            <v>22.01</v>
          </cell>
          <cell r="G97">
            <v>9.9999999999999992E-2</v>
          </cell>
          <cell r="H97">
            <v>8.4999999999999992E-2</v>
          </cell>
          <cell r="I97">
            <v>31.342857142857142</v>
          </cell>
          <cell r="J97">
            <v>9.9999999999999992E-2</v>
          </cell>
          <cell r="K97">
            <v>21.939999999999991</v>
          </cell>
          <cell r="L97">
            <v>21.9</v>
          </cell>
          <cell r="M97">
            <v>31.642857142857139</v>
          </cell>
          <cell r="N97">
            <v>31.542857142857141</v>
          </cell>
          <cell r="O97">
            <v>31.44285714285714</v>
          </cell>
          <cell r="P97">
            <v>31.44285714285714</v>
          </cell>
        </row>
        <row r="98">
          <cell r="A98">
            <v>96</v>
          </cell>
          <cell r="B98">
            <v>22</v>
          </cell>
          <cell r="C98">
            <v>18.7</v>
          </cell>
          <cell r="D98">
            <v>31.44285714285714</v>
          </cell>
          <cell r="E98">
            <v>22</v>
          </cell>
          <cell r="F98">
            <v>22.01</v>
          </cell>
          <cell r="G98">
            <v>0.1</v>
          </cell>
          <cell r="H98">
            <v>8.4999999999999992E-2</v>
          </cell>
          <cell r="I98">
            <v>31.342857142857142</v>
          </cell>
          <cell r="J98">
            <v>0.1</v>
          </cell>
          <cell r="K98">
            <v>21.939999999999991</v>
          </cell>
          <cell r="L98">
            <v>21.9</v>
          </cell>
          <cell r="M98">
            <v>31.642857142857139</v>
          </cell>
          <cell r="N98">
            <v>31.542857142857141</v>
          </cell>
          <cell r="O98">
            <v>31.44285714285714</v>
          </cell>
          <cell r="P98">
            <v>31.44285714285714</v>
          </cell>
        </row>
        <row r="99">
          <cell r="A99">
            <v>97</v>
          </cell>
          <cell r="B99">
            <v>22</v>
          </cell>
          <cell r="C99">
            <v>18.7</v>
          </cell>
          <cell r="D99">
            <v>31.44285714285714</v>
          </cell>
          <cell r="E99">
            <v>22</v>
          </cell>
          <cell r="F99">
            <v>22.01</v>
          </cell>
          <cell r="G99">
            <v>0.1</v>
          </cell>
          <cell r="H99">
            <v>8.4999999999999992E-2</v>
          </cell>
          <cell r="I99">
            <v>31.342857142857142</v>
          </cell>
          <cell r="J99">
            <v>0.1</v>
          </cell>
          <cell r="K99">
            <v>21.939999999999991</v>
          </cell>
          <cell r="L99">
            <v>22.1</v>
          </cell>
          <cell r="M99">
            <v>31.642857142857139</v>
          </cell>
          <cell r="N99">
            <v>31.542857142857141</v>
          </cell>
          <cell r="O99">
            <v>31.44285714285714</v>
          </cell>
          <cell r="P99">
            <v>31.44285714285714</v>
          </cell>
        </row>
        <row r="100">
          <cell r="A100">
            <v>98</v>
          </cell>
          <cell r="B100">
            <v>22</v>
          </cell>
          <cell r="C100">
            <v>18.7</v>
          </cell>
          <cell r="D100">
            <v>31.44285714285714</v>
          </cell>
          <cell r="E100">
            <v>22</v>
          </cell>
          <cell r="F100">
            <v>22.01</v>
          </cell>
          <cell r="G100">
            <v>0.1</v>
          </cell>
          <cell r="H100">
            <v>8.4999999999999992E-2</v>
          </cell>
          <cell r="I100">
            <v>31.342857142857142</v>
          </cell>
          <cell r="J100">
            <v>0.1</v>
          </cell>
          <cell r="K100">
            <v>21.939999999999991</v>
          </cell>
          <cell r="L100">
            <v>22.1</v>
          </cell>
          <cell r="M100">
            <v>31.642857142857139</v>
          </cell>
          <cell r="N100">
            <v>31.542857142857141</v>
          </cell>
          <cell r="O100">
            <v>31.44285714285714</v>
          </cell>
          <cell r="P100">
            <v>31.44285714285714</v>
          </cell>
        </row>
        <row r="101">
          <cell r="A101">
            <v>99</v>
          </cell>
          <cell r="B101">
            <v>22</v>
          </cell>
          <cell r="C101">
            <v>18.7</v>
          </cell>
          <cell r="D101">
            <v>31.44285714285714</v>
          </cell>
          <cell r="E101">
            <v>22</v>
          </cell>
          <cell r="F101">
            <v>22.01</v>
          </cell>
          <cell r="G101">
            <v>0.1</v>
          </cell>
          <cell r="H101">
            <v>8.4999999999999992E-2</v>
          </cell>
          <cell r="I101">
            <v>31.342857142857142</v>
          </cell>
          <cell r="J101">
            <v>0.1</v>
          </cell>
          <cell r="K101">
            <v>21.939999999999991</v>
          </cell>
          <cell r="L101">
            <v>21.9</v>
          </cell>
          <cell r="M101">
            <v>31.642857142857139</v>
          </cell>
          <cell r="N101">
            <v>31.542857142857141</v>
          </cell>
          <cell r="O101">
            <v>31.44285714285714</v>
          </cell>
          <cell r="P101">
            <v>31.44285714285714</v>
          </cell>
        </row>
        <row r="102">
          <cell r="A102">
            <v>100</v>
          </cell>
          <cell r="B102">
            <v>22</v>
          </cell>
          <cell r="C102">
            <v>18.7</v>
          </cell>
          <cell r="D102">
            <v>31.44285714285714</v>
          </cell>
          <cell r="E102">
            <v>22</v>
          </cell>
          <cell r="F102">
            <v>22.01</v>
          </cell>
          <cell r="G102">
            <v>0.1</v>
          </cell>
          <cell r="H102">
            <v>8.4999999999999992E-2</v>
          </cell>
          <cell r="I102">
            <v>31.342857142857142</v>
          </cell>
          <cell r="J102">
            <v>0.1</v>
          </cell>
          <cell r="K102">
            <v>21.939999999999991</v>
          </cell>
          <cell r="L102">
            <v>21.9</v>
          </cell>
          <cell r="M102">
            <v>31.642857142857139</v>
          </cell>
          <cell r="N102">
            <v>31.542857142857141</v>
          </cell>
          <cell r="O102">
            <v>31.44285714285714</v>
          </cell>
          <cell r="P102">
            <v>31.44285714285714</v>
          </cell>
        </row>
        <row r="103">
          <cell r="A103">
            <v>101</v>
          </cell>
          <cell r="B103">
            <v>22</v>
          </cell>
          <cell r="C103">
            <v>18.7</v>
          </cell>
          <cell r="D103">
            <v>31.44285714285714</v>
          </cell>
          <cell r="E103">
            <v>22</v>
          </cell>
          <cell r="F103">
            <v>22.01</v>
          </cell>
          <cell r="G103">
            <v>0.1</v>
          </cell>
          <cell r="H103">
            <v>8.4999999999999992E-2</v>
          </cell>
          <cell r="I103">
            <v>31.342857142857142</v>
          </cell>
          <cell r="J103">
            <v>0.1</v>
          </cell>
          <cell r="K103">
            <v>21.939999999999991</v>
          </cell>
          <cell r="L103">
            <v>22.1</v>
          </cell>
          <cell r="M103">
            <v>31.642857142857139</v>
          </cell>
          <cell r="N103">
            <v>31.542857142857141</v>
          </cell>
          <cell r="O103">
            <v>31.44285714285714</v>
          </cell>
          <cell r="P103">
            <v>31.44285714285714</v>
          </cell>
        </row>
        <row r="104">
          <cell r="A104">
            <v>102</v>
          </cell>
          <cell r="B104">
            <v>22</v>
          </cell>
          <cell r="C104">
            <v>18.7</v>
          </cell>
          <cell r="D104">
            <v>31.44285714285714</v>
          </cell>
          <cell r="E104">
            <v>22</v>
          </cell>
          <cell r="F104">
            <v>22.01</v>
          </cell>
          <cell r="G104">
            <v>0.1</v>
          </cell>
          <cell r="H104">
            <v>8.4999999999999992E-2</v>
          </cell>
          <cell r="I104">
            <v>31.342857142857142</v>
          </cell>
          <cell r="J104">
            <v>0.1</v>
          </cell>
          <cell r="K104">
            <v>21.939999999999991</v>
          </cell>
          <cell r="L104">
            <v>22.1</v>
          </cell>
          <cell r="M104">
            <v>31.642857142857139</v>
          </cell>
          <cell r="N104">
            <v>31.542857142857141</v>
          </cell>
          <cell r="O104">
            <v>31.44285714285714</v>
          </cell>
          <cell r="P104">
            <v>31.44285714285714</v>
          </cell>
        </row>
        <row r="105">
          <cell r="A105">
            <v>103</v>
          </cell>
          <cell r="B105">
            <v>22</v>
          </cell>
          <cell r="C105">
            <v>18.7</v>
          </cell>
          <cell r="D105">
            <v>31.44285714285714</v>
          </cell>
          <cell r="E105">
            <v>22</v>
          </cell>
          <cell r="F105">
            <v>22.01</v>
          </cell>
          <cell r="G105">
            <v>0.1</v>
          </cell>
          <cell r="H105">
            <v>8.4999999999999992E-2</v>
          </cell>
          <cell r="I105">
            <v>31.342857142857142</v>
          </cell>
          <cell r="J105">
            <v>0.1</v>
          </cell>
          <cell r="K105">
            <v>21.939999999999991</v>
          </cell>
          <cell r="L105">
            <v>22.1</v>
          </cell>
          <cell r="M105">
            <v>31.642857142857139</v>
          </cell>
          <cell r="N105">
            <v>31.542857142857141</v>
          </cell>
          <cell r="O105">
            <v>31.44285714285714</v>
          </cell>
          <cell r="P105">
            <v>31.44285714285714</v>
          </cell>
        </row>
        <row r="106">
          <cell r="A106">
            <v>104</v>
          </cell>
          <cell r="B106">
            <v>22</v>
          </cell>
          <cell r="C106">
            <v>18.7</v>
          </cell>
          <cell r="D106">
            <v>31.44285714285714</v>
          </cell>
          <cell r="E106">
            <v>22</v>
          </cell>
          <cell r="F106">
            <v>22.01</v>
          </cell>
          <cell r="G106">
            <v>0.1</v>
          </cell>
          <cell r="H106">
            <v>8.4999999999999992E-2</v>
          </cell>
          <cell r="I106">
            <v>31.342857142857142</v>
          </cell>
          <cell r="J106">
            <v>0.1</v>
          </cell>
          <cell r="K106">
            <v>21.939999999999991</v>
          </cell>
          <cell r="L106">
            <v>22.1</v>
          </cell>
          <cell r="M106">
            <v>31.642857142857139</v>
          </cell>
          <cell r="N106">
            <v>31.542857142857141</v>
          </cell>
          <cell r="O106">
            <v>31.44285714285714</v>
          </cell>
          <cell r="P106">
            <v>31.44285714285714</v>
          </cell>
        </row>
        <row r="107">
          <cell r="A107">
            <v>105</v>
          </cell>
          <cell r="B107">
            <v>14.025</v>
          </cell>
          <cell r="C107">
            <v>18.7</v>
          </cell>
          <cell r="D107">
            <v>20.05</v>
          </cell>
          <cell r="E107">
            <v>14.025</v>
          </cell>
          <cell r="F107">
            <v>14.035</v>
          </cell>
          <cell r="G107">
            <v>0.1</v>
          </cell>
          <cell r="H107">
            <v>8.4999999999999992E-2</v>
          </cell>
          <cell r="I107">
            <v>19.95</v>
          </cell>
          <cell r="J107">
            <v>0.1</v>
          </cell>
          <cell r="K107">
            <v>13.965</v>
          </cell>
          <cell r="L107">
            <v>14.125</v>
          </cell>
          <cell r="M107">
            <v>20.25</v>
          </cell>
          <cell r="N107">
            <v>20.149999999999999</v>
          </cell>
          <cell r="O107">
            <v>20.149999999999999</v>
          </cell>
          <cell r="P107">
            <v>20.05</v>
          </cell>
        </row>
        <row r="108">
          <cell r="A108">
            <v>106</v>
          </cell>
          <cell r="B108">
            <v>0</v>
          </cell>
          <cell r="C108">
            <v>18.7</v>
          </cell>
          <cell r="D108">
            <v>1.428571428571429E-2</v>
          </cell>
          <cell r="E108">
            <v>0</v>
          </cell>
          <cell r="F108">
            <v>0.01</v>
          </cell>
          <cell r="G108">
            <v>0</v>
          </cell>
          <cell r="H108">
            <v>8.4999999999999992E-2</v>
          </cell>
          <cell r="I108">
            <v>0</v>
          </cell>
          <cell r="J108">
            <v>0</v>
          </cell>
          <cell r="K108">
            <v>0</v>
          </cell>
          <cell r="L108">
            <v>0.1</v>
          </cell>
          <cell r="M108">
            <v>0.2142857142857143</v>
          </cell>
          <cell r="N108">
            <v>0.1142857142857143</v>
          </cell>
          <cell r="O108">
            <v>0.1142857142857143</v>
          </cell>
          <cell r="P108">
            <v>1.428571428571429E-2</v>
          </cell>
        </row>
        <row r="109">
          <cell r="A109">
            <v>107</v>
          </cell>
          <cell r="B109">
            <v>0</v>
          </cell>
          <cell r="C109">
            <v>18.7</v>
          </cell>
          <cell r="D109">
            <v>1.428571428571429E-2</v>
          </cell>
          <cell r="E109">
            <v>0</v>
          </cell>
          <cell r="F109">
            <v>0.01</v>
          </cell>
          <cell r="G109">
            <v>0</v>
          </cell>
          <cell r="H109">
            <v>8.4999999999999992E-2</v>
          </cell>
          <cell r="I109">
            <v>0</v>
          </cell>
          <cell r="J109">
            <v>0</v>
          </cell>
          <cell r="K109">
            <v>0</v>
          </cell>
          <cell r="L109">
            <v>0.1</v>
          </cell>
          <cell r="M109">
            <v>0.2142857142857143</v>
          </cell>
          <cell r="N109">
            <v>0.1142857142857143</v>
          </cell>
          <cell r="O109">
            <v>0.1142857142857143</v>
          </cell>
          <cell r="P109">
            <v>1.428571428571429E-2</v>
          </cell>
        </row>
        <row r="110">
          <cell r="A110">
            <v>108</v>
          </cell>
          <cell r="B110">
            <v>0</v>
          </cell>
          <cell r="C110">
            <v>18.7</v>
          </cell>
          <cell r="D110">
            <v>1.428571428571429E-2</v>
          </cell>
          <cell r="E110">
            <v>0</v>
          </cell>
          <cell r="F110">
            <v>0.01</v>
          </cell>
          <cell r="G110">
            <v>0</v>
          </cell>
          <cell r="H110">
            <v>8.4999999999999992E-2</v>
          </cell>
          <cell r="I110">
            <v>0</v>
          </cell>
          <cell r="J110">
            <v>0</v>
          </cell>
          <cell r="K110">
            <v>0</v>
          </cell>
          <cell r="L110">
            <v>0.1</v>
          </cell>
          <cell r="M110">
            <v>0.2142857142857143</v>
          </cell>
          <cell r="N110">
            <v>0.1142857142857143</v>
          </cell>
          <cell r="O110">
            <v>0.1142857142857143</v>
          </cell>
          <cell r="P110">
            <v>1.428571428571429E-2</v>
          </cell>
        </row>
        <row r="111">
          <cell r="A111">
            <v>109</v>
          </cell>
          <cell r="B111">
            <v>0</v>
          </cell>
          <cell r="C111">
            <v>18.7</v>
          </cell>
          <cell r="D111">
            <v>1.428571428571429E-2</v>
          </cell>
          <cell r="E111">
            <v>0</v>
          </cell>
          <cell r="F111">
            <v>0.01</v>
          </cell>
          <cell r="G111">
            <v>0</v>
          </cell>
          <cell r="H111">
            <v>8.4999999999999992E-2</v>
          </cell>
          <cell r="I111">
            <v>0</v>
          </cell>
          <cell r="J111">
            <v>0</v>
          </cell>
          <cell r="K111">
            <v>0</v>
          </cell>
          <cell r="L111">
            <v>0.1</v>
          </cell>
          <cell r="M111">
            <v>0.2142857142857143</v>
          </cell>
          <cell r="N111">
            <v>0.1142857142857143</v>
          </cell>
          <cell r="O111">
            <v>0.1142857142857143</v>
          </cell>
          <cell r="P111">
            <v>1.428571428571429E-2</v>
          </cell>
        </row>
        <row r="112">
          <cell r="A112">
            <v>110</v>
          </cell>
          <cell r="B112">
            <v>0</v>
          </cell>
          <cell r="C112">
            <v>18.7</v>
          </cell>
          <cell r="D112">
            <v>1.428571428571429E-2</v>
          </cell>
          <cell r="E112">
            <v>0</v>
          </cell>
          <cell r="F112">
            <v>0.01</v>
          </cell>
          <cell r="G112">
            <v>0</v>
          </cell>
          <cell r="H112">
            <v>8.4999999999999992E-2</v>
          </cell>
          <cell r="I112">
            <v>0</v>
          </cell>
          <cell r="J112">
            <v>0</v>
          </cell>
          <cell r="K112">
            <v>0</v>
          </cell>
          <cell r="L112">
            <v>0.1</v>
          </cell>
          <cell r="M112">
            <v>0.2142857142857143</v>
          </cell>
          <cell r="N112">
            <v>0.1142857142857143</v>
          </cell>
          <cell r="O112">
            <v>0.1142857142857143</v>
          </cell>
          <cell r="P112">
            <v>1.428571428571429E-2</v>
          </cell>
        </row>
        <row r="113">
          <cell r="A113">
            <v>111</v>
          </cell>
          <cell r="B113">
            <v>0</v>
          </cell>
          <cell r="C113">
            <v>18.7</v>
          </cell>
          <cell r="D113">
            <v>1.428571428571429E-2</v>
          </cell>
          <cell r="E113">
            <v>0</v>
          </cell>
          <cell r="F113">
            <v>0.01</v>
          </cell>
          <cell r="G113">
            <v>0</v>
          </cell>
          <cell r="H113">
            <v>8.4999999999999992E-2</v>
          </cell>
          <cell r="I113">
            <v>0</v>
          </cell>
          <cell r="J113">
            <v>0</v>
          </cell>
          <cell r="K113">
            <v>0</v>
          </cell>
          <cell r="L113">
            <v>0.1</v>
          </cell>
          <cell r="M113">
            <v>0.2142857142857143</v>
          </cell>
          <cell r="N113">
            <v>0.1142857142857143</v>
          </cell>
          <cell r="O113">
            <v>0.1142857142857143</v>
          </cell>
          <cell r="P113">
            <v>1.428571428571429E-2</v>
          </cell>
        </row>
        <row r="114">
          <cell r="A114">
            <v>112</v>
          </cell>
          <cell r="B114">
            <v>0</v>
          </cell>
          <cell r="C114">
            <v>18.7</v>
          </cell>
          <cell r="D114">
            <v>1.428571428571429E-2</v>
          </cell>
          <cell r="E114">
            <v>0</v>
          </cell>
          <cell r="F114">
            <v>0.01</v>
          </cell>
          <cell r="G114">
            <v>0</v>
          </cell>
          <cell r="H114">
            <v>8.4999999999999992E-2</v>
          </cell>
          <cell r="I114">
            <v>0</v>
          </cell>
          <cell r="J114">
            <v>0</v>
          </cell>
          <cell r="K114">
            <v>0</v>
          </cell>
          <cell r="L114">
            <v>0.1</v>
          </cell>
          <cell r="M114">
            <v>0.2142857142857143</v>
          </cell>
          <cell r="N114">
            <v>0.1142857142857143</v>
          </cell>
          <cell r="O114">
            <v>0.1142857142857143</v>
          </cell>
          <cell r="P114">
            <v>1.428571428571429E-2</v>
          </cell>
        </row>
        <row r="115">
          <cell r="A115">
            <v>113</v>
          </cell>
          <cell r="B115">
            <v>14.025</v>
          </cell>
          <cell r="C115">
            <v>18.7</v>
          </cell>
          <cell r="D115">
            <v>20.05</v>
          </cell>
          <cell r="E115">
            <v>14.025</v>
          </cell>
          <cell r="F115">
            <v>14.035</v>
          </cell>
          <cell r="G115">
            <v>6.3749999999999987E-2</v>
          </cell>
          <cell r="H115">
            <v>8.4999999999999992E-2</v>
          </cell>
          <cell r="I115">
            <v>19.95</v>
          </cell>
          <cell r="J115">
            <v>6.3749999999999987E-2</v>
          </cell>
          <cell r="K115">
            <v>13.965</v>
          </cell>
          <cell r="L115">
            <v>14.125</v>
          </cell>
          <cell r="M115">
            <v>20.25</v>
          </cell>
          <cell r="N115">
            <v>20.149999999999999</v>
          </cell>
          <cell r="O115">
            <v>20.05</v>
          </cell>
          <cell r="P115">
            <v>20.05</v>
          </cell>
        </row>
        <row r="116">
          <cell r="A116">
            <v>114</v>
          </cell>
          <cell r="B116">
            <v>14.025</v>
          </cell>
          <cell r="C116">
            <v>18.7</v>
          </cell>
          <cell r="D116">
            <v>28.856944285714281</v>
          </cell>
          <cell r="E116">
            <v>14.025</v>
          </cell>
          <cell r="F116">
            <v>20.199860999999999</v>
          </cell>
          <cell r="G116">
            <v>13.925000000000001</v>
          </cell>
          <cell r="H116">
            <v>8.4999999999999992E-2</v>
          </cell>
          <cell r="I116">
            <v>28.95694428571429</v>
          </cell>
          <cell r="J116">
            <v>13.925000000000001</v>
          </cell>
          <cell r="K116">
            <v>20.269860999999999</v>
          </cell>
          <cell r="L116">
            <v>14.125</v>
          </cell>
          <cell r="M116">
            <v>29.056944285714291</v>
          </cell>
          <cell r="N116">
            <v>28.95694428571429</v>
          </cell>
          <cell r="O116">
            <v>28.856944285714281</v>
          </cell>
          <cell r="P116">
            <v>28.856944285714281</v>
          </cell>
        </row>
        <row r="117">
          <cell r="A117">
            <v>115</v>
          </cell>
          <cell r="B117">
            <v>14.025</v>
          </cell>
          <cell r="C117">
            <v>18.7</v>
          </cell>
          <cell r="D117">
            <v>28.856944285714281</v>
          </cell>
          <cell r="E117">
            <v>14.025</v>
          </cell>
          <cell r="F117">
            <v>20.199860999999999</v>
          </cell>
          <cell r="G117">
            <v>13.925000000000001</v>
          </cell>
          <cell r="H117">
            <v>8.4999999999999992E-2</v>
          </cell>
          <cell r="I117">
            <v>28.95694428571429</v>
          </cell>
          <cell r="J117">
            <v>13.925000000000001</v>
          </cell>
          <cell r="K117">
            <v>20.269860999999999</v>
          </cell>
          <cell r="L117">
            <v>14.125</v>
          </cell>
          <cell r="M117">
            <v>29.056944285714291</v>
          </cell>
          <cell r="N117">
            <v>28.95694428571429</v>
          </cell>
          <cell r="O117">
            <v>28.856944285714281</v>
          </cell>
          <cell r="P117">
            <v>28.856944285714281</v>
          </cell>
        </row>
        <row r="118">
          <cell r="A118">
            <v>116</v>
          </cell>
          <cell r="B118">
            <v>14.025</v>
          </cell>
          <cell r="C118">
            <v>18.7</v>
          </cell>
          <cell r="D118">
            <v>28.856944285714281</v>
          </cell>
          <cell r="E118">
            <v>14.025</v>
          </cell>
          <cell r="F118">
            <v>20.199860999999999</v>
          </cell>
          <cell r="G118">
            <v>13.925000000000001</v>
          </cell>
          <cell r="H118">
            <v>8.4999999999999992E-2</v>
          </cell>
          <cell r="I118">
            <v>28.95694428571429</v>
          </cell>
          <cell r="J118">
            <v>13.925000000000001</v>
          </cell>
          <cell r="K118">
            <v>20.269860999999999</v>
          </cell>
          <cell r="L118">
            <v>14.125</v>
          </cell>
          <cell r="M118">
            <v>29.056944285714291</v>
          </cell>
          <cell r="N118">
            <v>28.95694428571429</v>
          </cell>
          <cell r="O118">
            <v>28.856944285714281</v>
          </cell>
          <cell r="P118">
            <v>28.856944285714281</v>
          </cell>
        </row>
        <row r="119">
          <cell r="A119">
            <v>117</v>
          </cell>
          <cell r="B119">
            <v>14.025</v>
          </cell>
          <cell r="C119">
            <v>18.7</v>
          </cell>
          <cell r="D119">
            <v>28.856944285714281</v>
          </cell>
          <cell r="E119">
            <v>14.025</v>
          </cell>
          <cell r="F119">
            <v>20.199860999999999</v>
          </cell>
          <cell r="G119">
            <v>13.925000000000001</v>
          </cell>
          <cell r="H119">
            <v>8.4999999999999992E-2</v>
          </cell>
          <cell r="I119">
            <v>28.95694428571429</v>
          </cell>
          <cell r="J119">
            <v>13.925000000000001</v>
          </cell>
          <cell r="K119">
            <v>20.269860999999999</v>
          </cell>
          <cell r="L119">
            <v>13.925000000000001</v>
          </cell>
          <cell r="M119">
            <v>29.056944285714291</v>
          </cell>
          <cell r="N119">
            <v>28.95694428571429</v>
          </cell>
          <cell r="O119">
            <v>28.856944285714281</v>
          </cell>
          <cell r="P119">
            <v>28.856944285714281</v>
          </cell>
        </row>
        <row r="120">
          <cell r="A120">
            <v>118</v>
          </cell>
          <cell r="B120">
            <v>14.025</v>
          </cell>
          <cell r="C120">
            <v>18.7</v>
          </cell>
          <cell r="D120">
            <v>28.856944285714281</v>
          </cell>
          <cell r="E120">
            <v>14.025</v>
          </cell>
          <cell r="F120">
            <v>20.199860999999999</v>
          </cell>
          <cell r="G120">
            <v>13.925000000000001</v>
          </cell>
          <cell r="H120">
            <v>8.4999999999999992E-2</v>
          </cell>
          <cell r="I120">
            <v>28.95694428571429</v>
          </cell>
          <cell r="J120">
            <v>13.925000000000001</v>
          </cell>
          <cell r="K120">
            <v>20.269860999999999</v>
          </cell>
          <cell r="L120">
            <v>14.125</v>
          </cell>
          <cell r="M120">
            <v>29.056944285714291</v>
          </cell>
          <cell r="N120">
            <v>28.95694428571429</v>
          </cell>
          <cell r="O120">
            <v>28.856944285714281</v>
          </cell>
          <cell r="P120">
            <v>28.856944285714281</v>
          </cell>
        </row>
        <row r="121">
          <cell r="A121">
            <v>119</v>
          </cell>
          <cell r="B121">
            <v>14.025</v>
          </cell>
          <cell r="C121">
            <v>18.7</v>
          </cell>
          <cell r="D121">
            <v>28.856944285714281</v>
          </cell>
          <cell r="E121">
            <v>14.025</v>
          </cell>
          <cell r="F121">
            <v>20.199860999999999</v>
          </cell>
          <cell r="G121">
            <v>13.925000000000001</v>
          </cell>
          <cell r="H121">
            <v>8.4999999999999992E-2</v>
          </cell>
          <cell r="I121">
            <v>28.95694428571429</v>
          </cell>
          <cell r="J121">
            <v>13.925000000000001</v>
          </cell>
          <cell r="K121">
            <v>20.269860999999999</v>
          </cell>
          <cell r="L121">
            <v>14.125</v>
          </cell>
          <cell r="M121">
            <v>29.056944285714291</v>
          </cell>
          <cell r="N121">
            <v>28.95694428571429</v>
          </cell>
          <cell r="O121">
            <v>28.856944285714281</v>
          </cell>
          <cell r="P121">
            <v>28.856944285714281</v>
          </cell>
        </row>
        <row r="122">
          <cell r="A122">
            <v>120</v>
          </cell>
          <cell r="B122">
            <v>14.025</v>
          </cell>
          <cell r="C122">
            <v>18.7</v>
          </cell>
          <cell r="D122">
            <v>31.44285714285714</v>
          </cell>
          <cell r="E122">
            <v>14.025</v>
          </cell>
          <cell r="F122">
            <v>22.01</v>
          </cell>
          <cell r="G122">
            <v>13.925000000000001</v>
          </cell>
          <cell r="H122">
            <v>8.4999999999999992E-2</v>
          </cell>
          <cell r="I122">
            <v>31.542857142857141</v>
          </cell>
          <cell r="J122">
            <v>13.925000000000001</v>
          </cell>
          <cell r="K122">
            <v>22.08</v>
          </cell>
          <cell r="L122">
            <v>14.125</v>
          </cell>
          <cell r="M122">
            <v>31.642857142857139</v>
          </cell>
          <cell r="N122">
            <v>31.542857142857141</v>
          </cell>
          <cell r="O122">
            <v>31.542857142857141</v>
          </cell>
          <cell r="P122">
            <v>31.44285714285714</v>
          </cell>
        </row>
        <row r="123">
          <cell r="A123">
            <v>121</v>
          </cell>
          <cell r="B123">
            <v>14.025</v>
          </cell>
          <cell r="C123">
            <v>18.7</v>
          </cell>
          <cell r="D123">
            <v>73.7</v>
          </cell>
          <cell r="E123">
            <v>14.025</v>
          </cell>
          <cell r="F123">
            <v>51.59</v>
          </cell>
          <cell r="G123">
            <v>13.925000000000001</v>
          </cell>
          <cell r="H123">
            <v>8.4999999999999992E-2</v>
          </cell>
          <cell r="I123">
            <v>73.800000000000011</v>
          </cell>
          <cell r="J123">
            <v>13.925000000000001</v>
          </cell>
          <cell r="K123">
            <v>51.66</v>
          </cell>
          <cell r="L123">
            <v>14.125</v>
          </cell>
          <cell r="M123">
            <v>73.900000000000006</v>
          </cell>
          <cell r="N123">
            <v>73.800000000000011</v>
          </cell>
          <cell r="O123">
            <v>73.800000000000011</v>
          </cell>
          <cell r="P123">
            <v>73.7</v>
          </cell>
        </row>
        <row r="124">
          <cell r="A124">
            <v>122</v>
          </cell>
          <cell r="B124">
            <v>14.025</v>
          </cell>
          <cell r="C124">
            <v>18.7</v>
          </cell>
          <cell r="D124">
            <v>31.44285714285714</v>
          </cell>
          <cell r="E124">
            <v>14.025</v>
          </cell>
          <cell r="F124">
            <v>22.01</v>
          </cell>
          <cell r="G124">
            <v>13.925000000000001</v>
          </cell>
          <cell r="H124">
            <v>8.4999999999999992E-2</v>
          </cell>
          <cell r="I124">
            <v>31.542857142857141</v>
          </cell>
          <cell r="J124">
            <v>13.925000000000001</v>
          </cell>
          <cell r="K124">
            <v>22.08</v>
          </cell>
          <cell r="L124">
            <v>14.125</v>
          </cell>
          <cell r="M124">
            <v>31.642857142857139</v>
          </cell>
          <cell r="N124">
            <v>31.542857142857141</v>
          </cell>
          <cell r="O124">
            <v>31.44285714285714</v>
          </cell>
          <cell r="P124">
            <v>31.44285714285714</v>
          </cell>
        </row>
        <row r="125">
          <cell r="A125">
            <v>123</v>
          </cell>
          <cell r="B125">
            <v>14.025</v>
          </cell>
          <cell r="C125">
            <v>18.7</v>
          </cell>
          <cell r="D125">
            <v>73.7</v>
          </cell>
          <cell r="E125">
            <v>14.025</v>
          </cell>
          <cell r="F125">
            <v>51.59</v>
          </cell>
          <cell r="G125">
            <v>13.925000000000001</v>
          </cell>
          <cell r="H125">
            <v>8.4999999999999992E-2</v>
          </cell>
          <cell r="I125">
            <v>73.800000000000011</v>
          </cell>
          <cell r="J125">
            <v>13.925000000000001</v>
          </cell>
          <cell r="K125">
            <v>51.66</v>
          </cell>
          <cell r="L125">
            <v>14.125</v>
          </cell>
          <cell r="M125">
            <v>73.900000000000006</v>
          </cell>
          <cell r="N125">
            <v>73.800000000000011</v>
          </cell>
          <cell r="O125">
            <v>73.800000000000011</v>
          </cell>
          <cell r="P125">
            <v>73.7</v>
          </cell>
        </row>
        <row r="126">
          <cell r="A126">
            <v>124</v>
          </cell>
          <cell r="B126">
            <v>14.025</v>
          </cell>
          <cell r="C126">
            <v>18.7</v>
          </cell>
          <cell r="D126">
            <v>73.7</v>
          </cell>
          <cell r="E126">
            <v>14.025</v>
          </cell>
          <cell r="F126">
            <v>51.59</v>
          </cell>
          <cell r="G126">
            <v>13.925000000000001</v>
          </cell>
          <cell r="H126">
            <v>8.4999999999999992E-2</v>
          </cell>
          <cell r="I126">
            <v>73.800000000000011</v>
          </cell>
          <cell r="J126">
            <v>13.925000000000001</v>
          </cell>
          <cell r="K126">
            <v>51.66</v>
          </cell>
          <cell r="L126">
            <v>14.125</v>
          </cell>
          <cell r="M126">
            <v>73.900000000000006</v>
          </cell>
          <cell r="N126">
            <v>73.800000000000011</v>
          </cell>
          <cell r="O126">
            <v>73.800000000000011</v>
          </cell>
          <cell r="P126">
            <v>73.7</v>
          </cell>
        </row>
        <row r="127">
          <cell r="A127">
            <v>125</v>
          </cell>
          <cell r="B127">
            <v>14.025</v>
          </cell>
          <cell r="C127">
            <v>18.7</v>
          </cell>
          <cell r="D127">
            <v>31.44285714285714</v>
          </cell>
          <cell r="E127">
            <v>14.025</v>
          </cell>
          <cell r="F127">
            <v>22.01</v>
          </cell>
          <cell r="G127">
            <v>13.925000000000001</v>
          </cell>
          <cell r="H127">
            <v>8.4999999999999992E-2</v>
          </cell>
          <cell r="I127">
            <v>31.542857142857141</v>
          </cell>
          <cell r="J127">
            <v>13.925000000000001</v>
          </cell>
          <cell r="K127">
            <v>22.08</v>
          </cell>
          <cell r="L127">
            <v>14.125</v>
          </cell>
          <cell r="M127">
            <v>31.642857142857139</v>
          </cell>
          <cell r="N127">
            <v>31.542857142857141</v>
          </cell>
          <cell r="O127">
            <v>31.542857142857141</v>
          </cell>
          <cell r="P127">
            <v>31.44285714285714</v>
          </cell>
        </row>
        <row r="128">
          <cell r="A128">
            <v>126</v>
          </cell>
          <cell r="B128">
            <v>14.025</v>
          </cell>
          <cell r="C128">
            <v>18.7</v>
          </cell>
          <cell r="D128">
            <v>73.7</v>
          </cell>
          <cell r="E128">
            <v>14.025</v>
          </cell>
          <cell r="F128">
            <v>51.59</v>
          </cell>
          <cell r="G128">
            <v>13.925000000000001</v>
          </cell>
          <cell r="H128">
            <v>8.4999999999999992E-2</v>
          </cell>
          <cell r="I128">
            <v>73.800000000000011</v>
          </cell>
          <cell r="J128">
            <v>13.925000000000001</v>
          </cell>
          <cell r="K128">
            <v>51.66</v>
          </cell>
          <cell r="L128">
            <v>14.125</v>
          </cell>
          <cell r="M128">
            <v>73.900000000000006</v>
          </cell>
          <cell r="N128">
            <v>73.800000000000011</v>
          </cell>
          <cell r="O128">
            <v>73.800000000000011</v>
          </cell>
          <cell r="P128">
            <v>73.7</v>
          </cell>
        </row>
        <row r="129">
          <cell r="A129">
            <v>127</v>
          </cell>
          <cell r="B129">
            <v>14.025</v>
          </cell>
          <cell r="C129">
            <v>18.7</v>
          </cell>
          <cell r="D129">
            <v>73.7</v>
          </cell>
          <cell r="E129">
            <v>14.025</v>
          </cell>
          <cell r="F129">
            <v>51.59</v>
          </cell>
          <cell r="G129">
            <v>13.925000000000001</v>
          </cell>
          <cell r="H129">
            <v>8.4999999999999992E-2</v>
          </cell>
          <cell r="I129">
            <v>73.800000000000011</v>
          </cell>
          <cell r="J129">
            <v>13.925000000000001</v>
          </cell>
          <cell r="K129">
            <v>51.66</v>
          </cell>
          <cell r="L129">
            <v>14.125</v>
          </cell>
          <cell r="M129">
            <v>73.900000000000006</v>
          </cell>
          <cell r="N129">
            <v>73.800000000000011</v>
          </cell>
          <cell r="O129">
            <v>73.7</v>
          </cell>
          <cell r="P129">
            <v>73.7</v>
          </cell>
        </row>
        <row r="130">
          <cell r="A130">
            <v>128</v>
          </cell>
          <cell r="B130">
            <v>14.025</v>
          </cell>
          <cell r="C130">
            <v>18.7</v>
          </cell>
          <cell r="D130">
            <v>73.7</v>
          </cell>
          <cell r="E130">
            <v>14.025</v>
          </cell>
          <cell r="F130">
            <v>51.59</v>
          </cell>
          <cell r="G130">
            <v>13.925000000000001</v>
          </cell>
          <cell r="H130">
            <v>8.4999999999999992E-2</v>
          </cell>
          <cell r="I130">
            <v>73.800000000000011</v>
          </cell>
          <cell r="J130">
            <v>13.925000000000001</v>
          </cell>
          <cell r="K130">
            <v>51.66</v>
          </cell>
          <cell r="L130">
            <v>14.125</v>
          </cell>
          <cell r="M130">
            <v>73.900000000000006</v>
          </cell>
          <cell r="N130">
            <v>73.800000000000011</v>
          </cell>
          <cell r="O130">
            <v>73.7</v>
          </cell>
          <cell r="P130">
            <v>73.7</v>
          </cell>
        </row>
        <row r="131">
          <cell r="A131">
            <v>129</v>
          </cell>
          <cell r="B131">
            <v>0</v>
          </cell>
          <cell r="C131">
            <v>18.7</v>
          </cell>
          <cell r="D131">
            <v>28.856944285714281</v>
          </cell>
          <cell r="E131">
            <v>0</v>
          </cell>
          <cell r="F131">
            <v>20.199860999999999</v>
          </cell>
          <cell r="G131">
            <v>6.3749999999999987E-2</v>
          </cell>
          <cell r="H131">
            <v>8.4999999999999992E-2</v>
          </cell>
          <cell r="I131">
            <v>28.95694428571429</v>
          </cell>
          <cell r="J131">
            <v>6.3749999999999987E-2</v>
          </cell>
          <cell r="K131">
            <v>20.269860999999999</v>
          </cell>
          <cell r="L131">
            <v>0.1</v>
          </cell>
          <cell r="M131">
            <v>29.056944285714291</v>
          </cell>
          <cell r="N131">
            <v>28.95694428571429</v>
          </cell>
          <cell r="O131">
            <v>28.95694428571429</v>
          </cell>
          <cell r="P131">
            <v>28.856944285714281</v>
          </cell>
        </row>
        <row r="132">
          <cell r="A132">
            <v>130</v>
          </cell>
          <cell r="B132">
            <v>0</v>
          </cell>
          <cell r="C132">
            <v>18.7</v>
          </cell>
          <cell r="D132">
            <v>1.428571428571429E-2</v>
          </cell>
          <cell r="E132">
            <v>0</v>
          </cell>
          <cell r="F132">
            <v>0.01</v>
          </cell>
          <cell r="G132">
            <v>0</v>
          </cell>
          <cell r="H132">
            <v>8.4999999999999992E-2</v>
          </cell>
          <cell r="I132">
            <v>0</v>
          </cell>
          <cell r="J132">
            <v>0</v>
          </cell>
          <cell r="K132">
            <v>0</v>
          </cell>
          <cell r="L132">
            <v>0.1</v>
          </cell>
          <cell r="M132">
            <v>0.2142857142857143</v>
          </cell>
          <cell r="N132">
            <v>0.1142857142857143</v>
          </cell>
          <cell r="O132">
            <v>0.1142857142857143</v>
          </cell>
          <cell r="P132">
            <v>1.428571428571429E-2</v>
          </cell>
        </row>
        <row r="133">
          <cell r="A133">
            <v>131</v>
          </cell>
          <cell r="B133">
            <v>0</v>
          </cell>
          <cell r="C133">
            <v>18.7</v>
          </cell>
          <cell r="D133">
            <v>1.428571428571429E-2</v>
          </cell>
          <cell r="E133">
            <v>0</v>
          </cell>
          <cell r="F133">
            <v>0.01</v>
          </cell>
          <cell r="G133">
            <v>0</v>
          </cell>
          <cell r="H133">
            <v>8.4999999999999992E-2</v>
          </cell>
          <cell r="I133">
            <v>0</v>
          </cell>
          <cell r="J133">
            <v>0</v>
          </cell>
          <cell r="K133">
            <v>0</v>
          </cell>
          <cell r="L133">
            <v>0.1</v>
          </cell>
          <cell r="M133">
            <v>0.2142857142857143</v>
          </cell>
          <cell r="N133">
            <v>0.1142857142857143</v>
          </cell>
          <cell r="O133">
            <v>0.1142857142857143</v>
          </cell>
          <cell r="P133">
            <v>1.428571428571429E-2</v>
          </cell>
        </row>
        <row r="134">
          <cell r="A134">
            <v>132</v>
          </cell>
          <cell r="B134">
            <v>0</v>
          </cell>
          <cell r="C134">
            <v>18.7</v>
          </cell>
          <cell r="D134">
            <v>1.428571428571429E-2</v>
          </cell>
          <cell r="E134">
            <v>0</v>
          </cell>
          <cell r="F134">
            <v>0.01</v>
          </cell>
          <cell r="G134">
            <v>0</v>
          </cell>
          <cell r="H134">
            <v>8.4999999999999992E-2</v>
          </cell>
          <cell r="I134">
            <v>0</v>
          </cell>
          <cell r="J134">
            <v>0</v>
          </cell>
          <cell r="K134">
            <v>0</v>
          </cell>
          <cell r="L134">
            <v>0.1</v>
          </cell>
          <cell r="M134">
            <v>0.2142857142857143</v>
          </cell>
          <cell r="N134">
            <v>0.1142857142857143</v>
          </cell>
          <cell r="O134">
            <v>0.1142857142857143</v>
          </cell>
          <cell r="P134">
            <v>1.428571428571429E-2</v>
          </cell>
        </row>
        <row r="135">
          <cell r="A135">
            <v>133</v>
          </cell>
          <cell r="B135">
            <v>0</v>
          </cell>
          <cell r="C135">
            <v>18.7</v>
          </cell>
          <cell r="D135">
            <v>1.428571428571429E-2</v>
          </cell>
          <cell r="E135">
            <v>0</v>
          </cell>
          <cell r="F135">
            <v>0.01</v>
          </cell>
          <cell r="G135">
            <v>0</v>
          </cell>
          <cell r="H135">
            <v>8.4999999999999992E-2</v>
          </cell>
          <cell r="I135">
            <v>0</v>
          </cell>
          <cell r="J135">
            <v>0</v>
          </cell>
          <cell r="K135">
            <v>0</v>
          </cell>
          <cell r="L135">
            <v>0.1</v>
          </cell>
          <cell r="M135">
            <v>0.2142857142857143</v>
          </cell>
          <cell r="N135">
            <v>0.1142857142857143</v>
          </cell>
          <cell r="O135">
            <v>0.1142857142857143</v>
          </cell>
          <cell r="P135">
            <v>1.428571428571429E-2</v>
          </cell>
        </row>
        <row r="136">
          <cell r="A136">
            <v>134</v>
          </cell>
          <cell r="B136">
            <v>0</v>
          </cell>
          <cell r="C136">
            <v>18.7</v>
          </cell>
          <cell r="D136">
            <v>1.428571428571429E-2</v>
          </cell>
          <cell r="E136">
            <v>0</v>
          </cell>
          <cell r="F136">
            <v>0.01</v>
          </cell>
          <cell r="G136">
            <v>0</v>
          </cell>
          <cell r="H136">
            <v>8.4999999999999992E-2</v>
          </cell>
          <cell r="I136">
            <v>0</v>
          </cell>
          <cell r="J136">
            <v>0</v>
          </cell>
          <cell r="K136">
            <v>0</v>
          </cell>
          <cell r="L136">
            <v>0.1</v>
          </cell>
          <cell r="M136">
            <v>0.2142857142857143</v>
          </cell>
          <cell r="N136">
            <v>0.1142857142857143</v>
          </cell>
          <cell r="O136">
            <v>0.1142857142857143</v>
          </cell>
          <cell r="P136">
            <v>1.428571428571429E-2</v>
          </cell>
        </row>
        <row r="137">
          <cell r="A137">
            <v>135</v>
          </cell>
          <cell r="B137">
            <v>0</v>
          </cell>
          <cell r="C137">
            <v>18.7</v>
          </cell>
          <cell r="D137">
            <v>1.428571428571429E-2</v>
          </cell>
          <cell r="E137">
            <v>0</v>
          </cell>
          <cell r="F137">
            <v>0.01</v>
          </cell>
          <cell r="G137">
            <v>0</v>
          </cell>
          <cell r="H137">
            <v>8.4999999999999992E-2</v>
          </cell>
          <cell r="I137">
            <v>0</v>
          </cell>
          <cell r="J137">
            <v>0</v>
          </cell>
          <cell r="K137">
            <v>0</v>
          </cell>
          <cell r="L137">
            <v>0.1</v>
          </cell>
          <cell r="M137">
            <v>0.2142857142857143</v>
          </cell>
          <cell r="N137">
            <v>0.1142857142857143</v>
          </cell>
          <cell r="O137">
            <v>0.1142857142857143</v>
          </cell>
          <cell r="P137">
            <v>1.428571428571429E-2</v>
          </cell>
        </row>
        <row r="138">
          <cell r="A138">
            <v>136</v>
          </cell>
          <cell r="B138">
            <v>0</v>
          </cell>
          <cell r="C138">
            <v>18.7</v>
          </cell>
          <cell r="D138">
            <v>1.428571428571429E-2</v>
          </cell>
          <cell r="E138">
            <v>0</v>
          </cell>
          <cell r="F138">
            <v>0.01</v>
          </cell>
          <cell r="G138">
            <v>0</v>
          </cell>
          <cell r="H138">
            <v>8.4999999999999992E-2</v>
          </cell>
          <cell r="I138">
            <v>0</v>
          </cell>
          <cell r="J138">
            <v>0</v>
          </cell>
          <cell r="K138">
            <v>0</v>
          </cell>
          <cell r="L138">
            <v>0.1</v>
          </cell>
          <cell r="M138">
            <v>0.2142857142857143</v>
          </cell>
          <cell r="N138">
            <v>0.1142857142857143</v>
          </cell>
          <cell r="O138">
            <v>0.1142857142857143</v>
          </cell>
          <cell r="P138">
            <v>1.428571428571429E-2</v>
          </cell>
        </row>
        <row r="139">
          <cell r="A139">
            <v>137</v>
          </cell>
          <cell r="B139">
            <v>14.025</v>
          </cell>
          <cell r="C139">
            <v>18.7</v>
          </cell>
          <cell r="D139">
            <v>28.856944285714281</v>
          </cell>
          <cell r="E139">
            <v>14.025</v>
          </cell>
          <cell r="F139">
            <v>20.199860999999999</v>
          </cell>
          <cell r="G139">
            <v>9.9999999999999992E-2</v>
          </cell>
          <cell r="H139">
            <v>8.4999999999999992E-2</v>
          </cell>
          <cell r="I139">
            <v>28.75694428571428</v>
          </cell>
          <cell r="J139">
            <v>9.9999999999999992E-2</v>
          </cell>
          <cell r="K139">
            <v>20.129860999999991</v>
          </cell>
          <cell r="L139">
            <v>14.125</v>
          </cell>
          <cell r="M139">
            <v>29.056944285714291</v>
          </cell>
          <cell r="N139">
            <v>28.95694428571429</v>
          </cell>
          <cell r="O139">
            <v>28.856944285714281</v>
          </cell>
          <cell r="P139">
            <v>28.856944285714281</v>
          </cell>
        </row>
        <row r="140">
          <cell r="A140">
            <v>138</v>
          </cell>
          <cell r="B140">
            <v>14.025</v>
          </cell>
          <cell r="C140">
            <v>18.7</v>
          </cell>
          <cell r="D140">
            <v>73.7</v>
          </cell>
          <cell r="E140">
            <v>14.025</v>
          </cell>
          <cell r="F140">
            <v>51.59</v>
          </cell>
          <cell r="G140">
            <v>13.925000000000001</v>
          </cell>
          <cell r="H140">
            <v>8.4999999999999992E-2</v>
          </cell>
          <cell r="I140">
            <v>73.800000000000011</v>
          </cell>
          <cell r="J140">
            <v>13.925000000000001</v>
          </cell>
          <cell r="K140">
            <v>51.66</v>
          </cell>
          <cell r="L140">
            <v>14.125</v>
          </cell>
          <cell r="M140">
            <v>73.900000000000006</v>
          </cell>
          <cell r="N140">
            <v>73.800000000000011</v>
          </cell>
          <cell r="O140">
            <v>73.800000000000011</v>
          </cell>
          <cell r="P140">
            <v>73.7</v>
          </cell>
        </row>
        <row r="141">
          <cell r="A141">
            <v>139</v>
          </cell>
          <cell r="B141">
            <v>14.025</v>
          </cell>
          <cell r="C141">
            <v>18.7</v>
          </cell>
          <cell r="D141">
            <v>31.44285714285714</v>
          </cell>
          <cell r="E141">
            <v>14.025</v>
          </cell>
          <cell r="F141">
            <v>22.01</v>
          </cell>
          <cell r="G141">
            <v>13.925000000000001</v>
          </cell>
          <cell r="H141">
            <v>8.4999999999999992E-2</v>
          </cell>
          <cell r="I141">
            <v>31.342857142857142</v>
          </cell>
          <cell r="J141">
            <v>13.925000000000001</v>
          </cell>
          <cell r="K141">
            <v>21.939999999999991</v>
          </cell>
          <cell r="L141">
            <v>14.125</v>
          </cell>
          <cell r="M141">
            <v>31.642857142857139</v>
          </cell>
          <cell r="N141">
            <v>31.542857142857141</v>
          </cell>
          <cell r="O141">
            <v>31.44285714285714</v>
          </cell>
          <cell r="P141">
            <v>31.44285714285714</v>
          </cell>
        </row>
        <row r="142">
          <cell r="A142">
            <v>140</v>
          </cell>
          <cell r="B142">
            <v>14.025</v>
          </cell>
          <cell r="C142">
            <v>18.7</v>
          </cell>
          <cell r="D142">
            <v>31.44285714285714</v>
          </cell>
          <cell r="E142">
            <v>14.025</v>
          </cell>
          <cell r="F142">
            <v>22.01</v>
          </cell>
          <cell r="G142">
            <v>13.925000000000001</v>
          </cell>
          <cell r="H142">
            <v>8.4999999999999992E-2</v>
          </cell>
          <cell r="I142">
            <v>31.342857142857142</v>
          </cell>
          <cell r="J142">
            <v>13.925000000000001</v>
          </cell>
          <cell r="K142">
            <v>21.939999999999991</v>
          </cell>
          <cell r="L142">
            <v>14.125</v>
          </cell>
          <cell r="M142">
            <v>31.642857142857139</v>
          </cell>
          <cell r="N142">
            <v>31.542857142857141</v>
          </cell>
          <cell r="O142">
            <v>31.542857142857141</v>
          </cell>
          <cell r="P142">
            <v>31.44285714285714</v>
          </cell>
        </row>
        <row r="143">
          <cell r="A143">
            <v>141</v>
          </cell>
          <cell r="B143">
            <v>14.025</v>
          </cell>
          <cell r="C143">
            <v>18.7</v>
          </cell>
          <cell r="D143">
            <v>31.44285714285714</v>
          </cell>
          <cell r="E143">
            <v>14.025</v>
          </cell>
          <cell r="F143">
            <v>22.01</v>
          </cell>
          <cell r="G143">
            <v>13.925000000000001</v>
          </cell>
          <cell r="H143">
            <v>8.4999999999999992E-2</v>
          </cell>
          <cell r="I143">
            <v>31.342857142857142</v>
          </cell>
          <cell r="J143">
            <v>13.925000000000001</v>
          </cell>
          <cell r="K143">
            <v>21.939999999999991</v>
          </cell>
          <cell r="L143">
            <v>14.125</v>
          </cell>
          <cell r="M143">
            <v>31.642857142857139</v>
          </cell>
          <cell r="N143">
            <v>31.542857142857141</v>
          </cell>
          <cell r="O143">
            <v>31.44285714285714</v>
          </cell>
          <cell r="P143">
            <v>31.44285714285714</v>
          </cell>
        </row>
        <row r="144">
          <cell r="A144">
            <v>142</v>
          </cell>
          <cell r="B144">
            <v>14.025</v>
          </cell>
          <cell r="C144">
            <v>18.7</v>
          </cell>
          <cell r="D144">
            <v>28.856944285714281</v>
          </cell>
          <cell r="E144">
            <v>14.025</v>
          </cell>
          <cell r="F144">
            <v>20.199860999999999</v>
          </cell>
          <cell r="G144">
            <v>13.925000000000001</v>
          </cell>
          <cell r="H144">
            <v>8.4999999999999992E-2</v>
          </cell>
          <cell r="I144">
            <v>28.75694428571428</v>
          </cell>
          <cell r="J144">
            <v>13.925000000000001</v>
          </cell>
          <cell r="K144">
            <v>20.129860999999991</v>
          </cell>
          <cell r="L144">
            <v>14.125</v>
          </cell>
          <cell r="M144">
            <v>29.056944285714291</v>
          </cell>
          <cell r="N144">
            <v>28.95694428571429</v>
          </cell>
          <cell r="O144">
            <v>28.95694428571429</v>
          </cell>
          <cell r="P144">
            <v>28.856944285714281</v>
          </cell>
        </row>
        <row r="145">
          <cell r="A145">
            <v>143</v>
          </cell>
          <cell r="B145">
            <v>14.025</v>
          </cell>
          <cell r="C145">
            <v>18.7</v>
          </cell>
          <cell r="D145">
            <v>28.856944285714281</v>
          </cell>
          <cell r="E145">
            <v>14.025</v>
          </cell>
          <cell r="F145">
            <v>20.199860999999999</v>
          </cell>
          <cell r="G145">
            <v>13.925000000000001</v>
          </cell>
          <cell r="H145">
            <v>8.4999999999999992E-2</v>
          </cell>
          <cell r="I145">
            <v>28.75694428571428</v>
          </cell>
          <cell r="J145">
            <v>13.925000000000001</v>
          </cell>
          <cell r="K145">
            <v>20.129860999999991</v>
          </cell>
          <cell r="L145">
            <v>14.125</v>
          </cell>
          <cell r="M145">
            <v>29.056944285714291</v>
          </cell>
          <cell r="N145">
            <v>28.95694428571429</v>
          </cell>
          <cell r="O145">
            <v>28.856944285714281</v>
          </cell>
          <cell r="P145">
            <v>28.856944285714281</v>
          </cell>
        </row>
        <row r="146">
          <cell r="A146">
            <v>144</v>
          </cell>
          <cell r="B146">
            <v>14.025</v>
          </cell>
          <cell r="C146">
            <v>18.7</v>
          </cell>
          <cell r="D146">
            <v>28.856944285714281</v>
          </cell>
          <cell r="E146">
            <v>14.025</v>
          </cell>
          <cell r="F146">
            <v>20.199860999999999</v>
          </cell>
          <cell r="G146">
            <v>13.925000000000001</v>
          </cell>
          <cell r="H146">
            <v>8.4999999999999992E-2</v>
          </cell>
          <cell r="I146">
            <v>28.75694428571428</v>
          </cell>
          <cell r="J146">
            <v>13.925000000000001</v>
          </cell>
          <cell r="K146">
            <v>20.129860999999991</v>
          </cell>
          <cell r="L146">
            <v>14.125</v>
          </cell>
          <cell r="M146">
            <v>29.056944285714291</v>
          </cell>
          <cell r="N146">
            <v>28.95694428571429</v>
          </cell>
          <cell r="O146">
            <v>28.95694428571429</v>
          </cell>
          <cell r="P146">
            <v>28.856944285714281</v>
          </cell>
        </row>
        <row r="147">
          <cell r="A147">
            <v>145</v>
          </cell>
          <cell r="B147">
            <v>14.025</v>
          </cell>
          <cell r="C147">
            <v>18.7</v>
          </cell>
          <cell r="D147">
            <v>28.856944285714281</v>
          </cell>
          <cell r="E147">
            <v>14.025</v>
          </cell>
          <cell r="F147">
            <v>20.199860999999999</v>
          </cell>
          <cell r="G147">
            <v>13.925000000000001</v>
          </cell>
          <cell r="H147">
            <v>8.4999999999999992E-2</v>
          </cell>
          <cell r="I147">
            <v>28.75694428571428</v>
          </cell>
          <cell r="J147">
            <v>13.925000000000001</v>
          </cell>
          <cell r="K147">
            <v>20.129860999999991</v>
          </cell>
          <cell r="L147">
            <v>14.125</v>
          </cell>
          <cell r="M147">
            <v>29.056944285714291</v>
          </cell>
          <cell r="N147">
            <v>28.95694428571429</v>
          </cell>
          <cell r="O147">
            <v>28.95694428571429</v>
          </cell>
          <cell r="P147">
            <v>28.856944285714281</v>
          </cell>
        </row>
        <row r="148">
          <cell r="A148">
            <v>146</v>
          </cell>
          <cell r="B148">
            <v>14.025</v>
          </cell>
          <cell r="C148">
            <v>18.7</v>
          </cell>
          <cell r="D148">
            <v>20.05</v>
          </cell>
          <cell r="E148">
            <v>14.025</v>
          </cell>
          <cell r="F148">
            <v>14.035</v>
          </cell>
          <cell r="G148">
            <v>13.925000000000001</v>
          </cell>
          <cell r="H148">
            <v>8.4999999999999992E-2</v>
          </cell>
          <cell r="I148">
            <v>19.95</v>
          </cell>
          <cell r="J148">
            <v>13.925000000000001</v>
          </cell>
          <cell r="K148">
            <v>13.965</v>
          </cell>
          <cell r="L148">
            <v>14.125</v>
          </cell>
          <cell r="M148">
            <v>20.25</v>
          </cell>
          <cell r="N148">
            <v>20.149999999999999</v>
          </cell>
          <cell r="O148">
            <v>20.149999999999999</v>
          </cell>
          <cell r="P148">
            <v>20.05</v>
          </cell>
        </row>
        <row r="149">
          <cell r="A149">
            <v>147</v>
          </cell>
          <cell r="B149">
            <v>14.025</v>
          </cell>
          <cell r="C149">
            <v>18.7</v>
          </cell>
          <cell r="D149">
            <v>20.05</v>
          </cell>
          <cell r="E149">
            <v>14.025</v>
          </cell>
          <cell r="F149">
            <v>14.035</v>
          </cell>
          <cell r="G149">
            <v>13.925000000000001</v>
          </cell>
          <cell r="H149">
            <v>8.4999999999999992E-2</v>
          </cell>
          <cell r="I149">
            <v>19.95</v>
          </cell>
          <cell r="J149">
            <v>13.925000000000001</v>
          </cell>
          <cell r="K149">
            <v>13.965</v>
          </cell>
          <cell r="L149">
            <v>14.125</v>
          </cell>
          <cell r="M149">
            <v>20.25</v>
          </cell>
          <cell r="N149">
            <v>20.149999999999999</v>
          </cell>
          <cell r="O149">
            <v>20.149999999999999</v>
          </cell>
          <cell r="P149">
            <v>20.05</v>
          </cell>
        </row>
        <row r="150">
          <cell r="A150">
            <v>148</v>
          </cell>
          <cell r="B150">
            <v>11.60148</v>
          </cell>
          <cell r="C150">
            <v>18.7</v>
          </cell>
          <cell r="D150">
            <v>16.587828571428581</v>
          </cell>
          <cell r="E150">
            <v>11.60148</v>
          </cell>
          <cell r="F150">
            <v>11.61148</v>
          </cell>
          <cell r="G150">
            <v>11.70148</v>
          </cell>
          <cell r="H150">
            <v>8.4999999999999992E-2</v>
          </cell>
          <cell r="I150">
            <v>16.487828571428579</v>
          </cell>
          <cell r="J150">
            <v>11.70148</v>
          </cell>
          <cell r="K150">
            <v>11.54148</v>
          </cell>
          <cell r="L150">
            <v>11.70148</v>
          </cell>
          <cell r="M150">
            <v>16.78782857142857</v>
          </cell>
          <cell r="N150">
            <v>16.687828571428579</v>
          </cell>
          <cell r="O150">
            <v>16.687828571428579</v>
          </cell>
          <cell r="P150">
            <v>16.587828571428581</v>
          </cell>
        </row>
        <row r="151">
          <cell r="A151">
            <v>149</v>
          </cell>
          <cell r="B151">
            <v>11.193742085029699</v>
          </cell>
          <cell r="C151">
            <v>18.7</v>
          </cell>
          <cell r="D151">
            <v>16.005345835756721</v>
          </cell>
          <cell r="E151">
            <v>11.193742085029699</v>
          </cell>
          <cell r="F151">
            <v>11.203742085029701</v>
          </cell>
          <cell r="G151">
            <v>11.70148</v>
          </cell>
          <cell r="H151">
            <v>8.4999999999999992E-2</v>
          </cell>
          <cell r="I151">
            <v>15.905345835756719</v>
          </cell>
          <cell r="J151">
            <v>11.70148</v>
          </cell>
          <cell r="K151">
            <v>11.1337420850297</v>
          </cell>
          <cell r="L151">
            <v>11.293742085029701</v>
          </cell>
          <cell r="M151">
            <v>16.20534583575672</v>
          </cell>
          <cell r="N151">
            <v>16.105345835756719</v>
          </cell>
          <cell r="O151">
            <v>16.105345835756719</v>
          </cell>
          <cell r="P151">
            <v>16.005345835756721</v>
          </cell>
        </row>
        <row r="152">
          <cell r="A152">
            <v>150</v>
          </cell>
          <cell r="B152">
            <v>11.60148</v>
          </cell>
          <cell r="C152">
            <v>18.7</v>
          </cell>
          <cell r="D152">
            <v>16.587828571428581</v>
          </cell>
          <cell r="E152">
            <v>11.60148</v>
          </cell>
          <cell r="F152">
            <v>11.61148</v>
          </cell>
          <cell r="G152">
            <v>11.70148</v>
          </cell>
          <cell r="H152">
            <v>8.4999999999999992E-2</v>
          </cell>
          <cell r="I152">
            <v>16.487828571428579</v>
          </cell>
          <cell r="J152">
            <v>11.70148</v>
          </cell>
          <cell r="K152">
            <v>11.54148</v>
          </cell>
          <cell r="L152">
            <v>11.70148</v>
          </cell>
          <cell r="M152">
            <v>16.78782857142857</v>
          </cell>
          <cell r="N152">
            <v>16.687828571428579</v>
          </cell>
          <cell r="O152">
            <v>16.687828571428579</v>
          </cell>
          <cell r="P152">
            <v>16.587828571428581</v>
          </cell>
        </row>
        <row r="153">
          <cell r="A153">
            <v>151</v>
          </cell>
          <cell r="B153">
            <v>14.025</v>
          </cell>
          <cell r="C153">
            <v>18.7</v>
          </cell>
          <cell r="D153">
            <v>20.05</v>
          </cell>
          <cell r="E153">
            <v>14.025</v>
          </cell>
          <cell r="F153">
            <v>14.035</v>
          </cell>
          <cell r="G153">
            <v>13.925000000000001</v>
          </cell>
          <cell r="H153">
            <v>8.4999999999999992E-2</v>
          </cell>
          <cell r="I153">
            <v>19.95</v>
          </cell>
          <cell r="J153">
            <v>13.925000000000001</v>
          </cell>
          <cell r="K153">
            <v>13.965</v>
          </cell>
          <cell r="L153">
            <v>14.125</v>
          </cell>
          <cell r="M153">
            <v>20.25</v>
          </cell>
          <cell r="N153">
            <v>20.149999999999999</v>
          </cell>
          <cell r="O153">
            <v>20.149999999999999</v>
          </cell>
          <cell r="P153">
            <v>20.05</v>
          </cell>
        </row>
        <row r="154">
          <cell r="A154">
            <v>152</v>
          </cell>
          <cell r="B154">
            <v>14.025</v>
          </cell>
          <cell r="C154">
            <v>18.7</v>
          </cell>
          <cell r="D154">
            <v>20.05</v>
          </cell>
          <cell r="E154">
            <v>14.025</v>
          </cell>
          <cell r="F154">
            <v>14.035</v>
          </cell>
          <cell r="G154">
            <v>13.925000000000001</v>
          </cell>
          <cell r="H154">
            <v>8.4999999999999992E-2</v>
          </cell>
          <cell r="I154">
            <v>19.95</v>
          </cell>
          <cell r="J154">
            <v>13.925000000000001</v>
          </cell>
          <cell r="K154">
            <v>13.965</v>
          </cell>
          <cell r="L154">
            <v>14.125</v>
          </cell>
          <cell r="M154">
            <v>20.25</v>
          </cell>
          <cell r="N154">
            <v>20.149999999999999</v>
          </cell>
          <cell r="O154">
            <v>20.149999999999999</v>
          </cell>
          <cell r="P154">
            <v>20.05</v>
          </cell>
        </row>
        <row r="155">
          <cell r="A155">
            <v>153</v>
          </cell>
          <cell r="B155">
            <v>14.025</v>
          </cell>
          <cell r="C155">
            <v>18.7</v>
          </cell>
          <cell r="D155">
            <v>20.05</v>
          </cell>
          <cell r="E155">
            <v>14.025</v>
          </cell>
          <cell r="F155">
            <v>14.035</v>
          </cell>
          <cell r="G155">
            <v>13.925000000000001</v>
          </cell>
          <cell r="H155">
            <v>8.4999999999999992E-2</v>
          </cell>
          <cell r="I155">
            <v>19.95</v>
          </cell>
          <cell r="J155">
            <v>13.925000000000001</v>
          </cell>
          <cell r="K155">
            <v>13.965</v>
          </cell>
          <cell r="L155">
            <v>14.125</v>
          </cell>
          <cell r="M155">
            <v>20.25</v>
          </cell>
          <cell r="N155">
            <v>20.149999999999999</v>
          </cell>
          <cell r="O155">
            <v>20.149999999999999</v>
          </cell>
          <cell r="P155">
            <v>20.05</v>
          </cell>
        </row>
        <row r="156">
          <cell r="A156">
            <v>154</v>
          </cell>
          <cell r="B156">
            <v>0</v>
          </cell>
          <cell r="C156">
            <v>18.7</v>
          </cell>
          <cell r="D156">
            <v>1.428571428571429E-2</v>
          </cell>
          <cell r="E156">
            <v>0</v>
          </cell>
          <cell r="F156">
            <v>0.01</v>
          </cell>
          <cell r="G156">
            <v>6.3749999999999987E-2</v>
          </cell>
          <cell r="H156">
            <v>8.4999999999999992E-2</v>
          </cell>
          <cell r="I156">
            <v>0</v>
          </cell>
          <cell r="J156">
            <v>6.3749999999999987E-2</v>
          </cell>
          <cell r="K156">
            <v>0</v>
          </cell>
          <cell r="L156">
            <v>0.1</v>
          </cell>
          <cell r="M156">
            <v>0.2142857142857143</v>
          </cell>
          <cell r="N156">
            <v>0.1142857142857143</v>
          </cell>
          <cell r="O156">
            <v>0.1142857142857143</v>
          </cell>
          <cell r="P156">
            <v>1.428571428571429E-2</v>
          </cell>
        </row>
        <row r="157">
          <cell r="A157">
            <v>155</v>
          </cell>
          <cell r="B157">
            <v>0</v>
          </cell>
          <cell r="C157">
            <v>18.7</v>
          </cell>
          <cell r="D157">
            <v>1.428571428571429E-2</v>
          </cell>
          <cell r="E157">
            <v>0</v>
          </cell>
          <cell r="F157">
            <v>0.01</v>
          </cell>
          <cell r="G157">
            <v>0</v>
          </cell>
          <cell r="H157">
            <v>8.4999999999999992E-2</v>
          </cell>
          <cell r="I157">
            <v>0</v>
          </cell>
          <cell r="J157">
            <v>0</v>
          </cell>
          <cell r="K157">
            <v>0</v>
          </cell>
          <cell r="L157">
            <v>0.1</v>
          </cell>
          <cell r="M157">
            <v>0.2142857142857143</v>
          </cell>
          <cell r="N157">
            <v>0.1142857142857143</v>
          </cell>
          <cell r="O157">
            <v>0.1142857142857143</v>
          </cell>
          <cell r="P157">
            <v>1.428571428571429E-2</v>
          </cell>
        </row>
        <row r="158">
          <cell r="A158">
            <v>156</v>
          </cell>
          <cell r="B158">
            <v>0</v>
          </cell>
          <cell r="C158">
            <v>18.7</v>
          </cell>
          <cell r="D158">
            <v>1.428571428571429E-2</v>
          </cell>
          <cell r="E158">
            <v>0</v>
          </cell>
          <cell r="F158">
            <v>0.01</v>
          </cell>
          <cell r="G158">
            <v>0</v>
          </cell>
          <cell r="H158">
            <v>8.4999999999999992E-2</v>
          </cell>
          <cell r="I158">
            <v>0</v>
          </cell>
          <cell r="J158">
            <v>0</v>
          </cell>
          <cell r="K158">
            <v>0</v>
          </cell>
          <cell r="L158">
            <v>0.1</v>
          </cell>
          <cell r="M158">
            <v>0.2142857142857143</v>
          </cell>
          <cell r="N158">
            <v>0.1142857142857143</v>
          </cell>
          <cell r="O158">
            <v>0.1142857142857143</v>
          </cell>
          <cell r="P158">
            <v>1.428571428571429E-2</v>
          </cell>
        </row>
        <row r="159">
          <cell r="A159">
            <v>157</v>
          </cell>
          <cell r="B159">
            <v>0</v>
          </cell>
          <cell r="C159">
            <v>18.7</v>
          </cell>
          <cell r="D159">
            <v>1.428571428571429E-2</v>
          </cell>
          <cell r="E159">
            <v>0</v>
          </cell>
          <cell r="F159">
            <v>0.01</v>
          </cell>
          <cell r="G159">
            <v>0</v>
          </cell>
          <cell r="H159">
            <v>8.4999999999999992E-2</v>
          </cell>
          <cell r="I159">
            <v>0</v>
          </cell>
          <cell r="J159">
            <v>0</v>
          </cell>
          <cell r="K159">
            <v>0</v>
          </cell>
          <cell r="L159">
            <v>0.1</v>
          </cell>
          <cell r="M159">
            <v>0.2142857142857143</v>
          </cell>
          <cell r="N159">
            <v>0.1142857142857143</v>
          </cell>
          <cell r="O159">
            <v>0.1142857142857143</v>
          </cell>
          <cell r="P159">
            <v>1.428571428571429E-2</v>
          </cell>
        </row>
        <row r="160">
          <cell r="A160">
            <v>158</v>
          </cell>
          <cell r="B160">
            <v>0</v>
          </cell>
          <cell r="C160">
            <v>18.7</v>
          </cell>
          <cell r="D160">
            <v>1.428571428571429E-2</v>
          </cell>
          <cell r="E160">
            <v>0</v>
          </cell>
          <cell r="F160">
            <v>0.01</v>
          </cell>
          <cell r="G160">
            <v>0</v>
          </cell>
          <cell r="H160">
            <v>8.4999999999999992E-2</v>
          </cell>
          <cell r="I160">
            <v>0</v>
          </cell>
          <cell r="J160">
            <v>0</v>
          </cell>
          <cell r="K160">
            <v>0</v>
          </cell>
          <cell r="L160">
            <v>0.1</v>
          </cell>
          <cell r="M160">
            <v>0.2142857142857143</v>
          </cell>
          <cell r="N160">
            <v>0.1142857142857143</v>
          </cell>
          <cell r="O160">
            <v>0.1142857142857143</v>
          </cell>
          <cell r="P160">
            <v>1.428571428571429E-2</v>
          </cell>
        </row>
        <row r="161">
          <cell r="A161">
            <v>159</v>
          </cell>
          <cell r="B161">
            <v>0</v>
          </cell>
          <cell r="C161">
            <v>18.7</v>
          </cell>
          <cell r="D161">
            <v>1.428571428571429E-2</v>
          </cell>
          <cell r="E161">
            <v>0</v>
          </cell>
          <cell r="F161">
            <v>0.01</v>
          </cell>
          <cell r="G161">
            <v>0</v>
          </cell>
          <cell r="H161">
            <v>8.4999999999999992E-2</v>
          </cell>
          <cell r="I161">
            <v>0</v>
          </cell>
          <cell r="J161">
            <v>0</v>
          </cell>
          <cell r="K161">
            <v>0</v>
          </cell>
          <cell r="L161">
            <v>0.1</v>
          </cell>
          <cell r="M161">
            <v>0.2142857142857143</v>
          </cell>
          <cell r="N161">
            <v>0.1142857142857143</v>
          </cell>
          <cell r="O161">
            <v>0.1142857142857143</v>
          </cell>
          <cell r="P161">
            <v>1.428571428571429E-2</v>
          </cell>
        </row>
        <row r="162">
          <cell r="A162">
            <v>160</v>
          </cell>
          <cell r="B162">
            <v>0</v>
          </cell>
          <cell r="C162">
            <v>18.7</v>
          </cell>
          <cell r="D162">
            <v>1.428571428571429E-2</v>
          </cell>
          <cell r="E162">
            <v>0</v>
          </cell>
          <cell r="F162">
            <v>0.01</v>
          </cell>
          <cell r="G162">
            <v>0</v>
          </cell>
          <cell r="H162">
            <v>8.4999999999999992E-2</v>
          </cell>
          <cell r="I162">
            <v>0</v>
          </cell>
          <cell r="J162">
            <v>0</v>
          </cell>
          <cell r="K162">
            <v>0</v>
          </cell>
          <cell r="L162">
            <v>0.1</v>
          </cell>
          <cell r="M162">
            <v>0.2142857142857143</v>
          </cell>
          <cell r="N162">
            <v>0.1142857142857143</v>
          </cell>
          <cell r="O162">
            <v>0.1142857142857143</v>
          </cell>
          <cell r="P162">
            <v>1.428571428571429E-2</v>
          </cell>
        </row>
        <row r="163">
          <cell r="A163">
            <v>161</v>
          </cell>
          <cell r="B163">
            <v>0</v>
          </cell>
          <cell r="C163">
            <v>18.7</v>
          </cell>
          <cell r="D163">
            <v>1.428571428571429E-2</v>
          </cell>
          <cell r="E163">
            <v>0</v>
          </cell>
          <cell r="F163">
            <v>0.01</v>
          </cell>
          <cell r="G163">
            <v>6.3749999999999987E-2</v>
          </cell>
          <cell r="H163">
            <v>8.4999999999999992E-2</v>
          </cell>
          <cell r="I163">
            <v>0.1142857142857143</v>
          </cell>
          <cell r="J163">
            <v>6.3749999999999987E-2</v>
          </cell>
          <cell r="K163">
            <v>0.08</v>
          </cell>
          <cell r="L163">
            <v>0.1</v>
          </cell>
          <cell r="M163">
            <v>0.2142857142857143</v>
          </cell>
          <cell r="N163">
            <v>0.1142857142857143</v>
          </cell>
          <cell r="O163">
            <v>0.1142857142857143</v>
          </cell>
          <cell r="P163">
            <v>1.428571428571429E-2</v>
          </cell>
        </row>
        <row r="164">
          <cell r="A164">
            <v>162</v>
          </cell>
          <cell r="B164">
            <v>0.1</v>
          </cell>
          <cell r="C164">
            <v>18.7</v>
          </cell>
          <cell r="D164">
            <v>28.856944285714281</v>
          </cell>
          <cell r="E164">
            <v>0.1</v>
          </cell>
          <cell r="F164">
            <v>20.199860999999999</v>
          </cell>
          <cell r="G164">
            <v>0.1</v>
          </cell>
          <cell r="H164">
            <v>8.4999999999999992E-2</v>
          </cell>
          <cell r="I164">
            <v>28.95694428571429</v>
          </cell>
          <cell r="J164">
            <v>0.1</v>
          </cell>
          <cell r="K164">
            <v>20.269860999999999</v>
          </cell>
          <cell r="L164">
            <v>0.2</v>
          </cell>
          <cell r="M164">
            <v>29.056944285714291</v>
          </cell>
          <cell r="N164">
            <v>28.95694428571429</v>
          </cell>
          <cell r="O164">
            <v>28.95694428571429</v>
          </cell>
          <cell r="P164">
            <v>28.856944285714281</v>
          </cell>
        </row>
        <row r="165">
          <cell r="A165">
            <v>163</v>
          </cell>
          <cell r="B165">
            <v>0.1</v>
          </cell>
          <cell r="C165">
            <v>18.7</v>
          </cell>
          <cell r="D165">
            <v>28.856944285714281</v>
          </cell>
          <cell r="E165">
            <v>0.1</v>
          </cell>
          <cell r="F165">
            <v>20.199860999999999</v>
          </cell>
          <cell r="G165">
            <v>0.1</v>
          </cell>
          <cell r="H165">
            <v>8.4999999999999992E-2</v>
          </cell>
          <cell r="I165">
            <v>28.95694428571429</v>
          </cell>
          <cell r="J165">
            <v>0.1</v>
          </cell>
          <cell r="K165">
            <v>20.269860999999999</v>
          </cell>
          <cell r="L165">
            <v>0.2</v>
          </cell>
          <cell r="M165">
            <v>29.056944285714291</v>
          </cell>
          <cell r="N165">
            <v>28.95694428571429</v>
          </cell>
          <cell r="O165">
            <v>28.95694428571429</v>
          </cell>
          <cell r="P165">
            <v>28.856944285714281</v>
          </cell>
        </row>
        <row r="166">
          <cell r="A166">
            <v>164</v>
          </cell>
          <cell r="B166">
            <v>0.1</v>
          </cell>
          <cell r="C166">
            <v>18.7</v>
          </cell>
          <cell r="D166">
            <v>28.856944285714281</v>
          </cell>
          <cell r="E166">
            <v>0.1</v>
          </cell>
          <cell r="F166">
            <v>20.199860999999999</v>
          </cell>
          <cell r="G166">
            <v>0.1</v>
          </cell>
          <cell r="H166">
            <v>8.4999999999999992E-2</v>
          </cell>
          <cell r="I166">
            <v>28.95694428571429</v>
          </cell>
          <cell r="J166">
            <v>0.1</v>
          </cell>
          <cell r="K166">
            <v>20.269860999999999</v>
          </cell>
          <cell r="L166">
            <v>0.2</v>
          </cell>
          <cell r="M166">
            <v>29.056944285714291</v>
          </cell>
          <cell r="N166">
            <v>28.95694428571429</v>
          </cell>
          <cell r="O166">
            <v>28.95694428571429</v>
          </cell>
          <cell r="P166">
            <v>28.856944285714281</v>
          </cell>
        </row>
        <row r="167">
          <cell r="A167">
            <v>165</v>
          </cell>
          <cell r="B167">
            <v>0.1</v>
          </cell>
          <cell r="C167">
            <v>18.7</v>
          </cell>
          <cell r="D167">
            <v>28.856944285714281</v>
          </cell>
          <cell r="E167">
            <v>0.1</v>
          </cell>
          <cell r="F167">
            <v>20.199860999999999</v>
          </cell>
          <cell r="G167">
            <v>0.1</v>
          </cell>
          <cell r="H167">
            <v>8.4999999999999992E-2</v>
          </cell>
          <cell r="I167">
            <v>28.95694428571429</v>
          </cell>
          <cell r="J167">
            <v>0.1</v>
          </cell>
          <cell r="K167">
            <v>20.269860999999999</v>
          </cell>
          <cell r="L167">
            <v>0.2</v>
          </cell>
          <cell r="M167">
            <v>29.056944285714291</v>
          </cell>
          <cell r="N167">
            <v>28.95694428571429</v>
          </cell>
          <cell r="O167">
            <v>28.95694428571429</v>
          </cell>
          <cell r="P167">
            <v>28.856944285714281</v>
          </cell>
        </row>
        <row r="168">
          <cell r="A168">
            <v>166</v>
          </cell>
          <cell r="B168">
            <v>0.1</v>
          </cell>
          <cell r="C168">
            <v>18.7</v>
          </cell>
          <cell r="D168">
            <v>28.856944285714281</v>
          </cell>
          <cell r="E168">
            <v>0.1</v>
          </cell>
          <cell r="F168">
            <v>20.199860999999999</v>
          </cell>
          <cell r="G168">
            <v>0.1</v>
          </cell>
          <cell r="H168">
            <v>8.4999999999999992E-2</v>
          </cell>
          <cell r="I168">
            <v>28.95694428571429</v>
          </cell>
          <cell r="J168">
            <v>0.1</v>
          </cell>
          <cell r="K168">
            <v>20.269860999999999</v>
          </cell>
          <cell r="L168">
            <v>0.2</v>
          </cell>
          <cell r="M168">
            <v>29.056944285714291</v>
          </cell>
          <cell r="N168">
            <v>28.95694428571429</v>
          </cell>
          <cell r="O168">
            <v>28.95694428571429</v>
          </cell>
          <cell r="P168">
            <v>28.856944285714281</v>
          </cell>
        </row>
        <row r="169">
          <cell r="A169">
            <v>167</v>
          </cell>
          <cell r="B169">
            <v>0</v>
          </cell>
          <cell r="C169">
            <v>18.7</v>
          </cell>
          <cell r="D169">
            <v>28.856944285714281</v>
          </cell>
          <cell r="E169">
            <v>0</v>
          </cell>
          <cell r="F169">
            <v>20.199860999999999</v>
          </cell>
          <cell r="G169">
            <v>0.1</v>
          </cell>
          <cell r="H169">
            <v>8.4999999999999992E-2</v>
          </cell>
          <cell r="I169">
            <v>28.95694428571429</v>
          </cell>
          <cell r="J169">
            <v>0.1</v>
          </cell>
          <cell r="K169">
            <v>20.269860999999999</v>
          </cell>
          <cell r="L169">
            <v>0.1</v>
          </cell>
          <cell r="M169">
            <v>29.056944285714291</v>
          </cell>
          <cell r="N169">
            <v>28.95694428571429</v>
          </cell>
          <cell r="O169">
            <v>28.95694428571429</v>
          </cell>
          <cell r="P169">
            <v>28.856944285714281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-Market"/>
      <sheetName val="Graficas 168h"/>
      <sheetName val="Prosumer"/>
      <sheetName val="Offshore"/>
      <sheetName val="H2 Zone 2"/>
      <sheetName val="SRES H2"/>
      <sheetName val="Heat H2"/>
      <sheetName val="Heat CH4"/>
      <sheetName val="Synfuels"/>
      <sheetName val="CO2"/>
      <sheetName val="Ex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P11">
            <v>-1517.77579117</v>
          </cell>
        </row>
        <row r="12">
          <cell r="P12">
            <v>-1517.77579117</v>
          </cell>
        </row>
        <row r="13">
          <cell r="P13">
            <v>-1517.77579117</v>
          </cell>
        </row>
        <row r="14">
          <cell r="P14">
            <v>-1517.77579117</v>
          </cell>
        </row>
        <row r="15">
          <cell r="P15">
            <v>-1517.77579117</v>
          </cell>
        </row>
        <row r="16">
          <cell r="P16">
            <v>-1517.77579117</v>
          </cell>
        </row>
        <row r="17">
          <cell r="P17">
            <v>-1517.77579117</v>
          </cell>
        </row>
        <row r="18">
          <cell r="P18">
            <v>-1517.77579117</v>
          </cell>
        </row>
        <row r="19">
          <cell r="P19">
            <v>-1517.77579117</v>
          </cell>
        </row>
        <row r="20">
          <cell r="P20">
            <v>-1517.77579117</v>
          </cell>
        </row>
        <row r="21">
          <cell r="P21">
            <v>-1517.77579117</v>
          </cell>
        </row>
        <row r="22">
          <cell r="P22">
            <v>-1517.77579117</v>
          </cell>
        </row>
        <row r="23">
          <cell r="P23">
            <v>-1517.77579117</v>
          </cell>
        </row>
        <row r="24">
          <cell r="P24">
            <v>-1517.77579117</v>
          </cell>
        </row>
        <row r="25">
          <cell r="P25">
            <v>-1517.77579117</v>
          </cell>
        </row>
        <row r="26">
          <cell r="P26">
            <v>-1517.77579117</v>
          </cell>
        </row>
        <row r="27">
          <cell r="P27">
            <v>-1517.77579117</v>
          </cell>
        </row>
        <row r="28">
          <cell r="P28">
            <v>-2618.1493815899998</v>
          </cell>
        </row>
        <row r="29">
          <cell r="P29">
            <v>-2618.1493815899998</v>
          </cell>
        </row>
        <row r="30">
          <cell r="P30">
            <v>-2618.1493815899998</v>
          </cell>
        </row>
        <row r="31">
          <cell r="P31">
            <v>-2618.1493815899998</v>
          </cell>
        </row>
        <row r="32">
          <cell r="P32">
            <v>-2618.1493815899998</v>
          </cell>
        </row>
        <row r="33">
          <cell r="P33">
            <v>-2618.1493815899998</v>
          </cell>
        </row>
        <row r="34">
          <cell r="P34">
            <v>-2618.1493815899998</v>
          </cell>
        </row>
        <row r="35">
          <cell r="P35">
            <v>-2710.9560965000001</v>
          </cell>
        </row>
        <row r="36">
          <cell r="P36">
            <v>-2710.9560965000001</v>
          </cell>
        </row>
        <row r="37">
          <cell r="P37">
            <v>-2710.9560965000001</v>
          </cell>
        </row>
        <row r="38">
          <cell r="P38">
            <v>-2710.9560965000001</v>
          </cell>
        </row>
        <row r="39">
          <cell r="P39">
            <v>-2710.9560965000001</v>
          </cell>
        </row>
        <row r="40">
          <cell r="P40">
            <v>-2710.9560965000001</v>
          </cell>
        </row>
        <row r="41">
          <cell r="P41">
            <v>-2710.9560965000001</v>
          </cell>
        </row>
        <row r="42">
          <cell r="P42">
            <v>-2710.9560965000001</v>
          </cell>
        </row>
        <row r="43">
          <cell r="P43">
            <v>-2710.9560965000001</v>
          </cell>
        </row>
        <row r="44">
          <cell r="P44">
            <v>-2710.9560965000001</v>
          </cell>
        </row>
        <row r="45">
          <cell r="P45">
            <v>-1517.77579117</v>
          </cell>
        </row>
        <row r="46">
          <cell r="P46">
            <v>-1517.77579117</v>
          </cell>
        </row>
        <row r="47">
          <cell r="P47">
            <v>-1517.77579117</v>
          </cell>
        </row>
        <row r="48">
          <cell r="P48">
            <v>-1517.77579117</v>
          </cell>
        </row>
        <row r="49">
          <cell r="P49">
            <v>-1517.77579117</v>
          </cell>
        </row>
        <row r="50">
          <cell r="P50">
            <v>-1517.77579117</v>
          </cell>
        </row>
        <row r="51">
          <cell r="P51">
            <v>-2710.9560965000001</v>
          </cell>
        </row>
        <row r="52">
          <cell r="P52">
            <v>-2710.9560965000001</v>
          </cell>
        </row>
        <row r="53">
          <cell r="P53">
            <v>-2710.9560965000001</v>
          </cell>
        </row>
        <row r="54">
          <cell r="P54">
            <v>-2710.9560965000001</v>
          </cell>
        </row>
        <row r="55">
          <cell r="P55">
            <v>-2710.9560965000001</v>
          </cell>
        </row>
        <row r="56">
          <cell r="P56">
            <v>-2710.9560965000001</v>
          </cell>
        </row>
        <row r="57">
          <cell r="P57">
            <v>-2710.9560965000001</v>
          </cell>
        </row>
        <row r="58">
          <cell r="P58">
            <v>-2710.9560965000001</v>
          </cell>
        </row>
        <row r="59">
          <cell r="P59">
            <v>-2698.4194852700002</v>
          </cell>
        </row>
        <row r="60">
          <cell r="P60">
            <v>-2698.4194852700002</v>
          </cell>
        </row>
        <row r="61">
          <cell r="P61">
            <v>-2698.4194852700002</v>
          </cell>
        </row>
        <row r="62">
          <cell r="P62">
            <v>-2698.4194852700002</v>
          </cell>
        </row>
        <row r="63">
          <cell r="P63">
            <v>-2698.4194852700002</v>
          </cell>
        </row>
        <row r="64">
          <cell r="P64">
            <v>-2698.4194852700002</v>
          </cell>
        </row>
        <row r="65">
          <cell r="P65">
            <v>-2698.4194852700002</v>
          </cell>
        </row>
        <row r="66">
          <cell r="P66">
            <v>-2698.4194852700002</v>
          </cell>
        </row>
        <row r="67">
          <cell r="P67">
            <v>-2698.4194852700002</v>
          </cell>
        </row>
        <row r="68">
          <cell r="P68">
            <v>-2698.4194852700002</v>
          </cell>
        </row>
        <row r="69">
          <cell r="P69">
            <v>-2698.4194852700002</v>
          </cell>
        </row>
        <row r="70">
          <cell r="P70">
            <v>-1517.77579117</v>
          </cell>
        </row>
        <row r="71">
          <cell r="P71">
            <v>-1517.77579117</v>
          </cell>
        </row>
        <row r="72">
          <cell r="P72">
            <v>-1517.77579117</v>
          </cell>
        </row>
        <row r="73">
          <cell r="P73">
            <v>-1517.77579117</v>
          </cell>
        </row>
        <row r="74">
          <cell r="P74">
            <v>-1517.77579117</v>
          </cell>
        </row>
        <row r="75">
          <cell r="P75">
            <v>-2698.4194852700002</v>
          </cell>
        </row>
        <row r="76">
          <cell r="P76">
            <v>-2698.4194852700002</v>
          </cell>
        </row>
        <row r="77">
          <cell r="P77">
            <v>-2698.4194852700002</v>
          </cell>
        </row>
        <row r="78">
          <cell r="P78">
            <v>-2698.4194852700002</v>
          </cell>
        </row>
        <row r="79">
          <cell r="P79">
            <v>-2698.4194852700002</v>
          </cell>
        </row>
        <row r="80">
          <cell r="P80">
            <v>-2698.4194852700002</v>
          </cell>
        </row>
        <row r="81">
          <cell r="P81">
            <v>-2698.4194852700002</v>
          </cell>
        </row>
        <row r="82">
          <cell r="P82">
            <v>-3010.0779342999999</v>
          </cell>
        </row>
        <row r="83">
          <cell r="P83">
            <v>-3010.0779342999999</v>
          </cell>
        </row>
        <row r="84">
          <cell r="P84">
            <v>-3010.0779342999999</v>
          </cell>
        </row>
        <row r="85">
          <cell r="P85">
            <v>-3010.0779342999999</v>
          </cell>
        </row>
        <row r="86">
          <cell r="P86">
            <v>-3010.0779342999999</v>
          </cell>
        </row>
        <row r="87">
          <cell r="P87">
            <v>-3010.0779342999999</v>
          </cell>
        </row>
        <row r="88">
          <cell r="P88">
            <v>-3010.0779342999999</v>
          </cell>
        </row>
        <row r="89">
          <cell r="P89">
            <v>-3010.0779342999999</v>
          </cell>
        </row>
        <row r="90">
          <cell r="P90">
            <v>-3010.0779342999999</v>
          </cell>
        </row>
        <row r="91">
          <cell r="P91">
            <v>-3010.0779342999999</v>
          </cell>
        </row>
        <row r="92">
          <cell r="P92">
            <v>-3010.0779342999999</v>
          </cell>
        </row>
        <row r="93">
          <cell r="P93">
            <v>-2083.5681766600001</v>
          </cell>
        </row>
        <row r="94">
          <cell r="P94">
            <v>-1517.77579117</v>
          </cell>
        </row>
        <row r="95">
          <cell r="P95">
            <v>-1517.77579117</v>
          </cell>
        </row>
        <row r="96">
          <cell r="P96">
            <v>-1517.77579117</v>
          </cell>
        </row>
        <row r="97">
          <cell r="P97">
            <v>-1517.77579117</v>
          </cell>
        </row>
        <row r="98">
          <cell r="P98">
            <v>-1517.77579117</v>
          </cell>
        </row>
        <row r="99">
          <cell r="P99">
            <v>-1517.77579117</v>
          </cell>
        </row>
        <row r="100">
          <cell r="P100">
            <v>-1517.77579117</v>
          </cell>
        </row>
        <row r="101">
          <cell r="P101">
            <v>-1517.77579117</v>
          </cell>
        </row>
        <row r="102">
          <cell r="P102">
            <v>-1517.77579117</v>
          </cell>
        </row>
        <row r="103">
          <cell r="P103">
            <v>-1517.77579117</v>
          </cell>
        </row>
        <row r="104">
          <cell r="P104">
            <v>-1517.77579117</v>
          </cell>
        </row>
        <row r="105">
          <cell r="P105">
            <v>-1517.77579117</v>
          </cell>
        </row>
        <row r="106">
          <cell r="P106">
            <v>-1517.77579117</v>
          </cell>
        </row>
        <row r="107">
          <cell r="P107">
            <v>-1517.77579117</v>
          </cell>
        </row>
        <row r="108">
          <cell r="P108">
            <v>-1517.77579117</v>
          </cell>
        </row>
        <row r="109">
          <cell r="P109">
            <v>-1517.77579117</v>
          </cell>
        </row>
        <row r="110">
          <cell r="P110">
            <v>-1517.77579117</v>
          </cell>
        </row>
        <row r="111">
          <cell r="P111">
            <v>-1517.77579117</v>
          </cell>
        </row>
        <row r="112">
          <cell r="P112">
            <v>-1517.77579117</v>
          </cell>
        </row>
        <row r="113">
          <cell r="P113">
            <v>-1517.77579117</v>
          </cell>
        </row>
        <row r="114">
          <cell r="P114">
            <v>-1517.77579117</v>
          </cell>
        </row>
        <row r="115">
          <cell r="P115">
            <v>-1517.77579117</v>
          </cell>
        </row>
        <row r="116">
          <cell r="P116">
            <v>-1517.77579117</v>
          </cell>
        </row>
        <row r="117">
          <cell r="P117">
            <v>-1517.77579117</v>
          </cell>
        </row>
        <row r="118">
          <cell r="P118">
            <v>-1517.77579117</v>
          </cell>
        </row>
        <row r="119">
          <cell r="P119">
            <v>-1517.77579117</v>
          </cell>
        </row>
        <row r="120">
          <cell r="P120">
            <v>-1517.77579117</v>
          </cell>
        </row>
        <row r="121">
          <cell r="P121">
            <v>-1517.77579117</v>
          </cell>
        </row>
        <row r="122">
          <cell r="P122">
            <v>-1517.77579117</v>
          </cell>
        </row>
        <row r="123">
          <cell r="P123">
            <v>-1517.77579117</v>
          </cell>
        </row>
        <row r="124">
          <cell r="P124">
            <v>-1517.77579117</v>
          </cell>
        </row>
        <row r="125">
          <cell r="P125">
            <v>-1517.77579117</v>
          </cell>
        </row>
        <row r="126">
          <cell r="P126">
            <v>-1517.77579117</v>
          </cell>
        </row>
        <row r="127">
          <cell r="P127">
            <v>-1517.77579117</v>
          </cell>
        </row>
        <row r="128">
          <cell r="P128">
            <v>-1517.77579117</v>
          </cell>
        </row>
        <row r="129">
          <cell r="P129">
            <v>-1517.77579117</v>
          </cell>
        </row>
        <row r="130">
          <cell r="P130">
            <v>-1517.77579117</v>
          </cell>
        </row>
        <row r="131">
          <cell r="P131">
            <v>-1517.77579117</v>
          </cell>
        </row>
        <row r="132">
          <cell r="P132">
            <v>-1517.77579117</v>
          </cell>
        </row>
        <row r="133">
          <cell r="P133">
            <v>-1517.77579117</v>
          </cell>
        </row>
        <row r="134">
          <cell r="P134">
            <v>-1517.77579117</v>
          </cell>
        </row>
        <row r="135">
          <cell r="P135">
            <v>-1517.77579117</v>
          </cell>
        </row>
        <row r="136">
          <cell r="P136">
            <v>-1517.77579117</v>
          </cell>
        </row>
        <row r="137">
          <cell r="P137">
            <v>-1517.77579117</v>
          </cell>
        </row>
        <row r="138">
          <cell r="P138">
            <v>-1517.77579117</v>
          </cell>
        </row>
        <row r="139">
          <cell r="P139">
            <v>-1517.77579117</v>
          </cell>
        </row>
        <row r="140">
          <cell r="P140">
            <v>-1517.77579117</v>
          </cell>
        </row>
        <row r="141">
          <cell r="P141">
            <v>-1517.77579117</v>
          </cell>
        </row>
        <row r="142">
          <cell r="P142">
            <v>-1517.77579117</v>
          </cell>
        </row>
        <row r="143">
          <cell r="P143">
            <v>-1517.77579117</v>
          </cell>
        </row>
        <row r="144">
          <cell r="P144">
            <v>-1517.77579117</v>
          </cell>
        </row>
        <row r="145">
          <cell r="P145">
            <v>-1517.77579117</v>
          </cell>
        </row>
        <row r="146">
          <cell r="P146">
            <v>-1517.77579117</v>
          </cell>
        </row>
        <row r="147">
          <cell r="P147">
            <v>-1517.77579117</v>
          </cell>
        </row>
        <row r="148">
          <cell r="P148">
            <v>-1517.77579117</v>
          </cell>
        </row>
        <row r="149">
          <cell r="P149">
            <v>-1517.77579117</v>
          </cell>
        </row>
        <row r="150">
          <cell r="P150">
            <v>-1517.77579117</v>
          </cell>
        </row>
        <row r="151">
          <cell r="P151">
            <v>-1517.77579117</v>
          </cell>
        </row>
        <row r="152">
          <cell r="P152">
            <v>-1517.77579117</v>
          </cell>
        </row>
        <row r="153">
          <cell r="P153">
            <v>-1517.77579117</v>
          </cell>
        </row>
        <row r="154">
          <cell r="P154">
            <v>-1517.77579117</v>
          </cell>
        </row>
        <row r="155">
          <cell r="P155">
            <v>-1517.77579117</v>
          </cell>
        </row>
        <row r="156">
          <cell r="P156">
            <v>-1517.77579117</v>
          </cell>
        </row>
        <row r="157">
          <cell r="P157">
            <v>-1517.77579117</v>
          </cell>
        </row>
        <row r="158">
          <cell r="P158">
            <v>-1517.77579117</v>
          </cell>
        </row>
        <row r="159">
          <cell r="P159">
            <v>-1517.77579117</v>
          </cell>
        </row>
        <row r="160">
          <cell r="P160">
            <v>-1517.77579117</v>
          </cell>
        </row>
        <row r="161">
          <cell r="P161">
            <v>-1517.77579117</v>
          </cell>
        </row>
        <row r="162">
          <cell r="P162">
            <v>-1517.77579117</v>
          </cell>
        </row>
        <row r="163">
          <cell r="P163">
            <v>-1517.77579117</v>
          </cell>
        </row>
        <row r="164">
          <cell r="P164">
            <v>-1517.77579117</v>
          </cell>
        </row>
        <row r="165">
          <cell r="P165">
            <v>-1517.77579117</v>
          </cell>
        </row>
        <row r="166">
          <cell r="P166">
            <v>-1517.77579117</v>
          </cell>
        </row>
        <row r="167">
          <cell r="P167">
            <v>-1517.77579117</v>
          </cell>
        </row>
        <row r="168">
          <cell r="P168">
            <v>-1517.77579117</v>
          </cell>
        </row>
        <row r="169">
          <cell r="P169">
            <v>-1517.77579117</v>
          </cell>
        </row>
        <row r="170">
          <cell r="P170">
            <v>-1517.77579117</v>
          </cell>
        </row>
        <row r="171">
          <cell r="P171">
            <v>-1517.77579117</v>
          </cell>
        </row>
        <row r="172">
          <cell r="P172">
            <v>-1517.77579117</v>
          </cell>
        </row>
        <row r="173">
          <cell r="P173">
            <v>-1517.77579117</v>
          </cell>
        </row>
        <row r="174">
          <cell r="P174">
            <v>-1517.77579117</v>
          </cell>
        </row>
        <row r="175">
          <cell r="P175">
            <v>-1517.77579117</v>
          </cell>
        </row>
        <row r="176">
          <cell r="P176">
            <v>-1517.77579117</v>
          </cell>
        </row>
        <row r="177">
          <cell r="P177">
            <v>-1517.77579117</v>
          </cell>
        </row>
        <row r="178">
          <cell r="P178">
            <v>-1517.77579117</v>
          </cell>
        </row>
        <row r="179">
          <cell r="P179">
            <v>-1517.77579117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uide Sheet"/>
      <sheetName val="carriers"/>
      <sheetName val="buses_1busSRES"/>
      <sheetName val="buses_2busSRES"/>
      <sheetName val="generators_1busSRES"/>
      <sheetName val="generators_2busSRES"/>
      <sheetName val="links_1busSRES"/>
      <sheetName val="links_2busSRES"/>
      <sheetName val="loads"/>
      <sheetName val="run_of_river_inflow"/>
      <sheetName val="storage_units"/>
      <sheetName val="store"/>
      <sheetName val="demands"/>
      <sheetName val="profil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D19">
            <v>4200</v>
          </cell>
        </row>
        <row r="20">
          <cell r="D20">
            <v>2860.169492</v>
          </cell>
        </row>
        <row r="21">
          <cell r="D21">
            <v>3500</v>
          </cell>
        </row>
        <row r="22">
          <cell r="D22">
            <v>2860.169492</v>
          </cell>
        </row>
        <row r="23">
          <cell r="D23">
            <v>5000</v>
          </cell>
        </row>
        <row r="25">
          <cell r="D25">
            <v>5014.1242920000004</v>
          </cell>
        </row>
        <row r="26">
          <cell r="D26">
            <v>7627.1186459999999</v>
          </cell>
        </row>
        <row r="27">
          <cell r="D27">
            <v>1553.672292</v>
          </cell>
        </row>
        <row r="29">
          <cell r="D29">
            <v>6779.6610170000004</v>
          </cell>
        </row>
        <row r="30">
          <cell r="D30">
            <v>6779.6610170000004</v>
          </cell>
        </row>
        <row r="31">
          <cell r="D31">
            <v>3742.94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sub_networks"/>
      <sheetName val="generators"/>
      <sheetName val="generators-p_max_pu"/>
      <sheetName val="generators-p"/>
      <sheetName val="links"/>
      <sheetName val="links-p0"/>
      <sheetName val="links-p1"/>
      <sheetName val="storage_units"/>
      <sheetName val="storage_units-p"/>
      <sheetName val="storage_units-p_dispatch"/>
      <sheetName val="storage_units-p_store"/>
      <sheetName val="storage_units-state_of_charge"/>
      <sheetName val="loads"/>
      <sheetName val="loads-p_set"/>
      <sheetName val="loads-p"/>
      <sheetName val="carriers"/>
      <sheetName val="buses"/>
      <sheetName val="buses-p"/>
      <sheetName val="buses-marginal_price"/>
      <sheetName val="stores"/>
      <sheetName val="stores-e"/>
      <sheetName val="stores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K1" t="str">
            <v>PT_hydrogen_bus</v>
          </cell>
        </row>
      </sheetData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E848-C4BB-4E50-B5D5-B1BD32993548}">
  <sheetPr>
    <tabColor rgb="FFC00000"/>
  </sheetPr>
  <dimension ref="A1:A5"/>
  <sheetViews>
    <sheetView workbookViewId="0">
      <selection activeCell="D38" sqref="D38"/>
    </sheetView>
  </sheetViews>
  <sheetFormatPr baseColWidth="10" defaultRowHeight="14"/>
  <cols>
    <col min="1" max="16384" width="10.90625" style="4"/>
  </cols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5" spans="1:1">
      <c r="A5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D435-AD81-4356-A4E7-599843859F3F}">
  <sheetPr>
    <tabColor theme="5" tint="0.79998168889431442"/>
  </sheetPr>
  <dimension ref="A1:AS171"/>
  <sheetViews>
    <sheetView tabSelected="1" topLeftCell="W1" zoomScale="85" zoomScaleNormal="85" workbookViewId="0">
      <selection activeCell="AM34" sqref="AM34"/>
    </sheetView>
  </sheetViews>
  <sheetFormatPr baseColWidth="10" defaultRowHeight="14"/>
  <cols>
    <col min="1" max="1" width="10.90625" style="28"/>
    <col min="2" max="2" width="20.7265625" style="31" bestFit="1" customWidth="1"/>
    <col min="3" max="3" width="19.1796875" style="1" bestFit="1" customWidth="1"/>
    <col min="4" max="4" width="20.453125" style="1" bestFit="1" customWidth="1"/>
    <col min="5" max="5" width="13.54296875" style="28" bestFit="1" customWidth="1"/>
    <col min="6" max="6" width="42.1796875" style="1" customWidth="1"/>
    <col min="7" max="7" width="15.453125" style="33" customWidth="1"/>
    <col min="8" max="8" width="22.36328125" style="30" bestFit="1" customWidth="1"/>
    <col min="9" max="9" width="22.36328125" style="1" customWidth="1"/>
    <col min="10" max="10" width="21.54296875" style="1" bestFit="1" customWidth="1"/>
    <col min="11" max="11" width="33.26953125" style="1" bestFit="1" customWidth="1"/>
    <col min="12" max="12" width="10.7265625" style="33" customWidth="1"/>
    <col min="13" max="13" width="22.36328125" style="1" bestFit="1" customWidth="1"/>
    <col min="14" max="14" width="19.1796875" style="1" bestFit="1" customWidth="1"/>
    <col min="15" max="15" width="31.90625" style="1" bestFit="1" customWidth="1"/>
    <col min="16" max="16" width="33.26953125" style="1" bestFit="1" customWidth="1"/>
    <col min="17" max="17" width="19.36328125" style="33" customWidth="1"/>
    <col min="18" max="18" width="22.36328125" style="30" bestFit="1" customWidth="1"/>
    <col min="19" max="19" width="22.36328125" style="1" customWidth="1"/>
    <col min="20" max="20" width="21.54296875" style="1" customWidth="1"/>
    <col min="21" max="21" width="13.1796875" style="1" bestFit="1" customWidth="1"/>
    <col min="22" max="22" width="10.7265625" style="1" customWidth="1"/>
    <col min="23" max="24" width="10.90625" style="1"/>
    <col min="25" max="25" width="10.90625" style="35"/>
    <col min="26" max="26" width="25.6328125" style="1" bestFit="1" customWidth="1"/>
    <col min="27" max="27" width="22.36328125" style="1" bestFit="1" customWidth="1"/>
    <col min="28" max="33" width="10.90625" style="1"/>
    <col min="34" max="34" width="10.90625" style="33"/>
    <col min="35" max="35" width="20.453125" style="1" bestFit="1" customWidth="1"/>
    <col min="36" max="44" width="10.90625" style="1"/>
    <col min="45" max="45" width="10.90625" style="33"/>
    <col min="46" max="16384" width="10.90625" style="1"/>
  </cols>
  <sheetData>
    <row r="1" spans="1:45">
      <c r="B1" s="31" t="s">
        <v>48</v>
      </c>
      <c r="C1" s="2"/>
      <c r="D1" s="44" t="s">
        <v>49</v>
      </c>
      <c r="E1" s="45"/>
      <c r="F1" s="2"/>
      <c r="G1" s="34"/>
      <c r="H1" s="30" t="s">
        <v>48</v>
      </c>
      <c r="J1" s="1" t="s">
        <v>54</v>
      </c>
    </row>
    <row r="2" spans="1:45" s="2" customFormat="1">
      <c r="A2" s="29" t="s">
        <v>47</v>
      </c>
      <c r="B2" s="32" t="s">
        <v>52</v>
      </c>
      <c r="C2" s="27" t="s">
        <v>51</v>
      </c>
      <c r="D2" s="2" t="s">
        <v>50</v>
      </c>
      <c r="E2" s="29" t="s">
        <v>46</v>
      </c>
      <c r="G2" s="34"/>
      <c r="H2" s="32" t="s">
        <v>53</v>
      </c>
      <c r="I2" s="27" t="s">
        <v>55</v>
      </c>
      <c r="J2" s="2" t="str">
        <f>'[1]links-p0'!J1</f>
        <v>ES_PT_interconexion_electricidad</v>
      </c>
      <c r="K2" s="29" t="str">
        <f>'[1]links-p0'!L1</f>
        <v>PT_ES_interconexion_electricidad</v>
      </c>
      <c r="L2" s="34"/>
      <c r="M2" s="32" t="s">
        <v>61</v>
      </c>
      <c r="N2" s="27" t="s">
        <v>60</v>
      </c>
      <c r="O2" s="2" t="str">
        <f>'[1]links-p0'!K1</f>
        <v>ES_PT_interconexion_hidrogeno</v>
      </c>
      <c r="P2" s="2" t="str">
        <f>'[1]links-p0'!M1</f>
        <v>PT_ES_interconexion_hidrogeno</v>
      </c>
      <c r="Q2" s="34"/>
      <c r="R2" s="32" t="s">
        <v>57</v>
      </c>
      <c r="S2" s="27" t="s">
        <v>56</v>
      </c>
      <c r="T2" s="2" t="str">
        <f>'[1]links-p0'!Q1</f>
        <v>ES_FR_interconexion_hidrogeno_BarMar</v>
      </c>
      <c r="U2" s="2" t="str">
        <f>'[1]links-p0'!R1</f>
        <v>FR_ES_interconexion_hidrogeno_BarMar</v>
      </c>
      <c r="Y2" s="36"/>
      <c r="Z2" s="32" t="s">
        <v>58</v>
      </c>
      <c r="AA2" s="27" t="s">
        <v>59</v>
      </c>
      <c r="AH2" s="34"/>
      <c r="AI2" s="32" t="s">
        <v>62</v>
      </c>
      <c r="AJ2" s="27" t="s">
        <v>63</v>
      </c>
      <c r="AS2" s="34"/>
    </row>
    <row r="3" spans="1:45">
      <c r="A3" s="28">
        <v>0</v>
      </c>
      <c r="B3" s="31">
        <v>-5000</v>
      </c>
      <c r="C3" s="1">
        <f>D3+E3</f>
        <v>-5000</v>
      </c>
      <c r="D3" s="1">
        <f>'[1]links-p0'!N2</f>
        <v>0</v>
      </c>
      <c r="E3" s="28">
        <f>-'[1]links-p0'!O2</f>
        <v>-5000</v>
      </c>
      <c r="H3" s="30">
        <v>-3500</v>
      </c>
      <c r="I3" s="1">
        <f>SUM(J3:K3)</f>
        <v>-2837.788522564801</v>
      </c>
      <c r="J3" s="1">
        <f>'[1]links-p0'!J2</f>
        <v>0</v>
      </c>
      <c r="K3" s="1">
        <f>-'[1]links-p0'!L2</f>
        <v>-2837.788522564801</v>
      </c>
      <c r="M3" s="1">
        <v>193.86524853</v>
      </c>
      <c r="N3" s="1">
        <f>SUM(O3:P3)</f>
        <v>776.98825558499652</v>
      </c>
      <c r="O3" s="1">
        <f>'[1]links-p0'!K2</f>
        <v>776.98825558499652</v>
      </c>
      <c r="P3" s="1">
        <f>-'[1]links-p0'!M2</f>
        <v>0</v>
      </c>
      <c r="R3" s="30">
        <v>4147.0709527700001</v>
      </c>
      <c r="S3" s="1">
        <f>SUM(T3:U3)</f>
        <v>3985.9887250000002</v>
      </c>
      <c r="T3" s="1">
        <f>'[1]links-p0'!Q2</f>
        <v>3985.9887250000002</v>
      </c>
      <c r="U3" s="1">
        <f>-'[1]links-p0'!R2</f>
        <v>0</v>
      </c>
      <c r="Z3" s="1">
        <v>-532.24548023</v>
      </c>
      <c r="AA3" s="1">
        <f>'[1]links-p0'!P2</f>
        <v>0</v>
      </c>
      <c r="AI3" s="37">
        <f>-[2]Exchanges!P11</f>
        <v>1517.77579117</v>
      </c>
      <c r="AJ3" s="1">
        <f>'[1]links-p0'!V2</f>
        <v>2089.2078461605961</v>
      </c>
    </row>
    <row r="4" spans="1:45">
      <c r="A4" s="28">
        <v>1</v>
      </c>
      <c r="B4" s="31">
        <v>-5000</v>
      </c>
      <c r="C4" s="1">
        <f t="shared" ref="C4:C67" si="0">D4+E4</f>
        <v>-5000</v>
      </c>
      <c r="D4" s="1">
        <f>'[1]links-p0'!N3</f>
        <v>0</v>
      </c>
      <c r="E4" s="28">
        <f>-'[1]links-p0'!O3</f>
        <v>-5000</v>
      </c>
      <c r="H4" s="30">
        <v>-3500</v>
      </c>
      <c r="I4" s="1">
        <f t="shared" ref="I4:I67" si="1">SUM(J4:K4)</f>
        <v>-3500</v>
      </c>
      <c r="J4" s="1">
        <f>'[1]links-p0'!J3</f>
        <v>0</v>
      </c>
      <c r="K4" s="1">
        <f>-'[1]links-p0'!L3</f>
        <v>-3500</v>
      </c>
      <c r="M4" s="1">
        <v>275.11409852999998</v>
      </c>
      <c r="N4" s="1">
        <f t="shared" ref="N4:N67" si="2">SUM(O4:P4)</f>
        <v>821.77942529061022</v>
      </c>
      <c r="O4" s="1">
        <f>'[1]links-p0'!K3</f>
        <v>821.77942529061022</v>
      </c>
      <c r="P4" s="1">
        <f>-'[1]links-p0'!M3</f>
        <v>0</v>
      </c>
      <c r="R4" s="30">
        <v>4147.0709527700001</v>
      </c>
      <c r="S4" s="1">
        <f t="shared" ref="S4:S67" si="3">SUM(T4:U4)</f>
        <v>3985.9887250000002</v>
      </c>
      <c r="T4" s="1">
        <f>'[1]links-p0'!Q3</f>
        <v>3985.9887250000002</v>
      </c>
      <c r="U4" s="1">
        <f>-'[1]links-p0'!R3</f>
        <v>0</v>
      </c>
      <c r="Z4" s="1">
        <v>-532.24548023</v>
      </c>
      <c r="AA4" s="1">
        <f>'[1]links-p0'!P3</f>
        <v>0</v>
      </c>
      <c r="AI4" s="37">
        <f>-[2]Exchanges!P12</f>
        <v>1517.77579117</v>
      </c>
      <c r="AJ4" s="1">
        <f>'[1]links-p0'!V3</f>
        <v>1517.7757899999999</v>
      </c>
    </row>
    <row r="5" spans="1:45">
      <c r="A5" s="28">
        <v>2</v>
      </c>
      <c r="B5" s="31">
        <v>-5000</v>
      </c>
      <c r="C5" s="1">
        <f t="shared" si="0"/>
        <v>-5000</v>
      </c>
      <c r="D5" s="1">
        <f>'[1]links-p0'!N4</f>
        <v>0</v>
      </c>
      <c r="E5" s="28">
        <f>-'[1]links-p0'!O4</f>
        <v>-5000</v>
      </c>
      <c r="H5" s="30">
        <v>-3500</v>
      </c>
      <c r="I5" s="1">
        <f t="shared" si="1"/>
        <v>-3500</v>
      </c>
      <c r="J5" s="1">
        <f>'[1]links-p0'!J4</f>
        <v>0</v>
      </c>
      <c r="K5" s="1">
        <f>-'[1]links-p0'!L4</f>
        <v>-3500</v>
      </c>
      <c r="M5" s="1">
        <v>328.97611853000001</v>
      </c>
      <c r="N5" s="1">
        <f t="shared" si="2"/>
        <v>851.4727861446263</v>
      </c>
      <c r="O5" s="1">
        <f>'[1]links-p0'!K4</f>
        <v>851.4727861446263</v>
      </c>
      <c r="P5" s="1">
        <f>-'[1]links-p0'!M4</f>
        <v>0</v>
      </c>
      <c r="R5" s="30">
        <v>4147.0709527700001</v>
      </c>
      <c r="S5" s="1">
        <f t="shared" si="3"/>
        <v>3985.9887250000002</v>
      </c>
      <c r="T5" s="1">
        <f>'[1]links-p0'!Q4</f>
        <v>3985.9887250000002</v>
      </c>
      <c r="U5" s="1">
        <f>-'[1]links-p0'!R4</f>
        <v>0</v>
      </c>
      <c r="Z5" s="1">
        <v>-532.24548023</v>
      </c>
      <c r="AI5" s="37">
        <f>-[2]Exchanges!P13</f>
        <v>1517.77579117</v>
      </c>
      <c r="AJ5" s="1">
        <f>'[1]links-p0'!V4</f>
        <v>1517.7757899999999</v>
      </c>
    </row>
    <row r="6" spans="1:45">
      <c r="A6" s="28">
        <v>3</v>
      </c>
      <c r="B6" s="31">
        <v>-5000</v>
      </c>
      <c r="C6" s="1">
        <f t="shared" si="0"/>
        <v>-5000</v>
      </c>
      <c r="D6" s="1">
        <f>'[1]links-p0'!N5</f>
        <v>0</v>
      </c>
      <c r="E6" s="28">
        <f>-'[1]links-p0'!O5</f>
        <v>-5000</v>
      </c>
      <c r="H6" s="30">
        <v>-3500</v>
      </c>
      <c r="I6" s="1">
        <f t="shared" si="1"/>
        <v>-3500</v>
      </c>
      <c r="J6" s="1">
        <f>'[1]links-p0'!J5</f>
        <v>0</v>
      </c>
      <c r="K6" s="1">
        <f>-'[1]links-p0'!L5</f>
        <v>-3500</v>
      </c>
      <c r="M6" s="1">
        <v>379.42232853000002</v>
      </c>
      <c r="N6" s="1">
        <f t="shared" si="2"/>
        <v>879.28283200569149</v>
      </c>
      <c r="O6" s="1">
        <f>'[1]links-p0'!K5</f>
        <v>879.28283200569149</v>
      </c>
      <c r="P6" s="1">
        <f>-'[1]links-p0'!M5</f>
        <v>0</v>
      </c>
      <c r="R6" s="30">
        <v>4147.0709527700001</v>
      </c>
      <c r="S6" s="1">
        <f t="shared" si="3"/>
        <v>3985.9887250000002</v>
      </c>
      <c r="T6" s="1">
        <f>'[1]links-p0'!Q5</f>
        <v>3985.9887250000002</v>
      </c>
      <c r="U6" s="1">
        <f>-'[1]links-p0'!R5</f>
        <v>0</v>
      </c>
      <c r="Z6" s="1">
        <v>-532.24548023</v>
      </c>
      <c r="AA6" s="1">
        <f>'[1]links-p0'!P5</f>
        <v>0</v>
      </c>
      <c r="AI6" s="37">
        <f>-[2]Exchanges!P14</f>
        <v>1517.77579117</v>
      </c>
      <c r="AJ6" s="1">
        <f>'[1]links-p0'!V5</f>
        <v>1517.7757899999999</v>
      </c>
    </row>
    <row r="7" spans="1:45">
      <c r="A7" s="28">
        <v>4</v>
      </c>
      <c r="B7" s="31">
        <v>-5000</v>
      </c>
      <c r="C7" s="1">
        <f t="shared" si="0"/>
        <v>-5000</v>
      </c>
      <c r="D7" s="1">
        <f>'[1]links-p0'!N6</f>
        <v>0</v>
      </c>
      <c r="E7" s="28">
        <f>-'[1]links-p0'!O6</f>
        <v>-5000</v>
      </c>
      <c r="H7" s="30">
        <v>-3500</v>
      </c>
      <c r="I7" s="1">
        <f t="shared" si="1"/>
        <v>-3500</v>
      </c>
      <c r="J7" s="1">
        <f>'[1]links-p0'!J6</f>
        <v>0</v>
      </c>
      <c r="K7" s="1">
        <f>-'[1]links-p0'!L6</f>
        <v>-3500</v>
      </c>
      <c r="M7" s="1">
        <v>415.43139853000002</v>
      </c>
      <c r="N7" s="1">
        <f t="shared" si="2"/>
        <v>899.13394189035535</v>
      </c>
      <c r="O7" s="1">
        <f>'[1]links-p0'!K6</f>
        <v>899.13394189035535</v>
      </c>
      <c r="P7" s="1">
        <f>-'[1]links-p0'!M6</f>
        <v>0</v>
      </c>
      <c r="R7" s="30">
        <v>4147.5308346800002</v>
      </c>
      <c r="S7" s="1">
        <f t="shared" si="3"/>
        <v>3985.9887250000002</v>
      </c>
      <c r="T7" s="1">
        <f>'[1]links-p0'!Q6</f>
        <v>3985.9887250000002</v>
      </c>
      <c r="U7" s="1">
        <f>-'[1]links-p0'!R6</f>
        <v>0</v>
      </c>
      <c r="Z7" s="1">
        <v>-531.78559831999996</v>
      </c>
      <c r="AA7" s="1">
        <f>'[1]links-p0'!P6</f>
        <v>0</v>
      </c>
      <c r="AI7" s="37">
        <f>-[2]Exchanges!P15</f>
        <v>1517.77579117</v>
      </c>
      <c r="AJ7" s="1">
        <f>'[1]links-p0'!V6</f>
        <v>1517.7757899999999</v>
      </c>
    </row>
    <row r="8" spans="1:45">
      <c r="A8" s="28">
        <v>5</v>
      </c>
      <c r="B8" s="31">
        <v>-5000</v>
      </c>
      <c r="C8" s="1">
        <f t="shared" si="0"/>
        <v>-5000</v>
      </c>
      <c r="D8" s="1">
        <f>'[1]links-p0'!N7</f>
        <v>0</v>
      </c>
      <c r="E8" s="28">
        <f>-'[1]links-p0'!O7</f>
        <v>-5000</v>
      </c>
      <c r="H8" s="30">
        <v>-3500</v>
      </c>
      <c r="I8" s="1">
        <f t="shared" si="1"/>
        <v>-3500</v>
      </c>
      <c r="J8" s="1">
        <f>'[1]links-p0'!J7</f>
        <v>0</v>
      </c>
      <c r="K8" s="1">
        <f>-'[1]links-p0'!L7</f>
        <v>-3500</v>
      </c>
      <c r="M8" s="1">
        <v>533.53909500999998</v>
      </c>
      <c r="N8" s="1">
        <f t="shared" si="2"/>
        <v>1008.199371115198</v>
      </c>
      <c r="O8" s="1">
        <f>'[1]links-p0'!K7</f>
        <v>1008.199371115198</v>
      </c>
      <c r="P8" s="1">
        <f>-'[1]links-p0'!M7</f>
        <v>0</v>
      </c>
      <c r="R8" s="30">
        <v>4148.4505985100004</v>
      </c>
      <c r="S8" s="1">
        <f t="shared" si="3"/>
        <v>3985.9887250000002</v>
      </c>
      <c r="T8" s="1">
        <f>'[1]links-p0'!Q7</f>
        <v>3985.9887250000002</v>
      </c>
      <c r="U8" s="1">
        <f>-'[1]links-p0'!R7</f>
        <v>0</v>
      </c>
      <c r="Z8" s="1">
        <v>-530.86583449</v>
      </c>
      <c r="AA8" s="1">
        <f>'[1]links-p0'!P7</f>
        <v>0</v>
      </c>
      <c r="AI8" s="37">
        <f>-[2]Exchanges!P16</f>
        <v>1517.77579117</v>
      </c>
      <c r="AJ8" s="1">
        <f>'[1]links-p0'!V7</f>
        <v>1517.7757899999999</v>
      </c>
    </row>
    <row r="9" spans="1:45">
      <c r="A9" s="28">
        <v>6</v>
      </c>
      <c r="B9" s="31">
        <v>-5000</v>
      </c>
      <c r="C9" s="1">
        <f t="shared" si="0"/>
        <v>-5000</v>
      </c>
      <c r="D9" s="1">
        <f>'[1]links-p0'!N8</f>
        <v>0</v>
      </c>
      <c r="E9" s="28">
        <f>-'[1]links-p0'!O8</f>
        <v>-5000</v>
      </c>
      <c r="H9" s="30">
        <v>-3500</v>
      </c>
      <c r="I9" s="1">
        <f t="shared" si="1"/>
        <v>-3500</v>
      </c>
      <c r="J9" s="1">
        <f>'[1]links-p0'!J8</f>
        <v>0</v>
      </c>
      <c r="K9" s="1">
        <f>-'[1]links-p0'!L8</f>
        <v>-3500</v>
      </c>
      <c r="M9" s="1">
        <v>656.21848149000004</v>
      </c>
      <c r="N9" s="1">
        <f t="shared" si="2"/>
        <v>1119.785084109395</v>
      </c>
      <c r="O9" s="1">
        <f>'[1]links-p0'!K8</f>
        <v>1119.785084109395</v>
      </c>
      <c r="P9" s="1">
        <f>-'[1]links-p0'!M8</f>
        <v>0</v>
      </c>
      <c r="R9" s="30">
        <v>4148.9104804199997</v>
      </c>
      <c r="S9" s="1">
        <f t="shared" si="3"/>
        <v>3985.9887250000002</v>
      </c>
      <c r="T9" s="1">
        <f>'[1]links-p0'!Q8</f>
        <v>3985.9887250000002</v>
      </c>
      <c r="U9" s="1">
        <f>-'[1]links-p0'!R8</f>
        <v>0</v>
      </c>
      <c r="Z9" s="1">
        <v>-530.40595257999996</v>
      </c>
      <c r="AA9" s="1">
        <f>'[1]links-p0'!P8</f>
        <v>0</v>
      </c>
      <c r="AI9" s="37">
        <f>-[2]Exchanges!P17</f>
        <v>1517.77579117</v>
      </c>
      <c r="AJ9" s="1">
        <f>'[1]links-p0'!V8</f>
        <v>1517.7757899999999</v>
      </c>
    </row>
    <row r="10" spans="1:45">
      <c r="A10" s="28">
        <v>7</v>
      </c>
      <c r="B10" s="31">
        <v>-5000</v>
      </c>
      <c r="C10" s="1">
        <f t="shared" si="0"/>
        <v>-5000</v>
      </c>
      <c r="D10" s="1">
        <f>'[1]links-p0'!N9</f>
        <v>0</v>
      </c>
      <c r="E10" s="28">
        <f>-'[1]links-p0'!O9</f>
        <v>-5000</v>
      </c>
      <c r="H10" s="30">
        <v>-3500</v>
      </c>
      <c r="I10" s="1">
        <f t="shared" si="1"/>
        <v>-3500</v>
      </c>
      <c r="J10" s="1">
        <f>'[1]links-p0'!J9</f>
        <v>0</v>
      </c>
      <c r="K10" s="1">
        <f>-'[1]links-p0'!L9</f>
        <v>-3500</v>
      </c>
      <c r="M10" s="1">
        <v>745.88470394000001</v>
      </c>
      <c r="N10" s="1">
        <f t="shared" si="2"/>
        <v>1210.8580242095229</v>
      </c>
      <c r="O10" s="1">
        <f>'[1]links-p0'!K9</f>
        <v>1210.8580242095229</v>
      </c>
      <c r="P10" s="1">
        <f>-'[1]links-p0'!M9</f>
        <v>0</v>
      </c>
      <c r="R10" s="30">
        <v>4149.3703623299998</v>
      </c>
      <c r="S10" s="1">
        <f t="shared" si="3"/>
        <v>3985.9887250000002</v>
      </c>
      <c r="T10" s="1">
        <f>'[1]links-p0'!Q9</f>
        <v>3985.9887250000002</v>
      </c>
      <c r="U10" s="1">
        <f>-'[1]links-p0'!R9</f>
        <v>0</v>
      </c>
      <c r="Z10" s="1">
        <v>-529.94607067000004</v>
      </c>
      <c r="AA10" s="1">
        <f>'[1]links-p0'!P9</f>
        <v>0</v>
      </c>
      <c r="AI10" s="37">
        <f>-[2]Exchanges!P18</f>
        <v>1517.77579117</v>
      </c>
      <c r="AJ10" s="1">
        <f>'[1]links-p0'!V9</f>
        <v>1517.7757899999999</v>
      </c>
    </row>
    <row r="11" spans="1:45">
      <c r="A11" s="28">
        <v>8</v>
      </c>
      <c r="B11" s="31">
        <v>-5000</v>
      </c>
      <c r="C11" s="1">
        <f t="shared" si="0"/>
        <v>-5000</v>
      </c>
      <c r="D11" s="1">
        <f>'[1]links-p0'!N10</f>
        <v>0</v>
      </c>
      <c r="E11" s="28">
        <f>-'[1]links-p0'!O10</f>
        <v>-5000</v>
      </c>
      <c r="H11" s="30">
        <v>-3500</v>
      </c>
      <c r="I11" s="1">
        <f t="shared" si="1"/>
        <v>-3500</v>
      </c>
      <c r="J11" s="1">
        <f>'[1]links-p0'!J10</f>
        <v>0</v>
      </c>
      <c r="K11" s="1">
        <f>-'[1]links-p0'!L10</f>
        <v>-3500</v>
      </c>
      <c r="M11" s="1">
        <v>844.27428041999997</v>
      </c>
      <c r="N11" s="1">
        <f t="shared" si="2"/>
        <v>1309.004085612316</v>
      </c>
      <c r="O11" s="1">
        <f>'[1]links-p0'!K10</f>
        <v>1309.004085612316</v>
      </c>
      <c r="P11" s="1">
        <f>-'[1]links-p0'!M10</f>
        <v>0</v>
      </c>
      <c r="R11" s="30">
        <v>4149.3703623299998</v>
      </c>
      <c r="S11" s="1">
        <f t="shared" si="3"/>
        <v>3985.9887250000002</v>
      </c>
      <c r="T11" s="1">
        <f>'[1]links-p0'!Q10</f>
        <v>3985.9887250000002</v>
      </c>
      <c r="U11" s="1">
        <f>-'[1]links-p0'!R10</f>
        <v>0</v>
      </c>
      <c r="Z11" s="1">
        <v>-529.94607067000004</v>
      </c>
      <c r="AA11" s="1">
        <f>'[1]links-p0'!P10</f>
        <v>0</v>
      </c>
      <c r="AI11" s="37">
        <f>-[2]Exchanges!P19</f>
        <v>1517.77579117</v>
      </c>
      <c r="AJ11" s="1">
        <f>'[1]links-p0'!V10</f>
        <v>2158.535113398565</v>
      </c>
    </row>
    <row r="12" spans="1:45">
      <c r="A12" s="28">
        <v>9</v>
      </c>
      <c r="B12" s="31">
        <v>-5000</v>
      </c>
      <c r="C12" s="1">
        <f t="shared" si="0"/>
        <v>-5000</v>
      </c>
      <c r="D12" s="1">
        <f>'[1]links-p0'!N11</f>
        <v>0</v>
      </c>
      <c r="E12" s="28">
        <f>-'[1]links-p0'!O11</f>
        <v>-5000</v>
      </c>
      <c r="H12" s="30">
        <v>-3500</v>
      </c>
      <c r="I12" s="1">
        <f t="shared" si="1"/>
        <v>-3500</v>
      </c>
      <c r="J12" s="1">
        <f>'[1]links-p0'!J11</f>
        <v>0</v>
      </c>
      <c r="K12" s="1">
        <f>-'[1]links-p0'!L11</f>
        <v>-3500</v>
      </c>
      <c r="M12" s="1">
        <v>409.51428041999998</v>
      </c>
      <c r="N12" s="1">
        <f t="shared" si="2"/>
        <v>770.00042369744347</v>
      </c>
      <c r="O12" s="1">
        <f>'[1]links-p0'!K11</f>
        <v>770.00042369744347</v>
      </c>
      <c r="P12" s="1">
        <f>-'[1]links-p0'!M11</f>
        <v>0</v>
      </c>
      <c r="R12" s="30">
        <v>4149.3703623299998</v>
      </c>
      <c r="S12" s="1">
        <f t="shared" si="3"/>
        <v>3985.9887250000002</v>
      </c>
      <c r="T12" s="1">
        <f>'[1]links-p0'!Q11</f>
        <v>3985.9887250000002</v>
      </c>
      <c r="U12" s="1">
        <f>-'[1]links-p0'!R11</f>
        <v>0</v>
      </c>
      <c r="Z12" s="1">
        <v>-529.94607067000004</v>
      </c>
      <c r="AA12" s="1">
        <f>'[1]links-p0'!P11</f>
        <v>0</v>
      </c>
      <c r="AI12" s="37">
        <f>-[2]Exchanges!P20</f>
        <v>1517.77579117</v>
      </c>
      <c r="AJ12" s="1">
        <f>'[1]links-p0'!V11</f>
        <v>1517.7757899999999</v>
      </c>
    </row>
    <row r="13" spans="1:45">
      <c r="A13" s="28">
        <v>10</v>
      </c>
      <c r="B13" s="31">
        <v>0</v>
      </c>
      <c r="C13" s="1">
        <f t="shared" si="0"/>
        <v>578.16100895</v>
      </c>
      <c r="D13" s="1">
        <f>'[1]links-p0'!N12</f>
        <v>578.16100895</v>
      </c>
      <c r="E13" s="28">
        <f>-'[1]links-p0'!O12</f>
        <v>0</v>
      </c>
      <c r="H13" s="30">
        <v>-3500</v>
      </c>
      <c r="I13" s="1">
        <f t="shared" si="1"/>
        <v>0</v>
      </c>
      <c r="J13" s="1">
        <f>'[1]links-p0'!J12</f>
        <v>0</v>
      </c>
      <c r="K13" s="1">
        <f>-'[1]links-p0'!L12</f>
        <v>0</v>
      </c>
      <c r="M13" s="1">
        <v>-25.245719579999999</v>
      </c>
      <c r="N13" s="1">
        <f t="shared" si="2"/>
        <v>0</v>
      </c>
      <c r="O13" s="1">
        <f>'[1]links-p0'!K12</f>
        <v>0</v>
      </c>
      <c r="P13" s="1">
        <f>-'[1]links-p0'!M12</f>
        <v>0</v>
      </c>
      <c r="R13" s="30">
        <v>5194.2703623300004</v>
      </c>
      <c r="S13" s="1">
        <f t="shared" si="3"/>
        <v>5352.1076543300014</v>
      </c>
      <c r="T13" s="1">
        <f>'[1]links-p0'!Q12</f>
        <v>5352.1076543300014</v>
      </c>
      <c r="U13" s="1">
        <f>-'[1]links-p0'!R12</f>
        <v>0</v>
      </c>
      <c r="Z13" s="1">
        <v>0</v>
      </c>
      <c r="AA13" s="1">
        <f>'[1]links-p0'!P12</f>
        <v>0</v>
      </c>
      <c r="AI13" s="37">
        <f>-[2]Exchanges!P21</f>
        <v>1517.77579117</v>
      </c>
      <c r="AJ13" s="1">
        <f>'[1]links-p0'!V12</f>
        <v>1517.7757899999999</v>
      </c>
    </row>
    <row r="14" spans="1:45">
      <c r="A14" s="28">
        <v>11</v>
      </c>
      <c r="B14" s="31">
        <v>0</v>
      </c>
      <c r="C14" s="1">
        <f t="shared" si="0"/>
        <v>5000</v>
      </c>
      <c r="D14" s="1">
        <f>'[1]links-p0'!N13</f>
        <v>5000</v>
      </c>
      <c r="E14" s="28">
        <f>-'[1]links-p0'!O13</f>
        <v>0</v>
      </c>
      <c r="H14" s="30">
        <v>0</v>
      </c>
      <c r="I14" s="1">
        <f t="shared" si="1"/>
        <v>0</v>
      </c>
      <c r="J14" s="1">
        <f>'[1]links-p0'!J13</f>
        <v>0</v>
      </c>
      <c r="K14" s="1">
        <f>-'[1]links-p0'!L13</f>
        <v>0</v>
      </c>
      <c r="M14" s="1">
        <v>-460.00571958</v>
      </c>
      <c r="N14" s="1">
        <f t="shared" si="2"/>
        <v>0</v>
      </c>
      <c r="O14" s="1">
        <f>'[1]links-p0'!K13</f>
        <v>0</v>
      </c>
      <c r="P14" s="1">
        <f>-'[1]links-p0'!M13</f>
        <v>0</v>
      </c>
      <c r="R14" s="30">
        <v>6239.17036233</v>
      </c>
      <c r="S14" s="1">
        <f t="shared" si="3"/>
        <v>7024.7477724199998</v>
      </c>
      <c r="T14" s="1">
        <f>'[1]links-p0'!Q13</f>
        <v>7024.7477724199998</v>
      </c>
      <c r="U14" s="1">
        <f>-'[1]links-p0'!R13</f>
        <v>0</v>
      </c>
      <c r="Z14" s="1">
        <v>0</v>
      </c>
      <c r="AA14" s="1">
        <f>'[1]links-p0'!P13</f>
        <v>0</v>
      </c>
      <c r="AI14" s="37">
        <f>-[2]Exchanges!P22</f>
        <v>1517.77579117</v>
      </c>
      <c r="AJ14" s="1">
        <f>'[1]links-p0'!V13</f>
        <v>1517.7757899999999</v>
      </c>
    </row>
    <row r="15" spans="1:45">
      <c r="A15" s="28">
        <v>12</v>
      </c>
      <c r="B15" s="31">
        <v>0</v>
      </c>
      <c r="C15" s="1">
        <f t="shared" si="0"/>
        <v>5000</v>
      </c>
      <c r="D15" s="1">
        <f>'[1]links-p0'!N14</f>
        <v>5000</v>
      </c>
      <c r="E15" s="28">
        <f>-'[1]links-p0'!O14</f>
        <v>0</v>
      </c>
      <c r="H15" s="30">
        <v>-1423.1677</v>
      </c>
      <c r="I15" s="1">
        <f t="shared" si="1"/>
        <v>0</v>
      </c>
      <c r="J15" s="1">
        <f>'[1]links-p0'!J14</f>
        <v>0</v>
      </c>
      <c r="K15" s="1">
        <f>-'[1]links-p0'!L14</f>
        <v>0</v>
      </c>
      <c r="M15" s="1">
        <v>-894.76571958</v>
      </c>
      <c r="N15" s="1">
        <f t="shared" si="2"/>
        <v>0</v>
      </c>
      <c r="O15" s="1">
        <f>'[1]links-p0'!K14</f>
        <v>0</v>
      </c>
      <c r="P15" s="1">
        <f>-'[1]links-p0'!M14</f>
        <v>0</v>
      </c>
      <c r="R15" s="30">
        <v>7284.0703623299996</v>
      </c>
      <c r="S15" s="1">
        <f t="shared" si="3"/>
        <v>7597.6610170000004</v>
      </c>
      <c r="T15" s="1">
        <f>'[1]links-p0'!Q14</f>
        <v>7597.6610170000004</v>
      </c>
      <c r="U15" s="1">
        <f>-'[1]links-p0'!R14</f>
        <v>0</v>
      </c>
      <c r="Z15" s="1">
        <v>0</v>
      </c>
      <c r="AA15" s="1">
        <f>'[1]links-p0'!P14</f>
        <v>86.626873509999939</v>
      </c>
      <c r="AI15" s="37">
        <f>-[2]Exchanges!P23</f>
        <v>1517.77579117</v>
      </c>
      <c r="AJ15" s="1">
        <f>'[1]links-p0'!V14</f>
        <v>1517.7757899999999</v>
      </c>
    </row>
    <row r="16" spans="1:45">
      <c r="A16" s="28">
        <v>13</v>
      </c>
      <c r="B16" s="31">
        <v>0</v>
      </c>
      <c r="C16" s="1">
        <f t="shared" si="0"/>
        <v>5000</v>
      </c>
      <c r="D16" s="1">
        <f>'[1]links-p0'!N15</f>
        <v>5000</v>
      </c>
      <c r="E16" s="28">
        <f>-'[1]links-p0'!O15</f>
        <v>0</v>
      </c>
      <c r="H16" s="30">
        <v>-3500</v>
      </c>
      <c r="I16" s="1">
        <f t="shared" si="1"/>
        <v>0</v>
      </c>
      <c r="J16" s="1">
        <f>'[1]links-p0'!J15</f>
        <v>0</v>
      </c>
      <c r="K16" s="1">
        <f>-'[1]links-p0'!L15</f>
        <v>0</v>
      </c>
      <c r="M16" s="1">
        <v>-1329.52571958</v>
      </c>
      <c r="N16" s="1">
        <f t="shared" si="2"/>
        <v>0</v>
      </c>
      <c r="O16" s="1">
        <f>'[1]links-p0'!K15</f>
        <v>0</v>
      </c>
      <c r="P16" s="1">
        <f>-'[1]links-p0'!M15</f>
        <v>0</v>
      </c>
      <c r="R16" s="30">
        <v>7251.8104804200002</v>
      </c>
      <c r="S16" s="1">
        <f t="shared" si="3"/>
        <v>7178.7084983700006</v>
      </c>
      <c r="T16" s="1">
        <f>'[1]links-p0'!Q15</f>
        <v>7178.7084983700006</v>
      </c>
      <c r="U16" s="1">
        <f>-'[1]links-p0'!R15</f>
        <v>0</v>
      </c>
      <c r="Z16" s="1">
        <v>0</v>
      </c>
      <c r="AA16" s="1">
        <f>'[1]links-p0'!P15</f>
        <v>0</v>
      </c>
      <c r="AI16" s="37">
        <f>-[2]Exchanges!P24</f>
        <v>1517.77579117</v>
      </c>
      <c r="AJ16" s="1">
        <f>'[1]links-p0'!V15</f>
        <v>1517.7757899999999</v>
      </c>
    </row>
    <row r="17" spans="1:36">
      <c r="A17" s="28">
        <v>14</v>
      </c>
      <c r="B17" s="31">
        <v>0</v>
      </c>
      <c r="C17" s="1">
        <f t="shared" si="0"/>
        <v>5000</v>
      </c>
      <c r="D17" s="1">
        <f>'[1]links-p0'!N16</f>
        <v>5000</v>
      </c>
      <c r="E17" s="28">
        <f>-'[1]links-p0'!O16</f>
        <v>0</v>
      </c>
      <c r="H17" s="30">
        <v>-3500</v>
      </c>
      <c r="I17" s="1">
        <f t="shared" si="1"/>
        <v>0</v>
      </c>
      <c r="J17" s="1">
        <f>'[1]links-p0'!J16</f>
        <v>0</v>
      </c>
      <c r="K17" s="1">
        <f>-'[1]links-p0'!L16</f>
        <v>0</v>
      </c>
      <c r="M17" s="1">
        <v>-1149.00535958</v>
      </c>
      <c r="N17" s="1">
        <f t="shared" si="2"/>
        <v>0</v>
      </c>
      <c r="O17" s="1">
        <f>'[1]links-p0'!K16</f>
        <v>0</v>
      </c>
      <c r="P17" s="1">
        <f>-'[1]links-p0'!M16</f>
        <v>0</v>
      </c>
      <c r="R17" s="30">
        <v>6206.9104804199997</v>
      </c>
      <c r="S17" s="1">
        <f t="shared" si="3"/>
        <v>7024.7477724199998</v>
      </c>
      <c r="T17" s="1">
        <f>'[1]links-p0'!Q16</f>
        <v>7024.7477724199998</v>
      </c>
      <c r="U17" s="1">
        <f>-'[1]links-p0'!R16</f>
        <v>0</v>
      </c>
      <c r="Z17" s="1">
        <v>0</v>
      </c>
      <c r="AA17" s="1">
        <f>'[1]links-p0'!P16</f>
        <v>0</v>
      </c>
      <c r="AI17" s="37">
        <f>-[2]Exchanges!P25</f>
        <v>1517.77579117</v>
      </c>
      <c r="AJ17" s="1">
        <f>'[1]links-p0'!V16</f>
        <v>1517.7757899999999</v>
      </c>
    </row>
    <row r="18" spans="1:36">
      <c r="A18" s="28">
        <v>15</v>
      </c>
      <c r="B18" s="31">
        <v>0</v>
      </c>
      <c r="C18" s="1">
        <f t="shared" si="0"/>
        <v>5000</v>
      </c>
      <c r="D18" s="1">
        <f>'[1]links-p0'!N17</f>
        <v>5000</v>
      </c>
      <c r="E18" s="28">
        <f>-'[1]links-p0'!O17</f>
        <v>0</v>
      </c>
      <c r="H18" s="30">
        <v>-2930.90080137</v>
      </c>
      <c r="I18" s="1">
        <f t="shared" si="1"/>
        <v>0</v>
      </c>
      <c r="J18" s="1">
        <f>'[1]links-p0'!J17</f>
        <v>0</v>
      </c>
      <c r="K18" s="1">
        <f>-'[1]links-p0'!L17</f>
        <v>0</v>
      </c>
      <c r="M18" s="1">
        <v>-714.24535958000001</v>
      </c>
      <c r="N18" s="1">
        <f t="shared" si="2"/>
        <v>0</v>
      </c>
      <c r="O18" s="1">
        <f>'[1]links-p0'!K17</f>
        <v>0</v>
      </c>
      <c r="P18" s="1">
        <f>-'[1]links-p0'!M17</f>
        <v>0</v>
      </c>
      <c r="R18" s="30">
        <v>5194.2703623300004</v>
      </c>
      <c r="S18" s="1">
        <f t="shared" si="3"/>
        <v>6012.1076543300014</v>
      </c>
      <c r="T18" s="1">
        <f>'[1]links-p0'!Q17</f>
        <v>6012.1076543300014</v>
      </c>
      <c r="U18" s="1">
        <f>-'[1]links-p0'!R17</f>
        <v>0</v>
      </c>
      <c r="Z18" s="1">
        <v>0</v>
      </c>
      <c r="AA18" s="1">
        <f>'[1]links-p0'!P17</f>
        <v>0</v>
      </c>
      <c r="AI18" s="37">
        <f>-[2]Exchanges!P26</f>
        <v>1517.77579117</v>
      </c>
      <c r="AJ18" s="1">
        <f>'[1]links-p0'!V17</f>
        <v>1517.7757899999999</v>
      </c>
    </row>
    <row r="19" spans="1:36">
      <c r="A19" s="28">
        <v>16</v>
      </c>
      <c r="B19" s="31">
        <v>0</v>
      </c>
      <c r="C19" s="1">
        <f t="shared" si="0"/>
        <v>0</v>
      </c>
      <c r="D19" s="1">
        <f>'[1]links-p0'!N18</f>
        <v>0</v>
      </c>
      <c r="E19" s="28">
        <f>-'[1]links-p0'!O18</f>
        <v>0</v>
      </c>
      <c r="H19" s="30">
        <v>-3500</v>
      </c>
      <c r="I19" s="1">
        <f t="shared" si="1"/>
        <v>0</v>
      </c>
      <c r="J19" s="1">
        <f>'[1]links-p0'!J18</f>
        <v>0</v>
      </c>
      <c r="K19" s="1">
        <f>-'[1]links-p0'!L18</f>
        <v>0</v>
      </c>
      <c r="M19" s="1">
        <v>-279.48535958000002</v>
      </c>
      <c r="N19" s="1">
        <f t="shared" si="2"/>
        <v>0</v>
      </c>
      <c r="O19" s="1">
        <f>'[1]links-p0'!K18</f>
        <v>0</v>
      </c>
      <c r="P19" s="1">
        <f>-'[1]links-p0'!M18</f>
        <v>0</v>
      </c>
      <c r="R19" s="30">
        <v>4149.3703623299998</v>
      </c>
      <c r="S19" s="1">
        <f t="shared" si="3"/>
        <v>3985.9887250000002</v>
      </c>
      <c r="T19" s="1">
        <f>'[1]links-p0'!Q18</f>
        <v>3985.9887250000002</v>
      </c>
      <c r="U19" s="1">
        <f>-'[1]links-p0'!R18</f>
        <v>0</v>
      </c>
      <c r="Z19" s="1">
        <v>0</v>
      </c>
      <c r="AA19" s="1">
        <f>'[1]links-p0'!P18</f>
        <v>0</v>
      </c>
      <c r="AI19" s="37">
        <f>-[2]Exchanges!P27</f>
        <v>1517.77579117</v>
      </c>
      <c r="AJ19" s="1">
        <f>'[1]links-p0'!V18</f>
        <v>1517.7757899999999</v>
      </c>
    </row>
    <row r="20" spans="1:36">
      <c r="A20" s="28">
        <v>17</v>
      </c>
      <c r="B20" s="31">
        <v>-5000</v>
      </c>
      <c r="C20" s="1">
        <f t="shared" si="0"/>
        <v>-5000</v>
      </c>
      <c r="D20" s="1">
        <f>'[1]links-p0'!N19</f>
        <v>0</v>
      </c>
      <c r="E20" s="28">
        <f>-'[1]links-p0'!O19</f>
        <v>-5000</v>
      </c>
      <c r="H20" s="30">
        <v>-3500</v>
      </c>
      <c r="I20" s="1">
        <f t="shared" si="1"/>
        <v>-3500</v>
      </c>
      <c r="J20" s="1">
        <f>'[1]links-p0'!J19</f>
        <v>0</v>
      </c>
      <c r="K20" s="1">
        <f>-'[1]links-p0'!L19</f>
        <v>-3500</v>
      </c>
      <c r="M20" s="1">
        <v>155.27464042</v>
      </c>
      <c r="N20" s="1">
        <f t="shared" si="2"/>
        <v>364.38916456263769</v>
      </c>
      <c r="O20" s="1">
        <f>'[1]links-p0'!K19</f>
        <v>364.38916456263769</v>
      </c>
      <c r="P20" s="1">
        <f>-'[1]links-p0'!M19</f>
        <v>0</v>
      </c>
      <c r="R20" s="30">
        <v>3104.4703623300002</v>
      </c>
      <c r="S20" s="1">
        <f t="shared" si="3"/>
        <v>2941.0887250000001</v>
      </c>
      <c r="T20" s="1">
        <f>'[1]links-p0'!Q19</f>
        <v>2941.0887250000001</v>
      </c>
      <c r="U20" s="1">
        <f>-'[1]links-p0'!R19</f>
        <v>0</v>
      </c>
      <c r="Z20" s="1">
        <v>-544.81937049999999</v>
      </c>
      <c r="AA20" s="1">
        <f>'[1]links-p0'!P19</f>
        <v>0</v>
      </c>
      <c r="AI20" s="37">
        <f>-[2]Exchanges!P28</f>
        <v>2618.1493815899998</v>
      </c>
      <c r="AJ20" s="1">
        <f>'[1]links-p0'!V19</f>
        <v>1517.7757899999999</v>
      </c>
    </row>
    <row r="21" spans="1:36">
      <c r="A21" s="28">
        <v>18</v>
      </c>
      <c r="B21" s="31">
        <v>-5000</v>
      </c>
      <c r="C21" s="1">
        <f t="shared" si="0"/>
        <v>-5000</v>
      </c>
      <c r="D21" s="1">
        <f>'[1]links-p0'!N20</f>
        <v>0</v>
      </c>
      <c r="E21" s="28">
        <f>-'[1]links-p0'!O20</f>
        <v>-5000</v>
      </c>
      <c r="H21" s="30">
        <v>-3500</v>
      </c>
      <c r="I21" s="1">
        <f t="shared" si="1"/>
        <v>-3500</v>
      </c>
      <c r="J21" s="1">
        <f>'[1]links-p0'!J20</f>
        <v>0</v>
      </c>
      <c r="K21" s="1">
        <f>-'[1]links-p0'!L20</f>
        <v>-3500</v>
      </c>
      <c r="M21" s="1">
        <v>590.03464041999996</v>
      </c>
      <c r="N21" s="1">
        <f t="shared" si="2"/>
        <v>1163.5626823002219</v>
      </c>
      <c r="O21" s="1">
        <f>'[1]links-p0'!K20</f>
        <v>1163.5626823002219</v>
      </c>
      <c r="P21" s="1">
        <f>-'[1]links-p0'!M20</f>
        <v>0</v>
      </c>
      <c r="R21" s="30">
        <v>2410.93593199</v>
      </c>
      <c r="S21" s="1">
        <f t="shared" si="3"/>
        <v>1896.6486069099999</v>
      </c>
      <c r="T21" s="1">
        <f>'[1]links-p0'!Q20</f>
        <v>1896.6486069099999</v>
      </c>
      <c r="U21" s="1">
        <f>-'[1]links-p0'!R20</f>
        <v>0</v>
      </c>
      <c r="Z21" s="1">
        <v>-530.40595257999996</v>
      </c>
      <c r="AA21" s="1">
        <f>'[1]links-p0'!P20</f>
        <v>0</v>
      </c>
      <c r="AI21" s="37">
        <f>-[2]Exchanges!P29</f>
        <v>2618.1493815899998</v>
      </c>
      <c r="AJ21" s="1">
        <f>'[1]links-p0'!V20</f>
        <v>1517.7757899999999</v>
      </c>
    </row>
    <row r="22" spans="1:36">
      <c r="A22" s="28">
        <v>19</v>
      </c>
      <c r="B22" s="31">
        <v>-5000</v>
      </c>
      <c r="C22" s="1">
        <f t="shared" si="0"/>
        <v>-5000</v>
      </c>
      <c r="D22" s="1">
        <f>'[1]links-p0'!N21</f>
        <v>0</v>
      </c>
      <c r="E22" s="28">
        <f>-'[1]links-p0'!O21</f>
        <v>-5000</v>
      </c>
      <c r="H22" s="30">
        <v>-3500</v>
      </c>
      <c r="I22" s="1">
        <f t="shared" si="1"/>
        <v>-3500</v>
      </c>
      <c r="J22" s="1">
        <f>'[1]links-p0'!J21</f>
        <v>0</v>
      </c>
      <c r="K22" s="1">
        <f>-'[1]links-p0'!L21</f>
        <v>-3500</v>
      </c>
      <c r="M22" s="1">
        <v>386.34811966000001</v>
      </c>
      <c r="N22" s="1">
        <f t="shared" si="2"/>
        <v>987.2042914150785</v>
      </c>
      <c r="O22" s="1">
        <f>'[1]links-p0'!K21</f>
        <v>987.2042914150785</v>
      </c>
      <c r="P22" s="1">
        <f>-'[1]links-p0'!M21</f>
        <v>0</v>
      </c>
      <c r="R22" s="30">
        <v>2137.2023342000002</v>
      </c>
      <c r="S22" s="1">
        <f t="shared" si="3"/>
        <v>852.20848882999985</v>
      </c>
      <c r="T22" s="1">
        <f>'[1]links-p0'!Q21</f>
        <v>852.20848882999985</v>
      </c>
      <c r="U22" s="1">
        <f>-'[1]links-p0'!R21</f>
        <v>0</v>
      </c>
      <c r="Z22" s="1">
        <v>-530.86583449</v>
      </c>
      <c r="AA22" s="1">
        <f>'[1]links-p0'!P21</f>
        <v>0</v>
      </c>
      <c r="AI22" s="37">
        <f>-[2]Exchanges!P30</f>
        <v>2618.1493815899998</v>
      </c>
      <c r="AJ22" s="1">
        <f>'[1]links-p0'!V21</f>
        <v>1517.7757899999999</v>
      </c>
    </row>
    <row r="23" spans="1:36">
      <c r="A23" s="28">
        <v>20</v>
      </c>
      <c r="B23" s="31">
        <v>-5000</v>
      </c>
      <c r="C23" s="1">
        <f t="shared" si="0"/>
        <v>-5000</v>
      </c>
      <c r="D23" s="1">
        <f>'[1]links-p0'!N22</f>
        <v>0</v>
      </c>
      <c r="E23" s="28">
        <f>-'[1]links-p0'!O22</f>
        <v>-5000</v>
      </c>
      <c r="H23" s="30">
        <v>-3500</v>
      </c>
      <c r="I23" s="1">
        <f t="shared" si="1"/>
        <v>-3500</v>
      </c>
      <c r="J23" s="1">
        <f>'[1]links-p0'!J22</f>
        <v>0</v>
      </c>
      <c r="K23" s="1">
        <f>-'[1]links-p0'!L22</f>
        <v>-3500</v>
      </c>
      <c r="M23" s="1">
        <v>252.75928916000001</v>
      </c>
      <c r="N23" s="1">
        <f t="shared" si="2"/>
        <v>867.29104756752884</v>
      </c>
      <c r="O23" s="1">
        <f>'[1]links-p0'!K22</f>
        <v>867.29104756752884</v>
      </c>
      <c r="P23" s="1">
        <f>-'[1]links-p0'!M22</f>
        <v>0</v>
      </c>
      <c r="R23" s="30">
        <v>2075.9748640900002</v>
      </c>
      <c r="S23" s="1">
        <f t="shared" si="3"/>
        <v>-192.23162926000029</v>
      </c>
      <c r="T23" s="1">
        <f>'[1]links-p0'!Q22</f>
        <v>0</v>
      </c>
      <c r="U23" s="1">
        <f>-'[1]links-p0'!R22</f>
        <v>-192.23162926000029</v>
      </c>
      <c r="Z23" s="1">
        <v>-531.32571640000003</v>
      </c>
      <c r="AA23" s="1">
        <f>'[1]links-p0'!P22</f>
        <v>0</v>
      </c>
      <c r="AI23" s="37">
        <f>-[2]Exchanges!P31</f>
        <v>2618.1493815899998</v>
      </c>
      <c r="AJ23" s="1">
        <f>'[1]links-p0'!V22</f>
        <v>1517.7757899999999</v>
      </c>
    </row>
    <row r="24" spans="1:36">
      <c r="A24" s="28">
        <v>21</v>
      </c>
      <c r="B24" s="31">
        <v>-5000</v>
      </c>
      <c r="C24" s="1">
        <f t="shared" si="0"/>
        <v>-5000</v>
      </c>
      <c r="D24" s="1">
        <f>'[1]links-p0'!N23</f>
        <v>0</v>
      </c>
      <c r="E24" s="28">
        <f>-'[1]links-p0'!O23</f>
        <v>-5000</v>
      </c>
      <c r="H24" s="30">
        <v>-3500</v>
      </c>
      <c r="I24" s="1">
        <f t="shared" si="1"/>
        <v>-3500</v>
      </c>
      <c r="J24" s="1">
        <f>'[1]links-p0'!J23</f>
        <v>0</v>
      </c>
      <c r="K24" s="1">
        <f>-'[1]links-p0'!L23</f>
        <v>-3500</v>
      </c>
      <c r="M24" s="1">
        <v>156.18280879</v>
      </c>
      <c r="N24" s="1">
        <f t="shared" si="2"/>
        <v>779.34892758403794</v>
      </c>
      <c r="O24" s="1">
        <f>'[1]links-p0'!K23</f>
        <v>779.34892758403794</v>
      </c>
      <c r="P24" s="1">
        <f>-'[1]links-p0'!M23</f>
        <v>0</v>
      </c>
      <c r="R24" s="30">
        <v>2226.6540906499999</v>
      </c>
      <c r="S24" s="1">
        <f t="shared" si="3"/>
        <v>-1236.67174735</v>
      </c>
      <c r="T24" s="1">
        <f>'[1]links-p0'!Q23</f>
        <v>0</v>
      </c>
      <c r="U24" s="1">
        <f>-'[1]links-p0'!R23</f>
        <v>-1236.67174735</v>
      </c>
      <c r="Z24" s="1">
        <v>-531.78559831999996</v>
      </c>
      <c r="AA24" s="1">
        <f>'[1]links-p0'!P23</f>
        <v>0</v>
      </c>
      <c r="AI24" s="37">
        <f>-[2]Exchanges!P32</f>
        <v>2618.1493815899998</v>
      </c>
      <c r="AJ24" s="1">
        <f>'[1]links-p0'!V23</f>
        <v>1517.7757899999999</v>
      </c>
    </row>
    <row r="25" spans="1:36">
      <c r="A25" s="28">
        <v>22</v>
      </c>
      <c r="B25" s="31">
        <v>-5000</v>
      </c>
      <c r="C25" s="1">
        <f t="shared" si="0"/>
        <v>-5000</v>
      </c>
      <c r="D25" s="1">
        <f>'[1]links-p0'!N24</f>
        <v>0</v>
      </c>
      <c r="E25" s="28">
        <f>-'[1]links-p0'!O24</f>
        <v>-5000</v>
      </c>
      <c r="H25" s="30">
        <v>-3500</v>
      </c>
      <c r="I25" s="1">
        <f t="shared" si="1"/>
        <v>-3500</v>
      </c>
      <c r="J25" s="1">
        <f>'[1]links-p0'!J24</f>
        <v>0</v>
      </c>
      <c r="K25" s="1">
        <f>-'[1]links-p0'!L24</f>
        <v>-3500</v>
      </c>
      <c r="M25" s="1">
        <v>143.54967852999999</v>
      </c>
      <c r="N25" s="1">
        <f t="shared" si="2"/>
        <v>749.25015490811268</v>
      </c>
      <c r="O25" s="1">
        <f>'[1]links-p0'!K24</f>
        <v>749.25015490811268</v>
      </c>
      <c r="P25" s="1">
        <f>-'[1]links-p0'!M24</f>
        <v>0</v>
      </c>
      <c r="R25" s="30">
        <v>2469.4963343099998</v>
      </c>
      <c r="S25" s="1">
        <f t="shared" si="3"/>
        <v>-381.55949709000009</v>
      </c>
      <c r="T25" s="1">
        <f>'[1]links-p0'!Q24</f>
        <v>0</v>
      </c>
      <c r="U25" s="1">
        <f>-'[1]links-p0'!R24</f>
        <v>-381.55949709000009</v>
      </c>
      <c r="Z25" s="1">
        <v>-532.24548023</v>
      </c>
      <c r="AA25" s="1">
        <f>'[1]links-p0'!P24</f>
        <v>0</v>
      </c>
      <c r="AI25" s="37">
        <f>-[2]Exchanges!P33</f>
        <v>2618.1493815899998</v>
      </c>
      <c r="AJ25" s="1">
        <f>'[1]links-p0'!V24</f>
        <v>1517.7757899999999</v>
      </c>
    </row>
    <row r="26" spans="1:36">
      <c r="A26" s="28">
        <v>23</v>
      </c>
      <c r="B26" s="31">
        <v>-5000</v>
      </c>
      <c r="C26" s="1">
        <f t="shared" si="0"/>
        <v>-5000</v>
      </c>
      <c r="D26" s="1">
        <f>'[1]links-p0'!N25</f>
        <v>0</v>
      </c>
      <c r="E26" s="28">
        <f>-'[1]links-p0'!O25</f>
        <v>-5000</v>
      </c>
      <c r="H26" s="30">
        <v>-3500</v>
      </c>
      <c r="I26" s="1">
        <f t="shared" si="1"/>
        <v>-3500</v>
      </c>
      <c r="J26" s="1">
        <f>'[1]links-p0'!J25</f>
        <v>0</v>
      </c>
      <c r="K26" s="1">
        <f>-'[1]links-p0'!L25</f>
        <v>-3500</v>
      </c>
      <c r="M26" s="1">
        <v>195.84685852999999</v>
      </c>
      <c r="N26" s="1">
        <f t="shared" si="2"/>
        <v>778.08097925132427</v>
      </c>
      <c r="O26" s="1">
        <f>'[1]links-p0'!K25</f>
        <v>778.08097925132427</v>
      </c>
      <c r="P26" s="1">
        <f>-'[1]links-p0'!M25</f>
        <v>0</v>
      </c>
      <c r="R26" s="30">
        <v>3102.16996672</v>
      </c>
      <c r="S26" s="1">
        <f t="shared" si="3"/>
        <v>663.34050290999994</v>
      </c>
      <c r="T26" s="1">
        <f>'[1]links-p0'!Q25</f>
        <v>663.34050290999994</v>
      </c>
      <c r="U26" s="1">
        <f>-'[1]links-p0'!R25</f>
        <v>0</v>
      </c>
      <c r="Z26" s="1">
        <v>-532.24548023</v>
      </c>
      <c r="AA26" s="1">
        <f>'[1]links-p0'!P25</f>
        <v>0</v>
      </c>
      <c r="AI26" s="37">
        <f>-[2]Exchanges!P34</f>
        <v>2618.1493815899998</v>
      </c>
      <c r="AJ26" s="1">
        <f>'[1]links-p0'!V25</f>
        <v>1517.7757899999999</v>
      </c>
    </row>
    <row r="27" spans="1:36">
      <c r="A27" s="28">
        <v>24</v>
      </c>
      <c r="B27" s="31">
        <v>-5000</v>
      </c>
      <c r="C27" s="1">
        <f t="shared" si="0"/>
        <v>-5000</v>
      </c>
      <c r="D27" s="1">
        <f>'[1]links-p0'!N26</f>
        <v>0</v>
      </c>
      <c r="E27" s="28">
        <f>-'[1]links-p0'!O26</f>
        <v>-5000</v>
      </c>
      <c r="H27" s="30">
        <v>-3500</v>
      </c>
      <c r="I27" s="1">
        <f t="shared" si="1"/>
        <v>-3500</v>
      </c>
      <c r="J27" s="1">
        <f>'[1]links-p0'!J26</f>
        <v>0</v>
      </c>
      <c r="K27" s="1">
        <f>-'[1]links-p0'!L26</f>
        <v>-3500</v>
      </c>
      <c r="M27" s="1">
        <v>247.99888973</v>
      </c>
      <c r="N27" s="1">
        <f t="shared" si="2"/>
        <v>776.86822610066076</v>
      </c>
      <c r="O27" s="1">
        <f>'[1]links-p0'!K26</f>
        <v>776.86822610066076</v>
      </c>
      <c r="P27" s="1">
        <f>-'[1]links-p0'!M26</f>
        <v>0</v>
      </c>
      <c r="R27" s="30">
        <v>4147.0699667199997</v>
      </c>
      <c r="S27" s="1">
        <f t="shared" si="3"/>
        <v>1708.24148896</v>
      </c>
      <c r="T27" s="1">
        <f>'[1]links-p0'!Q26</f>
        <v>1708.24148896</v>
      </c>
      <c r="U27" s="1">
        <f>-'[1]links-p0'!R26</f>
        <v>0</v>
      </c>
      <c r="Z27" s="1">
        <v>-532.24646628000005</v>
      </c>
      <c r="AA27" s="1">
        <f>'[1]links-p0'!P26</f>
        <v>0</v>
      </c>
      <c r="AI27" s="37">
        <f>-[2]Exchanges!P35</f>
        <v>2710.9560965000001</v>
      </c>
      <c r="AJ27" s="1">
        <f>'[1]links-p0'!V26</f>
        <v>1517.7757899999999</v>
      </c>
    </row>
    <row r="28" spans="1:36">
      <c r="A28" s="28">
        <v>25</v>
      </c>
      <c r="B28" s="31">
        <v>-5000</v>
      </c>
      <c r="C28" s="1">
        <f t="shared" si="0"/>
        <v>-5000</v>
      </c>
      <c r="D28" s="1">
        <f>'[1]links-p0'!N27</f>
        <v>0</v>
      </c>
      <c r="E28" s="28">
        <f>-'[1]links-p0'!O27</f>
        <v>-5000</v>
      </c>
      <c r="H28" s="30">
        <v>-3500</v>
      </c>
      <c r="I28" s="1">
        <f t="shared" si="1"/>
        <v>-3500</v>
      </c>
      <c r="J28" s="1">
        <f>'[1]links-p0'!J27</f>
        <v>0</v>
      </c>
      <c r="K28" s="1">
        <f>-'[1]links-p0'!L27</f>
        <v>-3500</v>
      </c>
      <c r="M28" s="1">
        <v>304.26993972999998</v>
      </c>
      <c r="N28" s="1">
        <f t="shared" si="2"/>
        <v>807.88944014449521</v>
      </c>
      <c r="O28" s="1">
        <f>'[1]links-p0'!K27</f>
        <v>807.88944014449521</v>
      </c>
      <c r="P28" s="1">
        <f>-'[1]links-p0'!M27</f>
        <v>0</v>
      </c>
      <c r="R28" s="30">
        <v>4147.0699667199997</v>
      </c>
      <c r="S28" s="1">
        <f t="shared" si="3"/>
        <v>2753.1414889600001</v>
      </c>
      <c r="T28" s="1">
        <f>'[1]links-p0'!Q27</f>
        <v>2753.1414889600001</v>
      </c>
      <c r="U28" s="1">
        <f>-'[1]links-p0'!R27</f>
        <v>0</v>
      </c>
      <c r="Z28" s="1">
        <v>-532.24646628000005</v>
      </c>
      <c r="AA28" s="1">
        <f>'[1]links-p0'!P27</f>
        <v>0</v>
      </c>
      <c r="AI28" s="37">
        <f>-[2]Exchanges!P36</f>
        <v>2710.9560965000001</v>
      </c>
      <c r="AJ28" s="1">
        <f>'[1]links-p0'!V27</f>
        <v>1517.7757899999999</v>
      </c>
    </row>
    <row r="29" spans="1:36">
      <c r="A29" s="28">
        <v>26</v>
      </c>
      <c r="B29" s="31">
        <v>-5000</v>
      </c>
      <c r="C29" s="1">
        <f t="shared" si="0"/>
        <v>-5000</v>
      </c>
      <c r="D29" s="1">
        <f>'[1]links-p0'!N28</f>
        <v>0</v>
      </c>
      <c r="E29" s="28">
        <f>-'[1]links-p0'!O28</f>
        <v>-5000</v>
      </c>
      <c r="H29" s="30">
        <v>-3500</v>
      </c>
      <c r="I29" s="1">
        <f t="shared" si="1"/>
        <v>-3500</v>
      </c>
      <c r="J29" s="1">
        <f>'[1]links-p0'!J28</f>
        <v>0</v>
      </c>
      <c r="K29" s="1">
        <f>-'[1]links-p0'!L28</f>
        <v>-3500</v>
      </c>
      <c r="M29" s="1">
        <v>369.11494972999998</v>
      </c>
      <c r="N29" s="1">
        <f t="shared" si="2"/>
        <v>843.63758897934076</v>
      </c>
      <c r="O29" s="1">
        <f>'[1]links-p0'!K28</f>
        <v>843.63758897934076</v>
      </c>
      <c r="P29" s="1">
        <f>-'[1]links-p0'!M28</f>
        <v>0</v>
      </c>
      <c r="R29" s="30">
        <v>4147.0699667199997</v>
      </c>
      <c r="S29" s="1">
        <f t="shared" si="3"/>
        <v>2953.4013814999998</v>
      </c>
      <c r="T29" s="1">
        <f>'[1]links-p0'!Q28</f>
        <v>2953.4013814999998</v>
      </c>
      <c r="U29" s="1">
        <f>-'[1]links-p0'!R28</f>
        <v>0</v>
      </c>
      <c r="Z29" s="1">
        <v>-532.24646628000005</v>
      </c>
      <c r="AA29" s="1">
        <f>'[1]links-p0'!P28</f>
        <v>0</v>
      </c>
      <c r="AI29" s="37">
        <f>-[2]Exchanges!P37</f>
        <v>2710.9560965000001</v>
      </c>
      <c r="AJ29" s="1">
        <f>'[1]links-p0'!V28</f>
        <v>1517.7757899999999</v>
      </c>
    </row>
    <row r="30" spans="1:36">
      <c r="A30" s="28">
        <v>27</v>
      </c>
      <c r="B30" s="31">
        <v>-5000</v>
      </c>
      <c r="C30" s="1">
        <f t="shared" si="0"/>
        <v>-5000</v>
      </c>
      <c r="D30" s="1">
        <f>'[1]links-p0'!N29</f>
        <v>0</v>
      </c>
      <c r="E30" s="28">
        <f>-'[1]links-p0'!O29</f>
        <v>-5000</v>
      </c>
      <c r="H30" s="30">
        <v>-3500</v>
      </c>
      <c r="I30" s="1">
        <f t="shared" si="1"/>
        <v>-3500</v>
      </c>
      <c r="J30" s="1">
        <f>'[1]links-p0'!J29</f>
        <v>0</v>
      </c>
      <c r="K30" s="1">
        <f>-'[1]links-p0'!L29</f>
        <v>-3500</v>
      </c>
      <c r="M30" s="1">
        <v>426.39135972999998</v>
      </c>
      <c r="N30" s="1">
        <f t="shared" si="2"/>
        <v>875.2131173724847</v>
      </c>
      <c r="O30" s="1">
        <f>'[1]links-p0'!K29</f>
        <v>875.2131173724847</v>
      </c>
      <c r="P30" s="1">
        <f>-'[1]links-p0'!M29</f>
        <v>0</v>
      </c>
      <c r="R30" s="30">
        <v>3243.58206234</v>
      </c>
      <c r="S30" s="1">
        <f t="shared" si="3"/>
        <v>1908.5013815</v>
      </c>
      <c r="T30" s="1">
        <f>'[1]links-p0'!Q29</f>
        <v>1908.5013815</v>
      </c>
      <c r="U30" s="1">
        <f>-'[1]links-p0'!R29</f>
        <v>0</v>
      </c>
      <c r="Z30" s="1">
        <v>-532.24646628000005</v>
      </c>
      <c r="AA30" s="1">
        <f>'[1]links-p0'!P29</f>
        <v>0</v>
      </c>
      <c r="AI30" s="37">
        <f>-[2]Exchanges!P38</f>
        <v>2710.9560965000001</v>
      </c>
      <c r="AJ30" s="1">
        <f>'[1]links-p0'!V29</f>
        <v>1517.7757899999999</v>
      </c>
    </row>
    <row r="31" spans="1:36">
      <c r="A31" s="28">
        <v>28</v>
      </c>
      <c r="B31" s="31">
        <v>-5000</v>
      </c>
      <c r="C31" s="1">
        <f t="shared" si="0"/>
        <v>-5000</v>
      </c>
      <c r="D31" s="1">
        <f>'[1]links-p0'!N30</f>
        <v>0</v>
      </c>
      <c r="E31" s="28">
        <f>-'[1]links-p0'!O30</f>
        <v>-5000</v>
      </c>
      <c r="H31" s="30">
        <v>-3500</v>
      </c>
      <c r="I31" s="1">
        <f t="shared" si="1"/>
        <v>-3500</v>
      </c>
      <c r="J31" s="1">
        <f>'[1]links-p0'!J30</f>
        <v>0</v>
      </c>
      <c r="K31" s="1">
        <f>-'[1]links-p0'!L30</f>
        <v>-3500</v>
      </c>
      <c r="M31" s="1">
        <v>474.44841973000001</v>
      </c>
      <c r="N31" s="1">
        <f t="shared" si="2"/>
        <v>901.70594591957183</v>
      </c>
      <c r="O31" s="1">
        <f>'[1]links-p0'!K30</f>
        <v>901.70594591957183</v>
      </c>
      <c r="P31" s="1">
        <f>-'[1]links-p0'!M30</f>
        <v>0</v>
      </c>
      <c r="R31" s="30">
        <v>2384.7039280200001</v>
      </c>
      <c r="S31" s="1">
        <f t="shared" si="3"/>
        <v>863.14149958999997</v>
      </c>
      <c r="T31" s="1">
        <f>'[1]links-p0'!Q30</f>
        <v>863.14149958999997</v>
      </c>
      <c r="U31" s="1">
        <f>-'[1]links-p0'!R30</f>
        <v>0</v>
      </c>
      <c r="Z31" s="1">
        <v>-531.78658437000001</v>
      </c>
      <c r="AA31" s="1">
        <f>'[1]links-p0'!P30</f>
        <v>0</v>
      </c>
      <c r="AI31" s="37">
        <f>-[2]Exchanges!P39</f>
        <v>2710.9560965000001</v>
      </c>
      <c r="AJ31" s="1">
        <f>'[1]links-p0'!V30</f>
        <v>1517.7757899999999</v>
      </c>
    </row>
    <row r="32" spans="1:36">
      <c r="A32" s="28">
        <v>29</v>
      </c>
      <c r="B32" s="31">
        <v>-5000</v>
      </c>
      <c r="C32" s="1">
        <f t="shared" si="0"/>
        <v>-5000</v>
      </c>
      <c r="D32" s="1">
        <f>'[1]links-p0'!N31</f>
        <v>0</v>
      </c>
      <c r="E32" s="28">
        <f>-'[1]links-p0'!O31</f>
        <v>-5000</v>
      </c>
      <c r="H32" s="30">
        <v>-3500</v>
      </c>
      <c r="I32" s="1">
        <f t="shared" si="1"/>
        <v>-3500</v>
      </c>
      <c r="J32" s="1">
        <f>'[1]links-p0'!J31</f>
        <v>0</v>
      </c>
      <c r="K32" s="1">
        <f>-'[1]links-p0'!L31</f>
        <v>-3500</v>
      </c>
      <c r="M32" s="1">
        <v>627.05501620999996</v>
      </c>
      <c r="N32" s="1">
        <f t="shared" si="2"/>
        <v>1029.7902377376699</v>
      </c>
      <c r="O32" s="1">
        <f>'[1]links-p0'!K31</f>
        <v>1029.7902377376699</v>
      </c>
      <c r="P32" s="1">
        <f>-'[1]links-p0'!M31</f>
        <v>0</v>
      </c>
      <c r="R32" s="30">
        <v>2150.5994406999998</v>
      </c>
      <c r="S32" s="1">
        <f t="shared" si="3"/>
        <v>-182.67826424000029</v>
      </c>
      <c r="T32" s="1">
        <f>'[1]links-p0'!Q31</f>
        <v>0</v>
      </c>
      <c r="U32" s="1">
        <f>-'[1]links-p0'!R31</f>
        <v>-182.67826424000029</v>
      </c>
      <c r="Z32" s="1">
        <v>-530.86682054000005</v>
      </c>
      <c r="AA32" s="1">
        <f>'[1]links-p0'!P31</f>
        <v>0</v>
      </c>
      <c r="AI32" s="37">
        <f>-[2]Exchanges!P40</f>
        <v>2710.9560965000001</v>
      </c>
      <c r="AJ32" s="1">
        <f>'[1]links-p0'!V31</f>
        <v>1517.7757899999999</v>
      </c>
    </row>
    <row r="33" spans="1:36">
      <c r="A33" s="28">
        <v>30</v>
      </c>
      <c r="B33" s="31">
        <v>-5000</v>
      </c>
      <c r="C33" s="1">
        <f t="shared" si="0"/>
        <v>-5000</v>
      </c>
      <c r="D33" s="1">
        <f>'[1]links-p0'!N32</f>
        <v>0</v>
      </c>
      <c r="E33" s="28">
        <f>-'[1]links-p0'!O32</f>
        <v>-5000</v>
      </c>
      <c r="H33" s="30">
        <v>-3500</v>
      </c>
      <c r="I33" s="1">
        <f t="shared" si="1"/>
        <v>-3500</v>
      </c>
      <c r="J33" s="1">
        <f>'[1]links-p0'!J32</f>
        <v>0</v>
      </c>
      <c r="K33" s="1">
        <f>-'[1]links-p0'!L32</f>
        <v>-3500</v>
      </c>
      <c r="M33" s="1">
        <v>747.96224268000003</v>
      </c>
      <c r="N33" s="1">
        <f t="shared" si="2"/>
        <v>1140.398981040202</v>
      </c>
      <c r="O33" s="1">
        <f>'[1]links-p0'!K32</f>
        <v>1140.398981040202</v>
      </c>
      <c r="P33" s="1">
        <f>-'[1]links-p0'!M32</f>
        <v>0</v>
      </c>
      <c r="R33" s="30">
        <v>2159.3371970399999</v>
      </c>
      <c r="S33" s="1">
        <f t="shared" si="3"/>
        <v>-193.15139309000011</v>
      </c>
      <c r="T33" s="1">
        <f>'[1]links-p0'!Q32</f>
        <v>0</v>
      </c>
      <c r="U33" s="1">
        <f>-'[1]links-p0'!R32</f>
        <v>-193.15139309000011</v>
      </c>
      <c r="Z33" s="1">
        <v>-530.40693863000001</v>
      </c>
      <c r="AA33" s="1">
        <f>'[1]links-p0'!P32</f>
        <v>0</v>
      </c>
      <c r="AI33" s="37">
        <f>-[2]Exchanges!P41</f>
        <v>2710.9560965000001</v>
      </c>
      <c r="AJ33" s="1">
        <f>'[1]links-p0'!V32</f>
        <v>1517.7757899999999</v>
      </c>
    </row>
    <row r="34" spans="1:36">
      <c r="A34" s="28">
        <v>31</v>
      </c>
      <c r="B34" s="31">
        <v>-5000</v>
      </c>
      <c r="C34" s="1">
        <f t="shared" si="0"/>
        <v>-5000</v>
      </c>
      <c r="D34" s="1">
        <f>'[1]links-p0'!N33</f>
        <v>0</v>
      </c>
      <c r="E34" s="28">
        <f>-'[1]links-p0'!O33</f>
        <v>-5000</v>
      </c>
      <c r="H34" s="30">
        <v>-3500</v>
      </c>
      <c r="I34" s="1">
        <f t="shared" si="1"/>
        <v>-3500</v>
      </c>
      <c r="J34" s="1">
        <f>'[1]links-p0'!J33</f>
        <v>0</v>
      </c>
      <c r="K34" s="1">
        <f>-'[1]links-p0'!L33</f>
        <v>-3500</v>
      </c>
      <c r="M34" s="1">
        <v>822.45505513000001</v>
      </c>
      <c r="N34" s="1">
        <f t="shared" si="2"/>
        <v>1223.1070613919239</v>
      </c>
      <c r="O34" s="1">
        <f>'[1]links-p0'!K33</f>
        <v>1223.1070613919239</v>
      </c>
      <c r="P34" s="1">
        <f>-'[1]links-p0'!M33</f>
        <v>0</v>
      </c>
      <c r="R34" s="30">
        <v>2218.4787392200001</v>
      </c>
      <c r="S34" s="1">
        <f t="shared" si="3"/>
        <v>851.28872499999989</v>
      </c>
      <c r="T34" s="1">
        <f>'[1]links-p0'!Q33</f>
        <v>851.28872499999989</v>
      </c>
      <c r="U34" s="1">
        <f>-'[1]links-p0'!R33</f>
        <v>0</v>
      </c>
      <c r="Z34" s="1">
        <v>-529.94705671999998</v>
      </c>
      <c r="AA34" s="1">
        <f>'[1]links-p0'!P33</f>
        <v>0</v>
      </c>
      <c r="AI34" s="37">
        <f>-[2]Exchanges!P42</f>
        <v>2710.9560965000001</v>
      </c>
      <c r="AJ34" s="1">
        <f>'[1]links-p0'!V33</f>
        <v>1517.7757899999999</v>
      </c>
    </row>
    <row r="35" spans="1:36">
      <c r="A35" s="28">
        <v>32</v>
      </c>
      <c r="B35" s="31">
        <v>-5000</v>
      </c>
      <c r="C35" s="1">
        <f t="shared" si="0"/>
        <v>-5000</v>
      </c>
      <c r="D35" s="1">
        <f>'[1]links-p0'!N34</f>
        <v>0</v>
      </c>
      <c r="E35" s="28">
        <f>-'[1]links-p0'!O34</f>
        <v>-5000</v>
      </c>
      <c r="H35" s="30">
        <v>-3500</v>
      </c>
      <c r="I35" s="1">
        <f t="shared" si="1"/>
        <v>-3500</v>
      </c>
      <c r="J35" s="1">
        <f>'[1]links-p0'!J34</f>
        <v>0</v>
      </c>
      <c r="K35" s="1">
        <f>-'[1]links-p0'!L34</f>
        <v>-3500</v>
      </c>
      <c r="M35" s="1">
        <v>893.04671160999999</v>
      </c>
      <c r="N35" s="1">
        <f t="shared" si="2"/>
        <v>1305.9412858525729</v>
      </c>
      <c r="O35" s="1">
        <f>'[1]links-p0'!K34</f>
        <v>1305.9412858525729</v>
      </c>
      <c r="P35" s="1">
        <f>-'[1]links-p0'!M34</f>
        <v>0</v>
      </c>
      <c r="R35" s="30">
        <v>2470.05873922</v>
      </c>
      <c r="S35" s="1">
        <f t="shared" si="3"/>
        <v>1896.188725</v>
      </c>
      <c r="T35" s="1">
        <f>'[1]links-p0'!Q34</f>
        <v>1896.188725</v>
      </c>
      <c r="U35" s="1">
        <f>-'[1]links-p0'!R34</f>
        <v>0</v>
      </c>
      <c r="Z35" s="1">
        <v>-529.94705671999998</v>
      </c>
      <c r="AA35" s="1">
        <f>'[1]links-p0'!P34</f>
        <v>0</v>
      </c>
      <c r="AI35" s="37">
        <f>-[2]Exchanges!P43</f>
        <v>2710.9560965000001</v>
      </c>
      <c r="AJ35" s="1">
        <f>'[1]links-p0'!V34</f>
        <v>1517.7757899999999</v>
      </c>
    </row>
    <row r="36" spans="1:36">
      <c r="A36" s="28">
        <v>33</v>
      </c>
      <c r="B36" s="31">
        <v>-5000</v>
      </c>
      <c r="C36" s="1">
        <f t="shared" si="0"/>
        <v>-5000</v>
      </c>
      <c r="D36" s="1">
        <f>'[1]links-p0'!N35</f>
        <v>0</v>
      </c>
      <c r="E36" s="28">
        <f>-'[1]links-p0'!O35</f>
        <v>-5000</v>
      </c>
      <c r="H36" s="30">
        <v>-3500</v>
      </c>
      <c r="I36" s="1">
        <f t="shared" si="1"/>
        <v>-3500</v>
      </c>
      <c r="J36" s="1">
        <f>'[1]links-p0'!J35</f>
        <v>0</v>
      </c>
      <c r="K36" s="1">
        <f>-'[1]links-p0'!L35</f>
        <v>-3500</v>
      </c>
      <c r="M36" s="1">
        <v>458.28671161</v>
      </c>
      <c r="N36" s="1">
        <f t="shared" si="2"/>
        <v>789.31396755505762</v>
      </c>
      <c r="O36" s="1">
        <f>'[1]links-p0'!K35</f>
        <v>789.31396755505762</v>
      </c>
      <c r="P36" s="1">
        <f>-'[1]links-p0'!M35</f>
        <v>0</v>
      </c>
      <c r="R36" s="30">
        <v>3104.4693762799998</v>
      </c>
      <c r="S36" s="1">
        <f t="shared" si="3"/>
        <v>2941.0887250000001</v>
      </c>
      <c r="T36" s="1">
        <f>'[1]links-p0'!Q35</f>
        <v>2941.0887250000001</v>
      </c>
      <c r="U36" s="1">
        <f>-'[1]links-p0'!R35</f>
        <v>0</v>
      </c>
      <c r="Z36" s="1">
        <v>-543.83041203000005</v>
      </c>
      <c r="AA36" s="1">
        <f>'[1]links-p0'!P35</f>
        <v>0</v>
      </c>
      <c r="AI36" s="37">
        <f>-[2]Exchanges!P44</f>
        <v>2710.9560965000001</v>
      </c>
      <c r="AJ36" s="1">
        <f>'[1]links-p0'!V35</f>
        <v>1517.7757899999999</v>
      </c>
    </row>
    <row r="37" spans="1:36">
      <c r="A37" s="28">
        <v>34</v>
      </c>
      <c r="B37" s="31">
        <v>-4637.2854358499999</v>
      </c>
      <c r="C37" s="1">
        <f t="shared" si="0"/>
        <v>0</v>
      </c>
      <c r="D37" s="1">
        <f>'[1]links-p0'!N36</f>
        <v>0</v>
      </c>
      <c r="E37" s="28">
        <f>-'[1]links-p0'!O36</f>
        <v>0</v>
      </c>
      <c r="H37" s="30">
        <v>-3500</v>
      </c>
      <c r="I37" s="1">
        <f t="shared" si="1"/>
        <v>0</v>
      </c>
      <c r="J37" s="1">
        <f>'[1]links-p0'!J36</f>
        <v>0</v>
      </c>
      <c r="K37" s="1">
        <f>-'[1]links-p0'!L36</f>
        <v>0</v>
      </c>
      <c r="M37" s="1">
        <v>23.52671161</v>
      </c>
      <c r="N37" s="1">
        <f t="shared" si="2"/>
        <v>-534.1384010465506</v>
      </c>
      <c r="O37" s="1">
        <f>'[1]links-p0'!K36</f>
        <v>0</v>
      </c>
      <c r="P37" s="1">
        <f>-'[1]links-p0'!M36</f>
        <v>-534.1384010465506</v>
      </c>
      <c r="R37" s="30">
        <v>4149.3693762800003</v>
      </c>
      <c r="S37" s="1">
        <f t="shared" si="3"/>
        <v>3985.9887250000002</v>
      </c>
      <c r="T37" s="1">
        <f>'[1]links-p0'!Q36</f>
        <v>3985.9887250000002</v>
      </c>
      <c r="U37" s="1">
        <f>-'[1]links-p0'!R36</f>
        <v>0</v>
      </c>
      <c r="Z37" s="1">
        <v>-199.94705672000001</v>
      </c>
      <c r="AA37" s="1">
        <f>'[1]links-p0'!P36</f>
        <v>0</v>
      </c>
      <c r="AI37" s="37">
        <f>-[2]Exchanges!P45</f>
        <v>1517.77579117</v>
      </c>
      <c r="AJ37" s="1">
        <f>'[1]links-p0'!V36</f>
        <v>1517.7757899999999</v>
      </c>
    </row>
    <row r="38" spans="1:36">
      <c r="A38" s="28">
        <v>35</v>
      </c>
      <c r="B38" s="31">
        <v>0</v>
      </c>
      <c r="C38" s="1">
        <f t="shared" si="0"/>
        <v>0</v>
      </c>
      <c r="D38" s="1">
        <f>'[1]links-p0'!N37</f>
        <v>0</v>
      </c>
      <c r="E38" s="28">
        <f>-'[1]links-p0'!O37</f>
        <v>0</v>
      </c>
      <c r="H38" s="30">
        <v>-3500</v>
      </c>
      <c r="I38" s="1">
        <f t="shared" si="1"/>
        <v>0</v>
      </c>
      <c r="J38" s="1">
        <f>'[1]links-p0'!J37</f>
        <v>0</v>
      </c>
      <c r="K38" s="1">
        <f>-'[1]links-p0'!L37</f>
        <v>0</v>
      </c>
      <c r="M38" s="1">
        <v>-411.23328838999998</v>
      </c>
      <c r="N38" s="1">
        <f t="shared" si="2"/>
        <v>-1861.385555285673</v>
      </c>
      <c r="O38" s="1">
        <f>'[1]links-p0'!K37</f>
        <v>0</v>
      </c>
      <c r="P38" s="1">
        <f>-'[1]links-p0'!M37</f>
        <v>-1861.385555285673</v>
      </c>
      <c r="R38" s="30">
        <v>5194.26937628</v>
      </c>
      <c r="S38" s="1">
        <f t="shared" si="3"/>
        <v>5031.3486069099999</v>
      </c>
      <c r="T38" s="1">
        <f>'[1]links-p0'!Q37</f>
        <v>5031.3486069099999</v>
      </c>
      <c r="U38" s="1">
        <f>-'[1]links-p0'!R37</f>
        <v>0</v>
      </c>
      <c r="Z38" s="1">
        <v>0</v>
      </c>
      <c r="AA38" s="1">
        <f>'[1]links-p0'!P37</f>
        <v>0</v>
      </c>
      <c r="AI38" s="37">
        <f>-[2]Exchanges!P46</f>
        <v>1517.77579117</v>
      </c>
      <c r="AJ38" s="1">
        <f>'[1]links-p0'!V37</f>
        <v>1517.7757899999999</v>
      </c>
    </row>
    <row r="39" spans="1:36">
      <c r="A39" s="28">
        <v>36</v>
      </c>
      <c r="B39" s="31">
        <v>0</v>
      </c>
      <c r="C39" s="1">
        <f t="shared" si="0"/>
        <v>0</v>
      </c>
      <c r="D39" s="1">
        <f>'[1]links-p0'!N38</f>
        <v>0</v>
      </c>
      <c r="E39" s="28">
        <f>-'[1]links-p0'!O38</f>
        <v>0</v>
      </c>
      <c r="H39" s="30">
        <v>-3500</v>
      </c>
      <c r="I39" s="1">
        <f t="shared" si="1"/>
        <v>0</v>
      </c>
      <c r="J39" s="1">
        <f>'[1]links-p0'!J38</f>
        <v>0</v>
      </c>
      <c r="K39" s="1">
        <f>-'[1]links-p0'!L38</f>
        <v>0</v>
      </c>
      <c r="M39" s="1">
        <v>-845.99328838999998</v>
      </c>
      <c r="N39" s="1">
        <f t="shared" si="2"/>
        <v>-2813.5703980833332</v>
      </c>
      <c r="O39" s="1">
        <f>'[1]links-p0'!K38</f>
        <v>0</v>
      </c>
      <c r="P39" s="1">
        <f>-'[1]links-p0'!M38</f>
        <v>-2813.5703980833332</v>
      </c>
      <c r="R39" s="30">
        <v>5388.44961246</v>
      </c>
      <c r="S39" s="1">
        <f t="shared" si="3"/>
        <v>5947.1300732</v>
      </c>
      <c r="T39" s="1">
        <f>'[1]links-p0'!Q38</f>
        <v>5947.1300732</v>
      </c>
      <c r="U39" s="1">
        <f>-'[1]links-p0'!R38</f>
        <v>0</v>
      </c>
      <c r="Z39" s="1">
        <v>0</v>
      </c>
      <c r="AA39" s="1">
        <f>'[1]links-p0'!P38</f>
        <v>0</v>
      </c>
      <c r="AI39" s="37">
        <f>-[2]Exchanges!P47</f>
        <v>1517.77579117</v>
      </c>
      <c r="AJ39" s="1">
        <f>'[1]links-p0'!V38</f>
        <v>1517.7757899999999</v>
      </c>
    </row>
    <row r="40" spans="1:36">
      <c r="A40" s="28">
        <v>37</v>
      </c>
      <c r="B40" s="31">
        <v>0</v>
      </c>
      <c r="C40" s="1">
        <f t="shared" si="0"/>
        <v>0</v>
      </c>
      <c r="D40" s="1">
        <f>'[1]links-p0'!N39</f>
        <v>0</v>
      </c>
      <c r="E40" s="28">
        <f>-'[1]links-p0'!O39</f>
        <v>0</v>
      </c>
      <c r="H40" s="30">
        <v>-3500</v>
      </c>
      <c r="I40" s="1">
        <f t="shared" si="1"/>
        <v>0</v>
      </c>
      <c r="J40" s="1">
        <f>'[1]links-p0'!J39</f>
        <v>0</v>
      </c>
      <c r="K40" s="1">
        <f>-'[1]links-p0'!L39</f>
        <v>0</v>
      </c>
      <c r="M40" s="1">
        <v>-1280.7532883900001</v>
      </c>
      <c r="N40" s="1">
        <f t="shared" si="2"/>
        <v>-2772.9480427404392</v>
      </c>
      <c r="O40" s="1">
        <f>'[1]links-p0'!K39</f>
        <v>0</v>
      </c>
      <c r="P40" s="1">
        <f>-'[1]links-p0'!M39</f>
        <v>-2772.9480427404392</v>
      </c>
      <c r="R40" s="30">
        <v>5388.44961246</v>
      </c>
      <c r="S40" s="1">
        <f t="shared" si="3"/>
        <v>5546.2869044600002</v>
      </c>
      <c r="T40" s="1">
        <f>'[1]links-p0'!Q39</f>
        <v>5546.2869044600002</v>
      </c>
      <c r="U40" s="1">
        <f>-'[1]links-p0'!R39</f>
        <v>0</v>
      </c>
      <c r="Z40" s="1">
        <v>0</v>
      </c>
      <c r="AA40" s="1">
        <f>'[1]links-p0'!P39</f>
        <v>0</v>
      </c>
      <c r="AI40" s="37">
        <f>-[2]Exchanges!P48</f>
        <v>1517.77579117</v>
      </c>
      <c r="AJ40" s="1">
        <f>'[1]links-p0'!V39</f>
        <v>1517.7757899999999</v>
      </c>
    </row>
    <row r="41" spans="1:36">
      <c r="A41" s="28">
        <v>38</v>
      </c>
      <c r="B41" s="31">
        <v>0</v>
      </c>
      <c r="C41" s="1">
        <f t="shared" si="0"/>
        <v>0</v>
      </c>
      <c r="D41" s="1">
        <f>'[1]links-p0'!N40</f>
        <v>0</v>
      </c>
      <c r="E41" s="28">
        <f>-'[1]links-p0'!O40</f>
        <v>0</v>
      </c>
      <c r="H41" s="30">
        <v>-3500</v>
      </c>
      <c r="I41" s="1">
        <f t="shared" si="1"/>
        <v>-1751.833555632868</v>
      </c>
      <c r="J41" s="1">
        <f>'[1]links-p0'!J40</f>
        <v>0</v>
      </c>
      <c r="K41" s="1">
        <f>-'[1]links-p0'!L40</f>
        <v>-1751.833555632868</v>
      </c>
      <c r="M41" s="1">
        <v>-1130.34473839</v>
      </c>
      <c r="N41" s="1">
        <f t="shared" si="2"/>
        <v>-2860.169492</v>
      </c>
      <c r="O41" s="1">
        <f>'[1]links-p0'!K40</f>
        <v>0</v>
      </c>
      <c r="P41" s="1">
        <f>-'[1]links-p0'!M40</f>
        <v>-2860.169492</v>
      </c>
      <c r="R41" s="30">
        <v>5388.9094943700002</v>
      </c>
      <c r="S41" s="1">
        <f t="shared" si="3"/>
        <v>4562.7191633700004</v>
      </c>
      <c r="T41" s="1">
        <f>'[1]links-p0'!Q40</f>
        <v>4562.7191633700004</v>
      </c>
      <c r="U41" s="1">
        <f>-'[1]links-p0'!R40</f>
        <v>0</v>
      </c>
      <c r="Z41" s="1">
        <v>0</v>
      </c>
      <c r="AA41" s="1">
        <f>'[1]links-p0'!P40</f>
        <v>0</v>
      </c>
      <c r="AI41" s="37">
        <f>-[2]Exchanges!P49</f>
        <v>1517.77579117</v>
      </c>
      <c r="AJ41" s="1">
        <f>'[1]links-p0'!V40</f>
        <v>1517.7757899999999</v>
      </c>
    </row>
    <row r="42" spans="1:36">
      <c r="A42" s="28">
        <v>39</v>
      </c>
      <c r="B42" s="31">
        <v>0</v>
      </c>
      <c r="C42" s="1">
        <f t="shared" si="0"/>
        <v>-3682.2798601</v>
      </c>
      <c r="D42" s="1">
        <f>'[1]links-p0'!N41</f>
        <v>0</v>
      </c>
      <c r="E42" s="28">
        <f>-'[1]links-p0'!O41</f>
        <v>-3682.2798601</v>
      </c>
      <c r="H42" s="30">
        <v>-3500</v>
      </c>
      <c r="I42" s="1">
        <f t="shared" si="1"/>
        <v>0</v>
      </c>
      <c r="J42" s="1">
        <f>'[1]links-p0'!J41</f>
        <v>0</v>
      </c>
      <c r="K42" s="1">
        <f>-'[1]links-p0'!L41</f>
        <v>0</v>
      </c>
      <c r="M42" s="1">
        <v>-695.58473838999998</v>
      </c>
      <c r="N42" s="1">
        <f t="shared" si="2"/>
        <v>-2072.1780036563482</v>
      </c>
      <c r="O42" s="1">
        <f>'[1]links-p0'!K41</f>
        <v>0</v>
      </c>
      <c r="P42" s="1">
        <f>-'[1]links-p0'!M41</f>
        <v>-2072.1780036563482</v>
      </c>
      <c r="R42" s="30">
        <v>4438.2042342799996</v>
      </c>
      <c r="S42" s="1">
        <f t="shared" si="3"/>
        <v>3517.8191633699998</v>
      </c>
      <c r="T42" s="1">
        <f>'[1]links-p0'!Q41</f>
        <v>3517.8191633699998</v>
      </c>
      <c r="U42" s="1">
        <f>-'[1]links-p0'!R41</f>
        <v>0</v>
      </c>
      <c r="Z42" s="1">
        <v>0</v>
      </c>
      <c r="AA42" s="1">
        <f>'[1]links-p0'!P41</f>
        <v>0</v>
      </c>
      <c r="AI42" s="37">
        <f>-[2]Exchanges!P50</f>
        <v>1517.77579117</v>
      </c>
      <c r="AJ42" s="1">
        <f>'[1]links-p0'!V41</f>
        <v>1517.7757899999999</v>
      </c>
    </row>
    <row r="43" spans="1:36">
      <c r="A43" s="28">
        <v>40</v>
      </c>
      <c r="B43" s="31">
        <v>-5000</v>
      </c>
      <c r="C43" s="1">
        <f t="shared" si="0"/>
        <v>-5000</v>
      </c>
      <c r="D43" s="1">
        <f>'[1]links-p0'!N42</f>
        <v>0</v>
      </c>
      <c r="E43" s="28">
        <f>-'[1]links-p0'!O42</f>
        <v>-5000</v>
      </c>
      <c r="H43" s="30">
        <v>-3500</v>
      </c>
      <c r="I43" s="1">
        <f t="shared" si="1"/>
        <v>-3500</v>
      </c>
      <c r="J43" s="1">
        <f>'[1]links-p0'!J42</f>
        <v>0</v>
      </c>
      <c r="K43" s="1">
        <f>-'[1]links-p0'!L42</f>
        <v>-3500</v>
      </c>
      <c r="M43" s="1">
        <v>-260.82473838999999</v>
      </c>
      <c r="N43" s="1">
        <f t="shared" si="2"/>
        <v>-908.35293108927317</v>
      </c>
      <c r="O43" s="1">
        <f>'[1]links-p0'!K42</f>
        <v>0</v>
      </c>
      <c r="P43" s="1">
        <f>-'[1]links-p0'!M42</f>
        <v>-908.35293108927317</v>
      </c>
      <c r="R43" s="30">
        <v>3393.3042342799999</v>
      </c>
      <c r="S43" s="1">
        <f t="shared" si="3"/>
        <v>2151.7012200899999</v>
      </c>
      <c r="T43" s="1">
        <f>'[1]links-p0'!Q42</f>
        <v>2151.7012200899999</v>
      </c>
      <c r="U43" s="1">
        <f>-'[1]links-p0'!R42</f>
        <v>0</v>
      </c>
      <c r="Z43" s="1">
        <v>-529.94705671999998</v>
      </c>
      <c r="AA43" s="1">
        <f>'[1]links-p0'!P42</f>
        <v>0</v>
      </c>
      <c r="AI43" s="37">
        <f>-[2]Exchanges!P51</f>
        <v>2710.9560965000001</v>
      </c>
      <c r="AJ43" s="1">
        <f>'[1]links-p0'!V42</f>
        <v>1517.7757899999999</v>
      </c>
    </row>
    <row r="44" spans="1:36">
      <c r="A44" s="28">
        <v>41</v>
      </c>
      <c r="B44" s="31">
        <v>-5000</v>
      </c>
      <c r="C44" s="1">
        <f t="shared" si="0"/>
        <v>-5000</v>
      </c>
      <c r="D44" s="1">
        <f>'[1]links-p0'!N43</f>
        <v>0</v>
      </c>
      <c r="E44" s="28">
        <f>-'[1]links-p0'!O43</f>
        <v>-5000</v>
      </c>
      <c r="H44" s="30">
        <v>-3500</v>
      </c>
      <c r="I44" s="1">
        <f t="shared" si="1"/>
        <v>-3500</v>
      </c>
      <c r="J44" s="1">
        <f>'[1]links-p0'!J43</f>
        <v>0</v>
      </c>
      <c r="K44" s="1">
        <f>-'[1]links-p0'!L43</f>
        <v>-3500</v>
      </c>
      <c r="M44" s="1">
        <v>173.93526161</v>
      </c>
      <c r="N44" s="1">
        <f t="shared" si="2"/>
        <v>363.99378765304778</v>
      </c>
      <c r="O44" s="1">
        <f>'[1]links-p0'!K43</f>
        <v>363.99378765304778</v>
      </c>
      <c r="P44" s="1">
        <f>-'[1]links-p0'!M43</f>
        <v>0</v>
      </c>
      <c r="R44" s="30">
        <v>2348.4042342799999</v>
      </c>
      <c r="S44" s="1">
        <f t="shared" si="3"/>
        <v>1106.80122009</v>
      </c>
      <c r="T44" s="1">
        <f>'[1]links-p0'!Q43</f>
        <v>1106.80122009</v>
      </c>
      <c r="U44" s="1">
        <f>-'[1]links-p0'!R43</f>
        <v>0</v>
      </c>
      <c r="Z44" s="1">
        <v>-1216.8870567199999</v>
      </c>
      <c r="AA44" s="1">
        <f>'[1]links-p0'!P43</f>
        <v>0</v>
      </c>
      <c r="AI44" s="37">
        <f>-[2]Exchanges!P52</f>
        <v>2710.9560965000001</v>
      </c>
      <c r="AJ44" s="1">
        <f>'[1]links-p0'!V43</f>
        <v>1517.7757899999999</v>
      </c>
    </row>
    <row r="45" spans="1:36">
      <c r="A45" s="28">
        <v>42</v>
      </c>
      <c r="B45" s="31">
        <v>-5000</v>
      </c>
      <c r="C45" s="1">
        <f t="shared" si="0"/>
        <v>-5000</v>
      </c>
      <c r="D45" s="1">
        <f>'[1]links-p0'!N44</f>
        <v>0</v>
      </c>
      <c r="E45" s="28">
        <f>-'[1]links-p0'!O44</f>
        <v>-5000</v>
      </c>
      <c r="H45" s="30">
        <v>-3500</v>
      </c>
      <c r="I45" s="1">
        <f t="shared" si="1"/>
        <v>-3500</v>
      </c>
      <c r="J45" s="1">
        <f>'[1]links-p0'!J44</f>
        <v>0</v>
      </c>
      <c r="K45" s="1">
        <f>-'[1]links-p0'!L44</f>
        <v>-3500</v>
      </c>
      <c r="M45" s="1">
        <v>608.69526160999999</v>
      </c>
      <c r="N45" s="1">
        <f t="shared" si="2"/>
        <v>1141.6594014845559</v>
      </c>
      <c r="O45" s="1">
        <f>'[1]links-p0'!K44</f>
        <v>1141.6594014845559</v>
      </c>
      <c r="P45" s="1">
        <f>-'[1]links-p0'!M44</f>
        <v>0</v>
      </c>
      <c r="R45" s="30">
        <v>1303.50423428</v>
      </c>
      <c r="S45" s="1">
        <f t="shared" si="3"/>
        <v>62.361101999999853</v>
      </c>
      <c r="T45" s="1">
        <f>'[1]links-p0'!Q44</f>
        <v>62.361101999999853</v>
      </c>
      <c r="U45" s="1">
        <f>-'[1]links-p0'!R44</f>
        <v>0</v>
      </c>
      <c r="Z45" s="1">
        <v>-1903.82705672</v>
      </c>
      <c r="AA45" s="1">
        <f>'[1]links-p0'!P44</f>
        <v>0</v>
      </c>
      <c r="AI45" s="37">
        <f>-[2]Exchanges!P53</f>
        <v>2710.9560965000001</v>
      </c>
      <c r="AJ45" s="1">
        <f>'[1]links-p0'!V44</f>
        <v>1517.7757899999999</v>
      </c>
    </row>
    <row r="46" spans="1:36">
      <c r="A46" s="28">
        <v>43</v>
      </c>
      <c r="B46" s="31">
        <v>-5000</v>
      </c>
      <c r="C46" s="1">
        <f t="shared" si="0"/>
        <v>-5000</v>
      </c>
      <c r="D46" s="1">
        <f>'[1]links-p0'!N45</f>
        <v>0</v>
      </c>
      <c r="E46" s="28">
        <f>-'[1]links-p0'!O45</f>
        <v>-5000</v>
      </c>
      <c r="H46" s="30">
        <v>-3500</v>
      </c>
      <c r="I46" s="1">
        <f t="shared" si="1"/>
        <v>-3500</v>
      </c>
      <c r="J46" s="1">
        <f>'[1]links-p0'!J45</f>
        <v>0</v>
      </c>
      <c r="K46" s="1">
        <f>-'[1]links-p0'!L45</f>
        <v>-3500</v>
      </c>
      <c r="M46" s="1">
        <v>313.53802086000002</v>
      </c>
      <c r="N46" s="1">
        <f t="shared" si="2"/>
        <v>917.10254704249189</v>
      </c>
      <c r="O46" s="1">
        <f>'[1]links-p0'!K45</f>
        <v>917.10254704249189</v>
      </c>
      <c r="P46" s="1">
        <f>-'[1]links-p0'!M45</f>
        <v>0</v>
      </c>
      <c r="R46" s="30">
        <v>258.60423428000001</v>
      </c>
      <c r="S46" s="1">
        <f t="shared" si="3"/>
        <v>-982.0790160900001</v>
      </c>
      <c r="T46" s="1">
        <f>'[1]links-p0'!Q45</f>
        <v>0</v>
      </c>
      <c r="U46" s="1">
        <f>-'[1]links-p0'!R45</f>
        <v>-982.0790160900001</v>
      </c>
      <c r="Z46" s="1">
        <v>-2590.7670567199998</v>
      </c>
      <c r="AA46" s="1">
        <f>'[1]links-p0'!P45</f>
        <v>0</v>
      </c>
      <c r="AI46" s="37">
        <f>-[2]Exchanges!P54</f>
        <v>2710.9560965000001</v>
      </c>
      <c r="AJ46" s="1">
        <f>'[1]links-p0'!V45</f>
        <v>1517.7757899999999</v>
      </c>
    </row>
    <row r="47" spans="1:36">
      <c r="A47" s="28">
        <v>44</v>
      </c>
      <c r="B47" s="31">
        <v>-5000</v>
      </c>
      <c r="C47" s="1">
        <f t="shared" si="0"/>
        <v>-5000</v>
      </c>
      <c r="D47" s="1">
        <f>'[1]links-p0'!N46</f>
        <v>0</v>
      </c>
      <c r="E47" s="28">
        <f>-'[1]links-p0'!O46</f>
        <v>-5000</v>
      </c>
      <c r="H47" s="30">
        <v>-3500</v>
      </c>
      <c r="I47" s="1">
        <f t="shared" si="1"/>
        <v>-3500</v>
      </c>
      <c r="J47" s="1">
        <f>'[1]links-p0'!J46</f>
        <v>0</v>
      </c>
      <c r="K47" s="1">
        <f>-'[1]links-p0'!L46</f>
        <v>-3500</v>
      </c>
      <c r="M47" s="1">
        <v>158.02510036000001</v>
      </c>
      <c r="N47" s="1">
        <f t="shared" si="2"/>
        <v>785.10267915137513</v>
      </c>
      <c r="O47" s="1">
        <f>'[1]links-p0'!K46</f>
        <v>785.10267915137513</v>
      </c>
      <c r="P47" s="1">
        <f>-'[1]links-p0'!M46</f>
        <v>0</v>
      </c>
      <c r="R47" s="30">
        <v>-291.09313417999999</v>
      </c>
      <c r="S47" s="1">
        <f t="shared" si="3"/>
        <v>-2026.51913418</v>
      </c>
      <c r="T47" s="1">
        <f>'[1]links-p0'!Q46</f>
        <v>0</v>
      </c>
      <c r="U47" s="1">
        <f>-'[1]links-p0'!R46</f>
        <v>-2026.51913418</v>
      </c>
      <c r="Z47" s="1">
        <v>-2084.9989944499998</v>
      </c>
      <c r="AA47" s="1">
        <f>'[1]links-p0'!P46</f>
        <v>0</v>
      </c>
      <c r="AI47" s="37">
        <f>-[2]Exchanges!P55</f>
        <v>2710.9560965000001</v>
      </c>
      <c r="AJ47" s="1">
        <f>'[1]links-p0'!V46</f>
        <v>1517.7757899999999</v>
      </c>
    </row>
    <row r="48" spans="1:36">
      <c r="A48" s="28">
        <v>45</v>
      </c>
      <c r="B48" s="31">
        <v>-5000</v>
      </c>
      <c r="C48" s="1">
        <f t="shared" si="0"/>
        <v>-5000</v>
      </c>
      <c r="D48" s="1">
        <f>'[1]links-p0'!N47</f>
        <v>0</v>
      </c>
      <c r="E48" s="28">
        <f>-'[1]links-p0'!O47</f>
        <v>-5000</v>
      </c>
      <c r="H48" s="30">
        <v>-3500</v>
      </c>
      <c r="I48" s="1">
        <f t="shared" si="1"/>
        <v>-3500</v>
      </c>
      <c r="J48" s="1">
        <f>'[1]links-p0'!J47</f>
        <v>0</v>
      </c>
      <c r="K48" s="1">
        <f>-'[1]links-p0'!L47</f>
        <v>-3500</v>
      </c>
      <c r="M48" s="1">
        <v>71.122369980000002</v>
      </c>
      <c r="N48" s="1">
        <f t="shared" si="2"/>
        <v>702.49348256595681</v>
      </c>
      <c r="O48" s="1">
        <f>'[1]links-p0'!K47</f>
        <v>702.49348256595681</v>
      </c>
      <c r="P48" s="1">
        <f>-'[1]links-p0'!M47</f>
        <v>0</v>
      </c>
      <c r="R48" s="30">
        <v>-635.53636103999997</v>
      </c>
      <c r="S48" s="1">
        <f t="shared" si="3"/>
        <v>-2370.9623610399999</v>
      </c>
      <c r="T48" s="1">
        <f>'[1]links-p0'!Q47</f>
        <v>0</v>
      </c>
      <c r="U48" s="1">
        <f>-'[1]links-p0'!R47</f>
        <v>-2370.9623610399999</v>
      </c>
      <c r="Z48" s="1">
        <v>-2085.4588763699999</v>
      </c>
      <c r="AA48" s="1">
        <f>'[1]links-p0'!P47</f>
        <v>0</v>
      </c>
      <c r="AI48" s="37">
        <f>-[2]Exchanges!P56</f>
        <v>2710.9560965000001</v>
      </c>
      <c r="AJ48" s="1">
        <f>'[1]links-p0'!V47</f>
        <v>1517.7757899999999</v>
      </c>
    </row>
    <row r="49" spans="1:36">
      <c r="A49" s="28">
        <v>46</v>
      </c>
      <c r="B49" s="31">
        <v>-5000</v>
      </c>
      <c r="C49" s="1">
        <f t="shared" si="0"/>
        <v>-5000</v>
      </c>
      <c r="D49" s="1">
        <f>'[1]links-p0'!N48</f>
        <v>0</v>
      </c>
      <c r="E49" s="28">
        <f>-'[1]links-p0'!O48</f>
        <v>-5000</v>
      </c>
      <c r="H49" s="30">
        <v>-3500</v>
      </c>
      <c r="I49" s="1">
        <f t="shared" si="1"/>
        <v>-3500</v>
      </c>
      <c r="J49" s="1">
        <f>'[1]links-p0'!J48</f>
        <v>0</v>
      </c>
      <c r="K49" s="1">
        <f>-'[1]links-p0'!L48</f>
        <v>-3500</v>
      </c>
      <c r="M49" s="1">
        <v>7.8946397299999997</v>
      </c>
      <c r="N49" s="1">
        <f t="shared" si="2"/>
        <v>644.50306314495185</v>
      </c>
      <c r="O49" s="1">
        <f>'[1]links-p0'!K48</f>
        <v>644.50306314495185</v>
      </c>
      <c r="P49" s="1">
        <f>-'[1]links-p0'!M48</f>
        <v>0</v>
      </c>
      <c r="R49" s="30">
        <v>-735.17163802000005</v>
      </c>
      <c r="S49" s="1">
        <f t="shared" si="3"/>
        <v>-2470.59763802</v>
      </c>
      <c r="T49" s="1">
        <f>'[1]links-p0'!Q48</f>
        <v>0</v>
      </c>
      <c r="U49" s="1">
        <f>-'[1]links-p0'!R48</f>
        <v>-2470.59763802</v>
      </c>
      <c r="Z49" s="1">
        <v>-2085.91875828</v>
      </c>
      <c r="AA49" s="1">
        <f>'[1]links-p0'!P48</f>
        <v>0</v>
      </c>
      <c r="AI49" s="37">
        <f>-[2]Exchanges!P57</f>
        <v>2710.9560965000001</v>
      </c>
      <c r="AJ49" s="1">
        <f>'[1]links-p0'!V48</f>
        <v>1517.7757899999999</v>
      </c>
    </row>
    <row r="50" spans="1:36">
      <c r="A50" s="28">
        <v>47</v>
      </c>
      <c r="B50" s="31">
        <v>-5000</v>
      </c>
      <c r="C50" s="1">
        <f t="shared" si="0"/>
        <v>-5000</v>
      </c>
      <c r="D50" s="1">
        <f>'[1]links-p0'!N49</f>
        <v>0</v>
      </c>
      <c r="E50" s="28">
        <f>-'[1]links-p0'!O49</f>
        <v>-5000</v>
      </c>
      <c r="H50" s="30">
        <v>-3500</v>
      </c>
      <c r="I50" s="1">
        <f t="shared" si="1"/>
        <v>-3500</v>
      </c>
      <c r="J50" s="1">
        <f>'[1]links-p0'!J49</f>
        <v>0</v>
      </c>
      <c r="K50" s="1">
        <f>-'[1]links-p0'!L49</f>
        <v>-3500</v>
      </c>
      <c r="M50" s="1">
        <v>59.518029730000002</v>
      </c>
      <c r="N50" s="1">
        <f t="shared" si="2"/>
        <v>672.96208914818646</v>
      </c>
      <c r="O50" s="1">
        <f>'[1]links-p0'!K49</f>
        <v>672.96208914818646</v>
      </c>
      <c r="P50" s="1">
        <f>-'[1]links-p0'!M49</f>
        <v>0</v>
      </c>
      <c r="R50" s="30">
        <v>-893.90136801999995</v>
      </c>
      <c r="S50" s="1">
        <f t="shared" si="3"/>
        <v>-2629.32736802</v>
      </c>
      <c r="T50" s="1">
        <f>'[1]links-p0'!Q49</f>
        <v>0</v>
      </c>
      <c r="U50" s="1">
        <f>-'[1]links-p0'!R49</f>
        <v>-2629.32736802</v>
      </c>
      <c r="Z50" s="1">
        <v>-2085.91875828</v>
      </c>
      <c r="AA50" s="1">
        <f>'[1]links-p0'!P49</f>
        <v>0</v>
      </c>
      <c r="AI50" s="37">
        <f>-[2]Exchanges!P58</f>
        <v>2710.9560965000001</v>
      </c>
      <c r="AJ50" s="1">
        <f>'[1]links-p0'!V49</f>
        <v>1517.7757899999999</v>
      </c>
    </row>
    <row r="51" spans="1:36">
      <c r="A51" s="28">
        <v>48</v>
      </c>
      <c r="B51" s="31">
        <v>-5000</v>
      </c>
      <c r="C51" s="1">
        <f t="shared" si="0"/>
        <v>-5000</v>
      </c>
      <c r="D51" s="1">
        <f>'[1]links-p0'!N50</f>
        <v>0</v>
      </c>
      <c r="E51" s="28">
        <f>-'[1]links-p0'!O50</f>
        <v>-5000</v>
      </c>
      <c r="H51" s="30">
        <v>-3500</v>
      </c>
      <c r="I51" s="1">
        <f t="shared" si="1"/>
        <v>-3500</v>
      </c>
      <c r="J51" s="1">
        <f>'[1]links-p0'!J50</f>
        <v>0</v>
      </c>
      <c r="K51" s="1">
        <f>-'[1]links-p0'!L50</f>
        <v>-3500</v>
      </c>
      <c r="M51" s="1">
        <v>153.1397115</v>
      </c>
      <c r="N51" s="1">
        <f t="shared" si="2"/>
        <v>578.19973259908897</v>
      </c>
      <c r="O51" s="1">
        <f>'[1]links-p0'!K50</f>
        <v>578.19973259908897</v>
      </c>
      <c r="P51" s="1">
        <f>-'[1]links-p0'!M50</f>
        <v>0</v>
      </c>
      <c r="R51" s="30">
        <v>-884.28998766999996</v>
      </c>
      <c r="S51" s="1">
        <f t="shared" si="3"/>
        <v>-2618.8018549799999</v>
      </c>
      <c r="T51" s="1">
        <f>'[1]links-p0'!Q50</f>
        <v>0</v>
      </c>
      <c r="U51" s="1">
        <f>-'[1]links-p0'!R50</f>
        <v>-2618.8018549799999</v>
      </c>
      <c r="Z51" s="1">
        <v>-2085.0056116400001</v>
      </c>
      <c r="AA51" s="1">
        <f>'[1]links-p0'!P50</f>
        <v>0</v>
      </c>
      <c r="AI51" s="37">
        <f>-[2]Exchanges!P59</f>
        <v>2698.4194852700002</v>
      </c>
      <c r="AJ51" s="1">
        <f>'[1]links-p0'!V50</f>
        <v>1517.7757899999999</v>
      </c>
    </row>
    <row r="52" spans="1:36">
      <c r="A52" s="28">
        <v>49</v>
      </c>
      <c r="B52" s="31">
        <v>-5000</v>
      </c>
      <c r="C52" s="1">
        <f t="shared" si="0"/>
        <v>-5000</v>
      </c>
      <c r="D52" s="1">
        <f>'[1]links-p0'!N51</f>
        <v>0</v>
      </c>
      <c r="E52" s="28">
        <f>-'[1]links-p0'!O51</f>
        <v>-5000</v>
      </c>
      <c r="H52" s="30">
        <v>-3500</v>
      </c>
      <c r="I52" s="1">
        <f t="shared" si="1"/>
        <v>-3500</v>
      </c>
      <c r="J52" s="1">
        <f>'[1]links-p0'!J51</f>
        <v>0</v>
      </c>
      <c r="K52" s="1">
        <f>-'[1]links-p0'!L51</f>
        <v>-3500</v>
      </c>
      <c r="M52" s="1">
        <v>162.90718150000001</v>
      </c>
      <c r="N52" s="1">
        <f t="shared" si="2"/>
        <v>583.58413759178984</v>
      </c>
      <c r="O52" s="1">
        <f>'[1]links-p0'!K51</f>
        <v>583.58413759178984</v>
      </c>
      <c r="P52" s="1">
        <f>-'[1]links-p0'!M51</f>
        <v>0</v>
      </c>
      <c r="R52" s="30">
        <v>0</v>
      </c>
      <c r="S52" s="1">
        <f t="shared" si="3"/>
        <v>-2527.4830749799999</v>
      </c>
      <c r="T52" s="1">
        <f>'[1]links-p0'!Q51</f>
        <v>0</v>
      </c>
      <c r="U52" s="1">
        <f>-'[1]links-p0'!R51</f>
        <v>-2527.4830749799999</v>
      </c>
      <c r="Z52" s="1">
        <v>-1398.06561164</v>
      </c>
      <c r="AA52" s="1">
        <f>'[1]links-p0'!P51</f>
        <v>0</v>
      </c>
      <c r="AI52" s="37">
        <f>-[2]Exchanges!P60</f>
        <v>2698.4194852700002</v>
      </c>
      <c r="AJ52" s="1">
        <f>'[1]links-p0'!V51</f>
        <v>1517.7757899999999</v>
      </c>
    </row>
    <row r="53" spans="1:36">
      <c r="A53" s="28">
        <v>50</v>
      </c>
      <c r="B53" s="31">
        <v>-5000</v>
      </c>
      <c r="C53" s="1">
        <f t="shared" si="0"/>
        <v>-5000</v>
      </c>
      <c r="D53" s="1">
        <f>'[1]links-p0'!N52</f>
        <v>0</v>
      </c>
      <c r="E53" s="28">
        <f>-'[1]links-p0'!O52</f>
        <v>-5000</v>
      </c>
      <c r="H53" s="30">
        <v>-3500</v>
      </c>
      <c r="I53" s="1">
        <f t="shared" si="1"/>
        <v>-3500</v>
      </c>
      <c r="J53" s="1">
        <f>'[1]links-p0'!J52</f>
        <v>0</v>
      </c>
      <c r="K53" s="1">
        <f>-'[1]links-p0'!L52</f>
        <v>-3500</v>
      </c>
      <c r="M53" s="1">
        <v>124.79154149999999</v>
      </c>
      <c r="N53" s="1">
        <f t="shared" si="2"/>
        <v>562.5719205669219</v>
      </c>
      <c r="O53" s="1">
        <f>'[1]links-p0'!K52</f>
        <v>562.5719205669219</v>
      </c>
      <c r="P53" s="1">
        <f>-'[1]links-p0'!M52</f>
        <v>0</v>
      </c>
      <c r="R53" s="30">
        <v>318.84599698</v>
      </c>
      <c r="S53" s="1">
        <f t="shared" si="3"/>
        <v>-2435.0858049799999</v>
      </c>
      <c r="T53" s="1">
        <f>'[1]links-p0'!Q52</f>
        <v>0</v>
      </c>
      <c r="U53" s="1">
        <f>-'[1]links-p0'!R52</f>
        <v>-2435.0858049799999</v>
      </c>
      <c r="Z53" s="1">
        <v>-711.12561163999999</v>
      </c>
      <c r="AA53" s="1">
        <f>'[1]links-p0'!P52</f>
        <v>0</v>
      </c>
      <c r="AI53" s="37">
        <f>-[2]Exchanges!P61</f>
        <v>2698.4194852700002</v>
      </c>
      <c r="AJ53" s="1">
        <f>'[1]links-p0'!V52</f>
        <v>1517.7757899999999</v>
      </c>
    </row>
    <row r="54" spans="1:36">
      <c r="A54" s="28">
        <v>51</v>
      </c>
      <c r="B54" s="31">
        <v>-5000</v>
      </c>
      <c r="C54" s="1">
        <f t="shared" si="0"/>
        <v>-5000</v>
      </c>
      <c r="D54" s="1">
        <f>'[1]links-p0'!N53</f>
        <v>0</v>
      </c>
      <c r="E54" s="28">
        <f>-'[1]links-p0'!O53</f>
        <v>-5000</v>
      </c>
      <c r="H54" s="30">
        <v>-3500</v>
      </c>
      <c r="I54" s="1">
        <f t="shared" si="1"/>
        <v>-3500</v>
      </c>
      <c r="J54" s="1">
        <f>'[1]links-p0'!J53</f>
        <v>0</v>
      </c>
      <c r="K54" s="1">
        <f>-'[1]links-p0'!L53</f>
        <v>-3500</v>
      </c>
      <c r="M54" s="1">
        <v>102.4861815</v>
      </c>
      <c r="N54" s="1">
        <f t="shared" si="2"/>
        <v>550.27514614320864</v>
      </c>
      <c r="O54" s="1">
        <f>'[1]links-p0'!K53</f>
        <v>550.27514614320864</v>
      </c>
      <c r="P54" s="1">
        <f>-'[1]links-p0'!M53</f>
        <v>0</v>
      </c>
      <c r="R54" s="30">
        <v>367.50981560999998</v>
      </c>
      <c r="S54" s="1">
        <f t="shared" si="3"/>
        <v>-2530.01777498</v>
      </c>
      <c r="T54" s="1">
        <f>'[1]links-p0'!Q53</f>
        <v>0</v>
      </c>
      <c r="U54" s="1">
        <f>-'[1]links-p0'!R53</f>
        <v>-2530.01777498</v>
      </c>
      <c r="Z54" s="1">
        <v>-1398.06561164</v>
      </c>
      <c r="AA54" s="1">
        <f>'[1]links-p0'!P53</f>
        <v>0</v>
      </c>
      <c r="AI54" s="37">
        <f>-[2]Exchanges!P62</f>
        <v>2698.4194852700002</v>
      </c>
      <c r="AJ54" s="1">
        <f>'[1]links-p0'!V53</f>
        <v>1517.7757899999999</v>
      </c>
    </row>
    <row r="55" spans="1:36">
      <c r="A55" s="28">
        <v>52</v>
      </c>
      <c r="B55" s="31">
        <v>-5000</v>
      </c>
      <c r="C55" s="1">
        <f t="shared" si="0"/>
        <v>-5000</v>
      </c>
      <c r="D55" s="1">
        <f>'[1]links-p0'!N54</f>
        <v>0</v>
      </c>
      <c r="E55" s="28">
        <f>-'[1]links-p0'!O54</f>
        <v>-5000</v>
      </c>
      <c r="H55" s="30">
        <v>-3500</v>
      </c>
      <c r="I55" s="1">
        <f t="shared" si="1"/>
        <v>-3500</v>
      </c>
      <c r="J55" s="1">
        <f>'[1]links-p0'!J54</f>
        <v>0</v>
      </c>
      <c r="K55" s="1">
        <f>-'[1]links-p0'!L54</f>
        <v>-3500</v>
      </c>
      <c r="M55" s="1">
        <v>92.580261500000006</v>
      </c>
      <c r="N55" s="1">
        <f t="shared" si="2"/>
        <v>544.81436547226167</v>
      </c>
      <c r="O55" s="1">
        <f>'[1]links-p0'!K54</f>
        <v>544.81436547226167</v>
      </c>
      <c r="P55" s="1">
        <f>-'[1]links-p0'!M54</f>
        <v>0</v>
      </c>
      <c r="R55" s="30">
        <v>-305.07066967999998</v>
      </c>
      <c r="S55" s="1">
        <f t="shared" si="3"/>
        <v>-2655.55179774</v>
      </c>
      <c r="T55" s="1">
        <f>'[1]links-p0'!Q54</f>
        <v>0</v>
      </c>
      <c r="U55" s="1">
        <f>-'[1]links-p0'!R54</f>
        <v>-2655.55179774</v>
      </c>
      <c r="Z55" s="1">
        <v>-2085.0056116400001</v>
      </c>
      <c r="AA55" s="1">
        <f>'[1]links-p0'!P54</f>
        <v>0</v>
      </c>
      <c r="AI55" s="37">
        <f>-[2]Exchanges!P63</f>
        <v>2698.4194852700002</v>
      </c>
      <c r="AJ55" s="1">
        <f>'[1]links-p0'!V54</f>
        <v>1517.7757899999999</v>
      </c>
    </row>
    <row r="56" spans="1:36">
      <c r="A56" s="28">
        <v>53</v>
      </c>
      <c r="B56" s="31">
        <v>-5000</v>
      </c>
      <c r="C56" s="1">
        <f t="shared" si="0"/>
        <v>-5000</v>
      </c>
      <c r="D56" s="1">
        <f>'[1]links-p0'!N55</f>
        <v>0</v>
      </c>
      <c r="E56" s="28">
        <f>-'[1]links-p0'!O55</f>
        <v>-5000</v>
      </c>
      <c r="H56" s="30">
        <v>-3500</v>
      </c>
      <c r="I56" s="1">
        <f t="shared" si="1"/>
        <v>-3500</v>
      </c>
      <c r="J56" s="1">
        <f>'[1]links-p0'!J55</f>
        <v>0</v>
      </c>
      <c r="K56" s="1">
        <f>-'[1]links-p0'!L55</f>
        <v>-3500</v>
      </c>
      <c r="M56" s="1">
        <v>174.62918798000001</v>
      </c>
      <c r="N56" s="1">
        <f t="shared" si="2"/>
        <v>634.00111144214338</v>
      </c>
      <c r="O56" s="1">
        <f>'[1]links-p0'!K55</f>
        <v>634.00111144214338</v>
      </c>
      <c r="P56" s="1">
        <f>-'[1]links-p0'!M55</f>
        <v>0</v>
      </c>
      <c r="R56" s="30">
        <v>-791.40073116999997</v>
      </c>
      <c r="S56" s="1">
        <f t="shared" si="3"/>
        <v>-2861.8570897499999</v>
      </c>
      <c r="T56" s="1">
        <f>'[1]links-p0'!Q55</f>
        <v>0</v>
      </c>
      <c r="U56" s="1">
        <f>-'[1]links-p0'!R55</f>
        <v>-2861.8570897499999</v>
      </c>
      <c r="Z56" s="1">
        <v>-2419.5704571599999</v>
      </c>
      <c r="AA56" s="1">
        <f>'[1]links-p0'!P55</f>
        <v>0</v>
      </c>
      <c r="AI56" s="37">
        <f>-[2]Exchanges!P64</f>
        <v>2698.4194852700002</v>
      </c>
      <c r="AJ56" s="1">
        <f>'[1]links-p0'!V55</f>
        <v>1517.7757899999999</v>
      </c>
    </row>
    <row r="57" spans="1:36">
      <c r="A57" s="28">
        <v>54</v>
      </c>
      <c r="B57" s="31">
        <v>-5000</v>
      </c>
      <c r="C57" s="1">
        <f t="shared" si="0"/>
        <v>-5000</v>
      </c>
      <c r="D57" s="1">
        <f>'[1]links-p0'!N56</f>
        <v>0</v>
      </c>
      <c r="E57" s="28">
        <f>-'[1]links-p0'!O56</f>
        <v>-5000</v>
      </c>
      <c r="H57" s="30">
        <v>-3500</v>
      </c>
      <c r="I57" s="1">
        <f t="shared" si="1"/>
        <v>-3500</v>
      </c>
      <c r="J57" s="1">
        <f>'[1]links-p0'!J56</f>
        <v>0</v>
      </c>
      <c r="K57" s="1">
        <f>-'[1]links-p0'!L56</f>
        <v>-3500</v>
      </c>
      <c r="M57" s="1">
        <v>290.44358446000001</v>
      </c>
      <c r="N57" s="1">
        <f t="shared" si="2"/>
        <v>741.80239878100906</v>
      </c>
      <c r="O57" s="1">
        <f>'[1]links-p0'!K56</f>
        <v>741.80239878100906</v>
      </c>
      <c r="P57" s="1">
        <f>-'[1]links-p0'!M56</f>
        <v>0</v>
      </c>
      <c r="R57" s="30">
        <v>-443.96826850000002</v>
      </c>
      <c r="S57" s="1">
        <f t="shared" si="3"/>
        <v>-2275.83945877</v>
      </c>
      <c r="T57" s="1">
        <f>'[1]links-p0'!Q56</f>
        <v>0</v>
      </c>
      <c r="U57" s="1">
        <f>-'[1]links-p0'!R56</f>
        <v>-2275.83945877</v>
      </c>
      <c r="Z57" s="1">
        <v>-3106.51045716</v>
      </c>
      <c r="AA57" s="1">
        <f>'[1]links-p0'!P56</f>
        <v>0</v>
      </c>
      <c r="AI57" s="37">
        <f>-[2]Exchanges!P65</f>
        <v>2698.4194852700002</v>
      </c>
      <c r="AJ57" s="1">
        <f>'[1]links-p0'!V56</f>
        <v>1517.7757899999999</v>
      </c>
    </row>
    <row r="58" spans="1:36">
      <c r="A58" s="28">
        <v>55</v>
      </c>
      <c r="B58" s="31">
        <v>-5000</v>
      </c>
      <c r="C58" s="1">
        <f t="shared" si="0"/>
        <v>-5000</v>
      </c>
      <c r="D58" s="1">
        <f>'[1]links-p0'!N57</f>
        <v>0</v>
      </c>
      <c r="E58" s="28">
        <f>-'[1]links-p0'!O57</f>
        <v>-5000</v>
      </c>
      <c r="H58" s="30">
        <v>-3500</v>
      </c>
      <c r="I58" s="1">
        <f t="shared" si="1"/>
        <v>-3500</v>
      </c>
      <c r="J58" s="1">
        <f>'[1]links-p0'!J57</f>
        <v>0</v>
      </c>
      <c r="K58" s="1">
        <f>-'[1]links-p0'!L57</f>
        <v>-3500</v>
      </c>
      <c r="M58" s="1">
        <v>433.95691691000002</v>
      </c>
      <c r="N58" s="1">
        <f t="shared" si="2"/>
        <v>862.56003785119549</v>
      </c>
      <c r="O58" s="1">
        <f>'[1]links-p0'!K57</f>
        <v>862.56003785119549</v>
      </c>
      <c r="P58" s="1">
        <f>-'[1]links-p0'!M57</f>
        <v>0</v>
      </c>
      <c r="R58" s="30">
        <v>600.93173149999996</v>
      </c>
      <c r="S58" s="1">
        <f t="shared" si="3"/>
        <v>-1231.39934068</v>
      </c>
      <c r="T58" s="1">
        <f>'[1]links-p0'!Q57</f>
        <v>0</v>
      </c>
      <c r="U58" s="1">
        <f>-'[1]links-p0'!R57</f>
        <v>-1231.39934068</v>
      </c>
      <c r="Z58" s="1">
        <v>-2590.7680427700002</v>
      </c>
      <c r="AA58" s="1">
        <f>'[1]links-p0'!P57</f>
        <v>0</v>
      </c>
      <c r="AI58" s="37">
        <f>-[2]Exchanges!P66</f>
        <v>2698.4194852700002</v>
      </c>
      <c r="AJ58" s="1">
        <f>'[1]links-p0'!V57</f>
        <v>1517.7757899999999</v>
      </c>
    </row>
    <row r="59" spans="1:36">
      <c r="A59" s="28">
        <v>56</v>
      </c>
      <c r="B59" s="31">
        <v>-5000</v>
      </c>
      <c r="C59" s="1">
        <f t="shared" si="0"/>
        <v>-5000</v>
      </c>
      <c r="D59" s="1">
        <f>'[1]links-p0'!N58</f>
        <v>0</v>
      </c>
      <c r="E59" s="28">
        <f>-'[1]links-p0'!O58</f>
        <v>-5000</v>
      </c>
      <c r="H59" s="30">
        <v>-3500</v>
      </c>
      <c r="I59" s="1">
        <f t="shared" si="1"/>
        <v>-3500</v>
      </c>
      <c r="J59" s="1">
        <f>'[1]links-p0'!J58</f>
        <v>0</v>
      </c>
      <c r="K59" s="1">
        <f>-'[1]links-p0'!L58</f>
        <v>-3500</v>
      </c>
      <c r="M59" s="1">
        <v>609.31120338999995</v>
      </c>
      <c r="N59" s="1">
        <f t="shared" si="2"/>
        <v>1003.184780751028</v>
      </c>
      <c r="O59" s="1">
        <f>'[1]links-p0'!K58</f>
        <v>1003.184780751028</v>
      </c>
      <c r="P59" s="1">
        <f>-'[1]links-p0'!M58</f>
        <v>0</v>
      </c>
      <c r="R59" s="30">
        <v>1645.8317314999999</v>
      </c>
      <c r="S59" s="1">
        <f t="shared" si="3"/>
        <v>-186.49934068000039</v>
      </c>
      <c r="T59" s="1">
        <f>'[1]links-p0'!Q58</f>
        <v>0</v>
      </c>
      <c r="U59" s="1">
        <f>-'[1]links-p0'!R58</f>
        <v>-186.49934068000039</v>
      </c>
      <c r="Z59" s="1">
        <v>-1903.8280427699999</v>
      </c>
      <c r="AA59" s="1">
        <f>'[1]links-p0'!P58</f>
        <v>0</v>
      </c>
      <c r="AI59" s="37">
        <f>-[2]Exchanges!P67</f>
        <v>2698.4194852700002</v>
      </c>
      <c r="AJ59" s="1">
        <f>'[1]links-p0'!V58</f>
        <v>1517.7757899999999</v>
      </c>
    </row>
    <row r="60" spans="1:36">
      <c r="A60" s="28">
        <v>57</v>
      </c>
      <c r="B60" s="31">
        <v>-5000</v>
      </c>
      <c r="C60" s="1">
        <f t="shared" si="0"/>
        <v>-5000</v>
      </c>
      <c r="D60" s="1">
        <f>'[1]links-p0'!N59</f>
        <v>0</v>
      </c>
      <c r="E60" s="28">
        <f>-'[1]links-p0'!O59</f>
        <v>-5000</v>
      </c>
      <c r="H60" s="30">
        <v>-3500</v>
      </c>
      <c r="I60" s="1">
        <f t="shared" si="1"/>
        <v>-3500</v>
      </c>
      <c r="J60" s="1">
        <f>'[1]links-p0'!J59</f>
        <v>0</v>
      </c>
      <c r="K60" s="1">
        <f>-'[1]links-p0'!L59</f>
        <v>-3500</v>
      </c>
      <c r="M60" s="1">
        <v>299.22722339000001</v>
      </c>
      <c r="N60" s="1">
        <f t="shared" si="2"/>
        <v>612.54078858508581</v>
      </c>
      <c r="O60" s="1">
        <f>'[1]links-p0'!K59</f>
        <v>612.54078858508581</v>
      </c>
      <c r="P60" s="1">
        <f>-'[1]links-p0'!M59</f>
        <v>0</v>
      </c>
      <c r="R60" s="30">
        <v>2690.7317315</v>
      </c>
      <c r="S60" s="1">
        <f t="shared" si="3"/>
        <v>858.4006593199997</v>
      </c>
      <c r="T60" s="1">
        <f>'[1]links-p0'!Q59</f>
        <v>858.4006593199997</v>
      </c>
      <c r="U60" s="1">
        <f>-'[1]links-p0'!R59</f>
        <v>0</v>
      </c>
      <c r="Z60" s="1">
        <v>-1216.8880427700001</v>
      </c>
      <c r="AA60" s="1">
        <f>'[1]links-p0'!P59</f>
        <v>0</v>
      </c>
      <c r="AI60" s="37">
        <f>-[2]Exchanges!P68</f>
        <v>2698.4194852700002</v>
      </c>
      <c r="AJ60" s="1">
        <f>'[1]links-p0'!V59</f>
        <v>1517.7757899999999</v>
      </c>
    </row>
    <row r="61" spans="1:36">
      <c r="A61" s="28">
        <v>58</v>
      </c>
      <c r="B61" s="31">
        <v>-5000</v>
      </c>
      <c r="C61" s="1">
        <f t="shared" si="0"/>
        <v>-5000</v>
      </c>
      <c r="D61" s="1">
        <f>'[1]links-p0'!N60</f>
        <v>0</v>
      </c>
      <c r="E61" s="28">
        <f>-'[1]links-p0'!O60</f>
        <v>-5000</v>
      </c>
      <c r="H61" s="30">
        <v>-3500</v>
      </c>
      <c r="I61" s="1">
        <f t="shared" si="1"/>
        <v>-3500</v>
      </c>
      <c r="J61" s="1">
        <f>'[1]links-p0'!J60</f>
        <v>0</v>
      </c>
      <c r="K61" s="1">
        <f>-'[1]links-p0'!L60</f>
        <v>-3500</v>
      </c>
      <c r="M61" s="1">
        <v>-135.53277661000001</v>
      </c>
      <c r="N61" s="1">
        <f t="shared" si="2"/>
        <v>-569.29568604819997</v>
      </c>
      <c r="O61" s="1">
        <f>'[1]links-p0'!K60</f>
        <v>0</v>
      </c>
      <c r="P61" s="1">
        <f>-'[1]links-p0'!M60</f>
        <v>-569.29568604819997</v>
      </c>
      <c r="R61" s="30">
        <v>3735.6317315000001</v>
      </c>
      <c r="S61" s="1">
        <f t="shared" si="3"/>
        <v>1903.30065932</v>
      </c>
      <c r="T61" s="1">
        <f>'[1]links-p0'!Q60</f>
        <v>1903.30065932</v>
      </c>
      <c r="U61" s="1">
        <f>-'[1]links-p0'!R60</f>
        <v>0</v>
      </c>
      <c r="Z61" s="1">
        <v>-529.94804277000003</v>
      </c>
      <c r="AA61" s="1">
        <f>'[1]links-p0'!P60</f>
        <v>0</v>
      </c>
      <c r="AI61" s="37">
        <f>-[2]Exchanges!P69</f>
        <v>2698.4194852700002</v>
      </c>
      <c r="AJ61" s="1">
        <f>'[1]links-p0'!V60</f>
        <v>1517.7757899999999</v>
      </c>
    </row>
    <row r="62" spans="1:36">
      <c r="A62" s="28">
        <v>59</v>
      </c>
      <c r="B62" s="31">
        <v>-5000</v>
      </c>
      <c r="C62" s="1">
        <f t="shared" si="0"/>
        <v>-5000</v>
      </c>
      <c r="D62" s="1">
        <f>'[1]links-p0'!N61</f>
        <v>0</v>
      </c>
      <c r="E62" s="28">
        <f>-'[1]links-p0'!O61</f>
        <v>-5000</v>
      </c>
      <c r="H62" s="30">
        <v>-3500</v>
      </c>
      <c r="I62" s="1">
        <f t="shared" si="1"/>
        <v>-3500</v>
      </c>
      <c r="J62" s="1">
        <f>'[1]links-p0'!J61</f>
        <v>0</v>
      </c>
      <c r="K62" s="1">
        <f>-'[1]links-p0'!L61</f>
        <v>-3500</v>
      </c>
      <c r="M62" s="1">
        <v>-570.29277661000003</v>
      </c>
      <c r="N62" s="1">
        <f t="shared" si="2"/>
        <v>-1832.7152631895581</v>
      </c>
      <c r="O62" s="1">
        <f>'[1]links-p0'!K61</f>
        <v>0</v>
      </c>
      <c r="P62" s="1">
        <f>-'[1]links-p0'!M61</f>
        <v>-1832.7152631895581</v>
      </c>
      <c r="R62" s="30">
        <v>4148.9085083199998</v>
      </c>
      <c r="S62" s="1">
        <f t="shared" si="3"/>
        <v>2948.66054123</v>
      </c>
      <c r="T62" s="1">
        <f>'[1]links-p0'!Q61</f>
        <v>2948.66054123</v>
      </c>
      <c r="U62" s="1">
        <f>-'[1]links-p0'!R61</f>
        <v>0</v>
      </c>
      <c r="Z62" s="1">
        <v>-40.990544829999997</v>
      </c>
      <c r="AA62" s="1">
        <f>'[1]links-p0'!P61</f>
        <v>0</v>
      </c>
      <c r="AI62" s="37">
        <f>-[2]Exchanges!P70</f>
        <v>1517.77579117</v>
      </c>
      <c r="AJ62" s="1">
        <f>'[1]links-p0'!V61</f>
        <v>1517.7757899999999</v>
      </c>
    </row>
    <row r="63" spans="1:36">
      <c r="A63" s="28">
        <v>60</v>
      </c>
      <c r="B63" s="31">
        <v>-5000</v>
      </c>
      <c r="C63" s="1">
        <f t="shared" si="0"/>
        <v>-5000</v>
      </c>
      <c r="D63" s="1">
        <f>'[1]links-p0'!N62</f>
        <v>0</v>
      </c>
      <c r="E63" s="28">
        <f>-'[1]links-p0'!O62</f>
        <v>-5000</v>
      </c>
      <c r="H63" s="30">
        <v>-3500</v>
      </c>
      <c r="I63" s="1">
        <f t="shared" si="1"/>
        <v>-3500</v>
      </c>
      <c r="J63" s="1">
        <f>'[1]links-p0'!J62</f>
        <v>0</v>
      </c>
      <c r="K63" s="1">
        <f>-'[1]links-p0'!L62</f>
        <v>-3500</v>
      </c>
      <c r="M63" s="1">
        <v>-1005.05277661</v>
      </c>
      <c r="N63" s="1">
        <f t="shared" si="2"/>
        <v>-2762.0786111368898</v>
      </c>
      <c r="O63" s="1">
        <f>'[1]links-p0'!K62</f>
        <v>0</v>
      </c>
      <c r="P63" s="1">
        <f>-'[1]links-p0'!M62</f>
        <v>-2762.0786111368898</v>
      </c>
      <c r="R63" s="30">
        <v>5193.8085083200003</v>
      </c>
      <c r="S63" s="1">
        <f t="shared" si="3"/>
        <v>4314.3176165599998</v>
      </c>
      <c r="T63" s="1">
        <f>'[1]links-p0'!Q62</f>
        <v>4314.3176165599998</v>
      </c>
      <c r="U63" s="1">
        <f>-'[1]links-p0'!R62</f>
        <v>0</v>
      </c>
      <c r="Z63" s="1">
        <v>0</v>
      </c>
      <c r="AA63" s="1">
        <f>'[1]links-p0'!P62</f>
        <v>0</v>
      </c>
      <c r="AI63" s="37">
        <f>-[2]Exchanges!P71</f>
        <v>1517.77579117</v>
      </c>
      <c r="AJ63" s="1">
        <f>'[1]links-p0'!V62</f>
        <v>1517.7757899999999</v>
      </c>
    </row>
    <row r="64" spans="1:36">
      <c r="A64" s="28">
        <v>61</v>
      </c>
      <c r="B64" s="31">
        <v>-5000</v>
      </c>
      <c r="C64" s="1">
        <f t="shared" si="0"/>
        <v>-5000</v>
      </c>
      <c r="D64" s="1">
        <f>'[1]links-p0'!N63</f>
        <v>0</v>
      </c>
      <c r="E64" s="28">
        <f>-'[1]links-p0'!O63</f>
        <v>-5000</v>
      </c>
      <c r="H64" s="30">
        <v>-3500</v>
      </c>
      <c r="I64" s="1">
        <f t="shared" si="1"/>
        <v>-3500</v>
      </c>
      <c r="J64" s="1">
        <f>'[1]links-p0'!J63</f>
        <v>0</v>
      </c>
      <c r="K64" s="1">
        <f>-'[1]links-p0'!L63</f>
        <v>-3500</v>
      </c>
      <c r="M64" s="1">
        <v>-1439.8127766099999</v>
      </c>
      <c r="N64" s="1">
        <f t="shared" si="2"/>
        <v>-2860.169492</v>
      </c>
      <c r="O64" s="1">
        <f>'[1]links-p0'!K63</f>
        <v>0</v>
      </c>
      <c r="P64" s="1">
        <f>-'[1]links-p0'!M63</f>
        <v>-2860.169492</v>
      </c>
      <c r="R64" s="30">
        <v>5388.4486264099996</v>
      </c>
      <c r="S64" s="1">
        <f t="shared" si="3"/>
        <v>4665.3159926900007</v>
      </c>
      <c r="T64" s="1">
        <f>'[1]links-p0'!Q63</f>
        <v>4665.3159926900007</v>
      </c>
      <c r="U64" s="1">
        <f>-'[1]links-p0'!R63</f>
        <v>0</v>
      </c>
      <c r="Z64" s="1">
        <v>0</v>
      </c>
      <c r="AA64" s="1">
        <f>'[1]links-p0'!P63</f>
        <v>0</v>
      </c>
      <c r="AI64" s="37">
        <f>-[2]Exchanges!P72</f>
        <v>1517.77579117</v>
      </c>
      <c r="AJ64" s="1">
        <f>'[1]links-p0'!V63</f>
        <v>1517.7757899999999</v>
      </c>
    </row>
    <row r="65" spans="1:36">
      <c r="A65" s="28">
        <v>62</v>
      </c>
      <c r="B65" s="31">
        <v>-5000</v>
      </c>
      <c r="C65" s="1">
        <f t="shared" si="0"/>
        <v>-5000</v>
      </c>
      <c r="D65" s="1">
        <f>'[1]links-p0'!N64</f>
        <v>0</v>
      </c>
      <c r="E65" s="28">
        <f>-'[1]links-p0'!O64</f>
        <v>-5000</v>
      </c>
      <c r="H65" s="30">
        <v>-3500</v>
      </c>
      <c r="I65" s="1">
        <f t="shared" si="1"/>
        <v>-3500</v>
      </c>
      <c r="J65" s="1">
        <f>'[1]links-p0'!J64</f>
        <v>0</v>
      </c>
      <c r="K65" s="1">
        <f>-'[1]links-p0'!L64</f>
        <v>-3500</v>
      </c>
      <c r="M65" s="1">
        <v>-1213.6280766100001</v>
      </c>
      <c r="N65" s="1">
        <f t="shared" si="2"/>
        <v>-2860.169492</v>
      </c>
      <c r="O65" s="1">
        <f>'[1]links-p0'!K64</f>
        <v>0</v>
      </c>
      <c r="P65" s="1">
        <f>-'[1]links-p0'!M64</f>
        <v>-2860.169492</v>
      </c>
      <c r="R65" s="30">
        <v>4952.4133932200002</v>
      </c>
      <c r="S65" s="1">
        <f t="shared" si="3"/>
        <v>3620.4159926900002</v>
      </c>
      <c r="T65" s="1">
        <f>'[1]links-p0'!Q64</f>
        <v>3620.4159926900002</v>
      </c>
      <c r="U65" s="1">
        <f>-'[1]links-p0'!R64</f>
        <v>0</v>
      </c>
      <c r="Z65" s="1">
        <v>0</v>
      </c>
      <c r="AA65" s="1">
        <f>'[1]links-p0'!P64</f>
        <v>0</v>
      </c>
      <c r="AI65" s="37">
        <f>-[2]Exchanges!P73</f>
        <v>1517.77579117</v>
      </c>
      <c r="AJ65" s="1">
        <f>'[1]links-p0'!V64</f>
        <v>1517.7757899999999</v>
      </c>
    </row>
    <row r="66" spans="1:36">
      <c r="A66" s="28">
        <v>63</v>
      </c>
      <c r="B66" s="31">
        <v>-5000</v>
      </c>
      <c r="C66" s="1">
        <f t="shared" si="0"/>
        <v>-5000</v>
      </c>
      <c r="D66" s="1">
        <f>'[1]links-p0'!N65</f>
        <v>0</v>
      </c>
      <c r="E66" s="28">
        <f>-'[1]links-p0'!O65</f>
        <v>-5000</v>
      </c>
      <c r="H66" s="30">
        <v>-3500</v>
      </c>
      <c r="I66" s="1">
        <f t="shared" si="1"/>
        <v>-3500</v>
      </c>
      <c r="J66" s="1">
        <f>'[1]links-p0'!J65</f>
        <v>0</v>
      </c>
      <c r="K66" s="1">
        <f>-'[1]links-p0'!L65</f>
        <v>-3500</v>
      </c>
      <c r="M66" s="1">
        <v>-778.86807661</v>
      </c>
      <c r="N66" s="1">
        <f t="shared" si="2"/>
        <v>-2175.0412062628839</v>
      </c>
      <c r="O66" s="1">
        <f>'[1]links-p0'!K65</f>
        <v>0</v>
      </c>
      <c r="P66" s="1">
        <f>-'[1]links-p0'!M65</f>
        <v>-2175.0412062628839</v>
      </c>
      <c r="R66" s="30">
        <v>3907.5133932200001</v>
      </c>
      <c r="S66" s="1">
        <f t="shared" si="3"/>
        <v>2254.2990354600001</v>
      </c>
      <c r="T66" s="1">
        <f>'[1]links-p0'!Q65</f>
        <v>2254.2990354600001</v>
      </c>
      <c r="U66" s="1">
        <f>-'[1]links-p0'!R65</f>
        <v>0</v>
      </c>
      <c r="Z66" s="1">
        <v>-529.94804277000003</v>
      </c>
      <c r="AA66" s="1">
        <f>'[1]links-p0'!P65</f>
        <v>0</v>
      </c>
      <c r="AI66" s="37">
        <f>-[2]Exchanges!P74</f>
        <v>1517.77579117</v>
      </c>
      <c r="AJ66" s="1">
        <f>'[1]links-p0'!V65</f>
        <v>1517.7757899999999</v>
      </c>
    </row>
    <row r="67" spans="1:36">
      <c r="A67" s="28">
        <v>64</v>
      </c>
      <c r="B67" s="31">
        <v>-5000</v>
      </c>
      <c r="C67" s="1">
        <f t="shared" si="0"/>
        <v>-5000</v>
      </c>
      <c r="D67" s="1">
        <f>'[1]links-p0'!N66</f>
        <v>0</v>
      </c>
      <c r="E67" s="28">
        <f>-'[1]links-p0'!O66</f>
        <v>-5000</v>
      </c>
      <c r="H67" s="30">
        <v>-3500</v>
      </c>
      <c r="I67" s="1">
        <f t="shared" si="1"/>
        <v>-3500</v>
      </c>
      <c r="J67" s="1">
        <f>'[1]links-p0'!J66</f>
        <v>0</v>
      </c>
      <c r="K67" s="1">
        <f>-'[1]links-p0'!L66</f>
        <v>-3500</v>
      </c>
      <c r="M67" s="1">
        <v>-344.10807661000001</v>
      </c>
      <c r="N67" s="1">
        <f t="shared" si="2"/>
        <v>-1094.5551122283489</v>
      </c>
      <c r="O67" s="1">
        <f>'[1]links-p0'!K66</f>
        <v>0</v>
      </c>
      <c r="P67" s="1">
        <f>-'[1]links-p0'!M66</f>
        <v>-1094.5551122283489</v>
      </c>
      <c r="R67" s="30">
        <v>2862.61339322</v>
      </c>
      <c r="S67" s="1">
        <f t="shared" si="3"/>
        <v>1209.3990354600001</v>
      </c>
      <c r="T67" s="1">
        <f>'[1]links-p0'!Q66</f>
        <v>1209.3990354600001</v>
      </c>
      <c r="U67" s="1">
        <f>-'[1]links-p0'!R66</f>
        <v>0</v>
      </c>
      <c r="Z67" s="1">
        <v>-1216.8880427700001</v>
      </c>
      <c r="AA67" s="1">
        <f>'[1]links-p0'!P66</f>
        <v>0</v>
      </c>
      <c r="AI67" s="37">
        <f>-[2]Exchanges!P75</f>
        <v>2698.4194852700002</v>
      </c>
      <c r="AJ67" s="1">
        <f>'[1]links-p0'!V66</f>
        <v>1517.7757899999999</v>
      </c>
    </row>
    <row r="68" spans="1:36">
      <c r="A68" s="28">
        <v>65</v>
      </c>
      <c r="B68" s="31">
        <v>-1713.7041172500001</v>
      </c>
      <c r="C68" s="1">
        <f t="shared" ref="C68:C131" si="4">D68+E68</f>
        <v>-5000</v>
      </c>
      <c r="D68" s="1">
        <f>'[1]links-p0'!N67</f>
        <v>0</v>
      </c>
      <c r="E68" s="28">
        <f>-'[1]links-p0'!O67</f>
        <v>-5000</v>
      </c>
      <c r="H68" s="30">
        <v>-3500</v>
      </c>
      <c r="I68" s="1">
        <f t="shared" ref="I68:I131" si="5">SUM(J68:K68)</f>
        <v>-3500</v>
      </c>
      <c r="J68" s="1">
        <f>'[1]links-p0'!J67</f>
        <v>0</v>
      </c>
      <c r="K68" s="1">
        <f>-'[1]links-p0'!L67</f>
        <v>-3500</v>
      </c>
      <c r="M68" s="1">
        <v>90.651923389999993</v>
      </c>
      <c r="N68" s="1">
        <f t="shared" ref="N68:N131" si="6">SUM(O68:P68)</f>
        <v>128.18461059773401</v>
      </c>
      <c r="O68" s="1">
        <f>'[1]links-p0'!K67</f>
        <v>128.18461059773401</v>
      </c>
      <c r="P68" s="1">
        <f>-'[1]links-p0'!M67</f>
        <v>0</v>
      </c>
      <c r="R68" s="30">
        <v>1817.7133932199999</v>
      </c>
      <c r="S68" s="1">
        <f t="shared" ref="S68:S131" si="7">SUM(T68:U68)</f>
        <v>164.49903545999999</v>
      </c>
      <c r="T68" s="1">
        <f>'[1]links-p0'!Q67</f>
        <v>164.49903545999999</v>
      </c>
      <c r="U68" s="1">
        <f>-'[1]links-p0'!R67</f>
        <v>0</v>
      </c>
      <c r="Z68" s="1">
        <v>-1903.8280427699999</v>
      </c>
      <c r="AA68" s="1">
        <f>'[1]links-p0'!P67</f>
        <v>0</v>
      </c>
      <c r="AI68" s="37">
        <f>-[2]Exchanges!P76</f>
        <v>2698.4194852700002</v>
      </c>
      <c r="AJ68" s="1">
        <f>'[1]links-p0'!V67</f>
        <v>1517.7757899999999</v>
      </c>
    </row>
    <row r="69" spans="1:36">
      <c r="A69" s="28">
        <v>66</v>
      </c>
      <c r="B69" s="31">
        <v>0</v>
      </c>
      <c r="C69" s="1">
        <f t="shared" si="4"/>
        <v>-5000</v>
      </c>
      <c r="D69" s="1">
        <f>'[1]links-p0'!N68</f>
        <v>0</v>
      </c>
      <c r="E69" s="28">
        <f>-'[1]links-p0'!O68</f>
        <v>-5000</v>
      </c>
      <c r="H69" s="30">
        <v>-3500</v>
      </c>
      <c r="I69" s="1">
        <f t="shared" si="5"/>
        <v>-3500</v>
      </c>
      <c r="J69" s="1">
        <f>'[1]links-p0'!J68</f>
        <v>0</v>
      </c>
      <c r="K69" s="1">
        <f>-'[1]links-p0'!L68</f>
        <v>-3500</v>
      </c>
      <c r="M69" s="1">
        <v>525.41192338999997</v>
      </c>
      <c r="N69" s="1">
        <f t="shared" si="6"/>
        <v>946.44046930144373</v>
      </c>
      <c r="O69" s="1">
        <f>'[1]links-p0'!K68</f>
        <v>946.44046930144373</v>
      </c>
      <c r="P69" s="1">
        <f>-'[1]links-p0'!M68</f>
        <v>0</v>
      </c>
      <c r="R69" s="30">
        <v>772.81339321999997</v>
      </c>
      <c r="S69" s="1">
        <f t="shared" si="7"/>
        <v>-1209.94108263</v>
      </c>
      <c r="T69" s="1">
        <f>'[1]links-p0'!Q68</f>
        <v>0</v>
      </c>
      <c r="U69" s="1">
        <f>-'[1]links-p0'!R68</f>
        <v>-1209.94108263</v>
      </c>
      <c r="Z69" s="1">
        <v>-2590.7680427700002</v>
      </c>
      <c r="AA69" s="1">
        <f>'[1]links-p0'!P68</f>
        <v>0</v>
      </c>
      <c r="AI69" s="37">
        <f>-[2]Exchanges!P77</f>
        <v>2698.4194852700002</v>
      </c>
      <c r="AJ69" s="1">
        <f>'[1]links-p0'!V68</f>
        <v>1517.7757899999999</v>
      </c>
    </row>
    <row r="70" spans="1:36">
      <c r="A70" s="28">
        <v>67</v>
      </c>
      <c r="B70" s="31">
        <v>0</v>
      </c>
      <c r="C70" s="1">
        <f t="shared" si="4"/>
        <v>-5000</v>
      </c>
      <c r="D70" s="1">
        <f>'[1]links-p0'!N69</f>
        <v>0</v>
      </c>
      <c r="E70" s="28">
        <f>-'[1]links-p0'!O69</f>
        <v>-5000</v>
      </c>
      <c r="H70" s="30">
        <v>-3500</v>
      </c>
      <c r="I70" s="1">
        <f t="shared" si="5"/>
        <v>-3500</v>
      </c>
      <c r="J70" s="1">
        <f>'[1]links-p0'!J69</f>
        <v>0</v>
      </c>
      <c r="K70" s="1">
        <f>-'[1]links-p0'!L69</f>
        <v>-3500</v>
      </c>
      <c r="M70" s="1">
        <v>303.96191262999997</v>
      </c>
      <c r="N70" s="1">
        <f t="shared" si="6"/>
        <v>765.44888910801353</v>
      </c>
      <c r="O70" s="1">
        <f>'[1]links-p0'!K69</f>
        <v>765.44888910801353</v>
      </c>
      <c r="P70" s="1">
        <f>-'[1]links-p0'!M69</f>
        <v>0</v>
      </c>
      <c r="R70" s="30">
        <v>-272.08660678000001</v>
      </c>
      <c r="S70" s="1">
        <f t="shared" si="7"/>
        <v>-2254.3812007199999</v>
      </c>
      <c r="T70" s="1">
        <f>'[1]links-p0'!Q69</f>
        <v>0</v>
      </c>
      <c r="U70" s="1">
        <f>-'[1]links-p0'!R69</f>
        <v>-2254.3812007199999</v>
      </c>
      <c r="Z70" s="1">
        <v>-2771.9399804999998</v>
      </c>
      <c r="AA70" s="1">
        <f>'[1]links-p0'!P69</f>
        <v>0</v>
      </c>
      <c r="AI70" s="37">
        <f>-[2]Exchanges!P78</f>
        <v>2698.4194852700002</v>
      </c>
      <c r="AJ70" s="1">
        <f>'[1]links-p0'!V69</f>
        <v>1517.7757899999999</v>
      </c>
    </row>
    <row r="71" spans="1:36">
      <c r="A71" s="28">
        <v>68</v>
      </c>
      <c r="B71" s="31">
        <v>-2426.7003472000001</v>
      </c>
      <c r="C71" s="1">
        <f t="shared" si="4"/>
        <v>-5000</v>
      </c>
      <c r="D71" s="1">
        <f>'[1]links-p0'!N70</f>
        <v>0</v>
      </c>
      <c r="E71" s="28">
        <f>-'[1]links-p0'!O70</f>
        <v>-5000</v>
      </c>
      <c r="H71" s="30">
        <v>-3500</v>
      </c>
      <c r="I71" s="1">
        <f t="shared" si="5"/>
        <v>-3500</v>
      </c>
      <c r="J71" s="1">
        <f>'[1]links-p0'!J70</f>
        <v>0</v>
      </c>
      <c r="K71" s="1">
        <f>-'[1]links-p0'!L70</f>
        <v>-3500</v>
      </c>
      <c r="M71" s="1">
        <v>196.44215213000001</v>
      </c>
      <c r="N71" s="1">
        <f t="shared" si="6"/>
        <v>659.9066923014625</v>
      </c>
      <c r="O71" s="1">
        <f>'[1]links-p0'!K70</f>
        <v>659.9066923014625</v>
      </c>
      <c r="P71" s="1">
        <f>-'[1]links-p0'!M70</f>
        <v>0</v>
      </c>
      <c r="R71" s="30">
        <v>-1116.98637882</v>
      </c>
      <c r="S71" s="1">
        <f t="shared" si="7"/>
        <v>-2968.8213188099999</v>
      </c>
      <c r="T71" s="1">
        <f>'[1]links-p0'!Q70</f>
        <v>0</v>
      </c>
      <c r="U71" s="1">
        <f>-'[1]links-p0'!R70</f>
        <v>-2968.8213188099999</v>
      </c>
      <c r="Z71" s="1">
        <v>-2084.9999805000002</v>
      </c>
      <c r="AA71" s="1">
        <f>'[1]links-p0'!P70</f>
        <v>0</v>
      </c>
      <c r="AI71" s="37">
        <f>-[2]Exchanges!P79</f>
        <v>2698.4194852700002</v>
      </c>
      <c r="AJ71" s="1">
        <f>'[1]links-p0'!V70</f>
        <v>1517.7757899999999</v>
      </c>
    </row>
    <row r="72" spans="1:36">
      <c r="A72" s="28">
        <v>69</v>
      </c>
      <c r="B72" s="31">
        <v>-5000</v>
      </c>
      <c r="C72" s="1">
        <f t="shared" si="4"/>
        <v>-5000</v>
      </c>
      <c r="D72" s="1">
        <f>'[1]links-p0'!N71</f>
        <v>0</v>
      </c>
      <c r="E72" s="28">
        <f>-'[1]links-p0'!O71</f>
        <v>-5000</v>
      </c>
      <c r="H72" s="30">
        <v>-3500</v>
      </c>
      <c r="I72" s="1">
        <f t="shared" si="5"/>
        <v>-3500</v>
      </c>
      <c r="J72" s="1">
        <f>'[1]links-p0'!J71</f>
        <v>0</v>
      </c>
      <c r="K72" s="1">
        <f>-'[1]links-p0'!L71</f>
        <v>-3500</v>
      </c>
      <c r="M72" s="1">
        <v>195.57296174999999</v>
      </c>
      <c r="N72" s="1">
        <f t="shared" si="6"/>
        <v>624.72657721573364</v>
      </c>
      <c r="O72" s="1">
        <f>'[1]links-p0'!K71</f>
        <v>624.72657721573364</v>
      </c>
      <c r="P72" s="1">
        <f>-'[1]links-p0'!M71</f>
        <v>0</v>
      </c>
      <c r="R72" s="30">
        <v>-2161.8863788200001</v>
      </c>
      <c r="S72" s="1">
        <f t="shared" si="7"/>
        <v>-4013.2614368899999</v>
      </c>
      <c r="T72" s="1">
        <f>'[1]links-p0'!Q71</f>
        <v>0</v>
      </c>
      <c r="U72" s="1">
        <f>-'[1]links-p0'!R71</f>
        <v>-4013.2614368899999</v>
      </c>
      <c r="Z72" s="1">
        <v>-2085.4598624199998</v>
      </c>
      <c r="AA72" s="1">
        <f>'[1]links-p0'!P71</f>
        <v>0</v>
      </c>
      <c r="AI72" s="37">
        <f>-[2]Exchanges!P80</f>
        <v>2698.4194852700002</v>
      </c>
      <c r="AJ72" s="1">
        <f>'[1]links-p0'!V71</f>
        <v>1517.7757899999999</v>
      </c>
    </row>
    <row r="73" spans="1:36">
      <c r="A73" s="28">
        <v>70</v>
      </c>
      <c r="B73" s="31">
        <v>-5000</v>
      </c>
      <c r="C73" s="1">
        <f t="shared" si="4"/>
        <v>-5000</v>
      </c>
      <c r="D73" s="1">
        <f>'[1]links-p0'!N72</f>
        <v>0</v>
      </c>
      <c r="E73" s="28">
        <f>-'[1]links-p0'!O72</f>
        <v>-5000</v>
      </c>
      <c r="H73" s="30">
        <v>-3500</v>
      </c>
      <c r="I73" s="1">
        <f t="shared" si="5"/>
        <v>-3500</v>
      </c>
      <c r="J73" s="1">
        <f>'[1]links-p0'!J72</f>
        <v>0</v>
      </c>
      <c r="K73" s="1">
        <f>-'[1]links-p0'!L72</f>
        <v>-3500</v>
      </c>
      <c r="M73" s="1">
        <v>190.0866915</v>
      </c>
      <c r="N73" s="1">
        <f t="shared" si="6"/>
        <v>598.56768546584908</v>
      </c>
      <c r="O73" s="1">
        <f>'[1]links-p0'!K72</f>
        <v>598.56768546584908</v>
      </c>
      <c r="P73" s="1">
        <f>-'[1]links-p0'!M72</f>
        <v>0</v>
      </c>
      <c r="R73" s="30">
        <v>-2109.1441418099998</v>
      </c>
      <c r="S73" s="1">
        <f t="shared" si="7"/>
        <v>-5057.7015549799999</v>
      </c>
      <c r="T73" s="1">
        <f>'[1]links-p0'!Q72</f>
        <v>0</v>
      </c>
      <c r="U73" s="1">
        <f>-'[1]links-p0'!R72</f>
        <v>-5057.7015549799999</v>
      </c>
      <c r="Z73" s="1">
        <v>-2085.91974433</v>
      </c>
      <c r="AA73" s="1">
        <f>'[1]links-p0'!P72</f>
        <v>0</v>
      </c>
      <c r="AI73" s="37">
        <f>-[2]Exchanges!P81</f>
        <v>2698.4194852700002</v>
      </c>
      <c r="AJ73" s="1">
        <f>'[1]links-p0'!V72</f>
        <v>1517.7757899999999</v>
      </c>
    </row>
    <row r="74" spans="1:36">
      <c r="A74" s="28">
        <v>71</v>
      </c>
      <c r="B74" s="31">
        <v>-5000</v>
      </c>
      <c r="C74" s="1">
        <f t="shared" si="4"/>
        <v>-5000</v>
      </c>
      <c r="D74" s="1">
        <f>'[1]links-p0'!N73</f>
        <v>0</v>
      </c>
      <c r="E74" s="28">
        <f>-'[1]links-p0'!O73</f>
        <v>-5000</v>
      </c>
      <c r="H74" s="30">
        <v>-3500</v>
      </c>
      <c r="I74" s="1">
        <f t="shared" si="5"/>
        <v>-3500</v>
      </c>
      <c r="J74" s="1">
        <f>'[1]links-p0'!J73</f>
        <v>0</v>
      </c>
      <c r="K74" s="1">
        <f>-'[1]links-p0'!L73</f>
        <v>-3500</v>
      </c>
      <c r="M74" s="1">
        <v>239.4210415</v>
      </c>
      <c r="N74" s="1">
        <f t="shared" si="6"/>
        <v>625.76487201566943</v>
      </c>
      <c r="O74" s="1">
        <f>'[1]links-p0'!K73</f>
        <v>625.76487201566943</v>
      </c>
      <c r="P74" s="1">
        <f>-'[1]links-p0'!M73</f>
        <v>0</v>
      </c>
      <c r="R74" s="30">
        <v>-3040.6195759500001</v>
      </c>
      <c r="S74" s="1">
        <f t="shared" si="7"/>
        <v>-4776.0455759500001</v>
      </c>
      <c r="T74" s="1">
        <f>'[1]links-p0'!Q73</f>
        <v>0</v>
      </c>
      <c r="U74" s="1">
        <f>-'[1]links-p0'!R73</f>
        <v>-4776.0455759500001</v>
      </c>
      <c r="Z74" s="1">
        <v>-2085.91974433</v>
      </c>
      <c r="AA74" s="1">
        <f>'[1]links-p0'!P73</f>
        <v>0</v>
      </c>
      <c r="AI74" s="37">
        <f>-[2]Exchanges!P82</f>
        <v>3010.0779342999999</v>
      </c>
      <c r="AJ74" s="1">
        <f>'[1]links-p0'!V73</f>
        <v>1517.7757899999999</v>
      </c>
    </row>
    <row r="75" spans="1:36">
      <c r="A75" s="28">
        <v>72</v>
      </c>
      <c r="B75" s="31">
        <v>-5000</v>
      </c>
      <c r="C75" s="1">
        <f t="shared" si="4"/>
        <v>-5000</v>
      </c>
      <c r="D75" s="1">
        <f>'[1]links-p0'!N74</f>
        <v>0</v>
      </c>
      <c r="E75" s="28">
        <f>-'[1]links-p0'!O74</f>
        <v>-5000</v>
      </c>
      <c r="H75" s="30">
        <v>-3500</v>
      </c>
      <c r="I75" s="1">
        <f t="shared" si="5"/>
        <v>-3500</v>
      </c>
      <c r="J75" s="1">
        <f>'[1]links-p0'!J74</f>
        <v>0</v>
      </c>
      <c r="K75" s="1">
        <f>-'[1]links-p0'!L74</f>
        <v>-3500</v>
      </c>
      <c r="M75" s="1">
        <v>207.31380093999999</v>
      </c>
      <c r="N75" s="1">
        <f t="shared" si="6"/>
        <v>648.29268199228227</v>
      </c>
      <c r="O75" s="1">
        <f>'[1]links-p0'!K74</f>
        <v>648.29268199228227</v>
      </c>
      <c r="P75" s="1">
        <f>-'[1]links-p0'!M74</f>
        <v>0</v>
      </c>
      <c r="R75" s="30">
        <v>-2917.8826893400001</v>
      </c>
      <c r="S75" s="1">
        <f t="shared" si="7"/>
        <v>-4653.3086893399995</v>
      </c>
      <c r="T75" s="1">
        <f>'[1]links-p0'!Q74</f>
        <v>0</v>
      </c>
      <c r="U75" s="1">
        <f>-'[1]links-p0'!R74</f>
        <v>-4653.3086893399995</v>
      </c>
      <c r="Z75" s="1">
        <v>-2085.9207303799999</v>
      </c>
      <c r="AA75" s="1">
        <f>'[1]links-p0'!P74</f>
        <v>0</v>
      </c>
      <c r="AI75" s="37">
        <f>-[2]Exchanges!P83</f>
        <v>3010.0779342999999</v>
      </c>
      <c r="AJ75" s="1">
        <f>'[1]links-p0'!V74</f>
        <v>1517.7757899999999</v>
      </c>
    </row>
    <row r="76" spans="1:36">
      <c r="A76" s="28">
        <v>73</v>
      </c>
      <c r="B76" s="31">
        <v>-5000</v>
      </c>
      <c r="C76" s="1">
        <f t="shared" si="4"/>
        <v>-5000</v>
      </c>
      <c r="D76" s="1">
        <f>'[1]links-p0'!N75</f>
        <v>0</v>
      </c>
      <c r="E76" s="28">
        <f>-'[1]links-p0'!O75</f>
        <v>-5000</v>
      </c>
      <c r="H76" s="30">
        <v>-3500</v>
      </c>
      <c r="I76" s="1">
        <f t="shared" si="5"/>
        <v>-3500</v>
      </c>
      <c r="J76" s="1">
        <f>'[1]links-p0'!J75</f>
        <v>0</v>
      </c>
      <c r="K76" s="1">
        <f>-'[1]links-p0'!L75</f>
        <v>-3500</v>
      </c>
      <c r="M76" s="1">
        <v>266.54768094000002</v>
      </c>
      <c r="N76" s="1">
        <f t="shared" si="6"/>
        <v>680.94721821813778</v>
      </c>
      <c r="O76" s="1">
        <f>'[1]links-p0'!K75</f>
        <v>680.94721821813778</v>
      </c>
      <c r="P76" s="1">
        <f>-'[1]links-p0'!M75</f>
        <v>0</v>
      </c>
      <c r="R76" s="30">
        <v>-2870.9779593399999</v>
      </c>
      <c r="S76" s="1">
        <f t="shared" si="7"/>
        <v>-4606.4039593400003</v>
      </c>
      <c r="T76" s="1">
        <f>'[1]links-p0'!Q75</f>
        <v>0</v>
      </c>
      <c r="U76" s="1">
        <f>-'[1]links-p0'!R75</f>
        <v>-4606.4039593400003</v>
      </c>
      <c r="Z76" s="1">
        <v>-2085.9207303799999</v>
      </c>
      <c r="AA76" s="1">
        <f>'[1]links-p0'!P75</f>
        <v>0</v>
      </c>
      <c r="AI76" s="37">
        <f>-[2]Exchanges!P84</f>
        <v>3010.0779342999999</v>
      </c>
      <c r="AJ76" s="1">
        <f>'[1]links-p0'!V75</f>
        <v>1517.7757899999999</v>
      </c>
    </row>
    <row r="77" spans="1:36">
      <c r="A77" s="28">
        <v>74</v>
      </c>
      <c r="B77" s="31">
        <v>-5000</v>
      </c>
      <c r="C77" s="1">
        <f t="shared" si="4"/>
        <v>-5000</v>
      </c>
      <c r="D77" s="1">
        <f>'[1]links-p0'!N76</f>
        <v>0</v>
      </c>
      <c r="E77" s="28">
        <f>-'[1]links-p0'!O76</f>
        <v>-5000</v>
      </c>
      <c r="H77" s="30">
        <v>-3500</v>
      </c>
      <c r="I77" s="1">
        <f t="shared" si="5"/>
        <v>-3500</v>
      </c>
      <c r="J77" s="1">
        <f>'[1]links-p0'!J76</f>
        <v>0</v>
      </c>
      <c r="K77" s="1">
        <f>-'[1]links-p0'!L76</f>
        <v>-3500</v>
      </c>
      <c r="M77" s="1">
        <v>274.91219094000002</v>
      </c>
      <c r="N77" s="1">
        <f t="shared" si="6"/>
        <v>685.55847822149303</v>
      </c>
      <c r="O77" s="1">
        <f>'[1]links-p0'!K76</f>
        <v>685.55847822149303</v>
      </c>
      <c r="P77" s="1">
        <f>-'[1]links-p0'!M76</f>
        <v>0</v>
      </c>
      <c r="R77" s="30">
        <v>-2719.6343593400002</v>
      </c>
      <c r="S77" s="1">
        <f t="shared" si="7"/>
        <v>-4455.0603593400001</v>
      </c>
      <c r="T77" s="1">
        <f>'[1]links-p0'!Q76</f>
        <v>0</v>
      </c>
      <c r="U77" s="1">
        <f>-'[1]links-p0'!R76</f>
        <v>-4455.0603593400001</v>
      </c>
      <c r="Z77" s="1">
        <v>-2085.9207303799999</v>
      </c>
      <c r="AA77" s="1">
        <f>'[1]links-p0'!P76</f>
        <v>0</v>
      </c>
      <c r="AI77" s="37">
        <f>-[2]Exchanges!P85</f>
        <v>3010.0779342999999</v>
      </c>
      <c r="AJ77" s="1">
        <f>'[1]links-p0'!V76</f>
        <v>1517.7757899999999</v>
      </c>
    </row>
    <row r="78" spans="1:36">
      <c r="A78" s="28">
        <v>75</v>
      </c>
      <c r="B78" s="31">
        <v>-5000</v>
      </c>
      <c r="C78" s="1">
        <f t="shared" si="4"/>
        <v>-5000</v>
      </c>
      <c r="D78" s="1">
        <f>'[1]links-p0'!N77</f>
        <v>0</v>
      </c>
      <c r="E78" s="28">
        <f>-'[1]links-p0'!O77</f>
        <v>-5000</v>
      </c>
      <c r="H78" s="30">
        <v>-3500</v>
      </c>
      <c r="I78" s="1">
        <f t="shared" si="5"/>
        <v>-3500</v>
      </c>
      <c r="J78" s="1">
        <f>'[1]links-p0'!J77</f>
        <v>0</v>
      </c>
      <c r="K78" s="1">
        <f>-'[1]links-p0'!L77</f>
        <v>-3500</v>
      </c>
      <c r="M78" s="1">
        <v>268.44196094</v>
      </c>
      <c r="N78" s="1">
        <f t="shared" si="6"/>
        <v>681.99141369995664</v>
      </c>
      <c r="O78" s="1">
        <f>'[1]links-p0'!K77</f>
        <v>681.99141369995664</v>
      </c>
      <c r="P78" s="1">
        <f>-'[1]links-p0'!M77</f>
        <v>0</v>
      </c>
      <c r="R78" s="30">
        <v>-2499.1971093400002</v>
      </c>
      <c r="S78" s="1">
        <f t="shared" si="7"/>
        <v>-4234.6231093400002</v>
      </c>
      <c r="T78" s="1">
        <f>'[1]links-p0'!Q77</f>
        <v>0</v>
      </c>
      <c r="U78" s="1">
        <f>-'[1]links-p0'!R77</f>
        <v>-4234.6231093400002</v>
      </c>
      <c r="Z78" s="1">
        <v>-2085.9207303799999</v>
      </c>
      <c r="AA78" s="1">
        <f>'[1]links-p0'!P77</f>
        <v>0</v>
      </c>
      <c r="AI78" s="37">
        <f>-[2]Exchanges!P86</f>
        <v>3010.0779342999999</v>
      </c>
      <c r="AJ78" s="1">
        <f>'[1]links-p0'!V77</f>
        <v>1517.7757899999999</v>
      </c>
    </row>
    <row r="79" spans="1:36">
      <c r="A79" s="28">
        <v>76</v>
      </c>
      <c r="B79" s="31">
        <v>-5000</v>
      </c>
      <c r="C79" s="1">
        <f t="shared" si="4"/>
        <v>-5000</v>
      </c>
      <c r="D79" s="1">
        <f>'[1]links-p0'!N78</f>
        <v>0</v>
      </c>
      <c r="E79" s="28">
        <f>-'[1]links-p0'!O78</f>
        <v>-5000</v>
      </c>
      <c r="H79" s="30">
        <v>-3500</v>
      </c>
      <c r="I79" s="1">
        <f t="shared" si="5"/>
        <v>-3500</v>
      </c>
      <c r="J79" s="1">
        <f>'[1]links-p0'!J78</f>
        <v>0</v>
      </c>
      <c r="K79" s="1">
        <f>-'[1]links-p0'!L78</f>
        <v>-3500</v>
      </c>
      <c r="M79" s="1">
        <v>239.86872094</v>
      </c>
      <c r="N79" s="1">
        <f t="shared" si="6"/>
        <v>666.23946788919966</v>
      </c>
      <c r="O79" s="1">
        <f>'[1]links-p0'!K78</f>
        <v>666.23946788919966</v>
      </c>
      <c r="P79" s="1">
        <f>-'[1]links-p0'!M78</f>
        <v>0</v>
      </c>
      <c r="R79" s="30">
        <v>-1900.2376076400001</v>
      </c>
      <c r="S79" s="1">
        <f t="shared" si="7"/>
        <v>-3941.6156821</v>
      </c>
      <c r="T79" s="1">
        <f>'[1]links-p0'!Q78</f>
        <v>0</v>
      </c>
      <c r="U79" s="1">
        <f>-'[1]links-p0'!R78</f>
        <v>-3941.6156821</v>
      </c>
      <c r="Z79" s="1">
        <v>-2391.4129229300001</v>
      </c>
      <c r="AA79" s="1">
        <f>'[1]links-p0'!P78</f>
        <v>0</v>
      </c>
      <c r="AI79" s="37">
        <f>-[2]Exchanges!P87</f>
        <v>3010.0779342999999</v>
      </c>
      <c r="AJ79" s="1">
        <f>'[1]links-p0'!V78</f>
        <v>1517.7757899999999</v>
      </c>
    </row>
    <row r="80" spans="1:36">
      <c r="A80" s="28">
        <v>77</v>
      </c>
      <c r="B80" s="31">
        <v>-5000</v>
      </c>
      <c r="C80" s="1">
        <f t="shared" si="4"/>
        <v>-5000</v>
      </c>
      <c r="D80" s="1">
        <f>'[1]links-p0'!N79</f>
        <v>0</v>
      </c>
      <c r="E80" s="28">
        <f>-'[1]links-p0'!O79</f>
        <v>-5000</v>
      </c>
      <c r="H80" s="30">
        <v>-3500</v>
      </c>
      <c r="I80" s="1">
        <f t="shared" si="5"/>
        <v>-3500</v>
      </c>
      <c r="J80" s="1">
        <f>'[1]links-p0'!J79</f>
        <v>0</v>
      </c>
      <c r="K80" s="1">
        <f>-'[1]links-p0'!L79</f>
        <v>-3500</v>
      </c>
      <c r="M80" s="1">
        <v>296.68424742000002</v>
      </c>
      <c r="N80" s="1">
        <f t="shared" si="6"/>
        <v>741.51578428955816</v>
      </c>
      <c r="O80" s="1">
        <f>'[1]links-p0'!K79</f>
        <v>741.51578428955816</v>
      </c>
      <c r="P80" s="1">
        <f>-'[1]links-p0'!M79</f>
        <v>0</v>
      </c>
      <c r="R80" s="30">
        <v>-1075.13259582</v>
      </c>
      <c r="S80" s="1">
        <f t="shared" si="7"/>
        <v>-3075.42857749</v>
      </c>
      <c r="T80" s="1">
        <f>'[1]links-p0'!Q79</f>
        <v>0</v>
      </c>
      <c r="U80" s="1">
        <f>-'[1]links-p0'!R79</f>
        <v>-3075.42857749</v>
      </c>
      <c r="Z80" s="1">
        <v>-3078.3529229300002</v>
      </c>
      <c r="AA80" s="1">
        <f>'[1]links-p0'!P79</f>
        <v>0</v>
      </c>
      <c r="AI80" s="37">
        <f>-[2]Exchanges!P88</f>
        <v>3010.0779342999999</v>
      </c>
      <c r="AJ80" s="1">
        <f>'[1]links-p0'!V79</f>
        <v>1517.7757899999999</v>
      </c>
    </row>
    <row r="81" spans="1:36">
      <c r="A81" s="28">
        <v>78</v>
      </c>
      <c r="B81" s="31">
        <v>-5000</v>
      </c>
      <c r="C81" s="1">
        <f t="shared" si="4"/>
        <v>-5000</v>
      </c>
      <c r="D81" s="1">
        <f>'[1]links-p0'!N80</f>
        <v>0</v>
      </c>
      <c r="E81" s="28">
        <f>-'[1]links-p0'!O80</f>
        <v>-5000</v>
      </c>
      <c r="H81" s="30">
        <v>-3500</v>
      </c>
      <c r="I81" s="1">
        <f t="shared" si="5"/>
        <v>-3500</v>
      </c>
      <c r="J81" s="1">
        <f>'[1]links-p0'!J80</f>
        <v>0</v>
      </c>
      <c r="K81" s="1">
        <f>-'[1]links-p0'!L80</f>
        <v>-3500</v>
      </c>
      <c r="M81" s="1">
        <v>346.00714389000001</v>
      </c>
      <c r="N81" s="1">
        <f t="shared" si="6"/>
        <v>812.66123599646221</v>
      </c>
      <c r="O81" s="1">
        <f>'[1]links-p0'!K80</f>
        <v>812.66123599646221</v>
      </c>
      <c r="P81" s="1">
        <f>-'[1]links-p0'!M80</f>
        <v>0</v>
      </c>
      <c r="R81" s="30">
        <v>-30.23259582</v>
      </c>
      <c r="S81" s="1">
        <f t="shared" si="7"/>
        <v>-2030.9884594</v>
      </c>
      <c r="T81" s="1">
        <f>'[1]links-p0'!Q80</f>
        <v>0</v>
      </c>
      <c r="U81" s="1">
        <f>-'[1]links-p0'!R80</f>
        <v>-2030.9884594</v>
      </c>
      <c r="Z81" s="1">
        <v>-3177.75954907</v>
      </c>
      <c r="AA81" s="1">
        <f>'[1]links-p0'!P80</f>
        <v>0</v>
      </c>
      <c r="AI81" s="37">
        <f>-[2]Exchanges!P89</f>
        <v>3010.0779342999999</v>
      </c>
      <c r="AJ81" s="1">
        <f>'[1]links-p0'!V80</f>
        <v>1517.7757899999999</v>
      </c>
    </row>
    <row r="82" spans="1:36">
      <c r="A82" s="28">
        <v>79</v>
      </c>
      <c r="B82" s="31">
        <v>-5000</v>
      </c>
      <c r="C82" s="1">
        <f t="shared" si="4"/>
        <v>-5000</v>
      </c>
      <c r="D82" s="1">
        <f>'[1]links-p0'!N81</f>
        <v>0</v>
      </c>
      <c r="E82" s="28">
        <f>-'[1]links-p0'!O81</f>
        <v>-5000</v>
      </c>
      <c r="H82" s="30">
        <v>-3500</v>
      </c>
      <c r="I82" s="1">
        <f t="shared" si="5"/>
        <v>-3500</v>
      </c>
      <c r="J82" s="1">
        <f>'[1]links-p0'!J81</f>
        <v>0</v>
      </c>
      <c r="K82" s="1">
        <f>-'[1]links-p0'!L81</f>
        <v>-3500</v>
      </c>
      <c r="M82" s="1">
        <v>426.13806634000002</v>
      </c>
      <c r="N82" s="1">
        <f t="shared" si="6"/>
        <v>898.47742775705206</v>
      </c>
      <c r="O82" s="1">
        <f>'[1]links-p0'!K81</f>
        <v>898.47742775705206</v>
      </c>
      <c r="P82" s="1">
        <f>-'[1]links-p0'!M81</f>
        <v>0</v>
      </c>
      <c r="R82" s="30">
        <v>1014.6674041799999</v>
      </c>
      <c r="S82" s="1">
        <f t="shared" si="7"/>
        <v>-986.54834132000019</v>
      </c>
      <c r="T82" s="1">
        <f>'[1]links-p0'!Q81</f>
        <v>0</v>
      </c>
      <c r="U82" s="1">
        <f>-'[1]links-p0'!R81</f>
        <v>-986.54834132000019</v>
      </c>
      <c r="Z82" s="1">
        <v>-2590.7690288200001</v>
      </c>
      <c r="AA82" s="1">
        <f>'[1]links-p0'!P81</f>
        <v>0</v>
      </c>
      <c r="AI82" s="37">
        <f>-[2]Exchanges!P90</f>
        <v>3010.0779342999999</v>
      </c>
      <c r="AJ82" s="1">
        <f>'[1]links-p0'!V81</f>
        <v>1517.7757899999999</v>
      </c>
    </row>
    <row r="83" spans="1:36">
      <c r="A83" s="28">
        <v>80</v>
      </c>
      <c r="B83" s="31">
        <v>-5000</v>
      </c>
      <c r="C83" s="1">
        <f t="shared" si="4"/>
        <v>-5000</v>
      </c>
      <c r="D83" s="1">
        <f>'[1]links-p0'!N82</f>
        <v>0</v>
      </c>
      <c r="E83" s="28">
        <f>-'[1]links-p0'!O82</f>
        <v>-5000</v>
      </c>
      <c r="H83" s="30">
        <v>-3500</v>
      </c>
      <c r="I83" s="1">
        <f t="shared" si="5"/>
        <v>-3500</v>
      </c>
      <c r="J83" s="1">
        <f>'[1]links-p0'!J82</f>
        <v>0</v>
      </c>
      <c r="K83" s="1">
        <f>-'[1]links-p0'!L82</f>
        <v>-3500</v>
      </c>
      <c r="M83" s="1">
        <v>499.56901282000001</v>
      </c>
      <c r="N83" s="1">
        <f t="shared" si="6"/>
        <v>982.91350713543761</v>
      </c>
      <c r="O83" s="1">
        <f>'[1]links-p0'!K82</f>
        <v>982.91350713543761</v>
      </c>
      <c r="P83" s="1">
        <f>-'[1]links-p0'!M82</f>
        <v>0</v>
      </c>
      <c r="R83" s="30">
        <v>2059.5674041799998</v>
      </c>
      <c r="S83" s="1">
        <f t="shared" si="7"/>
        <v>58.351658679999673</v>
      </c>
      <c r="T83" s="1">
        <f>'[1]links-p0'!Q82</f>
        <v>58.351658679999673</v>
      </c>
      <c r="U83" s="1">
        <f>-'[1]links-p0'!R82</f>
        <v>0</v>
      </c>
      <c r="Z83" s="1">
        <v>-1903.8290288200001</v>
      </c>
      <c r="AA83" s="1">
        <f>'[1]links-p0'!P82</f>
        <v>0</v>
      </c>
      <c r="AI83" s="37">
        <f>-[2]Exchanges!P91</f>
        <v>3010.0779342999999</v>
      </c>
      <c r="AJ83" s="1">
        <f>'[1]links-p0'!V82</f>
        <v>1517.7757899999999</v>
      </c>
    </row>
    <row r="84" spans="1:36">
      <c r="A84" s="28">
        <v>81</v>
      </c>
      <c r="B84" s="31">
        <v>-5000</v>
      </c>
      <c r="C84" s="1">
        <f t="shared" si="4"/>
        <v>-5000</v>
      </c>
      <c r="D84" s="1">
        <f>'[1]links-p0'!N83</f>
        <v>0</v>
      </c>
      <c r="E84" s="28">
        <f>-'[1]links-p0'!O83</f>
        <v>-5000</v>
      </c>
      <c r="H84" s="30">
        <v>-3500</v>
      </c>
      <c r="I84" s="1">
        <f t="shared" si="5"/>
        <v>-3500</v>
      </c>
      <c r="J84" s="1">
        <f>'[1]links-p0'!J83</f>
        <v>0</v>
      </c>
      <c r="K84" s="1">
        <f>-'[1]links-p0'!L83</f>
        <v>-3500</v>
      </c>
      <c r="M84" s="1">
        <v>268.03801282000001</v>
      </c>
      <c r="N84" s="1">
        <f t="shared" si="6"/>
        <v>720.45270640267233</v>
      </c>
      <c r="O84" s="1">
        <f>'[1]links-p0'!K83</f>
        <v>720.45270640267233</v>
      </c>
      <c r="P84" s="1">
        <f>-'[1]links-p0'!M83</f>
        <v>0</v>
      </c>
      <c r="R84" s="30">
        <v>3104.4674041799999</v>
      </c>
      <c r="S84" s="1">
        <f t="shared" si="7"/>
        <v>1103.25165868</v>
      </c>
      <c r="T84" s="1">
        <f>'[1]links-p0'!Q83</f>
        <v>1103.25165868</v>
      </c>
      <c r="U84" s="1">
        <f>-'[1]links-p0'!R83</f>
        <v>0</v>
      </c>
      <c r="Z84" s="1">
        <v>-1216.88902882</v>
      </c>
      <c r="AA84" s="1">
        <f>'[1]links-p0'!P83</f>
        <v>0</v>
      </c>
      <c r="AI84" s="37">
        <f>-[2]Exchanges!P92</f>
        <v>3010.0779342999999</v>
      </c>
      <c r="AJ84" s="1">
        <f>'[1]links-p0'!V83</f>
        <v>1517.7757899999999</v>
      </c>
    </row>
    <row r="85" spans="1:36">
      <c r="A85" s="28">
        <v>82</v>
      </c>
      <c r="B85" s="31">
        <v>-5000</v>
      </c>
      <c r="C85" s="1">
        <f t="shared" si="4"/>
        <v>-5000</v>
      </c>
      <c r="D85" s="1">
        <f>'[1]links-p0'!N84</f>
        <v>0</v>
      </c>
      <c r="E85" s="28">
        <f>-'[1]links-p0'!O84</f>
        <v>-5000</v>
      </c>
      <c r="H85" s="30">
        <v>-3500</v>
      </c>
      <c r="I85" s="1">
        <f t="shared" si="5"/>
        <v>-3500</v>
      </c>
      <c r="J85" s="1">
        <f>'[1]links-p0'!J84</f>
        <v>0</v>
      </c>
      <c r="K85" s="1">
        <f>-'[1]links-p0'!L84</f>
        <v>-3500</v>
      </c>
      <c r="M85" s="1">
        <v>-166.72198718000001</v>
      </c>
      <c r="N85" s="1">
        <f t="shared" si="6"/>
        <v>-51.416885861837947</v>
      </c>
      <c r="O85" s="1">
        <f>'[1]links-p0'!K84</f>
        <v>0</v>
      </c>
      <c r="P85" s="1">
        <f>-'[1]links-p0'!M84</f>
        <v>-51.416885861837947</v>
      </c>
      <c r="R85" s="30">
        <v>4149.3674041800004</v>
      </c>
      <c r="S85" s="1">
        <f t="shared" si="7"/>
        <v>2148.1516586799999</v>
      </c>
      <c r="T85" s="1">
        <f>'[1]links-p0'!Q84</f>
        <v>2148.1516586799999</v>
      </c>
      <c r="U85" s="1">
        <f>-'[1]links-p0'!R84</f>
        <v>0</v>
      </c>
      <c r="Z85" s="1">
        <v>-529.94902881999997</v>
      </c>
      <c r="AA85" s="1">
        <f>'[1]links-p0'!P84</f>
        <v>0</v>
      </c>
      <c r="AI85" s="37">
        <f>-[2]Exchanges!P93</f>
        <v>2083.5681766600001</v>
      </c>
      <c r="AJ85" s="1">
        <f>'[1]links-p0'!V84</f>
        <v>1517.7757899999999</v>
      </c>
    </row>
    <row r="86" spans="1:36">
      <c r="A86" s="28">
        <v>83</v>
      </c>
      <c r="B86" s="31">
        <v>1465.05731816</v>
      </c>
      <c r="C86" s="1">
        <f t="shared" si="4"/>
        <v>0</v>
      </c>
      <c r="D86" s="1">
        <f>'[1]links-p0'!N85</f>
        <v>0</v>
      </c>
      <c r="E86" s="28">
        <f>-'[1]links-p0'!O85</f>
        <v>0</v>
      </c>
      <c r="H86" s="30">
        <v>-3500</v>
      </c>
      <c r="I86" s="1">
        <f t="shared" si="5"/>
        <v>-3500</v>
      </c>
      <c r="J86" s="1">
        <f>'[1]links-p0'!J85</f>
        <v>0</v>
      </c>
      <c r="K86" s="1">
        <f>-'[1]links-p0'!L85</f>
        <v>-3500</v>
      </c>
      <c r="M86" s="1">
        <v>-601.48198718000003</v>
      </c>
      <c r="N86" s="1">
        <f t="shared" si="6"/>
        <v>-925.61024964984313</v>
      </c>
      <c r="O86" s="1">
        <f>'[1]links-p0'!K85</f>
        <v>0</v>
      </c>
      <c r="P86" s="1">
        <f>-'[1]links-p0'!M85</f>
        <v>-925.61024964984313</v>
      </c>
      <c r="R86" s="30">
        <v>5194.2674041800001</v>
      </c>
      <c r="S86" s="1">
        <f t="shared" si="7"/>
        <v>3193.5115406</v>
      </c>
      <c r="T86" s="1">
        <f>'[1]links-p0'!Q85</f>
        <v>3193.5115406</v>
      </c>
      <c r="U86" s="1">
        <f>-'[1]links-p0'!R85</f>
        <v>0</v>
      </c>
      <c r="Z86" s="1">
        <v>156.99097118</v>
      </c>
      <c r="AA86" s="1">
        <f>'[1]links-p0'!P85</f>
        <v>0</v>
      </c>
      <c r="AI86" s="37">
        <f>-[2]Exchanges!P94</f>
        <v>1517.77579117</v>
      </c>
      <c r="AJ86" s="1">
        <f>'[1]links-p0'!V85</f>
        <v>1517.7757899999999</v>
      </c>
    </row>
    <row r="87" spans="1:36">
      <c r="A87" s="28">
        <v>84</v>
      </c>
      <c r="B87" s="31">
        <v>925.17442545999995</v>
      </c>
      <c r="C87" s="1">
        <f t="shared" si="4"/>
        <v>0</v>
      </c>
      <c r="D87" s="1">
        <f>'[1]links-p0'!N86</f>
        <v>0</v>
      </c>
      <c r="E87" s="28">
        <f>-'[1]links-p0'!O86</f>
        <v>0</v>
      </c>
      <c r="H87" s="30">
        <v>-3500</v>
      </c>
      <c r="I87" s="1">
        <f t="shared" si="5"/>
        <v>-3500</v>
      </c>
      <c r="J87" s="1">
        <f>'[1]links-p0'!J86</f>
        <v>0</v>
      </c>
      <c r="K87" s="1">
        <f>-'[1]links-p0'!L86</f>
        <v>-3500</v>
      </c>
      <c r="M87" s="1">
        <v>-1036.24198718</v>
      </c>
      <c r="N87" s="1">
        <f t="shared" si="6"/>
        <v>-1681.055150775132</v>
      </c>
      <c r="O87" s="1">
        <f>'[1]links-p0'!K86</f>
        <v>0</v>
      </c>
      <c r="P87" s="1">
        <f>-'[1]links-p0'!M86</f>
        <v>-1681.055150775132</v>
      </c>
      <c r="R87" s="30">
        <v>6007.1729621900004</v>
      </c>
      <c r="S87" s="1">
        <f t="shared" si="7"/>
        <v>4559.1676298700004</v>
      </c>
      <c r="T87" s="1">
        <f>'[1]links-p0'!Q86</f>
        <v>4559.1676298700004</v>
      </c>
      <c r="U87" s="1">
        <f>-'[1]links-p0'!R86</f>
        <v>0</v>
      </c>
      <c r="Z87" s="1">
        <v>0</v>
      </c>
      <c r="AA87" s="1">
        <f>'[1]links-p0'!P86</f>
        <v>0</v>
      </c>
      <c r="AI87" s="37">
        <f>-[2]Exchanges!P95</f>
        <v>1517.77579117</v>
      </c>
      <c r="AJ87" s="1">
        <f>'[1]links-p0'!V86</f>
        <v>1517.7757899999999</v>
      </c>
    </row>
    <row r="88" spans="1:36">
      <c r="A88" s="28">
        <v>85</v>
      </c>
      <c r="B88" s="31">
        <v>-1513.65472819</v>
      </c>
      <c r="C88" s="1">
        <f t="shared" si="4"/>
        <v>0</v>
      </c>
      <c r="D88" s="1">
        <f>'[1]links-p0'!N87</f>
        <v>0</v>
      </c>
      <c r="E88" s="28">
        <f>-'[1]links-p0'!O87</f>
        <v>0</v>
      </c>
      <c r="H88" s="30">
        <v>-3500</v>
      </c>
      <c r="I88" s="1">
        <f t="shared" si="5"/>
        <v>-3500</v>
      </c>
      <c r="J88" s="1">
        <f>'[1]links-p0'!J87</f>
        <v>0</v>
      </c>
      <c r="K88" s="1">
        <f>-'[1]links-p0'!L87</f>
        <v>-3500</v>
      </c>
      <c r="M88" s="1">
        <v>-1471.00198718</v>
      </c>
      <c r="N88" s="1">
        <f t="shared" si="6"/>
        <v>-2053.9490774608721</v>
      </c>
      <c r="O88" s="1">
        <f>'[1]links-p0'!K87</f>
        <v>0</v>
      </c>
      <c r="P88" s="1">
        <f>-'[1]links-p0'!M87</f>
        <v>-2053.9490774608721</v>
      </c>
      <c r="R88" s="30">
        <v>6774.5788477200003</v>
      </c>
      <c r="S88" s="1">
        <f t="shared" si="7"/>
        <v>5546.2849323600003</v>
      </c>
      <c r="T88" s="1">
        <f>'[1]links-p0'!Q87</f>
        <v>5546.2849323600003</v>
      </c>
      <c r="U88" s="1">
        <f>-'[1]links-p0'!R87</f>
        <v>0</v>
      </c>
      <c r="Z88" s="1">
        <v>0</v>
      </c>
      <c r="AA88" s="1">
        <f>'[1]links-p0'!P87</f>
        <v>0</v>
      </c>
      <c r="AI88" s="37">
        <f>-[2]Exchanges!P96</f>
        <v>1517.77579117</v>
      </c>
      <c r="AJ88" s="1">
        <f>'[1]links-p0'!V87</f>
        <v>1517.7757899999999</v>
      </c>
    </row>
    <row r="89" spans="1:36">
      <c r="A89" s="28">
        <v>86</v>
      </c>
      <c r="B89" s="31">
        <v>-344.47094636999998</v>
      </c>
      <c r="C89" s="1">
        <f t="shared" si="4"/>
        <v>0</v>
      </c>
      <c r="D89" s="1">
        <f>'[1]links-p0'!N88</f>
        <v>0</v>
      </c>
      <c r="E89" s="28">
        <f>-'[1]links-p0'!O88</f>
        <v>0</v>
      </c>
      <c r="H89" s="30">
        <v>-3500</v>
      </c>
      <c r="I89" s="1">
        <f t="shared" si="5"/>
        <v>-3500</v>
      </c>
      <c r="J89" s="1">
        <f>'[1]links-p0'!J88</f>
        <v>0</v>
      </c>
      <c r="K89" s="1">
        <f>-'[1]links-p0'!L88</f>
        <v>-3500</v>
      </c>
      <c r="M89" s="1">
        <v>-1905.76198718</v>
      </c>
      <c r="N89" s="1">
        <f t="shared" si="6"/>
        <v>-2084.7243209659191</v>
      </c>
      <c r="O89" s="1">
        <f>'[1]links-p0'!K88</f>
        <v>0</v>
      </c>
      <c r="P89" s="1">
        <f>-'[1]links-p0'!M88</f>
        <v>-2084.7243209659191</v>
      </c>
      <c r="R89" s="30">
        <v>6775.4986115399997</v>
      </c>
      <c r="S89" s="1">
        <f t="shared" si="7"/>
        <v>5546.7448142699996</v>
      </c>
      <c r="T89" s="1">
        <f>'[1]links-p0'!Q88</f>
        <v>5546.7448142699996</v>
      </c>
      <c r="U89" s="1">
        <f>-'[1]links-p0'!R88</f>
        <v>0</v>
      </c>
      <c r="Z89" s="1">
        <v>0</v>
      </c>
      <c r="AA89" s="1">
        <f>'[1]links-p0'!P88</f>
        <v>0</v>
      </c>
      <c r="AI89" s="37">
        <f>-[2]Exchanges!P97</f>
        <v>1517.77579117</v>
      </c>
      <c r="AJ89" s="1">
        <f>'[1]links-p0'!V88</f>
        <v>1517.7757899999999</v>
      </c>
    </row>
    <row r="90" spans="1:36">
      <c r="A90" s="28">
        <v>87</v>
      </c>
      <c r="B90" s="31">
        <v>0</v>
      </c>
      <c r="C90" s="1">
        <f t="shared" si="4"/>
        <v>-3139.1474637299998</v>
      </c>
      <c r="D90" s="1">
        <f>'[1]links-p0'!N89</f>
        <v>0</v>
      </c>
      <c r="E90" s="28">
        <f>-'[1]links-p0'!O89</f>
        <v>-3139.1474637299998</v>
      </c>
      <c r="H90" s="30">
        <v>-3500</v>
      </c>
      <c r="I90" s="1">
        <f t="shared" si="5"/>
        <v>-3500</v>
      </c>
      <c r="J90" s="1">
        <f>'[1]links-p0'!J89</f>
        <v>0</v>
      </c>
      <c r="K90" s="1">
        <f>-'[1]links-p0'!L89</f>
        <v>-3500</v>
      </c>
      <c r="M90" s="1">
        <v>-1911.70957718</v>
      </c>
      <c r="N90" s="1">
        <f t="shared" si="6"/>
        <v>-1539.678847467098</v>
      </c>
      <c r="O90" s="1">
        <f>'[1]links-p0'!K89</f>
        <v>0</v>
      </c>
      <c r="P90" s="1">
        <f>-'[1]links-p0'!M89</f>
        <v>-1539.678847467098</v>
      </c>
      <c r="R90" s="30">
        <v>6581.3183753699996</v>
      </c>
      <c r="S90" s="1">
        <f t="shared" si="7"/>
        <v>5547.2046961800006</v>
      </c>
      <c r="T90" s="1">
        <f>'[1]links-p0'!Q89</f>
        <v>5547.2046961800006</v>
      </c>
      <c r="U90" s="1">
        <f>-'[1]links-p0'!R89</f>
        <v>0</v>
      </c>
      <c r="Z90" s="1">
        <v>0</v>
      </c>
      <c r="AA90" s="1">
        <f>'[1]links-p0'!P89</f>
        <v>0</v>
      </c>
      <c r="AI90" s="37">
        <f>-[2]Exchanges!P98</f>
        <v>1517.77579117</v>
      </c>
      <c r="AJ90" s="1">
        <f>'[1]links-p0'!V89</f>
        <v>1517.7757899999999</v>
      </c>
    </row>
    <row r="91" spans="1:36">
      <c r="A91" s="28">
        <v>88</v>
      </c>
      <c r="B91" s="31">
        <v>5000</v>
      </c>
      <c r="C91" s="1">
        <f t="shared" si="4"/>
        <v>0</v>
      </c>
      <c r="D91" s="1">
        <f>'[1]links-p0'!N90</f>
        <v>0</v>
      </c>
      <c r="E91" s="28">
        <f>-'[1]links-p0'!O90</f>
        <v>0</v>
      </c>
      <c r="H91" s="30">
        <v>-3500</v>
      </c>
      <c r="I91" s="1">
        <f t="shared" si="5"/>
        <v>-3500</v>
      </c>
      <c r="J91" s="1">
        <f>'[1]links-p0'!J90</f>
        <v>0</v>
      </c>
      <c r="K91" s="1">
        <f>-'[1]links-p0'!L90</f>
        <v>-3500</v>
      </c>
      <c r="M91" s="1">
        <v>-1476.94957718</v>
      </c>
      <c r="N91" s="1">
        <f t="shared" si="6"/>
        <v>-766.82030962720592</v>
      </c>
      <c r="O91" s="1">
        <f>'[1]links-p0'!K90</f>
        <v>0</v>
      </c>
      <c r="P91" s="1">
        <f>-'[1]links-p0'!M90</f>
        <v>-766.82030962720592</v>
      </c>
      <c r="R91" s="30">
        <v>5536.4183753699999</v>
      </c>
      <c r="S91" s="1">
        <f t="shared" si="7"/>
        <v>5225.9887250000002</v>
      </c>
      <c r="T91" s="1">
        <f>'[1]links-p0'!Q90</f>
        <v>5225.9887250000002</v>
      </c>
      <c r="U91" s="1">
        <f>-'[1]links-p0'!R90</f>
        <v>0</v>
      </c>
      <c r="Z91" s="1">
        <v>0</v>
      </c>
      <c r="AA91" s="1">
        <f>'[1]links-p0'!P90</f>
        <v>0</v>
      </c>
      <c r="AI91" s="37">
        <f>-[2]Exchanges!P99</f>
        <v>1517.77579117</v>
      </c>
      <c r="AJ91" s="1">
        <f>'[1]links-p0'!V90</f>
        <v>1517.7757899999999</v>
      </c>
    </row>
    <row r="92" spans="1:36">
      <c r="A92" s="28">
        <v>89</v>
      </c>
      <c r="B92" s="31">
        <v>3497.8971185700002</v>
      </c>
      <c r="C92" s="1">
        <f t="shared" si="4"/>
        <v>-5000</v>
      </c>
      <c r="D92" s="1">
        <f>'[1]links-p0'!N91</f>
        <v>0</v>
      </c>
      <c r="E92" s="28">
        <f>-'[1]links-p0'!O91</f>
        <v>-5000</v>
      </c>
      <c r="H92" s="30">
        <v>-3500</v>
      </c>
      <c r="I92" s="1">
        <f t="shared" si="5"/>
        <v>-3500</v>
      </c>
      <c r="J92" s="1">
        <f>'[1]links-p0'!J91</f>
        <v>0</v>
      </c>
      <c r="K92" s="1">
        <f>-'[1]links-p0'!L91</f>
        <v>-3500</v>
      </c>
      <c r="M92" s="1">
        <v>-1104.87052718</v>
      </c>
      <c r="N92" s="1">
        <f t="shared" si="6"/>
        <v>-149.47337682778721</v>
      </c>
      <c r="O92" s="1">
        <f>'[1]links-p0'!K91</f>
        <v>0</v>
      </c>
      <c r="P92" s="1">
        <f>-'[1]links-p0'!M91</f>
        <v>-149.47337682778721</v>
      </c>
      <c r="R92" s="30">
        <v>5536.4183753699999</v>
      </c>
      <c r="S92" s="1">
        <f t="shared" si="7"/>
        <v>3985.9887250000002</v>
      </c>
      <c r="T92" s="1">
        <f>'[1]links-p0'!Q91</f>
        <v>3985.9887250000002</v>
      </c>
      <c r="U92" s="1">
        <f>-'[1]links-p0'!R91</f>
        <v>0</v>
      </c>
      <c r="Z92" s="1">
        <v>0</v>
      </c>
      <c r="AA92" s="1">
        <f>'[1]links-p0'!P91</f>
        <v>0</v>
      </c>
      <c r="AI92" s="37">
        <f>-[2]Exchanges!P100</f>
        <v>1517.77579117</v>
      </c>
      <c r="AJ92" s="1">
        <f>'[1]links-p0'!V91</f>
        <v>1517.7757899999999</v>
      </c>
    </row>
    <row r="93" spans="1:36">
      <c r="A93" s="28">
        <v>90</v>
      </c>
      <c r="B93" s="31">
        <v>857.40365249000001</v>
      </c>
      <c r="C93" s="1">
        <f t="shared" si="4"/>
        <v>-5000</v>
      </c>
      <c r="D93" s="1">
        <f>'[1]links-p0'!N92</f>
        <v>0</v>
      </c>
      <c r="E93" s="28">
        <f>-'[1]links-p0'!O92</f>
        <v>-5000</v>
      </c>
      <c r="H93" s="30">
        <v>-3500</v>
      </c>
      <c r="I93" s="1">
        <f t="shared" si="5"/>
        <v>-3500</v>
      </c>
      <c r="J93" s="1">
        <f>'[1]links-p0'!J92</f>
        <v>0</v>
      </c>
      <c r="K93" s="1">
        <f>-'[1]links-p0'!L92</f>
        <v>-3500</v>
      </c>
      <c r="M93" s="1">
        <v>-1040.1632571800001</v>
      </c>
      <c r="N93" s="1">
        <f t="shared" si="6"/>
        <v>123.0910581219316</v>
      </c>
      <c r="O93" s="1">
        <f>'[1]links-p0'!K92</f>
        <v>123.0910581219316</v>
      </c>
      <c r="P93" s="1">
        <f>-'[1]links-p0'!M92</f>
        <v>0</v>
      </c>
      <c r="R93" s="30">
        <v>5535.4986115399997</v>
      </c>
      <c r="S93" s="1">
        <f t="shared" si="7"/>
        <v>3985.9887250000002</v>
      </c>
      <c r="T93" s="1">
        <f>'[1]links-p0'!Q92</f>
        <v>3985.9887250000002</v>
      </c>
      <c r="U93" s="1">
        <f>-'[1]links-p0'!R92</f>
        <v>0</v>
      </c>
      <c r="Z93" s="1">
        <v>0</v>
      </c>
      <c r="AA93" s="1">
        <f>'[1]links-p0'!P92</f>
        <v>0</v>
      </c>
      <c r="AI93" s="37">
        <f>-[2]Exchanges!P101</f>
        <v>1517.77579117</v>
      </c>
      <c r="AJ93" s="1">
        <f>'[1]links-p0'!V92</f>
        <v>1517.7757899999999</v>
      </c>
    </row>
    <row r="94" spans="1:36">
      <c r="A94" s="28">
        <v>91</v>
      </c>
      <c r="B94" s="31">
        <v>-453.31010751000002</v>
      </c>
      <c r="C94" s="1">
        <f t="shared" si="4"/>
        <v>-5000</v>
      </c>
      <c r="D94" s="1">
        <f>'[1]links-p0'!N93</f>
        <v>0</v>
      </c>
      <c r="E94" s="28">
        <f>-'[1]links-p0'!O93</f>
        <v>-5000</v>
      </c>
      <c r="H94" s="30">
        <v>-3500</v>
      </c>
      <c r="I94" s="1">
        <f t="shared" si="5"/>
        <v>-3500</v>
      </c>
      <c r="J94" s="1">
        <f>'[1]links-p0'!J93</f>
        <v>0</v>
      </c>
      <c r="K94" s="1">
        <f>-'[1]links-p0'!L93</f>
        <v>-3500</v>
      </c>
      <c r="M94" s="1">
        <v>-1364.6484679299999</v>
      </c>
      <c r="N94" s="1">
        <f t="shared" si="6"/>
        <v>-114.1984983141397</v>
      </c>
      <c r="O94" s="1">
        <f>'[1]links-p0'!K93</f>
        <v>0</v>
      </c>
      <c r="P94" s="1">
        <f>-'[1]links-p0'!M93</f>
        <v>-114.1984983141397</v>
      </c>
      <c r="R94" s="30">
        <v>4490.5986115400001</v>
      </c>
      <c r="S94" s="1">
        <f t="shared" si="7"/>
        <v>3985.9887250000002</v>
      </c>
      <c r="T94" s="1">
        <f>'[1]links-p0'!Q93</f>
        <v>3985.9887250000002</v>
      </c>
      <c r="U94" s="1">
        <f>-'[1]links-p0'!R93</f>
        <v>0</v>
      </c>
      <c r="Z94" s="1">
        <v>-686.94</v>
      </c>
      <c r="AA94" s="1">
        <f>'[1]links-p0'!P93</f>
        <v>0</v>
      </c>
      <c r="AI94" s="37">
        <f>-[2]Exchanges!P102</f>
        <v>1517.77579117</v>
      </c>
      <c r="AJ94" s="1">
        <f>'[1]links-p0'!V93</f>
        <v>1517.7757899999999</v>
      </c>
    </row>
    <row r="95" spans="1:36">
      <c r="A95" s="28">
        <v>92</v>
      </c>
      <c r="B95" s="31">
        <v>-4978.43301049</v>
      </c>
      <c r="C95" s="1">
        <f t="shared" si="4"/>
        <v>-5000</v>
      </c>
      <c r="D95" s="1">
        <f>'[1]links-p0'!N94</f>
        <v>0</v>
      </c>
      <c r="E95" s="28">
        <f>-'[1]links-p0'!O94</f>
        <v>-5000</v>
      </c>
      <c r="H95" s="30">
        <v>-3500</v>
      </c>
      <c r="I95" s="1">
        <f t="shared" si="5"/>
        <v>-3500</v>
      </c>
      <c r="J95" s="1">
        <f>'[1]links-p0'!J94</f>
        <v>0</v>
      </c>
      <c r="K95" s="1">
        <f>-'[1]links-p0'!L94</f>
        <v>-3500</v>
      </c>
      <c r="M95" s="1">
        <v>-1758.0035784300001</v>
      </c>
      <c r="N95" s="1">
        <f t="shared" si="6"/>
        <v>-377.31659670344311</v>
      </c>
      <c r="O95" s="1">
        <f>'[1]links-p0'!K94</f>
        <v>0</v>
      </c>
      <c r="P95" s="1">
        <f>-'[1]links-p0'!M94</f>
        <v>-377.31659670344311</v>
      </c>
      <c r="R95" s="30">
        <v>4147.98775845</v>
      </c>
      <c r="S95" s="1">
        <f t="shared" si="7"/>
        <v>3985.9887250000002</v>
      </c>
      <c r="T95" s="1">
        <f>'[1]links-p0'!Q94</f>
        <v>3985.9887250000002</v>
      </c>
      <c r="U95" s="1">
        <f>-'[1]links-p0'!R94</f>
        <v>0</v>
      </c>
      <c r="Z95" s="1">
        <v>-531.32867454999996</v>
      </c>
      <c r="AA95" s="1">
        <f>'[1]links-p0'!P94</f>
        <v>0</v>
      </c>
      <c r="AI95" s="37">
        <f>-[2]Exchanges!P103</f>
        <v>1517.77579117</v>
      </c>
      <c r="AJ95" s="1">
        <f>'[1]links-p0'!V94</f>
        <v>1517.7757899999999</v>
      </c>
    </row>
    <row r="96" spans="1:36">
      <c r="A96" s="28">
        <v>93</v>
      </c>
      <c r="B96" s="31">
        <v>-4611.2245135499998</v>
      </c>
      <c r="C96" s="1">
        <f t="shared" si="4"/>
        <v>-5000</v>
      </c>
      <c r="D96" s="1">
        <f>'[1]links-p0'!N95</f>
        <v>0</v>
      </c>
      <c r="E96" s="28">
        <f>-'[1]links-p0'!O95</f>
        <v>-5000</v>
      </c>
      <c r="H96" s="30">
        <v>-3500</v>
      </c>
      <c r="I96" s="1">
        <f t="shared" si="5"/>
        <v>-3500</v>
      </c>
      <c r="J96" s="1">
        <f>'[1]links-p0'!J95</f>
        <v>0</v>
      </c>
      <c r="K96" s="1">
        <f>-'[1]links-p0'!L95</f>
        <v>-3500</v>
      </c>
      <c r="M96" s="1">
        <v>-2192.7635784300001</v>
      </c>
      <c r="N96" s="1">
        <f t="shared" si="6"/>
        <v>-686.33920549890877</v>
      </c>
      <c r="O96" s="1">
        <f>'[1]links-p0'!K95</f>
        <v>0</v>
      </c>
      <c r="P96" s="1">
        <f>-'[1]links-p0'!M95</f>
        <v>-686.33920549890877</v>
      </c>
      <c r="R96" s="30">
        <v>4486.91955624</v>
      </c>
      <c r="S96" s="1">
        <f t="shared" si="7"/>
        <v>3985.9887250000002</v>
      </c>
      <c r="T96" s="1">
        <f>'[1]links-p0'!Q95</f>
        <v>3985.9887250000002</v>
      </c>
      <c r="U96" s="1">
        <f>-'[1]links-p0'!R95</f>
        <v>0</v>
      </c>
      <c r="Z96" s="1">
        <v>-686.94</v>
      </c>
      <c r="AA96" s="1">
        <f>'[1]links-p0'!P95</f>
        <v>0</v>
      </c>
      <c r="AI96" s="37">
        <f>-[2]Exchanges!P104</f>
        <v>1517.77579117</v>
      </c>
      <c r="AJ96" s="1">
        <f>'[1]links-p0'!V95</f>
        <v>1517.7757899999999</v>
      </c>
    </row>
    <row r="97" spans="1:36">
      <c r="A97" s="28">
        <v>94</v>
      </c>
      <c r="B97" s="31">
        <v>1757.5649192000001</v>
      </c>
      <c r="C97" s="1">
        <f t="shared" si="4"/>
        <v>-746.27792890000001</v>
      </c>
      <c r="D97" s="1">
        <f>'[1]links-p0'!N96</f>
        <v>0</v>
      </c>
      <c r="E97" s="28">
        <f>-'[1]links-p0'!O96</f>
        <v>-746.27792890000001</v>
      </c>
      <c r="H97" s="30">
        <v>-3500</v>
      </c>
      <c r="I97" s="1">
        <f t="shared" si="5"/>
        <v>-3500</v>
      </c>
      <c r="J97" s="1">
        <f>'[1]links-p0'!J96</f>
        <v>0</v>
      </c>
      <c r="K97" s="1">
        <f>-'[1]links-p0'!L96</f>
        <v>-3500</v>
      </c>
      <c r="M97" s="1">
        <v>-2529.08299906</v>
      </c>
      <c r="N97" s="1">
        <f t="shared" si="6"/>
        <v>-860.23420739545827</v>
      </c>
      <c r="O97" s="1">
        <f>'[1]links-p0'!K96</f>
        <v>0</v>
      </c>
      <c r="P97" s="1">
        <f>-'[1]links-p0'!M96</f>
        <v>-860.23420739545827</v>
      </c>
      <c r="R97" s="30">
        <v>5531.8195562399997</v>
      </c>
      <c r="S97" s="1">
        <f t="shared" si="7"/>
        <v>5031.3486069099999</v>
      </c>
      <c r="T97" s="1">
        <f>'[1]links-p0'!Q96</f>
        <v>5031.3486069099999</v>
      </c>
      <c r="U97" s="1">
        <f>-'[1]links-p0'!R96</f>
        <v>0</v>
      </c>
      <c r="Z97" s="1">
        <v>0</v>
      </c>
      <c r="AA97" s="1">
        <f>'[1]links-p0'!P96</f>
        <v>0</v>
      </c>
      <c r="AI97" s="37">
        <f>-[2]Exchanges!P105</f>
        <v>1517.77579117</v>
      </c>
      <c r="AJ97" s="1">
        <f>'[1]links-p0'!V96</f>
        <v>1517.7757899999999</v>
      </c>
    </row>
    <row r="98" spans="1:36">
      <c r="A98" s="28">
        <v>95</v>
      </c>
      <c r="B98" s="31">
        <v>1144.39219718</v>
      </c>
      <c r="C98" s="1">
        <f t="shared" si="4"/>
        <v>0</v>
      </c>
      <c r="D98" s="1">
        <f>'[1]links-p0'!N97</f>
        <v>0</v>
      </c>
      <c r="E98" s="28">
        <f>-'[1]links-p0'!O97</f>
        <v>0</v>
      </c>
      <c r="H98" s="30">
        <v>-3500</v>
      </c>
      <c r="I98" s="1">
        <f t="shared" si="5"/>
        <v>-3500</v>
      </c>
      <c r="J98" s="1">
        <f>'[1]links-p0'!J97</f>
        <v>0</v>
      </c>
      <c r="K98" s="1">
        <f>-'[1]links-p0'!L97</f>
        <v>-3500</v>
      </c>
      <c r="M98" s="1">
        <v>-2608.4120090599999</v>
      </c>
      <c r="N98" s="1">
        <f t="shared" si="6"/>
        <v>-903.96671862402582</v>
      </c>
      <c r="O98" s="1">
        <f>'[1]links-p0'!K97</f>
        <v>0</v>
      </c>
      <c r="P98" s="1">
        <f>-'[1]links-p0'!M97</f>
        <v>-903.96671862402582</v>
      </c>
      <c r="R98" s="30">
        <v>6576.7195562400002</v>
      </c>
      <c r="S98" s="1">
        <f t="shared" si="7"/>
        <v>5947.5919272000001</v>
      </c>
      <c r="T98" s="1">
        <f>'[1]links-p0'!Q97</f>
        <v>5947.5919272000001</v>
      </c>
      <c r="U98" s="1">
        <f>-'[1]links-p0'!R97</f>
        <v>0</v>
      </c>
      <c r="Z98" s="1">
        <v>0</v>
      </c>
      <c r="AA98" s="1">
        <f>'[1]links-p0'!P97</f>
        <v>0</v>
      </c>
      <c r="AI98" s="37">
        <f>-[2]Exchanges!P106</f>
        <v>1517.77579117</v>
      </c>
      <c r="AJ98" s="1">
        <f>'[1]links-p0'!V97</f>
        <v>1517.7757899999999</v>
      </c>
    </row>
    <row r="99" spans="1:36">
      <c r="A99" s="28">
        <v>96</v>
      </c>
      <c r="B99" s="31">
        <v>0</v>
      </c>
      <c r="C99" s="1">
        <f t="shared" si="4"/>
        <v>0</v>
      </c>
      <c r="D99" s="1">
        <f>'[1]links-p0'!N98</f>
        <v>0</v>
      </c>
      <c r="E99" s="28">
        <f>-'[1]links-p0'!O98</f>
        <v>0</v>
      </c>
      <c r="H99" s="30">
        <v>-3500</v>
      </c>
      <c r="I99" s="1">
        <f t="shared" si="5"/>
        <v>-3500</v>
      </c>
      <c r="J99" s="1">
        <f>'[1]links-p0'!J98</f>
        <v>0</v>
      </c>
      <c r="K99" s="1">
        <f>-'[1]links-p0'!L98</f>
        <v>-3500</v>
      </c>
      <c r="M99" s="1">
        <v>-2540.5300770099998</v>
      </c>
      <c r="N99" s="1">
        <f t="shared" si="6"/>
        <v>-836.69964648763175</v>
      </c>
      <c r="O99" s="1">
        <f>'[1]links-p0'!K98</f>
        <v>0</v>
      </c>
      <c r="P99" s="1">
        <f>-'[1]links-p0'!M98</f>
        <v>-836.69964648763175</v>
      </c>
      <c r="R99" s="30">
        <v>7198.3655444799997</v>
      </c>
      <c r="S99" s="1">
        <f t="shared" si="7"/>
        <v>5544.9043005699996</v>
      </c>
      <c r="T99" s="1">
        <f>'[1]links-p0'!Q98</f>
        <v>5544.9043005699996</v>
      </c>
      <c r="U99" s="1">
        <f>-'[1]links-p0'!R98</f>
        <v>0</v>
      </c>
      <c r="Z99" s="1">
        <v>0</v>
      </c>
      <c r="AA99" s="1">
        <f>'[1]links-p0'!P98</f>
        <v>0</v>
      </c>
      <c r="AI99" s="37">
        <f>-[2]Exchanges!P107</f>
        <v>1517.77579117</v>
      </c>
      <c r="AJ99" s="1">
        <f>'[1]links-p0'!V98</f>
        <v>1517.7757899999999</v>
      </c>
    </row>
    <row r="100" spans="1:36">
      <c r="A100" s="28">
        <v>97</v>
      </c>
      <c r="B100" s="31">
        <v>0</v>
      </c>
      <c r="C100" s="1">
        <f t="shared" si="4"/>
        <v>353.90529597</v>
      </c>
      <c r="D100" s="1">
        <f>'[1]links-p0'!N99</f>
        <v>353.90529597</v>
      </c>
      <c r="E100" s="28">
        <f>-'[1]links-p0'!O99</f>
        <v>0</v>
      </c>
      <c r="H100" s="30">
        <v>-3500</v>
      </c>
      <c r="I100" s="1">
        <f t="shared" si="5"/>
        <v>-3500</v>
      </c>
      <c r="J100" s="1">
        <f>'[1]links-p0'!J99</f>
        <v>0</v>
      </c>
      <c r="K100" s="1">
        <f>-'[1]links-p0'!L99</f>
        <v>-3500</v>
      </c>
      <c r="M100" s="1">
        <v>-2585.5753170100002</v>
      </c>
      <c r="N100" s="1">
        <f t="shared" si="6"/>
        <v>-861.53258409650402</v>
      </c>
      <c r="O100" s="1">
        <f>'[1]links-p0'!K99</f>
        <v>0</v>
      </c>
      <c r="P100" s="1">
        <f>-'[1]links-p0'!M99</f>
        <v>-861.53258409650402</v>
      </c>
      <c r="R100" s="30">
        <v>7249.96700857</v>
      </c>
      <c r="S100" s="1">
        <f t="shared" si="7"/>
        <v>5544.9043005699996</v>
      </c>
      <c r="T100" s="1">
        <f>'[1]links-p0'!Q99</f>
        <v>5544.9043005699996</v>
      </c>
      <c r="U100" s="1">
        <f>-'[1]links-p0'!R99</f>
        <v>0</v>
      </c>
      <c r="Z100" s="1">
        <v>0</v>
      </c>
      <c r="AA100" s="1">
        <f>'[1]links-p0'!P99</f>
        <v>0</v>
      </c>
      <c r="AI100" s="37">
        <f>-[2]Exchanges!P108</f>
        <v>1517.77579117</v>
      </c>
      <c r="AJ100" s="1">
        <f>'[1]links-p0'!V99</f>
        <v>1517.7757899999999</v>
      </c>
    </row>
    <row r="101" spans="1:36">
      <c r="A101" s="28">
        <v>98</v>
      </c>
      <c r="B101" s="31">
        <v>0</v>
      </c>
      <c r="C101" s="1">
        <f t="shared" si="4"/>
        <v>2858.6637063200001</v>
      </c>
      <c r="D101" s="1">
        <f>'[1]links-p0'!N100</f>
        <v>2858.6637063200001</v>
      </c>
      <c r="E101" s="28">
        <f>-'[1]links-p0'!O100</f>
        <v>0</v>
      </c>
      <c r="H101" s="30">
        <v>-3500</v>
      </c>
      <c r="I101" s="1">
        <f t="shared" si="5"/>
        <v>-3500</v>
      </c>
      <c r="J101" s="1">
        <f>'[1]links-p0'!J100</f>
        <v>0</v>
      </c>
      <c r="K101" s="1">
        <f>-'[1]links-p0'!L100</f>
        <v>-3500</v>
      </c>
      <c r="M101" s="1">
        <v>-2608.65031701</v>
      </c>
      <c r="N101" s="1">
        <f t="shared" si="6"/>
        <v>-874.25312986892482</v>
      </c>
      <c r="O101" s="1">
        <f>'[1]links-p0'!K100</f>
        <v>0</v>
      </c>
      <c r="P101" s="1">
        <f>-'[1]links-p0'!M100</f>
        <v>-874.25312986892482</v>
      </c>
      <c r="R101" s="30">
        <v>6205.0670085700003</v>
      </c>
      <c r="S101" s="1">
        <f t="shared" si="7"/>
        <v>6010.2309963100006</v>
      </c>
      <c r="T101" s="1">
        <f>'[1]links-p0'!Q100</f>
        <v>6010.2309963100006</v>
      </c>
      <c r="U101" s="1">
        <f>-'[1]links-p0'!R100</f>
        <v>0</v>
      </c>
      <c r="Z101" s="1">
        <v>0</v>
      </c>
      <c r="AA101" s="1">
        <f>'[1]links-p0'!P100</f>
        <v>0</v>
      </c>
      <c r="AI101" s="37">
        <f>-[2]Exchanges!P109</f>
        <v>1517.77579117</v>
      </c>
      <c r="AJ101" s="1">
        <f>'[1]links-p0'!V100</f>
        <v>1517.7757899999999</v>
      </c>
    </row>
    <row r="102" spans="1:36">
      <c r="A102" s="28">
        <v>99</v>
      </c>
      <c r="B102" s="31">
        <v>0</v>
      </c>
      <c r="C102" s="1">
        <f t="shared" si="4"/>
        <v>0</v>
      </c>
      <c r="D102" s="1">
        <f>'[1]links-p0'!N101</f>
        <v>0</v>
      </c>
      <c r="E102" s="28">
        <f>-'[1]links-p0'!O101</f>
        <v>0</v>
      </c>
      <c r="H102" s="30">
        <v>-3500</v>
      </c>
      <c r="I102" s="1">
        <f t="shared" si="5"/>
        <v>-3500</v>
      </c>
      <c r="J102" s="1">
        <f>'[1]links-p0'!J101</f>
        <v>0</v>
      </c>
      <c r="K102" s="1">
        <f>-'[1]links-p0'!L101</f>
        <v>-3500</v>
      </c>
      <c r="M102" s="1">
        <v>-2508.9450170099999</v>
      </c>
      <c r="N102" s="1">
        <f t="shared" si="6"/>
        <v>-819.28743824172375</v>
      </c>
      <c r="O102" s="1">
        <f>'[1]links-p0'!K101</f>
        <v>0</v>
      </c>
      <c r="P102" s="1">
        <f>-'[1]links-p0'!M101</f>
        <v>-819.28743824172375</v>
      </c>
      <c r="R102" s="30">
        <v>5643.0894331</v>
      </c>
      <c r="S102" s="1">
        <f t="shared" si="7"/>
        <v>6204.9043005699996</v>
      </c>
      <c r="T102" s="1">
        <f>'[1]links-p0'!Q101</f>
        <v>6204.9043005699996</v>
      </c>
      <c r="U102" s="1">
        <f>-'[1]links-p0'!R101</f>
        <v>0</v>
      </c>
      <c r="Z102" s="1">
        <v>0</v>
      </c>
      <c r="AA102" s="1">
        <f>'[1]links-p0'!P101</f>
        <v>0</v>
      </c>
      <c r="AI102" s="37">
        <f>-[2]Exchanges!P110</f>
        <v>1517.77579117</v>
      </c>
      <c r="AJ102" s="1">
        <f>'[1]links-p0'!V101</f>
        <v>1517.7757899999999</v>
      </c>
    </row>
    <row r="103" spans="1:36">
      <c r="A103" s="28">
        <v>100</v>
      </c>
      <c r="B103" s="31">
        <v>0</v>
      </c>
      <c r="C103" s="1">
        <f t="shared" si="4"/>
        <v>0</v>
      </c>
      <c r="D103" s="1">
        <f>'[1]links-p0'!N102</f>
        <v>0</v>
      </c>
      <c r="E103" s="28">
        <f>-'[1]links-p0'!O102</f>
        <v>0</v>
      </c>
      <c r="H103" s="30">
        <v>-3500</v>
      </c>
      <c r="I103" s="1">
        <f t="shared" si="5"/>
        <v>-3500</v>
      </c>
      <c r="J103" s="1">
        <f>'[1]links-p0'!J102</f>
        <v>0</v>
      </c>
      <c r="K103" s="1">
        <f>-'[1]links-p0'!L102</f>
        <v>-3500</v>
      </c>
      <c r="M103" s="1">
        <v>-2369.3796070100002</v>
      </c>
      <c r="N103" s="1">
        <f t="shared" si="6"/>
        <v>-742.34772193640606</v>
      </c>
      <c r="O103" s="1">
        <f>'[1]links-p0'!K102</f>
        <v>0</v>
      </c>
      <c r="P103" s="1">
        <f>-'[1]links-p0'!M102</f>
        <v>-742.34772193640606</v>
      </c>
      <c r="R103" s="30">
        <v>5873.6437379700001</v>
      </c>
      <c r="S103" s="1">
        <f t="shared" si="7"/>
        <v>5545.3641824799997</v>
      </c>
      <c r="T103" s="1">
        <f>'[1]links-p0'!Q102</f>
        <v>5545.3641824799997</v>
      </c>
      <c r="U103" s="1">
        <f>-'[1]links-p0'!R102</f>
        <v>0</v>
      </c>
      <c r="Z103" s="1">
        <v>0</v>
      </c>
      <c r="AA103" s="1">
        <f>'[1]links-p0'!P102</f>
        <v>0</v>
      </c>
      <c r="AI103" s="37">
        <f>-[2]Exchanges!P111</f>
        <v>1517.77579117</v>
      </c>
      <c r="AJ103" s="1">
        <f>'[1]links-p0'!V102</f>
        <v>1517.7757899999999</v>
      </c>
    </row>
    <row r="104" spans="1:36">
      <c r="A104" s="28">
        <v>101</v>
      </c>
      <c r="B104" s="31">
        <v>0</v>
      </c>
      <c r="C104" s="1">
        <f t="shared" si="4"/>
        <v>1329.8327752099999</v>
      </c>
      <c r="D104" s="1">
        <f>'[1]links-p0'!N103</f>
        <v>1329.8327752099999</v>
      </c>
      <c r="E104" s="28">
        <f>-'[1]links-p0'!O103</f>
        <v>0</v>
      </c>
      <c r="H104" s="30">
        <v>-3500</v>
      </c>
      <c r="I104" s="1">
        <f t="shared" si="5"/>
        <v>-3500</v>
      </c>
      <c r="J104" s="1">
        <f>'[1]links-p0'!J103</f>
        <v>0</v>
      </c>
      <c r="K104" s="1">
        <f>-'[1]links-p0'!L103</f>
        <v>-3500</v>
      </c>
      <c r="M104" s="1">
        <v>-2225.5493205299999</v>
      </c>
      <c r="N104" s="1">
        <f t="shared" si="6"/>
        <v>-619.10182454635788</v>
      </c>
      <c r="O104" s="1">
        <f>'[1]links-p0'!K103</f>
        <v>0</v>
      </c>
      <c r="P104" s="1">
        <f>-'[1]links-p0'!M103</f>
        <v>-619.10182454635788</v>
      </c>
      <c r="R104" s="30">
        <v>6206.4466543099998</v>
      </c>
      <c r="S104" s="1">
        <f t="shared" si="7"/>
        <v>5546.2839463100008</v>
      </c>
      <c r="T104" s="1">
        <f>'[1]links-p0'!Q103</f>
        <v>5546.2839463100008</v>
      </c>
      <c r="U104" s="1">
        <f>-'[1]links-p0'!R103</f>
        <v>0</v>
      </c>
      <c r="Z104" s="1">
        <v>0</v>
      </c>
      <c r="AA104" s="1">
        <f>'[1]links-p0'!P103</f>
        <v>0</v>
      </c>
      <c r="AI104" s="37">
        <f>-[2]Exchanges!P112</f>
        <v>1517.77579117</v>
      </c>
      <c r="AJ104" s="1">
        <f>'[1]links-p0'!V103</f>
        <v>1517.7757899999999</v>
      </c>
    </row>
    <row r="105" spans="1:36">
      <c r="A105" s="28">
        <v>102</v>
      </c>
      <c r="B105" s="31">
        <v>0</v>
      </c>
      <c r="C105" s="1">
        <f t="shared" si="4"/>
        <v>3030.0808235099998</v>
      </c>
      <c r="D105" s="1">
        <f>'[1]links-p0'!N104</f>
        <v>3030.0808235099998</v>
      </c>
      <c r="E105" s="28">
        <f>-'[1]links-p0'!O104</f>
        <v>0</v>
      </c>
      <c r="H105" s="30">
        <v>-3500</v>
      </c>
      <c r="I105" s="1">
        <f t="shared" si="5"/>
        <v>-3500</v>
      </c>
      <c r="J105" s="1">
        <f>'[1]links-p0'!J104</f>
        <v>0</v>
      </c>
      <c r="K105" s="1">
        <f>-'[1]links-p0'!L104</f>
        <v>-3500</v>
      </c>
      <c r="M105" s="1">
        <v>-2152.8283740500001</v>
      </c>
      <c r="N105" s="1">
        <f t="shared" si="6"/>
        <v>-535.05736437155019</v>
      </c>
      <c r="O105" s="1">
        <f>'[1]links-p0'!K104</f>
        <v>0</v>
      </c>
      <c r="P105" s="1">
        <f>-'[1]links-p0'!M104</f>
        <v>-535.05736437155019</v>
      </c>
      <c r="R105" s="30">
        <v>6206.9065362199999</v>
      </c>
      <c r="S105" s="1">
        <f t="shared" si="7"/>
        <v>6206.7438282200001</v>
      </c>
      <c r="T105" s="1">
        <f>'[1]links-p0'!Q104</f>
        <v>6206.7438282200001</v>
      </c>
      <c r="U105" s="1">
        <f>-'[1]links-p0'!R104</f>
        <v>0</v>
      </c>
      <c r="Z105" s="1">
        <v>0</v>
      </c>
      <c r="AA105" s="1">
        <f>'[1]links-p0'!P104</f>
        <v>0</v>
      </c>
      <c r="AI105" s="37">
        <f>-[2]Exchanges!P113</f>
        <v>1517.77579117</v>
      </c>
      <c r="AJ105" s="1">
        <f>'[1]links-p0'!V104</f>
        <v>1517.7757899999999</v>
      </c>
    </row>
    <row r="106" spans="1:36">
      <c r="A106" s="28">
        <v>103</v>
      </c>
      <c r="B106" s="31">
        <v>0</v>
      </c>
      <c r="C106" s="1">
        <f t="shared" si="4"/>
        <v>197.61554663999999</v>
      </c>
      <c r="D106" s="1">
        <f>'[1]links-p0'!N105</f>
        <v>197.61554663999999</v>
      </c>
      <c r="E106" s="28">
        <f>-'[1]links-p0'!O105</f>
        <v>0</v>
      </c>
      <c r="H106" s="30">
        <v>-3500</v>
      </c>
      <c r="I106" s="1">
        <f t="shared" si="5"/>
        <v>-3500</v>
      </c>
      <c r="J106" s="1">
        <f>'[1]links-p0'!J105</f>
        <v>0</v>
      </c>
      <c r="K106" s="1">
        <f>-'[1]links-p0'!L105</f>
        <v>-3500</v>
      </c>
      <c r="M106" s="1">
        <v>-1739.04</v>
      </c>
      <c r="N106" s="1">
        <f t="shared" si="6"/>
        <v>-361.23874767143337</v>
      </c>
      <c r="O106" s="1">
        <f>'[1]links-p0'!K105</f>
        <v>0</v>
      </c>
      <c r="P106" s="1">
        <f>-'[1]links-p0'!M105</f>
        <v>-361.23874767143337</v>
      </c>
      <c r="R106" s="30">
        <v>5547.1622018600001</v>
      </c>
      <c r="S106" s="1">
        <f t="shared" si="7"/>
        <v>6207.2037101300002</v>
      </c>
      <c r="T106" s="1">
        <f>'[1]links-p0'!Q105</f>
        <v>6207.2037101300002</v>
      </c>
      <c r="U106" s="1">
        <f>-'[1]links-p0'!R105</f>
        <v>0</v>
      </c>
      <c r="Z106" s="1">
        <v>0</v>
      </c>
      <c r="AA106" s="1">
        <f>'[1]links-p0'!P105</f>
        <v>0</v>
      </c>
      <c r="AI106" s="37">
        <f>-[2]Exchanges!P114</f>
        <v>1517.77579117</v>
      </c>
      <c r="AJ106" s="1">
        <f>'[1]links-p0'!V105</f>
        <v>1517.7757899999999</v>
      </c>
    </row>
    <row r="107" spans="1:36">
      <c r="A107" s="28">
        <v>104</v>
      </c>
      <c r="B107" s="31">
        <v>0</v>
      </c>
      <c r="C107" s="1">
        <f t="shared" si="4"/>
        <v>843.23938495000004</v>
      </c>
      <c r="D107" s="1">
        <f>'[1]links-p0'!N106</f>
        <v>843.23938495000004</v>
      </c>
      <c r="E107" s="28">
        <f>-'[1]links-p0'!O106</f>
        <v>0</v>
      </c>
      <c r="H107" s="30">
        <v>-3500</v>
      </c>
      <c r="I107" s="1">
        <f t="shared" si="5"/>
        <v>-3500</v>
      </c>
      <c r="J107" s="1">
        <f>'[1]links-p0'!J106</f>
        <v>0</v>
      </c>
      <c r="K107" s="1">
        <f>-'[1]links-p0'!L106</f>
        <v>-3500</v>
      </c>
      <c r="M107" s="1">
        <v>-1304.28</v>
      </c>
      <c r="N107" s="1">
        <f t="shared" si="6"/>
        <v>-132.02899165931009</v>
      </c>
      <c r="O107" s="1">
        <f>'[1]links-p0'!K106</f>
        <v>0</v>
      </c>
      <c r="P107" s="1">
        <f>-'[1]links-p0'!M106</f>
        <v>-132.02899165931009</v>
      </c>
      <c r="R107" s="30">
        <v>6198.6586495199999</v>
      </c>
      <c r="S107" s="1">
        <f t="shared" si="7"/>
        <v>6310.3037101300006</v>
      </c>
      <c r="T107" s="1">
        <f>'[1]links-p0'!Q106</f>
        <v>6310.3037101300006</v>
      </c>
      <c r="U107" s="1">
        <f>-'[1]links-p0'!R106</f>
        <v>0</v>
      </c>
      <c r="Z107" s="1">
        <v>0</v>
      </c>
      <c r="AA107" s="1">
        <f>'[1]links-p0'!P106</f>
        <v>0</v>
      </c>
      <c r="AI107" s="37">
        <f>-[2]Exchanges!P115</f>
        <v>1517.77579117</v>
      </c>
      <c r="AJ107" s="1">
        <f>'[1]links-p0'!V106</f>
        <v>1517.7757899999999</v>
      </c>
    </row>
    <row r="108" spans="1:36">
      <c r="A108" s="28">
        <v>105</v>
      </c>
      <c r="B108" s="31">
        <v>0</v>
      </c>
      <c r="C108" s="1">
        <f t="shared" si="4"/>
        <v>5000</v>
      </c>
      <c r="D108" s="1">
        <f>'[1]links-p0'!N107</f>
        <v>5000</v>
      </c>
      <c r="E108" s="28">
        <f>-'[1]links-p0'!O107</f>
        <v>0</v>
      </c>
      <c r="H108" s="30">
        <v>0</v>
      </c>
      <c r="I108" s="1">
        <f t="shared" si="5"/>
        <v>-3500</v>
      </c>
      <c r="J108" s="1">
        <f>'[1]links-p0'!J107</f>
        <v>0</v>
      </c>
      <c r="K108" s="1">
        <f>-'[1]links-p0'!L107</f>
        <v>-3500</v>
      </c>
      <c r="M108" s="1">
        <v>-869.52</v>
      </c>
      <c r="N108" s="1">
        <f t="shared" si="6"/>
        <v>-405.24471567759628</v>
      </c>
      <c r="O108" s="1">
        <f>'[1]links-p0'!K107</f>
        <v>0</v>
      </c>
      <c r="P108" s="1">
        <f>-'[1]links-p0'!M107</f>
        <v>-405.24471567759628</v>
      </c>
      <c r="R108" s="30">
        <v>7243.5586495199996</v>
      </c>
      <c r="S108" s="1">
        <f t="shared" si="7"/>
        <v>7597.6610170000004</v>
      </c>
      <c r="T108" s="1">
        <f>'[1]links-p0'!Q107</f>
        <v>7597.6610170000004</v>
      </c>
      <c r="U108" s="1">
        <f>-'[1]links-p0'!R107</f>
        <v>0</v>
      </c>
      <c r="Z108" s="1">
        <v>0</v>
      </c>
      <c r="AA108" s="1">
        <f>'[1]links-p0'!P107</f>
        <v>87.542693130000004</v>
      </c>
      <c r="AI108" s="37">
        <f>-[2]Exchanges!P116</f>
        <v>1517.77579117</v>
      </c>
      <c r="AJ108" s="1">
        <f>'[1]links-p0'!V107</f>
        <v>1517.7757899999999</v>
      </c>
    </row>
    <row r="109" spans="1:36">
      <c r="A109" s="28">
        <v>106</v>
      </c>
      <c r="B109" s="31">
        <v>0</v>
      </c>
      <c r="C109" s="1">
        <f t="shared" si="4"/>
        <v>5000</v>
      </c>
      <c r="D109" s="1">
        <f>'[1]links-p0'!N108</f>
        <v>5000</v>
      </c>
      <c r="E109" s="28">
        <f>-'[1]links-p0'!O108</f>
        <v>0</v>
      </c>
      <c r="H109" s="30">
        <v>0</v>
      </c>
      <c r="I109" s="1">
        <f t="shared" si="5"/>
        <v>0</v>
      </c>
      <c r="J109" s="1">
        <f>'[1]links-p0'!J108</f>
        <v>0</v>
      </c>
      <c r="K109" s="1">
        <f>-'[1]links-p0'!L108</f>
        <v>0</v>
      </c>
      <c r="M109" s="1">
        <v>-434.76</v>
      </c>
      <c r="N109" s="1">
        <f t="shared" si="6"/>
        <v>0</v>
      </c>
      <c r="O109" s="1">
        <f>'[1]links-p0'!K108</f>
        <v>0</v>
      </c>
      <c r="P109" s="1">
        <f>-'[1]links-p0'!M108</f>
        <v>0</v>
      </c>
      <c r="R109" s="30">
        <v>7627.1186459999999</v>
      </c>
      <c r="S109" s="1">
        <f t="shared" si="7"/>
        <v>7597.6610170000004</v>
      </c>
      <c r="T109" s="1">
        <f>'[1]links-p0'!Q108</f>
        <v>7597.6610170000004</v>
      </c>
      <c r="U109" s="1">
        <f>-'[1]links-p0'!R108</f>
        <v>0</v>
      </c>
      <c r="Z109" s="1">
        <v>0</v>
      </c>
      <c r="AA109" s="1">
        <f>'[1]links-p0'!P108</f>
        <v>87.542693130000004</v>
      </c>
      <c r="AI109" s="37">
        <f>-[2]Exchanges!P117</f>
        <v>1517.77579117</v>
      </c>
      <c r="AJ109" s="1">
        <f>'[1]links-p0'!V108</f>
        <v>1517.7757899999999</v>
      </c>
    </row>
    <row r="110" spans="1:36">
      <c r="A110" s="28">
        <v>107</v>
      </c>
      <c r="B110" s="31">
        <v>0</v>
      </c>
      <c r="C110" s="1">
        <f t="shared" si="4"/>
        <v>5000</v>
      </c>
      <c r="D110" s="1">
        <f>'[1]links-p0'!N109</f>
        <v>5000</v>
      </c>
      <c r="E110" s="28">
        <f>-'[1]links-p0'!O109</f>
        <v>0</v>
      </c>
      <c r="H110" s="30">
        <v>0</v>
      </c>
      <c r="I110" s="1">
        <f t="shared" si="5"/>
        <v>0</v>
      </c>
      <c r="J110" s="1">
        <f>'[1]links-p0'!J109</f>
        <v>0</v>
      </c>
      <c r="K110" s="1">
        <f>-'[1]links-p0'!L109</f>
        <v>0</v>
      </c>
      <c r="M110" s="1">
        <v>0</v>
      </c>
      <c r="N110" s="1">
        <f t="shared" si="6"/>
        <v>0</v>
      </c>
      <c r="O110" s="1">
        <f>'[1]links-p0'!K109</f>
        <v>0</v>
      </c>
      <c r="P110" s="1">
        <f>-'[1]links-p0'!M109</f>
        <v>0</v>
      </c>
      <c r="R110" s="30">
        <v>7627.1186459999999</v>
      </c>
      <c r="S110" s="1">
        <f t="shared" si="7"/>
        <v>7597.6610170000004</v>
      </c>
      <c r="T110" s="1">
        <f>'[1]links-p0'!Q109</f>
        <v>7597.6610170000004</v>
      </c>
      <c r="U110" s="1">
        <f>-'[1]links-p0'!R109</f>
        <v>0</v>
      </c>
      <c r="Z110" s="1">
        <v>0</v>
      </c>
      <c r="AA110" s="1">
        <f>'[1]links-p0'!P109</f>
        <v>87.082811220000025</v>
      </c>
      <c r="AI110" s="37">
        <f>-[2]Exchanges!P118</f>
        <v>1517.77579117</v>
      </c>
      <c r="AJ110" s="1">
        <f>'[1]links-p0'!V109</f>
        <v>1517.7757899999999</v>
      </c>
    </row>
    <row r="111" spans="1:36">
      <c r="A111" s="28">
        <v>108</v>
      </c>
      <c r="B111" s="31">
        <v>0</v>
      </c>
      <c r="C111" s="1">
        <f t="shared" si="4"/>
        <v>5000</v>
      </c>
      <c r="D111" s="1">
        <f>'[1]links-p0'!N110</f>
        <v>5000</v>
      </c>
      <c r="E111" s="28">
        <f>-'[1]links-p0'!O110</f>
        <v>0</v>
      </c>
      <c r="H111" s="30">
        <v>0</v>
      </c>
      <c r="I111" s="1">
        <f t="shared" si="5"/>
        <v>0</v>
      </c>
      <c r="J111" s="1">
        <f>'[1]links-p0'!J110</f>
        <v>0</v>
      </c>
      <c r="K111" s="1">
        <f>-'[1]links-p0'!L110</f>
        <v>0</v>
      </c>
      <c r="M111" s="1">
        <v>0</v>
      </c>
      <c r="N111" s="1">
        <f t="shared" si="6"/>
        <v>0</v>
      </c>
      <c r="O111" s="1">
        <f>'[1]links-p0'!K110</f>
        <v>0</v>
      </c>
      <c r="P111" s="1">
        <f>-'[1]links-p0'!M110</f>
        <v>0</v>
      </c>
      <c r="R111" s="30">
        <v>7627.1186459999999</v>
      </c>
      <c r="S111" s="1">
        <f t="shared" si="7"/>
        <v>7597.6610170000004</v>
      </c>
      <c r="T111" s="1">
        <f>'[1]links-p0'!Q110</f>
        <v>7597.6610170000004</v>
      </c>
      <c r="U111" s="1">
        <f>-'[1]links-p0'!R110</f>
        <v>0</v>
      </c>
      <c r="Z111" s="1">
        <v>0</v>
      </c>
      <c r="AA111" s="1">
        <f>'[1]links-p0'!P110</f>
        <v>86.622929309999961</v>
      </c>
      <c r="AI111" s="37">
        <f>-[2]Exchanges!P119</f>
        <v>1517.77579117</v>
      </c>
      <c r="AJ111" s="1">
        <f>'[1]links-p0'!V110</f>
        <v>1517.7757899999999</v>
      </c>
    </row>
    <row r="112" spans="1:36">
      <c r="A112" s="28">
        <v>109</v>
      </c>
      <c r="B112" s="31">
        <v>0</v>
      </c>
      <c r="C112" s="1">
        <f t="shared" si="4"/>
        <v>5000</v>
      </c>
      <c r="D112" s="1">
        <f>'[1]links-p0'!N111</f>
        <v>5000</v>
      </c>
      <c r="E112" s="28">
        <f>-'[1]links-p0'!O111</f>
        <v>0</v>
      </c>
      <c r="H112" s="30">
        <v>0</v>
      </c>
      <c r="I112" s="1">
        <f t="shared" si="5"/>
        <v>0</v>
      </c>
      <c r="J112" s="1">
        <f>'[1]links-p0'!J111</f>
        <v>0</v>
      </c>
      <c r="K112" s="1">
        <f>-'[1]links-p0'!L111</f>
        <v>0</v>
      </c>
      <c r="M112" s="1">
        <v>0</v>
      </c>
      <c r="N112" s="1">
        <f t="shared" si="6"/>
        <v>0</v>
      </c>
      <c r="O112" s="1">
        <f>'[1]links-p0'!K111</f>
        <v>0</v>
      </c>
      <c r="P112" s="1">
        <f>-'[1]links-p0'!M111</f>
        <v>0</v>
      </c>
      <c r="R112" s="30">
        <v>7627.1186459999999</v>
      </c>
      <c r="S112" s="1">
        <f t="shared" si="7"/>
        <v>7597.6610170000004</v>
      </c>
      <c r="T112" s="1">
        <f>'[1]links-p0'!Q111</f>
        <v>7597.6610170000004</v>
      </c>
      <c r="U112" s="1">
        <f>-'[1]links-p0'!R111</f>
        <v>0</v>
      </c>
      <c r="Z112" s="1">
        <v>0</v>
      </c>
      <c r="AA112" s="1">
        <f>'[1]links-p0'!P111</f>
        <v>86.622929309999961</v>
      </c>
      <c r="AI112" s="37">
        <f>-[2]Exchanges!P120</f>
        <v>1517.77579117</v>
      </c>
      <c r="AJ112" s="1">
        <f>'[1]links-p0'!V111</f>
        <v>1517.7757899999999</v>
      </c>
    </row>
    <row r="113" spans="1:36">
      <c r="A113" s="28">
        <v>110</v>
      </c>
      <c r="B113" s="31">
        <v>0</v>
      </c>
      <c r="C113" s="1">
        <f t="shared" si="4"/>
        <v>5000</v>
      </c>
      <c r="D113" s="1">
        <f>'[1]links-p0'!N112</f>
        <v>5000</v>
      </c>
      <c r="E113" s="28">
        <f>-'[1]links-p0'!O112</f>
        <v>0</v>
      </c>
      <c r="H113" s="30">
        <v>0</v>
      </c>
      <c r="I113" s="1">
        <f t="shared" si="5"/>
        <v>0</v>
      </c>
      <c r="J113" s="1">
        <f>'[1]links-p0'!J112</f>
        <v>0</v>
      </c>
      <c r="K113" s="1">
        <f>-'[1]links-p0'!L112</f>
        <v>0</v>
      </c>
      <c r="M113" s="1">
        <v>0</v>
      </c>
      <c r="N113" s="1">
        <f t="shared" si="6"/>
        <v>0</v>
      </c>
      <c r="O113" s="1">
        <f>'[1]links-p0'!K112</f>
        <v>0</v>
      </c>
      <c r="P113" s="1">
        <f>-'[1]links-p0'!M112</f>
        <v>0</v>
      </c>
      <c r="R113" s="30">
        <v>7627.1186459999999</v>
      </c>
      <c r="S113" s="1">
        <f t="shared" si="7"/>
        <v>7597.6610170000004</v>
      </c>
      <c r="T113" s="1">
        <f>'[1]links-p0'!Q112</f>
        <v>7597.6610170000004</v>
      </c>
      <c r="U113" s="1">
        <f>-'[1]links-p0'!R112</f>
        <v>0</v>
      </c>
      <c r="Z113" s="1">
        <v>0</v>
      </c>
      <c r="AA113" s="1">
        <f>'[1]links-p0'!P112</f>
        <v>87.082811220000025</v>
      </c>
      <c r="AI113" s="37">
        <f>-[2]Exchanges!P121</f>
        <v>1517.77579117</v>
      </c>
      <c r="AJ113" s="1">
        <f>'[1]links-p0'!V112</f>
        <v>1517.7757899999999</v>
      </c>
    </row>
    <row r="114" spans="1:36">
      <c r="A114" s="28">
        <v>111</v>
      </c>
      <c r="B114" s="31">
        <v>0</v>
      </c>
      <c r="C114" s="1">
        <f t="shared" si="4"/>
        <v>5000</v>
      </c>
      <c r="D114" s="1">
        <f>'[1]links-p0'!N113</f>
        <v>5000</v>
      </c>
      <c r="E114" s="28">
        <f>-'[1]links-p0'!O113</f>
        <v>0</v>
      </c>
      <c r="H114" s="30">
        <v>0</v>
      </c>
      <c r="I114" s="1">
        <f t="shared" si="5"/>
        <v>0</v>
      </c>
      <c r="J114" s="1">
        <f>'[1]links-p0'!J113</f>
        <v>0</v>
      </c>
      <c r="K114" s="1">
        <f>-'[1]links-p0'!L113</f>
        <v>0</v>
      </c>
      <c r="M114" s="1">
        <v>0</v>
      </c>
      <c r="N114" s="1">
        <f t="shared" si="6"/>
        <v>0</v>
      </c>
      <c r="O114" s="1">
        <f>'[1]links-p0'!K113</f>
        <v>0</v>
      </c>
      <c r="P114" s="1">
        <f>-'[1]links-p0'!M113</f>
        <v>0</v>
      </c>
      <c r="R114" s="30">
        <v>7627.1186459999999</v>
      </c>
      <c r="S114" s="1">
        <f t="shared" si="7"/>
        <v>7597.6610170000004</v>
      </c>
      <c r="T114" s="1">
        <f>'[1]links-p0'!Q113</f>
        <v>7597.6610170000004</v>
      </c>
      <c r="U114" s="1">
        <f>-'[1]links-p0'!R113</f>
        <v>0</v>
      </c>
      <c r="Z114" s="1">
        <v>0</v>
      </c>
      <c r="AA114" s="1">
        <f>'[1]links-p0'!P113</f>
        <v>87.542693130000004</v>
      </c>
      <c r="AI114" s="37">
        <f>-[2]Exchanges!P122</f>
        <v>1517.77579117</v>
      </c>
      <c r="AJ114" s="1">
        <f>'[1]links-p0'!V113</f>
        <v>1517.7757899999999</v>
      </c>
    </row>
    <row r="115" spans="1:36">
      <c r="A115" s="28">
        <v>112</v>
      </c>
      <c r="B115" s="31">
        <v>5000</v>
      </c>
      <c r="C115" s="1">
        <f t="shared" si="4"/>
        <v>5000</v>
      </c>
      <c r="D115" s="1">
        <f>'[1]links-p0'!N114</f>
        <v>5000</v>
      </c>
      <c r="E115" s="28">
        <f>-'[1]links-p0'!O114</f>
        <v>0</v>
      </c>
      <c r="H115" s="30">
        <v>0</v>
      </c>
      <c r="I115" s="1">
        <f t="shared" si="5"/>
        <v>0</v>
      </c>
      <c r="J115" s="1">
        <f>'[1]links-p0'!J114</f>
        <v>0</v>
      </c>
      <c r="K115" s="1">
        <f>-'[1]links-p0'!L114</f>
        <v>0</v>
      </c>
      <c r="M115" s="1">
        <v>0</v>
      </c>
      <c r="N115" s="1">
        <f t="shared" si="6"/>
        <v>0</v>
      </c>
      <c r="O115" s="1">
        <f>'[1]links-p0'!K114</f>
        <v>0</v>
      </c>
      <c r="P115" s="1">
        <f>-'[1]links-p0'!M114</f>
        <v>0</v>
      </c>
      <c r="R115" s="30">
        <v>7627.1186459999999</v>
      </c>
      <c r="S115" s="1">
        <f t="shared" si="7"/>
        <v>7597.6610170000004</v>
      </c>
      <c r="T115" s="1">
        <f>'[1]links-p0'!Q114</f>
        <v>7597.6610170000004</v>
      </c>
      <c r="U115" s="1">
        <f>-'[1]links-p0'!R114</f>
        <v>0</v>
      </c>
      <c r="Z115" s="1">
        <v>627.29775727000003</v>
      </c>
      <c r="AA115" s="1">
        <f>'[1]links-p0'!P114</f>
        <v>87.542693130000004</v>
      </c>
      <c r="AI115" s="37">
        <f>-[2]Exchanges!P123</f>
        <v>1517.77579117</v>
      </c>
      <c r="AJ115" s="1">
        <f>'[1]links-p0'!V114</f>
        <v>1517.7757899999999</v>
      </c>
    </row>
    <row r="116" spans="1:36">
      <c r="A116" s="28">
        <v>113</v>
      </c>
      <c r="B116" s="31">
        <v>3762.3537583100001</v>
      </c>
      <c r="C116" s="1">
        <f t="shared" si="4"/>
        <v>5000</v>
      </c>
      <c r="D116" s="1">
        <f>'[1]links-p0'!N115</f>
        <v>5000</v>
      </c>
      <c r="E116" s="28">
        <f>-'[1]links-p0'!O115</f>
        <v>0</v>
      </c>
      <c r="H116" s="30">
        <v>-3500</v>
      </c>
      <c r="I116" s="1">
        <f t="shared" si="5"/>
        <v>-3500</v>
      </c>
      <c r="J116" s="1">
        <f>'[1]links-p0'!J115</f>
        <v>0</v>
      </c>
      <c r="K116" s="1">
        <f>-'[1]links-p0'!L115</f>
        <v>-3500</v>
      </c>
      <c r="M116" s="1">
        <v>-434.76</v>
      </c>
      <c r="N116" s="1">
        <f t="shared" si="6"/>
        <v>-431.75987302849148</v>
      </c>
      <c r="O116" s="1">
        <f>'[1]links-p0'!K115</f>
        <v>0</v>
      </c>
      <c r="P116" s="1">
        <f>-'[1]links-p0'!M115</f>
        <v>-431.75987302849148</v>
      </c>
      <c r="R116" s="30">
        <v>7627.1186459999999</v>
      </c>
      <c r="S116" s="1">
        <f t="shared" si="7"/>
        <v>7025.2037101300002</v>
      </c>
      <c r="T116" s="1">
        <f>'[1]links-p0'!Q115</f>
        <v>7025.2037101300002</v>
      </c>
      <c r="U116" s="1">
        <f>-'[1]links-p0'!R115</f>
        <v>0</v>
      </c>
      <c r="Z116" s="1">
        <v>0</v>
      </c>
      <c r="AA116" s="1">
        <f>'[1]links-p0'!P115</f>
        <v>0</v>
      </c>
      <c r="AI116" s="37">
        <f>-[2]Exchanges!P124</f>
        <v>1517.77579117</v>
      </c>
      <c r="AJ116" s="1">
        <f>'[1]links-p0'!V115</f>
        <v>1517.7757899999999</v>
      </c>
    </row>
    <row r="117" spans="1:36">
      <c r="A117" s="28">
        <v>114</v>
      </c>
      <c r="B117" s="31">
        <v>4083.94558951</v>
      </c>
      <c r="C117" s="1">
        <f t="shared" si="4"/>
        <v>5000</v>
      </c>
      <c r="D117" s="1">
        <f>'[1]links-p0'!N116</f>
        <v>5000</v>
      </c>
      <c r="E117" s="28">
        <f>-'[1]links-p0'!O116</f>
        <v>0</v>
      </c>
      <c r="H117" s="30">
        <v>-3500</v>
      </c>
      <c r="I117" s="1">
        <f t="shared" si="5"/>
        <v>0</v>
      </c>
      <c r="J117" s="1">
        <f>'[1]links-p0'!J116</f>
        <v>0</v>
      </c>
      <c r="K117" s="1">
        <f>-'[1]links-p0'!L116</f>
        <v>0</v>
      </c>
      <c r="M117" s="1">
        <v>-709.51316512999995</v>
      </c>
      <c r="N117" s="1">
        <f t="shared" si="6"/>
        <v>329.59331874529681</v>
      </c>
      <c r="O117" s="1">
        <f>'[1]links-p0'!K116</f>
        <v>329.59331874529681</v>
      </c>
      <c r="P117" s="1">
        <f>-'[1]links-p0'!M116</f>
        <v>0</v>
      </c>
      <c r="R117" s="30">
        <v>6942.5788282200001</v>
      </c>
      <c r="S117" s="1">
        <f t="shared" si="7"/>
        <v>6373.7442540200009</v>
      </c>
      <c r="T117" s="1">
        <f>'[1]links-p0'!Q116</f>
        <v>6373.7442540200009</v>
      </c>
      <c r="U117" s="1">
        <f>-'[1]links-p0'!R116</f>
        <v>0</v>
      </c>
      <c r="Z117" s="1">
        <v>0</v>
      </c>
      <c r="AA117" s="1">
        <f>'[1]links-p0'!P116</f>
        <v>0</v>
      </c>
      <c r="AI117" s="37">
        <f>-[2]Exchanges!P125</f>
        <v>1517.77579117</v>
      </c>
      <c r="AJ117" s="1">
        <f>'[1]links-p0'!V116</f>
        <v>1517.7757899999999</v>
      </c>
    </row>
    <row r="118" spans="1:36">
      <c r="A118" s="28">
        <v>115</v>
      </c>
      <c r="B118" s="31">
        <v>4296.82949835</v>
      </c>
      <c r="C118" s="1">
        <f t="shared" si="4"/>
        <v>5000</v>
      </c>
      <c r="D118" s="1">
        <f>'[1]links-p0'!N117</f>
        <v>5000</v>
      </c>
      <c r="E118" s="28">
        <f>-'[1]links-p0'!O117</f>
        <v>0</v>
      </c>
      <c r="H118" s="30">
        <v>-3500</v>
      </c>
      <c r="I118" s="1">
        <f t="shared" si="5"/>
        <v>0</v>
      </c>
      <c r="J118" s="1">
        <f>'[1]links-p0'!J117</f>
        <v>0</v>
      </c>
      <c r="K118" s="1">
        <f>-'[1]links-p0'!L117</f>
        <v>0</v>
      </c>
      <c r="M118" s="1">
        <v>-697.30430588000002</v>
      </c>
      <c r="N118" s="1">
        <f t="shared" si="6"/>
        <v>283.5411713872636</v>
      </c>
      <c r="O118" s="1">
        <f>'[1]links-p0'!K117</f>
        <v>283.5411713872636</v>
      </c>
      <c r="P118" s="1">
        <f>-'[1]links-p0'!M117</f>
        <v>0</v>
      </c>
      <c r="R118" s="30">
        <v>7627.1186459999999</v>
      </c>
      <c r="S118" s="1">
        <f t="shared" si="7"/>
        <v>5546.2839463100008</v>
      </c>
      <c r="T118" s="1">
        <f>'[1]links-p0'!Q117</f>
        <v>5546.2839463100008</v>
      </c>
      <c r="U118" s="1">
        <f>-'[1]links-p0'!R117</f>
        <v>0</v>
      </c>
      <c r="Z118" s="1">
        <v>0</v>
      </c>
      <c r="AA118" s="1">
        <f>'[1]links-p0'!P117</f>
        <v>0</v>
      </c>
      <c r="AI118" s="37">
        <f>-[2]Exchanges!P126</f>
        <v>1517.77579117</v>
      </c>
      <c r="AJ118" s="1">
        <f>'[1]links-p0'!V117</f>
        <v>1517.7757899999999</v>
      </c>
    </row>
    <row r="119" spans="1:36">
      <c r="A119" s="28">
        <v>116</v>
      </c>
      <c r="B119" s="31">
        <v>0</v>
      </c>
      <c r="C119" s="1">
        <f t="shared" si="4"/>
        <v>2797.6247696400001</v>
      </c>
      <c r="D119" s="1">
        <f>'[1]links-p0'!N118</f>
        <v>2797.6247696400001</v>
      </c>
      <c r="E119" s="28">
        <f>-'[1]links-p0'!O118</f>
        <v>0</v>
      </c>
      <c r="H119" s="30">
        <v>-3500</v>
      </c>
      <c r="I119" s="1">
        <f t="shared" si="5"/>
        <v>0</v>
      </c>
      <c r="J119" s="1">
        <f>'[1]links-p0'!J118</f>
        <v>0</v>
      </c>
      <c r="K119" s="1">
        <f>-'[1]links-p0'!L118</f>
        <v>0</v>
      </c>
      <c r="M119" s="1">
        <v>-647.78839637999999</v>
      </c>
      <c r="N119" s="1">
        <f t="shared" si="6"/>
        <v>264.57023048291308</v>
      </c>
      <c r="O119" s="1">
        <f>'[1]links-p0'!K118</f>
        <v>264.57023048291308</v>
      </c>
      <c r="P119" s="1">
        <f>-'[1]links-p0'!M118</f>
        <v>0</v>
      </c>
      <c r="R119" s="30">
        <v>6941.6590643999998</v>
      </c>
      <c r="S119" s="1">
        <f t="shared" si="7"/>
        <v>5545.8240643999998</v>
      </c>
      <c r="T119" s="1">
        <f>'[1]links-p0'!Q118</f>
        <v>5545.8240643999998</v>
      </c>
      <c r="U119" s="1">
        <f>-'[1]links-p0'!R118</f>
        <v>0</v>
      </c>
      <c r="Z119" s="1">
        <v>0</v>
      </c>
      <c r="AA119" s="1">
        <f>'[1]links-p0'!P118</f>
        <v>0</v>
      </c>
      <c r="AI119" s="37">
        <f>-[2]Exchanges!P127</f>
        <v>1517.77579117</v>
      </c>
      <c r="AJ119" s="1">
        <f>'[1]links-p0'!V118</f>
        <v>1517.7757899999999</v>
      </c>
    </row>
    <row r="120" spans="1:36">
      <c r="A120" s="28">
        <v>117</v>
      </c>
      <c r="B120" s="31">
        <v>0</v>
      </c>
      <c r="C120" s="1">
        <f t="shared" si="4"/>
        <v>0</v>
      </c>
      <c r="D120" s="1">
        <f>'[1]links-p0'!N119</f>
        <v>0</v>
      </c>
      <c r="E120" s="28">
        <f>-'[1]links-p0'!O119</f>
        <v>0</v>
      </c>
      <c r="H120" s="30">
        <v>-3500</v>
      </c>
      <c r="I120" s="1">
        <f t="shared" si="5"/>
        <v>0</v>
      </c>
      <c r="J120" s="1">
        <f>'[1]links-p0'!J119</f>
        <v>0</v>
      </c>
      <c r="K120" s="1">
        <f>-'[1]links-p0'!L119</f>
        <v>0</v>
      </c>
      <c r="M120" s="1">
        <v>-531.63893675999998</v>
      </c>
      <c r="N120" s="1">
        <f t="shared" si="6"/>
        <v>293.90015141343491</v>
      </c>
      <c r="O120" s="1">
        <f>'[1]links-p0'!K119</f>
        <v>293.90015141343491</v>
      </c>
      <c r="P120" s="1">
        <f>-'[1]links-p0'!M119</f>
        <v>0</v>
      </c>
      <c r="R120" s="30">
        <v>7627.1186459999999</v>
      </c>
      <c r="S120" s="1">
        <f t="shared" si="7"/>
        <v>6205.3641824800006</v>
      </c>
      <c r="T120" s="1">
        <f>'[1]links-p0'!Q119</f>
        <v>6205.3641824800006</v>
      </c>
      <c r="U120" s="1">
        <f>-'[1]links-p0'!R119</f>
        <v>0</v>
      </c>
      <c r="Z120" s="1">
        <v>0</v>
      </c>
      <c r="AA120" s="1">
        <f>'[1]links-p0'!P119</f>
        <v>0</v>
      </c>
      <c r="AI120" s="37">
        <f>-[2]Exchanges!P128</f>
        <v>1517.77579117</v>
      </c>
      <c r="AJ120" s="1">
        <f>'[1]links-p0'!V119</f>
        <v>1517.7757899999999</v>
      </c>
    </row>
    <row r="121" spans="1:36">
      <c r="A121" s="28">
        <v>118</v>
      </c>
      <c r="B121" s="31">
        <v>126.95832867999999</v>
      </c>
      <c r="C121" s="1">
        <f t="shared" si="4"/>
        <v>29.88274315</v>
      </c>
      <c r="D121" s="1">
        <f>'[1]links-p0'!N120</f>
        <v>29.88274315</v>
      </c>
      <c r="E121" s="28">
        <f>-'[1]links-p0'!O120</f>
        <v>0</v>
      </c>
      <c r="H121" s="30">
        <v>-3500</v>
      </c>
      <c r="I121" s="1">
        <f t="shared" si="5"/>
        <v>-3500</v>
      </c>
      <c r="J121" s="1">
        <f>'[1]links-p0'!J120</f>
        <v>0</v>
      </c>
      <c r="K121" s="1">
        <f>-'[1]links-p0'!L120</f>
        <v>-3500</v>
      </c>
      <c r="M121" s="1">
        <v>-333.48442700999999</v>
      </c>
      <c r="N121" s="1">
        <f t="shared" si="6"/>
        <v>380.00503362311127</v>
      </c>
      <c r="O121" s="1">
        <f>'[1]links-p0'!K120</f>
        <v>380.00503362311127</v>
      </c>
      <c r="P121" s="1">
        <f>-'[1]links-p0'!M120</f>
        <v>0</v>
      </c>
      <c r="R121" s="30">
        <v>6940.7393005699996</v>
      </c>
      <c r="S121" s="1">
        <f t="shared" si="7"/>
        <v>5544.9043005699996</v>
      </c>
      <c r="T121" s="1">
        <f>'[1]links-p0'!Q120</f>
        <v>5544.9043005699996</v>
      </c>
      <c r="U121" s="1">
        <f>-'[1]links-p0'!R120</f>
        <v>0</v>
      </c>
      <c r="Z121" s="1">
        <v>0</v>
      </c>
      <c r="AA121" s="1">
        <f>'[1]links-p0'!P120</f>
        <v>0</v>
      </c>
      <c r="AI121" s="37">
        <f>-[2]Exchanges!P129</f>
        <v>1517.77579117</v>
      </c>
      <c r="AJ121" s="1">
        <f>'[1]links-p0'!V120</f>
        <v>1517.7757899999999</v>
      </c>
    </row>
    <row r="122" spans="1:36">
      <c r="A122" s="28">
        <v>119</v>
      </c>
      <c r="B122" s="31">
        <v>0</v>
      </c>
      <c r="C122" s="1">
        <f t="shared" si="4"/>
        <v>2244.1603927199999</v>
      </c>
      <c r="D122" s="1">
        <f>'[1]links-p0'!N121</f>
        <v>2244.1603927199999</v>
      </c>
      <c r="E122" s="28">
        <f>-'[1]links-p0'!O121</f>
        <v>0</v>
      </c>
      <c r="H122" s="30">
        <v>-3500</v>
      </c>
      <c r="I122" s="1">
        <f t="shared" si="5"/>
        <v>-3500</v>
      </c>
      <c r="J122" s="1">
        <f>'[1]links-p0'!J121</f>
        <v>0</v>
      </c>
      <c r="K122" s="1">
        <f>-'[1]links-p0'!L121</f>
        <v>-3500</v>
      </c>
      <c r="M122" s="1">
        <v>-118.32957700999999</v>
      </c>
      <c r="N122" s="1">
        <f t="shared" si="6"/>
        <v>498.61612662618711</v>
      </c>
      <c r="O122" s="1">
        <f>'[1]links-p0'!K121</f>
        <v>498.61612662618711</v>
      </c>
      <c r="P122" s="1">
        <f>-'[1]links-p0'!M121</f>
        <v>0</v>
      </c>
      <c r="R122" s="30">
        <v>6940.7393005699996</v>
      </c>
      <c r="S122" s="1">
        <f t="shared" si="7"/>
        <v>6204.9043005699996</v>
      </c>
      <c r="T122" s="1">
        <f>'[1]links-p0'!Q121</f>
        <v>6204.9043005699996</v>
      </c>
      <c r="U122" s="1">
        <f>-'[1]links-p0'!R121</f>
        <v>0</v>
      </c>
      <c r="Z122" s="1">
        <v>0</v>
      </c>
      <c r="AA122" s="1">
        <f>'[1]links-p0'!P121</f>
        <v>0</v>
      </c>
      <c r="AI122" s="37">
        <f>-[2]Exchanges!P130</f>
        <v>1517.77579117</v>
      </c>
      <c r="AJ122" s="1">
        <f>'[1]links-p0'!V121</f>
        <v>1517.7757899999999</v>
      </c>
    </row>
    <row r="123" spans="1:36">
      <c r="A123" s="28">
        <v>120</v>
      </c>
      <c r="B123" s="31">
        <v>5000</v>
      </c>
      <c r="C123" s="1">
        <f t="shared" si="4"/>
        <v>5000</v>
      </c>
      <c r="D123" s="1">
        <f>'[1]links-p0'!N122</f>
        <v>5000</v>
      </c>
      <c r="E123" s="28">
        <f>-'[1]links-p0'!O122</f>
        <v>0</v>
      </c>
      <c r="H123" s="30">
        <v>-2845.0853386600002</v>
      </c>
      <c r="I123" s="1">
        <f t="shared" si="5"/>
        <v>-3500</v>
      </c>
      <c r="J123" s="1">
        <f>'[1]links-p0'!J122</f>
        <v>0</v>
      </c>
      <c r="K123" s="1">
        <f>-'[1]links-p0'!L122</f>
        <v>-3500</v>
      </c>
      <c r="M123" s="1">
        <v>316.43042299000001</v>
      </c>
      <c r="N123" s="1">
        <f t="shared" si="6"/>
        <v>1013.524995788168</v>
      </c>
      <c r="O123" s="1">
        <f>'[1]links-p0'!K122</f>
        <v>1013.524995788168</v>
      </c>
      <c r="P123" s="1">
        <f>-'[1]links-p0'!M122</f>
        <v>0</v>
      </c>
      <c r="R123" s="30">
        <v>7627.1186459999999</v>
      </c>
      <c r="S123" s="1">
        <f t="shared" si="7"/>
        <v>6779.6610170000004</v>
      </c>
      <c r="T123" s="1">
        <f>'[1]links-p0'!Q122</f>
        <v>6779.6610170000004</v>
      </c>
      <c r="U123" s="1">
        <f>-'[1]links-p0'!R122</f>
        <v>0</v>
      </c>
      <c r="Z123" s="1">
        <v>622.53171845999998</v>
      </c>
      <c r="AA123" s="1">
        <f>'[1]links-p0'!P122</f>
        <v>85.159673730000009</v>
      </c>
      <c r="AI123" s="37">
        <f>-[2]Exchanges!P131</f>
        <v>1517.77579117</v>
      </c>
      <c r="AJ123" s="1">
        <f>'[1]links-p0'!V122</f>
        <v>1517.7757899999999</v>
      </c>
    </row>
    <row r="124" spans="1:36">
      <c r="A124" s="28">
        <v>121</v>
      </c>
      <c r="B124" s="31">
        <v>5000</v>
      </c>
      <c r="C124" s="1">
        <f t="shared" si="4"/>
        <v>5000</v>
      </c>
      <c r="D124" s="1">
        <f>'[1]links-p0'!N123</f>
        <v>5000</v>
      </c>
      <c r="E124" s="28">
        <f>-'[1]links-p0'!O123</f>
        <v>0</v>
      </c>
      <c r="H124" s="30">
        <v>-3500</v>
      </c>
      <c r="I124" s="1">
        <f t="shared" si="5"/>
        <v>-3500</v>
      </c>
      <c r="J124" s="1">
        <f>'[1]links-p0'!J123</f>
        <v>0</v>
      </c>
      <c r="K124" s="1">
        <f>-'[1]links-p0'!L123</f>
        <v>-3500</v>
      </c>
      <c r="M124" s="1">
        <v>618.33666932999995</v>
      </c>
      <c r="N124" s="1">
        <f t="shared" si="6"/>
        <v>1117.867599585127</v>
      </c>
      <c r="O124" s="1">
        <f>'[1]links-p0'!K123</f>
        <v>1117.867599585127</v>
      </c>
      <c r="P124" s="1">
        <f>-'[1]links-p0'!M123</f>
        <v>0</v>
      </c>
      <c r="R124" s="30">
        <v>7627.1186459999999</v>
      </c>
      <c r="S124" s="1">
        <f t="shared" si="7"/>
        <v>7597.6610170000004</v>
      </c>
      <c r="T124" s="1">
        <f>'[1]links-p0'!Q123</f>
        <v>7597.6610170000004</v>
      </c>
      <c r="U124" s="1">
        <f>-'[1]links-p0'!R123</f>
        <v>0</v>
      </c>
      <c r="Z124" s="1">
        <v>292.53171845999998</v>
      </c>
      <c r="AA124" s="1">
        <f>'[1]links-p0'!P123</f>
        <v>10.804415430000009</v>
      </c>
      <c r="AI124" s="37">
        <f>-[2]Exchanges!P132</f>
        <v>1517.77579117</v>
      </c>
      <c r="AJ124" s="1">
        <f>'[1]links-p0'!V123</f>
        <v>1612.9434590047269</v>
      </c>
    </row>
    <row r="125" spans="1:36">
      <c r="A125" s="28">
        <v>122</v>
      </c>
      <c r="B125" s="31">
        <v>5000</v>
      </c>
      <c r="C125" s="1">
        <f t="shared" si="4"/>
        <v>5000</v>
      </c>
      <c r="D125" s="1">
        <f>'[1]links-p0'!N124</f>
        <v>5000</v>
      </c>
      <c r="E125" s="28">
        <f>-'[1]links-p0'!O124</f>
        <v>0</v>
      </c>
      <c r="H125" s="30">
        <v>-3324.5293692599998</v>
      </c>
      <c r="I125" s="1">
        <f t="shared" si="5"/>
        <v>-3500</v>
      </c>
      <c r="J125" s="1">
        <f>'[1]links-p0'!J124</f>
        <v>0</v>
      </c>
      <c r="K125" s="1">
        <f>-'[1]links-p0'!L124</f>
        <v>-3500</v>
      </c>
      <c r="M125" s="1">
        <v>742.66050932999997</v>
      </c>
      <c r="N125" s="1">
        <f t="shared" si="6"/>
        <v>1186.4051702391289</v>
      </c>
      <c r="O125" s="1">
        <f>'[1]links-p0'!K124</f>
        <v>1186.4051702391289</v>
      </c>
      <c r="P125" s="1">
        <f>-'[1]links-p0'!M124</f>
        <v>0</v>
      </c>
      <c r="R125" s="30">
        <v>7627.1186459999999</v>
      </c>
      <c r="S125" s="1">
        <f t="shared" si="7"/>
        <v>7022.82069073</v>
      </c>
      <c r="T125" s="1">
        <f>'[1]links-p0'!Q124</f>
        <v>7022.82069073</v>
      </c>
      <c r="U125" s="1">
        <f>-'[1]links-p0'!R124</f>
        <v>0</v>
      </c>
      <c r="Z125" s="1">
        <v>292.53171845999998</v>
      </c>
      <c r="AA125" s="1">
        <f>'[1]links-p0'!P124</f>
        <v>0</v>
      </c>
      <c r="AI125" s="37">
        <f>-[2]Exchanges!P133</f>
        <v>1517.77579117</v>
      </c>
      <c r="AJ125" s="1">
        <f>'[1]links-p0'!V124</f>
        <v>1517.7757899999999</v>
      </c>
    </row>
    <row r="126" spans="1:36">
      <c r="A126" s="28">
        <v>123</v>
      </c>
      <c r="B126" s="31">
        <v>5000</v>
      </c>
      <c r="C126" s="1">
        <f t="shared" si="4"/>
        <v>5000</v>
      </c>
      <c r="D126" s="1">
        <f>'[1]links-p0'!N125</f>
        <v>5000</v>
      </c>
      <c r="E126" s="28">
        <f>-'[1]links-p0'!O125</f>
        <v>0</v>
      </c>
      <c r="H126" s="30">
        <v>-3500</v>
      </c>
      <c r="I126" s="1">
        <f t="shared" si="5"/>
        <v>-3500</v>
      </c>
      <c r="J126" s="1">
        <f>'[1]links-p0'!J125</f>
        <v>0</v>
      </c>
      <c r="K126" s="1">
        <f>-'[1]links-p0'!L125</f>
        <v>-3500</v>
      </c>
      <c r="M126" s="1">
        <v>818.82575932999998</v>
      </c>
      <c r="N126" s="1">
        <f t="shared" si="6"/>
        <v>1228.3934055970319</v>
      </c>
      <c r="O126" s="1">
        <f>'[1]links-p0'!K125</f>
        <v>1228.3934055970319</v>
      </c>
      <c r="P126" s="1">
        <f>-'[1]links-p0'!M125</f>
        <v>0</v>
      </c>
      <c r="R126" s="30">
        <v>7627.1186459999999</v>
      </c>
      <c r="S126" s="1">
        <f t="shared" si="7"/>
        <v>7597.6610170000004</v>
      </c>
      <c r="T126" s="1">
        <f>'[1]links-p0'!Q125</f>
        <v>7597.6610170000004</v>
      </c>
      <c r="U126" s="1">
        <f>-'[1]links-p0'!R125</f>
        <v>0</v>
      </c>
      <c r="Z126" s="1">
        <v>292.53171845999998</v>
      </c>
      <c r="AA126" s="1">
        <f>'[1]links-p0'!P125</f>
        <v>85.159673730000009</v>
      </c>
      <c r="AI126" s="37">
        <f>-[2]Exchanges!P134</f>
        <v>1517.77579117</v>
      </c>
      <c r="AJ126" s="1">
        <f>'[1]links-p0'!V125</f>
        <v>1901.9727924005811</v>
      </c>
    </row>
    <row r="127" spans="1:36">
      <c r="A127" s="28">
        <v>124</v>
      </c>
      <c r="B127" s="31">
        <v>5000</v>
      </c>
      <c r="C127" s="1">
        <f t="shared" si="4"/>
        <v>5000</v>
      </c>
      <c r="D127" s="1">
        <f>'[1]links-p0'!N126</f>
        <v>5000</v>
      </c>
      <c r="E127" s="28">
        <f>-'[1]links-p0'!O126</f>
        <v>0</v>
      </c>
      <c r="H127" s="30">
        <v>-2210.1468893599999</v>
      </c>
      <c r="I127" s="1">
        <f t="shared" si="5"/>
        <v>-3500</v>
      </c>
      <c r="J127" s="1">
        <f>'[1]links-p0'!J126</f>
        <v>0</v>
      </c>
      <c r="K127" s="1">
        <f>-'[1]links-p0'!L126</f>
        <v>-3500</v>
      </c>
      <c r="M127" s="1">
        <v>841.98453932999996</v>
      </c>
      <c r="N127" s="1">
        <f t="shared" si="6"/>
        <v>1241.1604996893579</v>
      </c>
      <c r="O127" s="1">
        <f>'[1]links-p0'!K126</f>
        <v>1241.1604996893579</v>
      </c>
      <c r="P127" s="1">
        <f>-'[1]links-p0'!M126</f>
        <v>0</v>
      </c>
      <c r="R127" s="30">
        <v>7627.1186459999999</v>
      </c>
      <c r="S127" s="1">
        <f t="shared" si="7"/>
        <v>7597.6610170000004</v>
      </c>
      <c r="T127" s="1">
        <f>'[1]links-p0'!Q126</f>
        <v>7597.6610170000004</v>
      </c>
      <c r="U127" s="1">
        <f>-'[1]links-p0'!R126</f>
        <v>0</v>
      </c>
      <c r="Z127" s="1">
        <v>294.38718628999999</v>
      </c>
      <c r="AA127" s="1">
        <f>'[1]links-p0'!P126</f>
        <v>86.087407649999989</v>
      </c>
      <c r="AI127" s="37">
        <f>-[2]Exchanges!P135</f>
        <v>1517.77579117</v>
      </c>
      <c r="AJ127" s="1">
        <f>'[1]links-p0'!V126</f>
        <v>1969.6930616824091</v>
      </c>
    </row>
    <row r="128" spans="1:36">
      <c r="A128" s="28">
        <v>125</v>
      </c>
      <c r="B128" s="31">
        <v>5000</v>
      </c>
      <c r="C128" s="1">
        <f t="shared" si="4"/>
        <v>5000</v>
      </c>
      <c r="D128" s="1">
        <f>'[1]links-p0'!N127</f>
        <v>5000</v>
      </c>
      <c r="E128" s="28">
        <f>-'[1]links-p0'!O127</f>
        <v>0</v>
      </c>
      <c r="H128" s="30">
        <v>-3500</v>
      </c>
      <c r="I128" s="1">
        <f t="shared" si="5"/>
        <v>-2026.669196652407</v>
      </c>
      <c r="J128" s="1">
        <f>'[1]links-p0'!J127</f>
        <v>0</v>
      </c>
      <c r="K128" s="1">
        <f>-'[1]links-p0'!L127</f>
        <v>-2026.669196652407</v>
      </c>
      <c r="M128" s="1">
        <v>799.61883933000001</v>
      </c>
      <c r="N128" s="1">
        <f t="shared" si="6"/>
        <v>1217.8051840425171</v>
      </c>
      <c r="O128" s="1">
        <f>'[1]links-p0'!K127</f>
        <v>1217.8051840425171</v>
      </c>
      <c r="P128" s="1">
        <f>-'[1]links-p0'!M127</f>
        <v>0</v>
      </c>
      <c r="R128" s="30">
        <v>7627.1186459999999</v>
      </c>
      <c r="S128" s="1">
        <f t="shared" si="7"/>
        <v>6779.6610170000004</v>
      </c>
      <c r="T128" s="1">
        <f>'[1]links-p0'!Q127</f>
        <v>6779.6610170000004</v>
      </c>
      <c r="U128" s="1">
        <f>-'[1]links-p0'!R127</f>
        <v>0</v>
      </c>
      <c r="Z128" s="1">
        <v>296.24265412</v>
      </c>
      <c r="AA128" s="1">
        <f>'[1]links-p0'!P127</f>
        <v>87.015141559999961</v>
      </c>
      <c r="AI128" s="37">
        <f>-[2]Exchanges!P136</f>
        <v>1517.77579117</v>
      </c>
      <c r="AJ128" s="1">
        <f>'[1]links-p0'!V127</f>
        <v>1517.7757899999999</v>
      </c>
    </row>
    <row r="129" spans="1:36">
      <c r="A129" s="28">
        <v>126</v>
      </c>
      <c r="B129" s="31">
        <v>5000</v>
      </c>
      <c r="C129" s="1">
        <f t="shared" si="4"/>
        <v>5000</v>
      </c>
      <c r="D129" s="1">
        <f>'[1]links-p0'!N128</f>
        <v>5000</v>
      </c>
      <c r="E129" s="28">
        <f>-'[1]links-p0'!O128</f>
        <v>0</v>
      </c>
      <c r="H129" s="30">
        <v>-2465.0285775100001</v>
      </c>
      <c r="I129" s="1">
        <f t="shared" si="5"/>
        <v>-1414.4880560888</v>
      </c>
      <c r="J129" s="1">
        <f>'[1]links-p0'!J128</f>
        <v>0</v>
      </c>
      <c r="K129" s="1">
        <f>-'[1]links-p0'!L128</f>
        <v>-1414.4880560888</v>
      </c>
      <c r="M129" s="1">
        <v>792.32287932999998</v>
      </c>
      <c r="N129" s="1">
        <f t="shared" si="6"/>
        <v>1213.7830586959531</v>
      </c>
      <c r="O129" s="1">
        <f>'[1]links-p0'!K128</f>
        <v>1213.7830586959531</v>
      </c>
      <c r="P129" s="1">
        <f>-'[1]links-p0'!M128</f>
        <v>0</v>
      </c>
      <c r="R129" s="30">
        <v>7627.1186459999999</v>
      </c>
      <c r="S129" s="1">
        <f t="shared" si="7"/>
        <v>7597.6610170000004</v>
      </c>
      <c r="T129" s="1">
        <f>'[1]links-p0'!Q128</f>
        <v>7597.6610170000004</v>
      </c>
      <c r="U129" s="1">
        <f>-'[1]links-p0'!R128</f>
        <v>0</v>
      </c>
      <c r="Z129" s="1">
        <v>297.17038803999998</v>
      </c>
      <c r="AA129" s="1">
        <f>'[1]links-p0'!P128</f>
        <v>87.479008520000008</v>
      </c>
      <c r="AI129" s="37">
        <f>-[2]Exchanges!P137</f>
        <v>1517.77579117</v>
      </c>
      <c r="AJ129" s="1">
        <f>'[1]links-p0'!V128</f>
        <v>2145.5189282283031</v>
      </c>
    </row>
    <row r="130" spans="1:36">
      <c r="A130" s="28">
        <v>127</v>
      </c>
      <c r="B130" s="31">
        <v>5000</v>
      </c>
      <c r="C130" s="1">
        <f t="shared" si="4"/>
        <v>5000</v>
      </c>
      <c r="D130" s="1">
        <f>'[1]links-p0'!N129</f>
        <v>5000</v>
      </c>
      <c r="E130" s="28">
        <f>-'[1]links-p0'!O129</f>
        <v>0</v>
      </c>
      <c r="H130" s="30">
        <v>-2891.6518085100001</v>
      </c>
      <c r="I130" s="1">
        <f t="shared" si="5"/>
        <v>-1236.5047157432</v>
      </c>
      <c r="J130" s="1">
        <f>'[1]links-p0'!J129</f>
        <v>0</v>
      </c>
      <c r="K130" s="1">
        <f>-'[1]links-p0'!L129</f>
        <v>-1236.5047157432</v>
      </c>
      <c r="M130" s="1">
        <v>808.48105932999999</v>
      </c>
      <c r="N130" s="1">
        <f t="shared" si="6"/>
        <v>1222.6908082682889</v>
      </c>
      <c r="O130" s="1">
        <f>'[1]links-p0'!K129</f>
        <v>1222.6908082682889</v>
      </c>
      <c r="P130" s="1">
        <f>-'[1]links-p0'!M129</f>
        <v>0</v>
      </c>
      <c r="R130" s="30">
        <v>7627.1186459999999</v>
      </c>
      <c r="S130" s="1">
        <f t="shared" si="7"/>
        <v>7024.6761585600007</v>
      </c>
      <c r="T130" s="1">
        <f>'[1]links-p0'!Q129</f>
        <v>7024.6761585600007</v>
      </c>
      <c r="U130" s="1">
        <f>-'[1]links-p0'!R129</f>
        <v>0</v>
      </c>
      <c r="Z130" s="1">
        <v>296.24265412</v>
      </c>
      <c r="AA130" s="1">
        <f>'[1]links-p0'!P129</f>
        <v>0</v>
      </c>
      <c r="AI130" s="37">
        <f>-[2]Exchanges!P138</f>
        <v>1517.77579117</v>
      </c>
      <c r="AJ130" s="1">
        <f>'[1]links-p0'!V129</f>
        <v>1681.1761659290889</v>
      </c>
    </row>
    <row r="131" spans="1:36">
      <c r="A131" s="28">
        <v>128</v>
      </c>
      <c r="B131" s="31">
        <v>5000</v>
      </c>
      <c r="C131" s="1">
        <f t="shared" si="4"/>
        <v>5000</v>
      </c>
      <c r="D131" s="1">
        <f>'[1]links-p0'!N130</f>
        <v>5000</v>
      </c>
      <c r="E131" s="28">
        <f>-'[1]links-p0'!O130</f>
        <v>0</v>
      </c>
      <c r="H131" s="30">
        <v>-3500</v>
      </c>
      <c r="I131" s="1">
        <f t="shared" si="5"/>
        <v>-404.81008111760087</v>
      </c>
      <c r="J131" s="1">
        <f>'[1]links-p0'!J130</f>
        <v>0</v>
      </c>
      <c r="K131" s="1">
        <f>-'[1]links-p0'!L130</f>
        <v>-404.81008111760087</v>
      </c>
      <c r="M131" s="1">
        <v>826.21117933000005</v>
      </c>
      <c r="N131" s="1">
        <f t="shared" si="6"/>
        <v>1232.428451398546</v>
      </c>
      <c r="O131" s="1">
        <f>'[1]links-p0'!K130</f>
        <v>1232.428451398546</v>
      </c>
      <c r="P131" s="1">
        <f>-'[1]links-p0'!M130</f>
        <v>0</v>
      </c>
      <c r="R131" s="30">
        <v>7627.1186459999999</v>
      </c>
      <c r="S131" s="1">
        <f t="shared" si="7"/>
        <v>7024.6761585600007</v>
      </c>
      <c r="T131" s="1">
        <f>'[1]links-p0'!Q130</f>
        <v>7024.6761585600007</v>
      </c>
      <c r="U131" s="1">
        <f>-'[1]links-p0'!R130</f>
        <v>0</v>
      </c>
      <c r="Z131" s="1">
        <v>626.24265412</v>
      </c>
      <c r="AA131" s="1">
        <f>'[1]links-p0'!P130</f>
        <v>0</v>
      </c>
      <c r="AI131" s="37">
        <f>-[2]Exchanges!P139</f>
        <v>1517.77579117</v>
      </c>
      <c r="AJ131" s="1">
        <f>'[1]links-p0'!V130</f>
        <v>1846.895921258895</v>
      </c>
    </row>
    <row r="132" spans="1:36">
      <c r="A132" s="28">
        <v>129</v>
      </c>
      <c r="B132" s="31">
        <v>5000</v>
      </c>
      <c r="C132" s="1">
        <f t="shared" ref="C132:C171" si="8">D132+E132</f>
        <v>5000</v>
      </c>
      <c r="D132" s="1">
        <f>'[1]links-p0'!N131</f>
        <v>5000</v>
      </c>
      <c r="E132" s="28">
        <f>-'[1]links-p0'!O131</f>
        <v>0</v>
      </c>
      <c r="H132" s="30">
        <v>0</v>
      </c>
      <c r="I132" s="1">
        <f t="shared" ref="I132:I171" si="9">SUM(J132:K132)</f>
        <v>0</v>
      </c>
      <c r="J132" s="1">
        <f>'[1]links-p0'!J131</f>
        <v>0</v>
      </c>
      <c r="K132" s="1">
        <f>-'[1]links-p0'!L131</f>
        <v>0</v>
      </c>
      <c r="M132" s="1">
        <v>432.34932932999999</v>
      </c>
      <c r="N132" s="1">
        <f t="shared" ref="N132:N171" si="10">SUM(O132:P132)</f>
        <v>803.05312001577067</v>
      </c>
      <c r="O132" s="1">
        <f>'[1]links-p0'!K131</f>
        <v>803.05312001577067</v>
      </c>
      <c r="P132" s="1">
        <f>-'[1]links-p0'!M131</f>
        <v>0</v>
      </c>
      <c r="R132" s="30">
        <v>7627.1186459999999</v>
      </c>
      <c r="S132" s="1">
        <f t="shared" ref="S132:S171" si="11">SUM(T132:U132)</f>
        <v>7597.6610170000004</v>
      </c>
      <c r="T132" s="1">
        <f>'[1]links-p0'!Q131</f>
        <v>7597.6610170000004</v>
      </c>
      <c r="U132" s="1">
        <f>-'[1]links-p0'!R131</f>
        <v>0</v>
      </c>
      <c r="Z132" s="1">
        <v>296.24265412</v>
      </c>
      <c r="AA132" s="1">
        <f>'[1]links-p0'!P131</f>
        <v>87.015141559999961</v>
      </c>
      <c r="AI132" s="37">
        <f>-[2]Exchanges!P140</f>
        <v>1517.77579117</v>
      </c>
      <c r="AJ132" s="1">
        <f>'[1]links-p0'!V131</f>
        <v>1517.7757899999999</v>
      </c>
    </row>
    <row r="133" spans="1:36">
      <c r="A133" s="28">
        <v>130</v>
      </c>
      <c r="B133" s="31">
        <v>5000</v>
      </c>
      <c r="C133" s="1">
        <f t="shared" si="8"/>
        <v>5000</v>
      </c>
      <c r="D133" s="1">
        <f>'[1]links-p0'!N132</f>
        <v>5000</v>
      </c>
      <c r="E133" s="28">
        <f>-'[1]links-p0'!O132</f>
        <v>0</v>
      </c>
      <c r="H133" s="30">
        <v>0</v>
      </c>
      <c r="I133" s="1">
        <f t="shared" si="9"/>
        <v>0</v>
      </c>
      <c r="J133" s="1">
        <f>'[1]links-p0'!J132</f>
        <v>0</v>
      </c>
      <c r="K133" s="1">
        <f>-'[1]links-p0'!L132</f>
        <v>0</v>
      </c>
      <c r="M133" s="1">
        <v>0</v>
      </c>
      <c r="N133" s="1">
        <f t="shared" si="10"/>
        <v>0</v>
      </c>
      <c r="O133" s="1">
        <f>'[1]links-p0'!K132</f>
        <v>0</v>
      </c>
      <c r="P133" s="1">
        <f>-'[1]links-p0'!M132</f>
        <v>0</v>
      </c>
      <c r="R133" s="30">
        <v>7627.1186459999999</v>
      </c>
      <c r="S133" s="1">
        <f t="shared" si="11"/>
        <v>7597.6610170000004</v>
      </c>
      <c r="T133" s="1">
        <f>'[1]links-p0'!Q132</f>
        <v>7597.6610170000004</v>
      </c>
      <c r="U133" s="1">
        <f>-'[1]links-p0'!R132</f>
        <v>0</v>
      </c>
      <c r="Z133" s="1">
        <v>626.24265412</v>
      </c>
      <c r="AA133" s="1">
        <f>'[1]links-p0'!P132</f>
        <v>87.015141559999961</v>
      </c>
      <c r="AI133" s="37">
        <f>-[2]Exchanges!P141</f>
        <v>1517.77579117</v>
      </c>
      <c r="AJ133" s="1">
        <f>'[1]links-p0'!V132</f>
        <v>1517.7757899999999</v>
      </c>
    </row>
    <row r="134" spans="1:36">
      <c r="A134" s="28">
        <v>131</v>
      </c>
      <c r="B134" s="31">
        <v>5000</v>
      </c>
      <c r="C134" s="1">
        <f t="shared" si="8"/>
        <v>5000</v>
      </c>
      <c r="D134" s="1">
        <f>'[1]links-p0'!N133</f>
        <v>5000</v>
      </c>
      <c r="E134" s="28">
        <f>-'[1]links-p0'!O133</f>
        <v>0</v>
      </c>
      <c r="H134" s="30">
        <v>0</v>
      </c>
      <c r="I134" s="1">
        <f t="shared" si="9"/>
        <v>0</v>
      </c>
      <c r="J134" s="1">
        <f>'[1]links-p0'!J133</f>
        <v>0</v>
      </c>
      <c r="K134" s="1">
        <f>-'[1]links-p0'!L133</f>
        <v>0</v>
      </c>
      <c r="M134" s="1">
        <v>0</v>
      </c>
      <c r="N134" s="1">
        <f t="shared" si="10"/>
        <v>0</v>
      </c>
      <c r="O134" s="1">
        <f>'[1]links-p0'!K133</f>
        <v>0</v>
      </c>
      <c r="P134" s="1">
        <f>-'[1]links-p0'!M133</f>
        <v>0</v>
      </c>
      <c r="R134" s="30">
        <v>7627.1186459999999</v>
      </c>
      <c r="S134" s="1">
        <f t="shared" si="11"/>
        <v>7597.6610170000004</v>
      </c>
      <c r="T134" s="1">
        <f>'[1]links-p0'!Q133</f>
        <v>7597.6610170000004</v>
      </c>
      <c r="U134" s="1">
        <f>-'[1]links-p0'!R133</f>
        <v>0</v>
      </c>
      <c r="Z134" s="1">
        <v>627.17038804000003</v>
      </c>
      <c r="AA134" s="1">
        <f>'[1]links-p0'!P133</f>
        <v>87.479008520000008</v>
      </c>
      <c r="AI134" s="37">
        <f>-[2]Exchanges!P142</f>
        <v>1517.77579117</v>
      </c>
      <c r="AJ134" s="1">
        <f>'[1]links-p0'!V133</f>
        <v>1517.7757899999999</v>
      </c>
    </row>
    <row r="135" spans="1:36">
      <c r="A135" s="28">
        <v>132</v>
      </c>
      <c r="B135" s="31">
        <v>5000</v>
      </c>
      <c r="C135" s="1">
        <f t="shared" si="8"/>
        <v>5000</v>
      </c>
      <c r="D135" s="1">
        <f>'[1]links-p0'!N134</f>
        <v>5000</v>
      </c>
      <c r="E135" s="28">
        <f>-'[1]links-p0'!O134</f>
        <v>0</v>
      </c>
      <c r="H135" s="30">
        <v>0</v>
      </c>
      <c r="I135" s="1">
        <f t="shared" si="9"/>
        <v>0</v>
      </c>
      <c r="J135" s="1">
        <f>'[1]links-p0'!J134</f>
        <v>0</v>
      </c>
      <c r="K135" s="1">
        <f>-'[1]links-p0'!L134</f>
        <v>0</v>
      </c>
      <c r="M135" s="1">
        <v>0</v>
      </c>
      <c r="N135" s="1">
        <f t="shared" si="10"/>
        <v>0</v>
      </c>
      <c r="O135" s="1">
        <f>'[1]links-p0'!K134</f>
        <v>0</v>
      </c>
      <c r="P135" s="1">
        <f>-'[1]links-p0'!M134</f>
        <v>0</v>
      </c>
      <c r="R135" s="30">
        <v>7627.1186459999999</v>
      </c>
      <c r="S135" s="1">
        <f t="shared" si="11"/>
        <v>7597.6610170000004</v>
      </c>
      <c r="T135" s="1">
        <f>'[1]links-p0'!Q134</f>
        <v>7597.6610170000004</v>
      </c>
      <c r="U135" s="1">
        <f>-'[1]links-p0'!R134</f>
        <v>0</v>
      </c>
      <c r="Z135" s="1">
        <v>626.24265412</v>
      </c>
      <c r="AA135" s="1">
        <f>'[1]links-p0'!P134</f>
        <v>87.015141559999961</v>
      </c>
      <c r="AI135" s="37">
        <f>-[2]Exchanges!P143</f>
        <v>1517.77579117</v>
      </c>
      <c r="AJ135" s="1">
        <f>'[1]links-p0'!V134</f>
        <v>1517.7757899999999</v>
      </c>
    </row>
    <row r="136" spans="1:36">
      <c r="A136" s="28">
        <v>133</v>
      </c>
      <c r="B136" s="31">
        <v>5000</v>
      </c>
      <c r="C136" s="1">
        <f t="shared" si="8"/>
        <v>5000</v>
      </c>
      <c r="D136" s="1">
        <f>'[1]links-p0'!N135</f>
        <v>5000</v>
      </c>
      <c r="E136" s="28">
        <f>-'[1]links-p0'!O135</f>
        <v>0</v>
      </c>
      <c r="H136" s="30">
        <v>0</v>
      </c>
      <c r="I136" s="1">
        <f t="shared" si="9"/>
        <v>0</v>
      </c>
      <c r="J136" s="1">
        <f>'[1]links-p0'!J135</f>
        <v>0</v>
      </c>
      <c r="K136" s="1">
        <f>-'[1]links-p0'!L135</f>
        <v>0</v>
      </c>
      <c r="M136" s="1">
        <v>0</v>
      </c>
      <c r="N136" s="1">
        <f t="shared" si="10"/>
        <v>0</v>
      </c>
      <c r="O136" s="1">
        <f>'[1]links-p0'!K135</f>
        <v>0</v>
      </c>
      <c r="P136" s="1">
        <f>-'[1]links-p0'!M135</f>
        <v>0</v>
      </c>
      <c r="R136" s="30">
        <v>7627.1186459999999</v>
      </c>
      <c r="S136" s="1">
        <f t="shared" si="11"/>
        <v>7597.6610170000004</v>
      </c>
      <c r="T136" s="1">
        <f>'[1]links-p0'!Q135</f>
        <v>7597.6610170000004</v>
      </c>
      <c r="U136" s="1">
        <f>-'[1]links-p0'!R135</f>
        <v>0</v>
      </c>
      <c r="Z136" s="1">
        <v>626.24265412</v>
      </c>
      <c r="AA136" s="1">
        <f>'[1]links-p0'!P135</f>
        <v>87.015141559999961</v>
      </c>
      <c r="AI136" s="37">
        <f>-[2]Exchanges!P144</f>
        <v>1517.77579117</v>
      </c>
      <c r="AJ136" s="1">
        <f>'[1]links-p0'!V135</f>
        <v>1517.7757899999999</v>
      </c>
    </row>
    <row r="137" spans="1:36">
      <c r="A137" s="28">
        <v>134</v>
      </c>
      <c r="B137" s="31">
        <v>5000</v>
      </c>
      <c r="C137" s="1">
        <f t="shared" si="8"/>
        <v>5000</v>
      </c>
      <c r="D137" s="1">
        <f>'[1]links-p0'!N136</f>
        <v>5000</v>
      </c>
      <c r="E137" s="28">
        <f>-'[1]links-p0'!O136</f>
        <v>0</v>
      </c>
      <c r="H137" s="30">
        <v>0</v>
      </c>
      <c r="I137" s="1">
        <f t="shared" si="9"/>
        <v>0</v>
      </c>
      <c r="J137" s="1">
        <f>'[1]links-p0'!J136</f>
        <v>0</v>
      </c>
      <c r="K137" s="1">
        <f>-'[1]links-p0'!L136</f>
        <v>0</v>
      </c>
      <c r="M137" s="1">
        <v>0</v>
      </c>
      <c r="N137" s="1">
        <f t="shared" si="10"/>
        <v>0</v>
      </c>
      <c r="O137" s="1">
        <f>'[1]links-p0'!K136</f>
        <v>0</v>
      </c>
      <c r="P137" s="1">
        <f>-'[1]links-p0'!M136</f>
        <v>0</v>
      </c>
      <c r="R137" s="30">
        <v>7627.1186459999999</v>
      </c>
      <c r="S137" s="1">
        <f t="shared" si="11"/>
        <v>7597.6610170000004</v>
      </c>
      <c r="T137" s="1">
        <f>'[1]links-p0'!Q136</f>
        <v>7597.6610170000004</v>
      </c>
      <c r="U137" s="1">
        <f>-'[1]links-p0'!R136</f>
        <v>0</v>
      </c>
      <c r="Z137" s="1">
        <v>627.17038804000003</v>
      </c>
      <c r="AA137" s="1">
        <f>'[1]links-p0'!P136</f>
        <v>87.479008520000008</v>
      </c>
      <c r="AI137" s="37">
        <f>-[2]Exchanges!P145</f>
        <v>1517.77579117</v>
      </c>
      <c r="AJ137" s="1">
        <f>'[1]links-p0'!V136</f>
        <v>1517.7757899999999</v>
      </c>
    </row>
    <row r="138" spans="1:36">
      <c r="A138" s="28">
        <v>135</v>
      </c>
      <c r="B138" s="31">
        <v>5000</v>
      </c>
      <c r="C138" s="1">
        <f t="shared" si="8"/>
        <v>5000</v>
      </c>
      <c r="D138" s="1">
        <f>'[1]links-p0'!N137</f>
        <v>5000</v>
      </c>
      <c r="E138" s="28">
        <f>-'[1]links-p0'!O137</f>
        <v>0</v>
      </c>
      <c r="H138" s="30">
        <v>0</v>
      </c>
      <c r="I138" s="1">
        <f t="shared" si="9"/>
        <v>0</v>
      </c>
      <c r="J138" s="1">
        <f>'[1]links-p0'!J137</f>
        <v>0</v>
      </c>
      <c r="K138" s="1">
        <f>-'[1]links-p0'!L137</f>
        <v>0</v>
      </c>
      <c r="M138" s="1">
        <v>0</v>
      </c>
      <c r="N138" s="1">
        <f t="shared" si="10"/>
        <v>0</v>
      </c>
      <c r="O138" s="1">
        <f>'[1]links-p0'!K137</f>
        <v>0</v>
      </c>
      <c r="P138" s="1">
        <f>-'[1]links-p0'!M137</f>
        <v>0</v>
      </c>
      <c r="R138" s="30">
        <v>7627.1186459999999</v>
      </c>
      <c r="S138" s="1">
        <f t="shared" si="11"/>
        <v>7597.6610170000004</v>
      </c>
      <c r="T138" s="1">
        <f>'[1]links-p0'!Q137</f>
        <v>7597.6610170000004</v>
      </c>
      <c r="U138" s="1">
        <f>-'[1]links-p0'!R137</f>
        <v>0</v>
      </c>
      <c r="Z138" s="1">
        <v>626.24265412</v>
      </c>
      <c r="AA138" s="1">
        <f>'[1]links-p0'!P137</f>
        <v>87.015141559999961</v>
      </c>
      <c r="AI138" s="37">
        <f>-[2]Exchanges!P146</f>
        <v>1517.77579117</v>
      </c>
      <c r="AJ138" s="1">
        <f>'[1]links-p0'!V137</f>
        <v>1517.7757899999999</v>
      </c>
    </row>
    <row r="139" spans="1:36">
      <c r="A139" s="28">
        <v>136</v>
      </c>
      <c r="B139" s="31">
        <v>5000</v>
      </c>
      <c r="C139" s="1">
        <f t="shared" si="8"/>
        <v>5000</v>
      </c>
      <c r="D139" s="1">
        <f>'[1]links-p0'!N138</f>
        <v>5000</v>
      </c>
      <c r="E139" s="28">
        <f>-'[1]links-p0'!O138</f>
        <v>0</v>
      </c>
      <c r="H139" s="30">
        <v>0</v>
      </c>
      <c r="I139" s="1">
        <f t="shared" si="9"/>
        <v>0</v>
      </c>
      <c r="J139" s="1">
        <f>'[1]links-p0'!J138</f>
        <v>0</v>
      </c>
      <c r="K139" s="1">
        <f>-'[1]links-p0'!L138</f>
        <v>0</v>
      </c>
      <c r="M139" s="1">
        <v>-317.74999066999999</v>
      </c>
      <c r="N139" s="1">
        <f t="shared" si="10"/>
        <v>0</v>
      </c>
      <c r="O139" s="1">
        <f>'[1]links-p0'!K138</f>
        <v>0</v>
      </c>
      <c r="P139" s="1">
        <f>-'[1]links-p0'!M138</f>
        <v>0</v>
      </c>
      <c r="R139" s="30">
        <v>7627.1186459999999</v>
      </c>
      <c r="S139" s="1">
        <f t="shared" si="11"/>
        <v>7597.6610170000004</v>
      </c>
      <c r="T139" s="1">
        <f>'[1]links-p0'!Q138</f>
        <v>7597.6610170000004</v>
      </c>
      <c r="U139" s="1">
        <f>-'[1]links-p0'!R138</f>
        <v>0</v>
      </c>
      <c r="Z139" s="1">
        <v>626.24265412</v>
      </c>
      <c r="AA139" s="1">
        <f>'[1]links-p0'!P138</f>
        <v>87.015141559999961</v>
      </c>
      <c r="AI139" s="37">
        <f>-[2]Exchanges!P147</f>
        <v>1517.77579117</v>
      </c>
      <c r="AJ139" s="1">
        <f>'[1]links-p0'!V138</f>
        <v>1517.7757899999999</v>
      </c>
    </row>
    <row r="140" spans="1:36">
      <c r="A140" s="28">
        <v>137</v>
      </c>
      <c r="B140" s="31">
        <v>5000</v>
      </c>
      <c r="C140" s="1">
        <f t="shared" si="8"/>
        <v>5000</v>
      </c>
      <c r="D140" s="1">
        <f>'[1]links-p0'!N139</f>
        <v>5000</v>
      </c>
      <c r="E140" s="28">
        <f>-'[1]links-p0'!O139</f>
        <v>0</v>
      </c>
      <c r="H140" s="30">
        <v>-3500</v>
      </c>
      <c r="I140" s="1">
        <f t="shared" si="9"/>
        <v>-3500</v>
      </c>
      <c r="J140" s="1">
        <f>'[1]links-p0'!J139</f>
        <v>0</v>
      </c>
      <c r="K140" s="1">
        <f>-'[1]links-p0'!L139</f>
        <v>-3500</v>
      </c>
      <c r="M140" s="1">
        <v>-752.50999066999998</v>
      </c>
      <c r="N140" s="1">
        <f t="shared" si="10"/>
        <v>-283.45966871112932</v>
      </c>
      <c r="O140" s="1">
        <f>'[1]links-p0'!K139</f>
        <v>0</v>
      </c>
      <c r="P140" s="1">
        <f>-'[1]links-p0'!M139</f>
        <v>-283.45966871112932</v>
      </c>
      <c r="R140" s="30">
        <v>7627.1186459999999</v>
      </c>
      <c r="S140" s="1">
        <f t="shared" si="11"/>
        <v>6414.7316264000001</v>
      </c>
      <c r="T140" s="1">
        <f>'[1]links-p0'!Q139</f>
        <v>6414.7316264000001</v>
      </c>
      <c r="U140" s="1">
        <f>-'[1]links-p0'!R139</f>
        <v>0</v>
      </c>
      <c r="Z140" s="1">
        <v>428.91580720000002</v>
      </c>
      <c r="AA140" s="1">
        <f>'[1]links-p0'!P139</f>
        <v>0</v>
      </c>
      <c r="AI140" s="37">
        <f>-[2]Exchanges!P148</f>
        <v>1517.77579117</v>
      </c>
      <c r="AJ140" s="1">
        <f>'[1]links-p0'!V139</f>
        <v>1517.7757899999999</v>
      </c>
    </row>
    <row r="141" spans="1:36">
      <c r="A141" s="28">
        <v>138</v>
      </c>
      <c r="B141" s="31">
        <v>5000</v>
      </c>
      <c r="C141" s="1">
        <f t="shared" si="8"/>
        <v>5000</v>
      </c>
      <c r="D141" s="1">
        <f>'[1]links-p0'!N140</f>
        <v>5000</v>
      </c>
      <c r="E141" s="28">
        <f>-'[1]links-p0'!O140</f>
        <v>0</v>
      </c>
      <c r="H141" s="30">
        <v>-3500</v>
      </c>
      <c r="I141" s="1">
        <f t="shared" si="9"/>
        <v>0</v>
      </c>
      <c r="J141" s="1">
        <f>'[1]links-p0'!J140</f>
        <v>0</v>
      </c>
      <c r="K141" s="1">
        <f>-'[1]links-p0'!L140</f>
        <v>0</v>
      </c>
      <c r="M141" s="1">
        <v>-1187.26999067</v>
      </c>
      <c r="N141" s="1">
        <f t="shared" si="10"/>
        <v>16.299484337253261</v>
      </c>
      <c r="O141" s="1">
        <f>'[1]links-p0'!K140</f>
        <v>16.299484337253261</v>
      </c>
      <c r="P141" s="1">
        <f>-'[1]links-p0'!M140</f>
        <v>0</v>
      </c>
      <c r="R141" s="30">
        <v>7627.1186459999999</v>
      </c>
      <c r="S141" s="1">
        <f t="shared" si="11"/>
        <v>7597.6610170000004</v>
      </c>
      <c r="T141" s="1">
        <f>'[1]links-p0'!Q140</f>
        <v>7597.6610170000004</v>
      </c>
      <c r="U141" s="1">
        <f>-'[1]links-p0'!R140</f>
        <v>0</v>
      </c>
      <c r="Z141" s="1">
        <v>297.17038803999998</v>
      </c>
      <c r="AA141" s="1">
        <f>'[1]links-p0'!P140</f>
        <v>87.479008520000008</v>
      </c>
      <c r="AI141" s="37">
        <f>-[2]Exchanges!P149</f>
        <v>1517.77579117</v>
      </c>
      <c r="AJ141" s="1">
        <f>'[1]links-p0'!V140</f>
        <v>2629.6909121113531</v>
      </c>
    </row>
    <row r="142" spans="1:36">
      <c r="A142" s="28">
        <v>139</v>
      </c>
      <c r="B142" s="31">
        <v>5000</v>
      </c>
      <c r="C142" s="1">
        <f t="shared" si="8"/>
        <v>5000</v>
      </c>
      <c r="D142" s="1">
        <f>'[1]links-p0'!N141</f>
        <v>5000</v>
      </c>
      <c r="E142" s="28">
        <f>-'[1]links-p0'!O141</f>
        <v>0</v>
      </c>
      <c r="H142" s="30">
        <v>-3500</v>
      </c>
      <c r="I142" s="1">
        <f t="shared" si="9"/>
        <v>0</v>
      </c>
      <c r="J142" s="1">
        <f>'[1]links-p0'!J141</f>
        <v>0</v>
      </c>
      <c r="K142" s="1">
        <f>-'[1]links-p0'!L141</f>
        <v>0</v>
      </c>
      <c r="M142" s="1">
        <v>-1622.02999067</v>
      </c>
      <c r="N142" s="1">
        <f t="shared" si="10"/>
        <v>-117.2068820847137</v>
      </c>
      <c r="O142" s="1">
        <f>'[1]links-p0'!K141</f>
        <v>0</v>
      </c>
      <c r="P142" s="1">
        <f>-'[1]links-p0'!M141</f>
        <v>-117.2068820847137</v>
      </c>
      <c r="R142" s="30">
        <v>7627.1186459999999</v>
      </c>
      <c r="S142" s="1">
        <f t="shared" si="11"/>
        <v>7024.6761585600007</v>
      </c>
      <c r="T142" s="1">
        <f>'[1]links-p0'!Q141</f>
        <v>7024.6761585600007</v>
      </c>
      <c r="U142" s="1">
        <f>-'[1]links-p0'!R141</f>
        <v>0</v>
      </c>
      <c r="Z142" s="1">
        <v>296.24265412</v>
      </c>
      <c r="AA142" s="1">
        <f>'[1]links-p0'!P141</f>
        <v>0</v>
      </c>
      <c r="AI142" s="37">
        <f>-[2]Exchanges!P150</f>
        <v>1517.77579117</v>
      </c>
      <c r="AJ142" s="1">
        <f>'[1]links-p0'!V141</f>
        <v>1517.7757899999999</v>
      </c>
    </row>
    <row r="143" spans="1:36">
      <c r="A143" s="28">
        <v>140</v>
      </c>
      <c r="B143" s="31">
        <v>5000</v>
      </c>
      <c r="C143" s="1">
        <f t="shared" si="8"/>
        <v>5000</v>
      </c>
      <c r="D143" s="1">
        <f>'[1]links-p0'!N142</f>
        <v>5000</v>
      </c>
      <c r="E143" s="28">
        <f>-'[1]links-p0'!O142</f>
        <v>0</v>
      </c>
      <c r="H143" s="30">
        <v>-3500</v>
      </c>
      <c r="I143" s="1">
        <f t="shared" si="9"/>
        <v>0</v>
      </c>
      <c r="J143" s="1">
        <f>'[1]links-p0'!J142</f>
        <v>0</v>
      </c>
      <c r="K143" s="1">
        <f>-'[1]links-p0'!L142</f>
        <v>0</v>
      </c>
      <c r="M143" s="1">
        <v>-1887.0978406700001</v>
      </c>
      <c r="N143" s="1">
        <f t="shared" si="10"/>
        <v>-263.33376335910862</v>
      </c>
      <c r="O143" s="1">
        <f>'[1]links-p0'!K142</f>
        <v>0</v>
      </c>
      <c r="P143" s="1">
        <f>-'[1]links-p0'!M142</f>
        <v>-263.33376335910862</v>
      </c>
      <c r="R143" s="30">
        <v>7627.1186459999999</v>
      </c>
      <c r="S143" s="1">
        <f t="shared" si="11"/>
        <v>7597.6610170000004</v>
      </c>
      <c r="T143" s="1">
        <f>'[1]links-p0'!Q142</f>
        <v>7597.6610170000004</v>
      </c>
      <c r="U143" s="1">
        <f>-'[1]links-p0'!R142</f>
        <v>0</v>
      </c>
      <c r="Z143" s="1">
        <v>295.31492021000003</v>
      </c>
      <c r="AA143" s="1">
        <f>'[1]links-p0'!P142</f>
        <v>86.551274600000028</v>
      </c>
      <c r="AI143" s="37">
        <f>-[2]Exchanges!P151</f>
        <v>1517.77579117</v>
      </c>
      <c r="AJ143" s="1">
        <f>'[1]links-p0'!V142</f>
        <v>1517.7757899999999</v>
      </c>
    </row>
    <row r="144" spans="1:36">
      <c r="A144" s="28">
        <v>141</v>
      </c>
      <c r="B144" s="31">
        <v>5000</v>
      </c>
      <c r="C144" s="1">
        <f t="shared" si="8"/>
        <v>5000</v>
      </c>
      <c r="D144" s="1">
        <f>'[1]links-p0'!N143</f>
        <v>5000</v>
      </c>
      <c r="E144" s="28">
        <f>-'[1]links-p0'!O143</f>
        <v>0</v>
      </c>
      <c r="H144" s="30">
        <v>-3500</v>
      </c>
      <c r="I144" s="1">
        <f t="shared" si="9"/>
        <v>-3500</v>
      </c>
      <c r="J144" s="1">
        <f>'[1]links-p0'!J143</f>
        <v>0</v>
      </c>
      <c r="K144" s="1">
        <f>-'[1]links-p0'!L143</f>
        <v>-3500</v>
      </c>
      <c r="M144" s="1">
        <v>-2115.6333506699998</v>
      </c>
      <c r="N144" s="1">
        <f t="shared" si="10"/>
        <v>-389.32145791333119</v>
      </c>
      <c r="O144" s="1">
        <f>'[1]links-p0'!K143</f>
        <v>0</v>
      </c>
      <c r="P144" s="1">
        <f>-'[1]links-p0'!M143</f>
        <v>-389.32145791333119</v>
      </c>
      <c r="R144" s="30">
        <v>7627.1186459999999</v>
      </c>
      <c r="S144" s="1">
        <f t="shared" si="11"/>
        <v>7023.7484246500007</v>
      </c>
      <c r="T144" s="1">
        <f>'[1]links-p0'!Q143</f>
        <v>7023.7484246500007</v>
      </c>
      <c r="U144" s="1">
        <f>-'[1]links-p0'!R143</f>
        <v>0</v>
      </c>
      <c r="Z144" s="1">
        <v>624.38718629000005</v>
      </c>
      <c r="AA144" s="1">
        <f>'[1]links-p0'!P143</f>
        <v>0</v>
      </c>
      <c r="AI144" s="37">
        <f>-[2]Exchanges!P152</f>
        <v>1517.77579117</v>
      </c>
      <c r="AJ144" s="1">
        <f>'[1]links-p0'!V143</f>
        <v>1517.7757899999999</v>
      </c>
    </row>
    <row r="145" spans="1:36">
      <c r="A145" s="28">
        <v>142</v>
      </c>
      <c r="B145" s="31">
        <v>5000</v>
      </c>
      <c r="C145" s="1">
        <f t="shared" si="8"/>
        <v>5000</v>
      </c>
      <c r="D145" s="1">
        <f>'[1]links-p0'!N144</f>
        <v>5000</v>
      </c>
      <c r="E145" s="28">
        <f>-'[1]links-p0'!O144</f>
        <v>0</v>
      </c>
      <c r="H145" s="30">
        <v>-3500</v>
      </c>
      <c r="I145" s="1">
        <f t="shared" si="9"/>
        <v>-3301.3505845432651</v>
      </c>
      <c r="J145" s="1">
        <f>'[1]links-p0'!J144</f>
        <v>0</v>
      </c>
      <c r="K145" s="1">
        <f>-'[1]links-p0'!L144</f>
        <v>-3301.3505845432651</v>
      </c>
      <c r="M145" s="1">
        <v>-1739.04</v>
      </c>
      <c r="N145" s="1">
        <f t="shared" si="10"/>
        <v>-509.91916725365382</v>
      </c>
      <c r="O145" s="1">
        <f>'[1]links-p0'!K144</f>
        <v>0</v>
      </c>
      <c r="P145" s="1">
        <f>-'[1]links-p0'!M144</f>
        <v>-509.91916725365382</v>
      </c>
      <c r="R145" s="30">
        <v>7627.1186459999999</v>
      </c>
      <c r="S145" s="1">
        <f t="shared" si="11"/>
        <v>6779.6610170000004</v>
      </c>
      <c r="T145" s="1">
        <f>'[1]links-p0'!Q144</f>
        <v>6779.6610170000004</v>
      </c>
      <c r="U145" s="1">
        <f>-'[1]links-p0'!R144</f>
        <v>0</v>
      </c>
      <c r="Z145" s="1">
        <v>292.53171845999998</v>
      </c>
      <c r="AA145" s="1">
        <f>'[1]links-p0'!P144</f>
        <v>85.159673730000009</v>
      </c>
      <c r="AI145" s="37">
        <f>-[2]Exchanges!P153</f>
        <v>1517.77579117</v>
      </c>
      <c r="AJ145" s="1">
        <f>'[1]links-p0'!V144</f>
        <v>1517.7757899999999</v>
      </c>
    </row>
    <row r="146" spans="1:36">
      <c r="A146" s="28">
        <v>143</v>
      </c>
      <c r="B146" s="31">
        <v>5000</v>
      </c>
      <c r="C146" s="1">
        <f t="shared" si="8"/>
        <v>5000</v>
      </c>
      <c r="D146" s="1">
        <f>'[1]links-p0'!N145</f>
        <v>5000</v>
      </c>
      <c r="E146" s="28">
        <f>-'[1]links-p0'!O145</f>
        <v>0</v>
      </c>
      <c r="H146" s="30">
        <v>-317.68127659999999</v>
      </c>
      <c r="I146" s="1">
        <f t="shared" si="9"/>
        <v>-3500</v>
      </c>
      <c r="J146" s="1">
        <f>'[1]links-p0'!J145</f>
        <v>0</v>
      </c>
      <c r="K146" s="1">
        <f>-'[1]links-p0'!L145</f>
        <v>-3500</v>
      </c>
      <c r="M146" s="1">
        <v>-1304.28</v>
      </c>
      <c r="N146" s="1">
        <f t="shared" si="10"/>
        <v>-630.87775678864068</v>
      </c>
      <c r="O146" s="1">
        <f>'[1]links-p0'!K145</f>
        <v>0</v>
      </c>
      <c r="P146" s="1">
        <f>-'[1]links-p0'!M145</f>
        <v>-630.87775678864068</v>
      </c>
      <c r="R146" s="30">
        <v>7627.1186459999999</v>
      </c>
      <c r="S146" s="1">
        <f t="shared" si="11"/>
        <v>7022.82069073</v>
      </c>
      <c r="T146" s="1">
        <f>'[1]links-p0'!Q145</f>
        <v>7022.82069073</v>
      </c>
      <c r="U146" s="1">
        <f>-'[1]links-p0'!R145</f>
        <v>0</v>
      </c>
      <c r="Z146" s="1">
        <v>292.53171845999998</v>
      </c>
      <c r="AA146" s="1">
        <f>'[1]links-p0'!P145</f>
        <v>0</v>
      </c>
      <c r="AI146" s="37">
        <f>-[2]Exchanges!P154</f>
        <v>1517.77579117</v>
      </c>
      <c r="AJ146" s="1">
        <f>'[1]links-p0'!V145</f>
        <v>1517.7757899999999</v>
      </c>
    </row>
    <row r="147" spans="1:36">
      <c r="A147" s="28">
        <v>144</v>
      </c>
      <c r="B147" s="31">
        <v>5000</v>
      </c>
      <c r="C147" s="1">
        <f t="shared" si="8"/>
        <v>5000</v>
      </c>
      <c r="D147" s="1">
        <f>'[1]links-p0'!N146</f>
        <v>5000</v>
      </c>
      <c r="E147" s="28">
        <f>-'[1]links-p0'!O146</f>
        <v>0</v>
      </c>
      <c r="H147" s="30">
        <v>-943.78527659999997</v>
      </c>
      <c r="I147" s="1">
        <f t="shared" si="9"/>
        <v>0</v>
      </c>
      <c r="J147" s="1">
        <f>'[1]links-p0'!J146</f>
        <v>0</v>
      </c>
      <c r="K147" s="1">
        <f>-'[1]links-p0'!L146</f>
        <v>0</v>
      </c>
      <c r="M147" s="1">
        <v>-869.52</v>
      </c>
      <c r="N147" s="1">
        <f t="shared" si="10"/>
        <v>-707.28672951718249</v>
      </c>
      <c r="O147" s="1">
        <f>'[1]links-p0'!K146</f>
        <v>0</v>
      </c>
      <c r="P147" s="1">
        <f>-'[1]links-p0'!M146</f>
        <v>-707.28672951718249</v>
      </c>
      <c r="R147" s="30">
        <v>7627.1186459999999</v>
      </c>
      <c r="S147" s="1">
        <f t="shared" si="11"/>
        <v>7597.6610170000004</v>
      </c>
      <c r="T147" s="1">
        <f>'[1]links-p0'!Q146</f>
        <v>7597.6610170000004</v>
      </c>
      <c r="U147" s="1">
        <f>-'[1]links-p0'!R146</f>
        <v>0</v>
      </c>
      <c r="Z147" s="1">
        <v>442.70663198</v>
      </c>
      <c r="AA147" s="1">
        <f>'[1]links-p0'!P146</f>
        <v>85.158687680000014</v>
      </c>
      <c r="AI147" s="37">
        <f>-[2]Exchanges!P155</f>
        <v>1517.77579117</v>
      </c>
      <c r="AJ147" s="1">
        <f>'[1]links-p0'!V146</f>
        <v>1517.7757899999999</v>
      </c>
    </row>
    <row r="148" spans="1:36">
      <c r="A148" s="28">
        <v>145</v>
      </c>
      <c r="B148" s="31">
        <v>5000</v>
      </c>
      <c r="C148" s="1">
        <f t="shared" si="8"/>
        <v>5000</v>
      </c>
      <c r="D148" s="1">
        <f>'[1]links-p0'!N147</f>
        <v>5000</v>
      </c>
      <c r="E148" s="28">
        <f>-'[1]links-p0'!O147</f>
        <v>0</v>
      </c>
      <c r="H148" s="30">
        <v>0</v>
      </c>
      <c r="I148" s="1">
        <f t="shared" si="9"/>
        <v>-3500</v>
      </c>
      <c r="J148" s="1">
        <f>'[1]links-p0'!J147</f>
        <v>0</v>
      </c>
      <c r="K148" s="1">
        <f>-'[1]links-p0'!L147</f>
        <v>-3500</v>
      </c>
      <c r="M148" s="1">
        <v>-434.76</v>
      </c>
      <c r="N148" s="1">
        <f t="shared" si="10"/>
        <v>-780.0800768206384</v>
      </c>
      <c r="O148" s="1">
        <f>'[1]links-p0'!K147</f>
        <v>0</v>
      </c>
      <c r="P148" s="1">
        <f>-'[1]links-p0'!M147</f>
        <v>-780.0800768206384</v>
      </c>
      <c r="R148" s="30">
        <v>7627.1186459999999</v>
      </c>
      <c r="S148" s="1">
        <f t="shared" si="11"/>
        <v>7597.6610170000004</v>
      </c>
      <c r="T148" s="1">
        <f>'[1]links-p0'!Q147</f>
        <v>7597.6610170000004</v>
      </c>
      <c r="U148" s="1">
        <f>-'[1]links-p0'!R147</f>
        <v>0</v>
      </c>
      <c r="Z148" s="1">
        <v>622.52974635999999</v>
      </c>
      <c r="AA148" s="1">
        <f>'[1]links-p0'!P147</f>
        <v>85.158687680000014</v>
      </c>
      <c r="AI148" s="37">
        <f>-[2]Exchanges!P156</f>
        <v>1517.77579117</v>
      </c>
      <c r="AJ148" s="1">
        <f>'[1]links-p0'!V147</f>
        <v>1517.7757899999999</v>
      </c>
    </row>
    <row r="149" spans="1:36">
      <c r="A149" s="28">
        <v>146</v>
      </c>
      <c r="B149" s="31">
        <v>5000</v>
      </c>
      <c r="C149" s="1">
        <f t="shared" si="8"/>
        <v>5000</v>
      </c>
      <c r="D149" s="1">
        <f>'[1]links-p0'!N148</f>
        <v>5000</v>
      </c>
      <c r="E149" s="28">
        <f>-'[1]links-p0'!O148</f>
        <v>0</v>
      </c>
      <c r="H149" s="30">
        <v>0</v>
      </c>
      <c r="I149" s="1">
        <f t="shared" si="9"/>
        <v>-3500</v>
      </c>
      <c r="J149" s="1">
        <f>'[1]links-p0'!J148</f>
        <v>0</v>
      </c>
      <c r="K149" s="1">
        <f>-'[1]links-p0'!L148</f>
        <v>-3500</v>
      </c>
      <c r="M149" s="1">
        <v>0</v>
      </c>
      <c r="N149" s="1">
        <f t="shared" si="10"/>
        <v>-859.25736881027365</v>
      </c>
      <c r="O149" s="1">
        <f>'[1]links-p0'!K148</f>
        <v>0</v>
      </c>
      <c r="P149" s="1">
        <f>-'[1]links-p0'!M148</f>
        <v>-859.25736881027365</v>
      </c>
      <c r="R149" s="30">
        <v>7627.1186459999999</v>
      </c>
      <c r="S149" s="1">
        <f t="shared" si="11"/>
        <v>7597.6610170000004</v>
      </c>
      <c r="T149" s="1">
        <f>'[1]links-p0'!Q148</f>
        <v>7597.6610170000004</v>
      </c>
      <c r="U149" s="1">
        <f>-'[1]links-p0'!R148</f>
        <v>0</v>
      </c>
      <c r="Z149" s="1">
        <v>622.52974635999999</v>
      </c>
      <c r="AA149" s="1">
        <f>'[1]links-p0'!P148</f>
        <v>85.158687680000014</v>
      </c>
      <c r="AI149" s="37">
        <f>-[2]Exchanges!P157</f>
        <v>1517.77579117</v>
      </c>
      <c r="AJ149" s="1">
        <f>'[1]links-p0'!V148</f>
        <v>1517.7757899999999</v>
      </c>
    </row>
    <row r="150" spans="1:36">
      <c r="A150" s="28">
        <v>147</v>
      </c>
      <c r="B150" s="31">
        <v>5000</v>
      </c>
      <c r="C150" s="1">
        <f t="shared" si="8"/>
        <v>5000</v>
      </c>
      <c r="D150" s="1">
        <f>'[1]links-p0'!N149</f>
        <v>5000</v>
      </c>
      <c r="E150" s="28">
        <f>-'[1]links-p0'!O149</f>
        <v>0</v>
      </c>
      <c r="H150" s="30">
        <v>0</v>
      </c>
      <c r="I150" s="1">
        <f t="shared" si="9"/>
        <v>-1251.543351218739</v>
      </c>
      <c r="J150" s="1">
        <f>'[1]links-p0'!J149</f>
        <v>0</v>
      </c>
      <c r="K150" s="1">
        <f>-'[1]links-p0'!L149</f>
        <v>-1251.543351218739</v>
      </c>
      <c r="M150" s="1">
        <v>0</v>
      </c>
      <c r="N150" s="1">
        <f t="shared" si="10"/>
        <v>-882.67936522090963</v>
      </c>
      <c r="O150" s="1">
        <f>'[1]links-p0'!K149</f>
        <v>0</v>
      </c>
      <c r="P150" s="1">
        <f>-'[1]links-p0'!M149</f>
        <v>-882.67936522090963</v>
      </c>
      <c r="R150" s="30">
        <v>7627.1186459999999</v>
      </c>
      <c r="S150" s="1">
        <f t="shared" si="11"/>
        <v>7597.6610170000004</v>
      </c>
      <c r="T150" s="1">
        <f>'[1]links-p0'!Q149</f>
        <v>7597.6610170000004</v>
      </c>
      <c r="U150" s="1">
        <f>-'[1]links-p0'!R149</f>
        <v>0</v>
      </c>
      <c r="Z150" s="1">
        <v>622.52974635999999</v>
      </c>
      <c r="AA150" s="1">
        <f>'[1]links-p0'!P149</f>
        <v>85.158687680000014</v>
      </c>
      <c r="AI150" s="37">
        <f>-[2]Exchanges!P158</f>
        <v>1517.77579117</v>
      </c>
      <c r="AJ150" s="1">
        <f>'[1]links-p0'!V149</f>
        <v>1517.7757899999999</v>
      </c>
    </row>
    <row r="151" spans="1:36">
      <c r="A151" s="28">
        <v>148</v>
      </c>
      <c r="B151" s="31">
        <v>5000</v>
      </c>
      <c r="C151" s="1">
        <f t="shared" si="8"/>
        <v>5000</v>
      </c>
      <c r="D151" s="1">
        <f>'[1]links-p0'!N150</f>
        <v>5000</v>
      </c>
      <c r="E151" s="28">
        <f>-'[1]links-p0'!O150</f>
        <v>0</v>
      </c>
      <c r="H151" s="30">
        <v>0</v>
      </c>
      <c r="I151" s="1">
        <f t="shared" si="9"/>
        <v>3471.1602574531062</v>
      </c>
      <c r="J151" s="1">
        <f>'[1]links-p0'!J150</f>
        <v>3471.1602574531062</v>
      </c>
      <c r="K151" s="1">
        <f>-'[1]links-p0'!L150</f>
        <v>0</v>
      </c>
      <c r="M151" s="1">
        <v>0</v>
      </c>
      <c r="N151" s="1">
        <f t="shared" si="10"/>
        <v>-836.72763093869594</v>
      </c>
      <c r="O151" s="1">
        <f>'[1]links-p0'!K150</f>
        <v>0</v>
      </c>
      <c r="P151" s="1">
        <f>-'[1]links-p0'!M150</f>
        <v>-836.72763093869594</v>
      </c>
      <c r="R151" s="30">
        <v>7627.1186459999999</v>
      </c>
      <c r="S151" s="1">
        <f t="shared" si="11"/>
        <v>7597.6610170000004</v>
      </c>
      <c r="T151" s="1">
        <f>'[1]links-p0'!Q150</f>
        <v>7597.6610170000004</v>
      </c>
      <c r="U151" s="1">
        <f>-'[1]links-p0'!R150</f>
        <v>0</v>
      </c>
      <c r="Z151" s="1">
        <v>624.38521419000006</v>
      </c>
      <c r="AA151" s="1">
        <f>'[1]links-p0'!P150</f>
        <v>86.086421599999994</v>
      </c>
      <c r="AI151" s="37">
        <f>-[2]Exchanges!P159</f>
        <v>1517.77579117</v>
      </c>
      <c r="AJ151" s="1">
        <f>'[1]links-p0'!V150</f>
        <v>1517.7757899999999</v>
      </c>
    </row>
    <row r="152" spans="1:36">
      <c r="A152" s="28">
        <v>149</v>
      </c>
      <c r="B152" s="31">
        <v>5000</v>
      </c>
      <c r="C152" s="1">
        <f t="shared" si="8"/>
        <v>5000</v>
      </c>
      <c r="D152" s="1">
        <f>'[1]links-p0'!N151</f>
        <v>5000</v>
      </c>
      <c r="E152" s="28">
        <f>-'[1]links-p0'!O151</f>
        <v>0</v>
      </c>
      <c r="H152" s="30">
        <v>0</v>
      </c>
      <c r="I152" s="1">
        <f t="shared" si="9"/>
        <v>4200</v>
      </c>
      <c r="J152" s="1">
        <f>'[1]links-p0'!J151</f>
        <v>4200</v>
      </c>
      <c r="K152" s="1">
        <f>-'[1]links-p0'!L151</f>
        <v>0</v>
      </c>
      <c r="M152" s="1">
        <v>0</v>
      </c>
      <c r="N152" s="1">
        <f t="shared" si="10"/>
        <v>-729.1818130853751</v>
      </c>
      <c r="O152" s="1">
        <f>'[1]links-p0'!K151</f>
        <v>0</v>
      </c>
      <c r="P152" s="1">
        <f>-'[1]links-p0'!M151</f>
        <v>-729.1818130853751</v>
      </c>
      <c r="R152" s="30">
        <v>7627.1186459999999</v>
      </c>
      <c r="S152" s="1">
        <f t="shared" si="11"/>
        <v>7597.6610170000004</v>
      </c>
      <c r="T152" s="1">
        <f>'[1]links-p0'!Q151</f>
        <v>7597.6610170000004</v>
      </c>
      <c r="U152" s="1">
        <f>-'[1]links-p0'!R151</f>
        <v>0</v>
      </c>
      <c r="Z152" s="1">
        <v>626.24068202000001</v>
      </c>
      <c r="AA152" s="1">
        <f>'[1]links-p0'!P151</f>
        <v>87.014155510000023</v>
      </c>
      <c r="AI152" s="37">
        <f>-[2]Exchanges!P160</f>
        <v>1517.77579117</v>
      </c>
      <c r="AJ152" s="1">
        <f>'[1]links-p0'!V151</f>
        <v>1517.7757899999999</v>
      </c>
    </row>
    <row r="153" spans="1:36">
      <c r="A153" s="28">
        <v>150</v>
      </c>
      <c r="B153" s="31">
        <v>4333.4466335099996</v>
      </c>
      <c r="C153" s="1">
        <f t="shared" si="8"/>
        <v>5000</v>
      </c>
      <c r="D153" s="1">
        <f>'[1]links-p0'!N152</f>
        <v>5000</v>
      </c>
      <c r="E153" s="28">
        <f>-'[1]links-p0'!O152</f>
        <v>0</v>
      </c>
      <c r="H153" s="30">
        <v>0</v>
      </c>
      <c r="I153" s="1">
        <f t="shared" si="9"/>
        <v>3097.8781241243869</v>
      </c>
      <c r="J153" s="1">
        <f>'[1]links-p0'!J152</f>
        <v>3097.8781241243869</v>
      </c>
      <c r="K153" s="1">
        <f>-'[1]links-p0'!L152</f>
        <v>0</v>
      </c>
      <c r="M153" s="1">
        <v>0</v>
      </c>
      <c r="N153" s="1">
        <f t="shared" si="10"/>
        <v>-748.63744752570142</v>
      </c>
      <c r="O153" s="1">
        <f>'[1]links-p0'!K152</f>
        <v>0</v>
      </c>
      <c r="P153" s="1">
        <f>-'[1]links-p0'!M152</f>
        <v>-748.63744752570142</v>
      </c>
      <c r="R153" s="30">
        <v>7627.1186459999999</v>
      </c>
      <c r="S153" s="1">
        <f t="shared" si="11"/>
        <v>7597.6610170000004</v>
      </c>
      <c r="T153" s="1">
        <f>'[1]links-p0'!Q152</f>
        <v>7597.6610170000004</v>
      </c>
      <c r="U153" s="1">
        <f>-'[1]links-p0'!R152</f>
        <v>0</v>
      </c>
      <c r="Z153" s="1">
        <v>627.16841594000005</v>
      </c>
      <c r="AA153" s="1">
        <f>'[1]links-p0'!P152</f>
        <v>87.478022470000013</v>
      </c>
      <c r="AI153" s="37">
        <f>-[2]Exchanges!P161</f>
        <v>1517.77579117</v>
      </c>
      <c r="AJ153" s="1">
        <f>'[1]links-p0'!V152</f>
        <v>1517.7757899999999</v>
      </c>
    </row>
    <row r="154" spans="1:36">
      <c r="A154" s="28">
        <v>151</v>
      </c>
      <c r="B154" s="31">
        <v>343.30606177999999</v>
      </c>
      <c r="C154" s="1">
        <f t="shared" si="8"/>
        <v>5000</v>
      </c>
      <c r="D154" s="1">
        <f>'[1]links-p0'!N153</f>
        <v>5000</v>
      </c>
      <c r="E154" s="28">
        <f>-'[1]links-p0'!O153</f>
        <v>0</v>
      </c>
      <c r="H154" s="30">
        <v>0</v>
      </c>
      <c r="I154" s="1">
        <f t="shared" si="9"/>
        <v>-1541.8405241220239</v>
      </c>
      <c r="J154" s="1">
        <f>'[1]links-p0'!J153</f>
        <v>0</v>
      </c>
      <c r="K154" s="1">
        <f>-'[1]links-p0'!L153</f>
        <v>-1541.8405241220239</v>
      </c>
      <c r="M154" s="1">
        <v>0</v>
      </c>
      <c r="N154" s="1">
        <f t="shared" si="10"/>
        <v>-682.38244687828251</v>
      </c>
      <c r="O154" s="1">
        <f>'[1]links-p0'!K153</f>
        <v>0</v>
      </c>
      <c r="P154" s="1">
        <f>-'[1]links-p0'!M153</f>
        <v>-682.38244687828251</v>
      </c>
      <c r="R154" s="30">
        <v>7627.1186459999999</v>
      </c>
      <c r="S154" s="1">
        <f t="shared" si="11"/>
        <v>7597.6610170000004</v>
      </c>
      <c r="T154" s="1">
        <f>'[1]links-p0'!Q153</f>
        <v>7597.6610170000004</v>
      </c>
      <c r="U154" s="1">
        <f>-'[1]links-p0'!R153</f>
        <v>0</v>
      </c>
      <c r="Z154" s="1">
        <v>626.24068202000001</v>
      </c>
      <c r="AA154" s="1">
        <f>'[1]links-p0'!P153</f>
        <v>87.014155510000023</v>
      </c>
      <c r="AI154" s="37">
        <f>-[2]Exchanges!P162</f>
        <v>1517.77579117</v>
      </c>
      <c r="AJ154" s="1">
        <f>'[1]links-p0'!V153</f>
        <v>1517.7757899999999</v>
      </c>
    </row>
    <row r="155" spans="1:36">
      <c r="A155" s="28">
        <v>152</v>
      </c>
      <c r="B155" s="31">
        <v>1807.2919545899999</v>
      </c>
      <c r="C155" s="1">
        <f t="shared" si="8"/>
        <v>5000</v>
      </c>
      <c r="D155" s="1">
        <f>'[1]links-p0'!N154</f>
        <v>5000</v>
      </c>
      <c r="E155" s="28">
        <f>-'[1]links-p0'!O154</f>
        <v>0</v>
      </c>
      <c r="H155" s="30">
        <v>0</v>
      </c>
      <c r="I155" s="1">
        <f t="shared" si="9"/>
        <v>-2429.886565586939</v>
      </c>
      <c r="J155" s="1">
        <f>'[1]links-p0'!J154</f>
        <v>0</v>
      </c>
      <c r="K155" s="1">
        <f>-'[1]links-p0'!L154</f>
        <v>-2429.886565586939</v>
      </c>
      <c r="M155" s="1">
        <v>0</v>
      </c>
      <c r="N155" s="1">
        <f t="shared" si="10"/>
        <v>-437.08519809803221</v>
      </c>
      <c r="O155" s="1">
        <f>'[1]links-p0'!K154</f>
        <v>0</v>
      </c>
      <c r="P155" s="1">
        <f>-'[1]links-p0'!M154</f>
        <v>-437.08519809803221</v>
      </c>
      <c r="R155" s="30">
        <v>7627.1186459999999</v>
      </c>
      <c r="S155" s="1">
        <f t="shared" si="11"/>
        <v>7597.6610170000004</v>
      </c>
      <c r="T155" s="1">
        <f>'[1]links-p0'!Q154</f>
        <v>7597.6610170000004</v>
      </c>
      <c r="U155" s="1">
        <f>-'[1]links-p0'!R154</f>
        <v>0</v>
      </c>
      <c r="Z155" s="1">
        <v>626.24068202000001</v>
      </c>
      <c r="AA155" s="1">
        <f>'[1]links-p0'!P154</f>
        <v>87.014155510000023</v>
      </c>
      <c r="AI155" s="37">
        <f>-[2]Exchanges!P163</f>
        <v>1517.77579117</v>
      </c>
      <c r="AJ155" s="1">
        <f>'[1]links-p0'!V154</f>
        <v>1517.7757899999999</v>
      </c>
    </row>
    <row r="156" spans="1:36">
      <c r="A156" s="28">
        <v>153</v>
      </c>
      <c r="B156" s="31">
        <v>1038.6723876000001</v>
      </c>
      <c r="C156" s="1">
        <f t="shared" si="8"/>
        <v>5000</v>
      </c>
      <c r="D156" s="1">
        <f>'[1]links-p0'!N155</f>
        <v>5000</v>
      </c>
      <c r="E156" s="28">
        <f>-'[1]links-p0'!O155</f>
        <v>0</v>
      </c>
      <c r="H156" s="30">
        <v>0</v>
      </c>
      <c r="I156" s="1">
        <f t="shared" si="9"/>
        <v>0</v>
      </c>
      <c r="J156" s="1">
        <f>'[1]links-p0'!J155</f>
        <v>0</v>
      </c>
      <c r="K156" s="1">
        <f>-'[1]links-p0'!L155</f>
        <v>0</v>
      </c>
      <c r="M156" s="1">
        <v>0</v>
      </c>
      <c r="N156" s="1">
        <f t="shared" si="10"/>
        <v>-285.63563010044601</v>
      </c>
      <c r="O156" s="1">
        <f>'[1]links-p0'!K155</f>
        <v>0</v>
      </c>
      <c r="P156" s="1">
        <f>-'[1]links-p0'!M155</f>
        <v>-285.63563010044601</v>
      </c>
      <c r="R156" s="30">
        <v>7627.1186459999999</v>
      </c>
      <c r="S156" s="1">
        <f t="shared" si="11"/>
        <v>7597.6610170000004</v>
      </c>
      <c r="T156" s="1">
        <f>'[1]links-p0'!Q155</f>
        <v>7597.6610170000004</v>
      </c>
      <c r="U156" s="1">
        <f>-'[1]links-p0'!R155</f>
        <v>0</v>
      </c>
      <c r="Z156" s="1">
        <v>626.24068202000001</v>
      </c>
      <c r="AA156" s="1">
        <f>'[1]links-p0'!P155</f>
        <v>87.014155510000023</v>
      </c>
      <c r="AI156" s="37">
        <f>-[2]Exchanges!P164</f>
        <v>1517.77579117</v>
      </c>
      <c r="AJ156" s="1">
        <f>'[1]links-p0'!V155</f>
        <v>1517.7757899999999</v>
      </c>
    </row>
    <row r="157" spans="1:36">
      <c r="A157" s="28">
        <v>154</v>
      </c>
      <c r="B157" s="31">
        <v>0</v>
      </c>
      <c r="C157" s="1">
        <f t="shared" si="8"/>
        <v>5000</v>
      </c>
      <c r="D157" s="1">
        <f>'[1]links-p0'!N156</f>
        <v>5000</v>
      </c>
      <c r="E157" s="28">
        <f>-'[1]links-p0'!O156</f>
        <v>0</v>
      </c>
      <c r="H157" s="30">
        <v>0</v>
      </c>
      <c r="I157" s="1">
        <f t="shared" si="9"/>
        <v>0</v>
      </c>
      <c r="J157" s="1">
        <f>'[1]links-p0'!J156</f>
        <v>0</v>
      </c>
      <c r="K157" s="1">
        <f>-'[1]links-p0'!L156</f>
        <v>0</v>
      </c>
      <c r="M157" s="1">
        <v>0</v>
      </c>
      <c r="N157" s="1">
        <f t="shared" si="10"/>
        <v>0</v>
      </c>
      <c r="O157" s="1">
        <f>'[1]links-p0'!K156</f>
        <v>0</v>
      </c>
      <c r="P157" s="1">
        <f>-'[1]links-p0'!M156</f>
        <v>0</v>
      </c>
      <c r="R157" s="30">
        <v>7627.1186459999999</v>
      </c>
      <c r="S157" s="1">
        <f t="shared" si="11"/>
        <v>7597.6610170000004</v>
      </c>
      <c r="T157" s="1">
        <f>'[1]links-p0'!Q156</f>
        <v>7597.6610170000004</v>
      </c>
      <c r="U157" s="1">
        <f>-'[1]links-p0'!R156</f>
        <v>0</v>
      </c>
      <c r="Z157" s="1">
        <v>626.24068202000001</v>
      </c>
      <c r="AA157" s="1">
        <f>'[1]links-p0'!P156</f>
        <v>87.014155510000023</v>
      </c>
      <c r="AI157" s="37">
        <f>-[2]Exchanges!P165</f>
        <v>1517.77579117</v>
      </c>
      <c r="AJ157" s="1">
        <f>'[1]links-p0'!V156</f>
        <v>1517.7757899999999</v>
      </c>
    </row>
    <row r="158" spans="1:36">
      <c r="A158" s="28">
        <v>155</v>
      </c>
      <c r="B158" s="31">
        <v>1562.9616304000001</v>
      </c>
      <c r="C158" s="1">
        <f t="shared" si="8"/>
        <v>5000</v>
      </c>
      <c r="D158" s="1">
        <f>'[1]links-p0'!N157</f>
        <v>5000</v>
      </c>
      <c r="E158" s="28">
        <f>-'[1]links-p0'!O157</f>
        <v>0</v>
      </c>
      <c r="H158" s="30">
        <v>0</v>
      </c>
      <c r="I158" s="1">
        <f t="shared" si="9"/>
        <v>0</v>
      </c>
      <c r="J158" s="1">
        <f>'[1]links-p0'!J157</f>
        <v>0</v>
      </c>
      <c r="K158" s="1">
        <f>-'[1]links-p0'!L157</f>
        <v>0</v>
      </c>
      <c r="M158" s="1">
        <v>0</v>
      </c>
      <c r="N158" s="1">
        <f t="shared" si="10"/>
        <v>0</v>
      </c>
      <c r="O158" s="1">
        <f>'[1]links-p0'!K157</f>
        <v>0</v>
      </c>
      <c r="P158" s="1">
        <f>-'[1]links-p0'!M157</f>
        <v>0</v>
      </c>
      <c r="R158" s="30">
        <v>7627.1186459999999</v>
      </c>
      <c r="S158" s="1">
        <f t="shared" si="11"/>
        <v>7597.6610170000004</v>
      </c>
      <c r="T158" s="1">
        <f>'[1]links-p0'!Q157</f>
        <v>7597.6610170000004</v>
      </c>
      <c r="U158" s="1">
        <f>-'[1]links-p0'!R157</f>
        <v>0</v>
      </c>
      <c r="Z158" s="1">
        <v>627.16841594000005</v>
      </c>
      <c r="AA158" s="1">
        <f>'[1]links-p0'!P157</f>
        <v>87.478022470000013</v>
      </c>
      <c r="AI158" s="37">
        <f>-[2]Exchanges!P166</f>
        <v>1517.77579117</v>
      </c>
      <c r="AJ158" s="1">
        <f>'[1]links-p0'!V157</f>
        <v>1517.7757899999999</v>
      </c>
    </row>
    <row r="159" spans="1:36">
      <c r="A159" s="28">
        <v>156</v>
      </c>
      <c r="B159" s="31">
        <v>2278.42759621</v>
      </c>
      <c r="C159" s="1">
        <f t="shared" si="8"/>
        <v>5000</v>
      </c>
      <c r="D159" s="1">
        <f>'[1]links-p0'!N158</f>
        <v>5000</v>
      </c>
      <c r="E159" s="28">
        <f>-'[1]links-p0'!O158</f>
        <v>0</v>
      </c>
      <c r="H159" s="30">
        <v>0</v>
      </c>
      <c r="I159" s="1">
        <f t="shared" si="9"/>
        <v>0</v>
      </c>
      <c r="J159" s="1">
        <f>'[1]links-p0'!J158</f>
        <v>0</v>
      </c>
      <c r="K159" s="1">
        <f>-'[1]links-p0'!L158</f>
        <v>0</v>
      </c>
      <c r="M159" s="1">
        <v>0</v>
      </c>
      <c r="N159" s="1">
        <f t="shared" si="10"/>
        <v>0</v>
      </c>
      <c r="O159" s="1">
        <f>'[1]links-p0'!K158</f>
        <v>0</v>
      </c>
      <c r="P159" s="1">
        <f>-'[1]links-p0'!M158</f>
        <v>0</v>
      </c>
      <c r="R159" s="30">
        <v>7627.1186459999999</v>
      </c>
      <c r="S159" s="1">
        <f t="shared" si="11"/>
        <v>7597.6610170000004</v>
      </c>
      <c r="T159" s="1">
        <f>'[1]links-p0'!Q158</f>
        <v>7597.6610170000004</v>
      </c>
      <c r="U159" s="1">
        <f>-'[1]links-p0'!R158</f>
        <v>0</v>
      </c>
      <c r="Z159" s="1">
        <v>626.24068202000001</v>
      </c>
      <c r="AA159" s="1">
        <f>'[1]links-p0'!P158</f>
        <v>87.014155510000023</v>
      </c>
      <c r="AI159" s="37">
        <f>-[2]Exchanges!P167</f>
        <v>1517.77579117</v>
      </c>
      <c r="AJ159" s="1">
        <f>'[1]links-p0'!V158</f>
        <v>1517.7757899999999</v>
      </c>
    </row>
    <row r="160" spans="1:36">
      <c r="A160" s="28">
        <v>157</v>
      </c>
      <c r="B160" s="31">
        <v>972.68318063000004</v>
      </c>
      <c r="C160" s="1">
        <f t="shared" si="8"/>
        <v>5000</v>
      </c>
      <c r="D160" s="1">
        <f>'[1]links-p0'!N159</f>
        <v>5000</v>
      </c>
      <c r="E160" s="28">
        <f>-'[1]links-p0'!O159</f>
        <v>0</v>
      </c>
      <c r="H160" s="30">
        <v>0</v>
      </c>
      <c r="I160" s="1">
        <f t="shared" si="9"/>
        <v>0</v>
      </c>
      <c r="J160" s="1">
        <f>'[1]links-p0'!J159</f>
        <v>0</v>
      </c>
      <c r="K160" s="1">
        <f>-'[1]links-p0'!L159</f>
        <v>0</v>
      </c>
      <c r="M160" s="1">
        <v>0</v>
      </c>
      <c r="N160" s="1">
        <f t="shared" si="10"/>
        <v>0</v>
      </c>
      <c r="O160" s="1">
        <f>'[1]links-p0'!K159</f>
        <v>0</v>
      </c>
      <c r="P160" s="1">
        <f>-'[1]links-p0'!M159</f>
        <v>0</v>
      </c>
      <c r="R160" s="30">
        <v>7627.1186459999999</v>
      </c>
      <c r="S160" s="1">
        <f t="shared" si="11"/>
        <v>7597.6610170000004</v>
      </c>
      <c r="T160" s="1">
        <f>'[1]links-p0'!Q159</f>
        <v>7597.6610170000004</v>
      </c>
      <c r="U160" s="1">
        <f>-'[1]links-p0'!R159</f>
        <v>0</v>
      </c>
      <c r="Z160" s="1">
        <v>626.24068202000001</v>
      </c>
      <c r="AA160" s="1">
        <f>'[1]links-p0'!P159</f>
        <v>87.014155510000023</v>
      </c>
      <c r="AI160" s="37">
        <f>-[2]Exchanges!P168</f>
        <v>1517.77579117</v>
      </c>
      <c r="AJ160" s="1">
        <f>'[1]links-p0'!V159</f>
        <v>1517.7757899999999</v>
      </c>
    </row>
    <row r="161" spans="1:36">
      <c r="A161" s="28">
        <v>158</v>
      </c>
      <c r="B161" s="31">
        <v>0</v>
      </c>
      <c r="C161" s="1">
        <f t="shared" si="8"/>
        <v>5000</v>
      </c>
      <c r="D161" s="1">
        <f>'[1]links-p0'!N160</f>
        <v>5000</v>
      </c>
      <c r="E161" s="28">
        <f>-'[1]links-p0'!O160</f>
        <v>0</v>
      </c>
      <c r="H161" s="30">
        <v>0</v>
      </c>
      <c r="I161" s="1">
        <f t="shared" si="9"/>
        <v>0</v>
      </c>
      <c r="J161" s="1">
        <f>'[1]links-p0'!J160</f>
        <v>0</v>
      </c>
      <c r="K161" s="1">
        <f>-'[1]links-p0'!L160</f>
        <v>0</v>
      </c>
      <c r="M161" s="1">
        <v>0</v>
      </c>
      <c r="N161" s="1">
        <f t="shared" si="10"/>
        <v>0</v>
      </c>
      <c r="O161" s="1">
        <f>'[1]links-p0'!K160</f>
        <v>0</v>
      </c>
      <c r="P161" s="1">
        <f>-'[1]links-p0'!M160</f>
        <v>0</v>
      </c>
      <c r="R161" s="30">
        <v>7627.1186459999999</v>
      </c>
      <c r="S161" s="1">
        <f t="shared" si="11"/>
        <v>7597.6610170000004</v>
      </c>
      <c r="T161" s="1">
        <f>'[1]links-p0'!Q160</f>
        <v>7597.6610170000004</v>
      </c>
      <c r="U161" s="1">
        <f>-'[1]links-p0'!R160</f>
        <v>0</v>
      </c>
      <c r="Z161" s="1">
        <v>627.16841594000005</v>
      </c>
      <c r="AA161" s="1">
        <f>'[1]links-p0'!P160</f>
        <v>87.478022470000013</v>
      </c>
      <c r="AI161" s="37">
        <f>-[2]Exchanges!P169</f>
        <v>1517.77579117</v>
      </c>
      <c r="AJ161" s="1">
        <f>'[1]links-p0'!V160</f>
        <v>1517.7757899999999</v>
      </c>
    </row>
    <row r="162" spans="1:36">
      <c r="A162" s="28">
        <v>159</v>
      </c>
      <c r="B162" s="31">
        <v>1843.48807126</v>
      </c>
      <c r="C162" s="1">
        <f t="shared" si="8"/>
        <v>5000</v>
      </c>
      <c r="D162" s="1">
        <f>'[1]links-p0'!N161</f>
        <v>5000</v>
      </c>
      <c r="E162" s="28">
        <f>-'[1]links-p0'!O161</f>
        <v>0</v>
      </c>
      <c r="H162" s="30">
        <v>0</v>
      </c>
      <c r="I162" s="1">
        <f t="shared" si="9"/>
        <v>0</v>
      </c>
      <c r="J162" s="1">
        <f>'[1]links-p0'!J161</f>
        <v>0</v>
      </c>
      <c r="K162" s="1">
        <f>-'[1]links-p0'!L161</f>
        <v>0</v>
      </c>
      <c r="M162" s="1">
        <v>0</v>
      </c>
      <c r="N162" s="1">
        <f t="shared" si="10"/>
        <v>0</v>
      </c>
      <c r="O162" s="1">
        <f>'[1]links-p0'!K161</f>
        <v>0</v>
      </c>
      <c r="P162" s="1">
        <f>-'[1]links-p0'!M161</f>
        <v>0</v>
      </c>
      <c r="R162" s="30">
        <v>7627.1186459999999</v>
      </c>
      <c r="S162" s="1">
        <f t="shared" si="11"/>
        <v>7597.6610170000004</v>
      </c>
      <c r="T162" s="1">
        <f>'[1]links-p0'!Q161</f>
        <v>7597.6610170000004</v>
      </c>
      <c r="U162" s="1">
        <f>-'[1]links-p0'!R161</f>
        <v>0</v>
      </c>
      <c r="Z162" s="1">
        <v>626.24068202000001</v>
      </c>
      <c r="AA162" s="1">
        <f>'[1]links-p0'!P161</f>
        <v>87.014155510000023</v>
      </c>
      <c r="AI162" s="37">
        <f>-[2]Exchanges!P170</f>
        <v>1517.77579117</v>
      </c>
      <c r="AJ162" s="1">
        <f>'[1]links-p0'!V161</f>
        <v>1517.7757899999999</v>
      </c>
    </row>
    <row r="163" spans="1:36">
      <c r="A163" s="28">
        <v>160</v>
      </c>
      <c r="B163" s="31">
        <v>5000</v>
      </c>
      <c r="C163" s="1">
        <f t="shared" si="8"/>
        <v>5000</v>
      </c>
      <c r="D163" s="1">
        <f>'[1]links-p0'!N162</f>
        <v>5000</v>
      </c>
      <c r="E163" s="28">
        <f>-'[1]links-p0'!O162</f>
        <v>0</v>
      </c>
      <c r="H163" s="30">
        <v>0</v>
      </c>
      <c r="I163" s="1">
        <f t="shared" si="9"/>
        <v>0</v>
      </c>
      <c r="J163" s="1">
        <f>'[1]links-p0'!J162</f>
        <v>0</v>
      </c>
      <c r="K163" s="1">
        <f>-'[1]links-p0'!L162</f>
        <v>0</v>
      </c>
      <c r="M163" s="1">
        <v>0</v>
      </c>
      <c r="N163" s="1">
        <f t="shared" si="10"/>
        <v>0</v>
      </c>
      <c r="O163" s="1">
        <f>'[1]links-p0'!K162</f>
        <v>0</v>
      </c>
      <c r="P163" s="1">
        <f>-'[1]links-p0'!M162</f>
        <v>0</v>
      </c>
      <c r="R163" s="30">
        <v>7627.1186459999999</v>
      </c>
      <c r="S163" s="1">
        <f t="shared" si="11"/>
        <v>7597.6610170000004</v>
      </c>
      <c r="T163" s="1">
        <f>'[1]links-p0'!Q162</f>
        <v>7597.6610170000004</v>
      </c>
      <c r="U163" s="1">
        <f>-'[1]links-p0'!R162</f>
        <v>0</v>
      </c>
      <c r="Z163" s="1">
        <v>626.24068202000001</v>
      </c>
      <c r="AA163" s="1">
        <f>'[1]links-p0'!P162</f>
        <v>87.014155510000023</v>
      </c>
      <c r="AI163" s="37">
        <f>-[2]Exchanges!P171</f>
        <v>1517.77579117</v>
      </c>
      <c r="AJ163" s="1">
        <f>'[1]links-p0'!V162</f>
        <v>1517.7757899999999</v>
      </c>
    </row>
    <row r="164" spans="1:36">
      <c r="A164" s="28">
        <v>161</v>
      </c>
      <c r="B164" s="31">
        <v>5000</v>
      </c>
      <c r="C164" s="1">
        <f t="shared" si="8"/>
        <v>5000</v>
      </c>
      <c r="D164" s="1">
        <f>'[1]links-p0'!N163</f>
        <v>5000</v>
      </c>
      <c r="E164" s="28">
        <f>-'[1]links-p0'!O163</f>
        <v>0</v>
      </c>
      <c r="H164" s="30">
        <v>0</v>
      </c>
      <c r="I164" s="1">
        <f t="shared" si="9"/>
        <v>0</v>
      </c>
      <c r="J164" s="1">
        <f>'[1]links-p0'!J163</f>
        <v>0</v>
      </c>
      <c r="K164" s="1">
        <f>-'[1]links-p0'!L163</f>
        <v>0</v>
      </c>
      <c r="M164" s="1">
        <v>0</v>
      </c>
      <c r="N164" s="1">
        <f t="shared" si="10"/>
        <v>1006.570181842764</v>
      </c>
      <c r="O164" s="1">
        <f>'[1]links-p0'!K163</f>
        <v>1006.570181842764</v>
      </c>
      <c r="P164" s="1">
        <f>-'[1]links-p0'!M163</f>
        <v>0</v>
      </c>
      <c r="R164" s="30">
        <v>7627.1186459999999</v>
      </c>
      <c r="S164" s="1">
        <f t="shared" si="11"/>
        <v>7597.6610170000004</v>
      </c>
      <c r="T164" s="1">
        <f>'[1]links-p0'!Q163</f>
        <v>7597.6610170000004</v>
      </c>
      <c r="U164" s="1">
        <f>-'[1]links-p0'!R163</f>
        <v>0</v>
      </c>
      <c r="Z164" s="1">
        <v>626.24068202000001</v>
      </c>
      <c r="AA164" s="1">
        <f>'[1]links-p0'!P163</f>
        <v>87.014155510000023</v>
      </c>
      <c r="AI164" s="37">
        <f>-[2]Exchanges!P172</f>
        <v>1517.77579117</v>
      </c>
      <c r="AJ164" s="1">
        <f>'[1]links-p0'!V163</f>
        <v>1517.7757899999999</v>
      </c>
    </row>
    <row r="165" spans="1:36">
      <c r="A165" s="28">
        <v>162</v>
      </c>
      <c r="B165" s="31">
        <v>5000</v>
      </c>
      <c r="C165" s="1">
        <f t="shared" si="8"/>
        <v>5000</v>
      </c>
      <c r="D165" s="1">
        <f>'[1]links-p0'!N164</f>
        <v>5000</v>
      </c>
      <c r="E165" s="28">
        <f>-'[1]links-p0'!O164</f>
        <v>0</v>
      </c>
      <c r="H165" s="30">
        <v>0</v>
      </c>
      <c r="I165" s="1">
        <f t="shared" si="9"/>
        <v>0</v>
      </c>
      <c r="J165" s="1">
        <f>'[1]links-p0'!J164</f>
        <v>0</v>
      </c>
      <c r="K165" s="1">
        <f>-'[1]links-p0'!L164</f>
        <v>0</v>
      </c>
      <c r="M165" s="1">
        <v>0</v>
      </c>
      <c r="N165" s="1">
        <f t="shared" si="10"/>
        <v>1631.1485899891261</v>
      </c>
      <c r="O165" s="1">
        <f>'[1]links-p0'!K164</f>
        <v>1631.1485899891261</v>
      </c>
      <c r="P165" s="1">
        <f>-'[1]links-p0'!M164</f>
        <v>0</v>
      </c>
      <c r="R165" s="30">
        <v>7627.1186459999999</v>
      </c>
      <c r="S165" s="1">
        <f t="shared" si="11"/>
        <v>7597.6610170000004</v>
      </c>
      <c r="T165" s="1">
        <f>'[1]links-p0'!Q164</f>
        <v>7597.6610170000004</v>
      </c>
      <c r="U165" s="1">
        <f>-'[1]links-p0'!R164</f>
        <v>0</v>
      </c>
      <c r="Z165" s="1">
        <v>627.16841594000005</v>
      </c>
      <c r="AA165" s="1">
        <f>'[1]links-p0'!P164</f>
        <v>87.478022470000013</v>
      </c>
      <c r="AI165" s="37">
        <f>-[2]Exchanges!P173</f>
        <v>1517.77579117</v>
      </c>
      <c r="AJ165" s="1">
        <f>'[1]links-p0'!V164</f>
        <v>1517.7757899999999</v>
      </c>
    </row>
    <row r="166" spans="1:36">
      <c r="A166" s="28">
        <v>163</v>
      </c>
      <c r="B166" s="31">
        <v>5000</v>
      </c>
      <c r="C166" s="1">
        <f t="shared" si="8"/>
        <v>5000</v>
      </c>
      <c r="D166" s="1">
        <f>'[1]links-p0'!N165</f>
        <v>5000</v>
      </c>
      <c r="E166" s="28">
        <f>-'[1]links-p0'!O165</f>
        <v>0</v>
      </c>
      <c r="H166" s="30">
        <v>0</v>
      </c>
      <c r="I166" s="1">
        <f t="shared" si="9"/>
        <v>0</v>
      </c>
      <c r="J166" s="1">
        <f>'[1]links-p0'!J165</f>
        <v>0</v>
      </c>
      <c r="K166" s="1">
        <f>-'[1]links-p0'!L165</f>
        <v>0</v>
      </c>
      <c r="M166" s="1">
        <v>0</v>
      </c>
      <c r="N166" s="1">
        <f t="shared" si="10"/>
        <v>1672.686025962814</v>
      </c>
      <c r="O166" s="1">
        <f>'[1]links-p0'!K165</f>
        <v>1672.686025962814</v>
      </c>
      <c r="P166" s="1">
        <f>-'[1]links-p0'!M165</f>
        <v>0</v>
      </c>
      <c r="R166" s="30">
        <v>7627.1186459999999</v>
      </c>
      <c r="S166" s="1">
        <f t="shared" si="11"/>
        <v>7597.6610170000004</v>
      </c>
      <c r="T166" s="1">
        <f>'[1]links-p0'!Q165</f>
        <v>7597.6610170000004</v>
      </c>
      <c r="U166" s="1">
        <f>-'[1]links-p0'!R165</f>
        <v>0</v>
      </c>
      <c r="Z166" s="1">
        <v>626.24068202000001</v>
      </c>
      <c r="AA166" s="1">
        <f>'[1]links-p0'!P165</f>
        <v>87.014155510000023</v>
      </c>
      <c r="AI166" s="37">
        <f>-[2]Exchanges!P174</f>
        <v>1517.77579117</v>
      </c>
      <c r="AJ166" s="1">
        <f>'[1]links-p0'!V165</f>
        <v>1517.7757899999999</v>
      </c>
    </row>
    <row r="167" spans="1:36">
      <c r="A167" s="28">
        <v>164</v>
      </c>
      <c r="B167" s="31">
        <v>5000</v>
      </c>
      <c r="C167" s="1">
        <f t="shared" si="8"/>
        <v>5000</v>
      </c>
      <c r="D167" s="1">
        <f>'[1]links-p0'!N166</f>
        <v>5000</v>
      </c>
      <c r="E167" s="28">
        <f>-'[1]links-p0'!O166</f>
        <v>0</v>
      </c>
      <c r="H167" s="30">
        <v>0</v>
      </c>
      <c r="I167" s="1">
        <f t="shared" si="9"/>
        <v>0</v>
      </c>
      <c r="J167" s="1">
        <f>'[1]links-p0'!J166</f>
        <v>0</v>
      </c>
      <c r="K167" s="1">
        <f>-'[1]links-p0'!L166</f>
        <v>0</v>
      </c>
      <c r="M167" s="1">
        <v>0</v>
      </c>
      <c r="N167" s="1">
        <f t="shared" si="10"/>
        <v>1671.4230811118341</v>
      </c>
      <c r="O167" s="1">
        <f>'[1]links-p0'!K166</f>
        <v>1671.4230811118341</v>
      </c>
      <c r="P167" s="1">
        <f>-'[1]links-p0'!M166</f>
        <v>0</v>
      </c>
      <c r="R167" s="30">
        <v>7627.1186459999999</v>
      </c>
      <c r="S167" s="1">
        <f t="shared" si="11"/>
        <v>7597.6610170000004</v>
      </c>
      <c r="T167" s="1">
        <f>'[1]links-p0'!Q166</f>
        <v>7597.6610170000004</v>
      </c>
      <c r="U167" s="1">
        <f>-'[1]links-p0'!R166</f>
        <v>0</v>
      </c>
      <c r="Z167" s="1">
        <v>625.31294810999998</v>
      </c>
      <c r="AA167" s="1">
        <f>'[1]links-p0'!P166</f>
        <v>86.550288550000005</v>
      </c>
      <c r="AI167" s="37">
        <f>-[2]Exchanges!P175</f>
        <v>1517.77579117</v>
      </c>
      <c r="AJ167" s="1">
        <f>'[1]links-p0'!V166</f>
        <v>1517.7757899999999</v>
      </c>
    </row>
    <row r="168" spans="1:36">
      <c r="A168" s="28">
        <v>165</v>
      </c>
      <c r="B168" s="31">
        <v>5000</v>
      </c>
      <c r="C168" s="1">
        <f t="shared" si="8"/>
        <v>5000</v>
      </c>
      <c r="D168" s="1">
        <f>'[1]links-p0'!N167</f>
        <v>5000</v>
      </c>
      <c r="E168" s="28">
        <f>-'[1]links-p0'!O167</f>
        <v>0</v>
      </c>
      <c r="H168" s="30">
        <v>0</v>
      </c>
      <c r="I168" s="1">
        <f t="shared" si="9"/>
        <v>0</v>
      </c>
      <c r="J168" s="1">
        <f>'[1]links-p0'!J167</f>
        <v>0</v>
      </c>
      <c r="K168" s="1">
        <f>-'[1]links-p0'!L167</f>
        <v>0</v>
      </c>
      <c r="M168" s="1">
        <v>0</v>
      </c>
      <c r="N168" s="1">
        <f t="shared" si="10"/>
        <v>1673.9951224408969</v>
      </c>
      <c r="O168" s="1">
        <f>'[1]links-p0'!K167</f>
        <v>1673.9951224408969</v>
      </c>
      <c r="P168" s="1">
        <f>-'[1]links-p0'!M167</f>
        <v>0</v>
      </c>
      <c r="R168" s="30">
        <v>7627.1186459999999</v>
      </c>
      <c r="S168" s="1">
        <f t="shared" si="11"/>
        <v>7597.6610170000004</v>
      </c>
      <c r="T168" s="1">
        <f>'[1]links-p0'!Q167</f>
        <v>7597.6610170000004</v>
      </c>
      <c r="U168" s="1">
        <f>-'[1]links-p0'!R167</f>
        <v>0</v>
      </c>
      <c r="Z168" s="1">
        <v>624.38521419000006</v>
      </c>
      <c r="AA168" s="1">
        <f>'[1]links-p0'!P167</f>
        <v>86.086421599999994</v>
      </c>
      <c r="AI168" s="37">
        <f>-[2]Exchanges!P176</f>
        <v>1517.77579117</v>
      </c>
      <c r="AJ168" s="1">
        <f>'[1]links-p0'!V167</f>
        <v>1517.7757899999999</v>
      </c>
    </row>
    <row r="169" spans="1:36">
      <c r="A169" s="28">
        <v>166</v>
      </c>
      <c r="B169" s="31">
        <v>5000</v>
      </c>
      <c r="C169" s="1">
        <f t="shared" si="8"/>
        <v>5000</v>
      </c>
      <c r="D169" s="1">
        <f>'[1]links-p0'!N168</f>
        <v>5000</v>
      </c>
      <c r="E169" s="28">
        <f>-'[1]links-p0'!O168</f>
        <v>0</v>
      </c>
      <c r="H169" s="30">
        <v>0</v>
      </c>
      <c r="I169" s="1">
        <f t="shared" si="9"/>
        <v>0</v>
      </c>
      <c r="J169" s="1">
        <f>'[1]links-p0'!J168</f>
        <v>0</v>
      </c>
      <c r="K169" s="1">
        <f>-'[1]links-p0'!L168</f>
        <v>0</v>
      </c>
      <c r="M169" s="1">
        <v>0</v>
      </c>
      <c r="N169" s="1">
        <f t="shared" si="10"/>
        <v>1673.601037884122</v>
      </c>
      <c r="O169" s="1">
        <f>'[1]links-p0'!K168</f>
        <v>1673.601037884122</v>
      </c>
      <c r="P169" s="1">
        <f>-'[1]links-p0'!M168</f>
        <v>0</v>
      </c>
      <c r="R169" s="30">
        <v>7627.1186459999999</v>
      </c>
      <c r="S169" s="1">
        <f t="shared" si="11"/>
        <v>7597.6610170000004</v>
      </c>
      <c r="T169" s="1">
        <f>'[1]links-p0'!Q168</f>
        <v>7597.6610170000004</v>
      </c>
      <c r="U169" s="1">
        <f>-'[1]links-p0'!R168</f>
        <v>0</v>
      </c>
      <c r="Z169" s="1">
        <v>622.52974635999999</v>
      </c>
      <c r="AA169" s="1">
        <f>'[1]links-p0'!P168</f>
        <v>85.158687680000014</v>
      </c>
      <c r="AI169" s="37">
        <f>-[2]Exchanges!P177</f>
        <v>1517.77579117</v>
      </c>
      <c r="AJ169" s="1">
        <f>'[1]links-p0'!V168</f>
        <v>1517.7757899999999</v>
      </c>
    </row>
    <row r="170" spans="1:36">
      <c r="A170" s="28">
        <v>167</v>
      </c>
      <c r="B170" s="31">
        <v>5000</v>
      </c>
      <c r="C170" s="1">
        <f t="shared" si="8"/>
        <v>5000</v>
      </c>
      <c r="D170" s="1">
        <f>'[1]links-p0'!N169</f>
        <v>5000</v>
      </c>
      <c r="E170" s="28">
        <f>-'[1]links-p0'!O169</f>
        <v>0</v>
      </c>
      <c r="H170" s="30">
        <v>0</v>
      </c>
      <c r="I170" s="1">
        <f t="shared" si="9"/>
        <v>1234.415537665687</v>
      </c>
      <c r="J170" s="1">
        <f>'[1]links-p0'!J169</f>
        <v>1234.415537665687</v>
      </c>
      <c r="K170" s="1">
        <f>-'[1]links-p0'!L169</f>
        <v>0</v>
      </c>
      <c r="M170" s="1">
        <v>0</v>
      </c>
      <c r="N170" s="1">
        <f t="shared" si="10"/>
        <v>1671.016703624804</v>
      </c>
      <c r="O170" s="1">
        <f>'[1]links-p0'!K169</f>
        <v>1671.016703624804</v>
      </c>
      <c r="P170" s="1">
        <f>-'[1]links-p0'!M169</f>
        <v>0</v>
      </c>
      <c r="R170" s="30">
        <v>7627.1186459999999</v>
      </c>
      <c r="S170" s="1">
        <f t="shared" si="11"/>
        <v>7597.6610170000004</v>
      </c>
      <c r="T170" s="1">
        <f>'[1]links-p0'!Q169</f>
        <v>7597.6610170000004</v>
      </c>
      <c r="U170" s="1">
        <f>-'[1]links-p0'!R169</f>
        <v>0</v>
      </c>
      <c r="Z170" s="1">
        <v>622.52974635999999</v>
      </c>
      <c r="AA170" s="1">
        <f>'[1]links-p0'!P169</f>
        <v>85.158687680000014</v>
      </c>
      <c r="AI170" s="37">
        <f>-[2]Exchanges!P178</f>
        <v>1517.77579117</v>
      </c>
      <c r="AJ170" s="1">
        <f>'[1]links-p0'!V169</f>
        <v>1517.7757899999999</v>
      </c>
    </row>
    <row r="171" spans="1:36">
      <c r="A171" s="28">
        <v>168</v>
      </c>
      <c r="B171" s="31">
        <v>5000</v>
      </c>
      <c r="C171" s="1">
        <f t="shared" si="8"/>
        <v>0</v>
      </c>
      <c r="H171" s="30">
        <v>0</v>
      </c>
      <c r="I171" s="1">
        <f t="shared" si="9"/>
        <v>0</v>
      </c>
      <c r="M171" s="1">
        <v>0</v>
      </c>
      <c r="N171" s="1">
        <f t="shared" si="10"/>
        <v>0</v>
      </c>
      <c r="R171" s="30">
        <v>7627.1186459999999</v>
      </c>
      <c r="S171" s="1">
        <f t="shared" si="11"/>
        <v>0</v>
      </c>
      <c r="Z171" s="1">
        <v>622.69302184000003</v>
      </c>
      <c r="AI171" s="37">
        <f>-[2]Exchanges!P179</f>
        <v>1517.77579117</v>
      </c>
    </row>
  </sheetData>
  <mergeCells count="1"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D8A8-8A36-4448-8F86-51FC75E2549D}">
  <sheetPr>
    <tabColor rgb="FFFFE07D"/>
  </sheetPr>
  <dimension ref="A1:P171"/>
  <sheetViews>
    <sheetView zoomScale="70" zoomScaleNormal="70" workbookViewId="0">
      <selection activeCell="I16" sqref="I16"/>
    </sheetView>
  </sheetViews>
  <sheetFormatPr baseColWidth="10" defaultRowHeight="15"/>
  <cols>
    <col min="1" max="1" width="7.6328125" style="8" customWidth="1"/>
    <col min="2" max="2" width="26.453125" style="8" bestFit="1" customWidth="1"/>
    <col min="3" max="3" width="14.7265625" style="8" bestFit="1" customWidth="1"/>
    <col min="4" max="4" width="18.26953125" style="8" bestFit="1" customWidth="1"/>
    <col min="5" max="7" width="26.54296875" style="8" bestFit="1" customWidth="1"/>
    <col min="8" max="8" width="18.26953125" style="8" bestFit="1" customWidth="1"/>
    <col min="9" max="10" width="10.90625" style="8"/>
    <col min="11" max="11" width="19.90625" style="8" customWidth="1"/>
    <col min="12" max="12" width="49.1796875" style="8" bestFit="1" customWidth="1"/>
    <col min="13" max="13" width="38" style="8" bestFit="1" customWidth="1"/>
    <col min="14" max="14" width="25.7265625" style="8" bestFit="1" customWidth="1"/>
    <col min="15" max="16" width="35" style="8" bestFit="1" customWidth="1"/>
    <col min="17" max="16384" width="10.90625" style="8"/>
  </cols>
  <sheetData>
    <row r="1" spans="1:16">
      <c r="A1" s="8" t="s">
        <v>5</v>
      </c>
    </row>
    <row r="2" spans="1:16">
      <c r="B2" s="47" t="s">
        <v>6</v>
      </c>
      <c r="C2" s="47"/>
      <c r="D2" s="47"/>
      <c r="E2" s="47"/>
    </row>
    <row r="3" spans="1:16">
      <c r="A3" s="6" t="s">
        <v>3</v>
      </c>
      <c r="B3" s="9" t="str">
        <f>'[1]buses-marginal_price'!B1</f>
        <v>ES_electricity_market_bus</v>
      </c>
      <c r="C3" s="9" t="str">
        <f>'[1]buses-marginal_price'!C1</f>
        <v>ES_water_bus</v>
      </c>
      <c r="D3" s="9" t="str">
        <f>'[1]buses-marginal_price'!D1</f>
        <v>ES_hydrogen_bus</v>
      </c>
      <c r="E3" s="9" t="str">
        <f>'[1]buses-marginal_price'!E1</f>
        <v>ES_SRES_excedentes_bus</v>
      </c>
      <c r="F3" s="9" t="str">
        <f>'[1]buses-marginal_price'!F1</f>
        <v>ES_SRES_electrolyzer_bus</v>
      </c>
      <c r="G3" s="9" t="str">
        <f>'[1]buses-marginal_price'!G1</f>
        <v>PT_electricity_market_bus</v>
      </c>
      <c r="H3" s="9" t="str">
        <f>'[4]buses-marginal_price'!K1</f>
        <v>PT_hydrogen_bus</v>
      </c>
      <c r="K3" s="8" t="s">
        <v>20</v>
      </c>
    </row>
    <row r="4" spans="1:16">
      <c r="A4" s="5">
        <v>0</v>
      </c>
      <c r="B4" s="23">
        <f>'[1]buses-marginal_price'!B2</f>
        <v>22</v>
      </c>
      <c r="C4" s="23">
        <f>'[1]buses-marginal_price'!C2</f>
        <v>18.7</v>
      </c>
      <c r="D4" s="23">
        <f>'[1]buses-marginal_price'!D2</f>
        <v>73.7</v>
      </c>
      <c r="E4" s="23">
        <f>'[1]buses-marginal_price'!E2</f>
        <v>22</v>
      </c>
      <c r="F4" s="23">
        <f>'[1]buses-marginal_price'!F2</f>
        <v>51.59</v>
      </c>
      <c r="G4" s="23">
        <f>'[1]buses-marginal_price'!G2</f>
        <v>21.9</v>
      </c>
      <c r="H4" s="23">
        <f>'[1]buses-marginal_price'!L2</f>
        <v>21.9</v>
      </c>
    </row>
    <row r="5" spans="1:16">
      <c r="A5" s="5">
        <v>1</v>
      </c>
      <c r="B5" s="23">
        <f>'[1]buses-marginal_price'!B3</f>
        <v>14.025</v>
      </c>
      <c r="C5" s="23">
        <f>'[1]buses-marginal_price'!C3</f>
        <v>18.7</v>
      </c>
      <c r="D5" s="23">
        <f>'[1]buses-marginal_price'!D3</f>
        <v>31.44285714285714</v>
      </c>
      <c r="E5" s="23">
        <f>'[1]buses-marginal_price'!E3</f>
        <v>14.025</v>
      </c>
      <c r="F5" s="23">
        <f>'[1]buses-marginal_price'!F3</f>
        <v>22.01</v>
      </c>
      <c r="G5" s="23">
        <f>'[1]buses-marginal_price'!G3</f>
        <v>0.1</v>
      </c>
      <c r="H5" s="23">
        <f>'[1]buses-marginal_price'!L3</f>
        <v>13.925000000000001</v>
      </c>
      <c r="K5" s="10"/>
      <c r="L5" s="10" t="s">
        <v>24</v>
      </c>
      <c r="M5" s="10" t="s">
        <v>23</v>
      </c>
      <c r="N5" s="10" t="s">
        <v>7</v>
      </c>
      <c r="O5" s="10" t="s">
        <v>31</v>
      </c>
      <c r="P5" s="10" t="s">
        <v>22</v>
      </c>
    </row>
    <row r="6" spans="1:16">
      <c r="A6" s="5">
        <v>2</v>
      </c>
      <c r="B6" s="23">
        <f>'[1]buses-marginal_price'!B4</f>
        <v>14.025</v>
      </c>
      <c r="C6" s="23">
        <f>'[1]buses-marginal_price'!C4</f>
        <v>18.7</v>
      </c>
      <c r="D6" s="23">
        <f>'[1]buses-marginal_price'!D4</f>
        <v>31.44285714285714</v>
      </c>
      <c r="E6" s="23">
        <f>'[1]buses-marginal_price'!E4</f>
        <v>14.025</v>
      </c>
      <c r="F6" s="23">
        <f>'[1]buses-marginal_price'!F4</f>
        <v>22.01</v>
      </c>
      <c r="G6" s="23">
        <f>'[1]buses-marginal_price'!G4</f>
        <v>0.1</v>
      </c>
      <c r="H6" s="23">
        <f>'[1]buses-marginal_price'!L4</f>
        <v>13.925000000000001</v>
      </c>
      <c r="K6" s="8" t="s">
        <v>21</v>
      </c>
      <c r="L6" s="8" t="s">
        <v>28</v>
      </c>
      <c r="M6" s="8">
        <v>0</v>
      </c>
      <c r="N6" s="8">
        <v>1</v>
      </c>
      <c r="O6" s="8">
        <v>0</v>
      </c>
      <c r="P6" s="8">
        <f>M6/N6</f>
        <v>0</v>
      </c>
    </row>
    <row r="7" spans="1:16">
      <c r="A7" s="5">
        <v>3</v>
      </c>
      <c r="B7" s="23">
        <f>'[1]buses-marginal_price'!B5</f>
        <v>14.025</v>
      </c>
      <c r="C7" s="23">
        <f>'[1]buses-marginal_price'!C5</f>
        <v>18.7</v>
      </c>
      <c r="D7" s="23">
        <f>'[1]buses-marginal_price'!D5</f>
        <v>31.44285714285714</v>
      </c>
      <c r="E7" s="23">
        <f>'[1]buses-marginal_price'!E5</f>
        <v>14.025</v>
      </c>
      <c r="F7" s="23">
        <f>'[1]buses-marginal_price'!F5</f>
        <v>22.01</v>
      </c>
      <c r="G7" s="23">
        <f>'[1]buses-marginal_price'!G5</f>
        <v>0.1</v>
      </c>
      <c r="H7" s="23">
        <f>'[1]buses-marginal_price'!L5</f>
        <v>13.925000000000001</v>
      </c>
      <c r="L7" s="8" t="s">
        <v>29</v>
      </c>
      <c r="M7" s="8">
        <v>22</v>
      </c>
      <c r="N7" s="8">
        <v>1</v>
      </c>
      <c r="O7" s="8">
        <v>0</v>
      </c>
      <c r="P7" s="8">
        <f>M7/N7</f>
        <v>22</v>
      </c>
    </row>
    <row r="8" spans="1:16">
      <c r="A8" s="5">
        <v>4</v>
      </c>
      <c r="B8" s="23">
        <f>'[1]buses-marginal_price'!B6</f>
        <v>14.025</v>
      </c>
      <c r="C8" s="23">
        <f>'[1]buses-marginal_price'!C6</f>
        <v>18.7</v>
      </c>
      <c r="D8" s="23">
        <f>'[1]buses-marginal_price'!D6</f>
        <v>31.44285714285714</v>
      </c>
      <c r="E8" s="23">
        <f>'[1]buses-marginal_price'!E6</f>
        <v>14.025</v>
      </c>
      <c r="F8" s="23">
        <f>'[1]buses-marginal_price'!F6</f>
        <v>22.01</v>
      </c>
      <c r="G8" s="23">
        <f>'[1]buses-marginal_price'!G6</f>
        <v>0.1</v>
      </c>
      <c r="H8" s="23">
        <f>'[1]buses-marginal_price'!L6</f>
        <v>13.925000000000001</v>
      </c>
      <c r="L8" s="8" t="s">
        <v>30</v>
      </c>
      <c r="M8" s="8">
        <v>146.19</v>
      </c>
      <c r="N8" s="8">
        <v>0.57999999999999996</v>
      </c>
      <c r="O8" s="8">
        <v>0</v>
      </c>
      <c r="P8" s="8">
        <f>M8*N8</f>
        <v>84.790199999999999</v>
      </c>
    </row>
    <row r="9" spans="1:16">
      <c r="A9" s="5">
        <v>5</v>
      </c>
      <c r="B9" s="23">
        <f>'[1]buses-marginal_price'!B7</f>
        <v>14.025</v>
      </c>
      <c r="C9" s="23">
        <f>'[1]buses-marginal_price'!C7</f>
        <v>18.7</v>
      </c>
      <c r="D9" s="23">
        <f>'[1]buses-marginal_price'!D7</f>
        <v>31.44285714285714</v>
      </c>
      <c r="E9" s="23">
        <f>'[1]buses-marginal_price'!E7</f>
        <v>14.025</v>
      </c>
      <c r="F9" s="23">
        <f>'[1]buses-marginal_price'!F7</f>
        <v>22.01</v>
      </c>
      <c r="G9" s="23">
        <f>'[1]buses-marginal_price'!G7</f>
        <v>0.1</v>
      </c>
      <c r="H9" s="23">
        <f>'[1]buses-marginal_price'!L7</f>
        <v>13.925000000000001</v>
      </c>
      <c r="L9" s="8" t="s">
        <v>8</v>
      </c>
      <c r="M9" s="8">
        <v>0</v>
      </c>
      <c r="N9" s="8">
        <v>0.85</v>
      </c>
      <c r="O9" s="8">
        <v>0</v>
      </c>
      <c r="P9" s="8">
        <v>0.85</v>
      </c>
    </row>
    <row r="10" spans="1:16">
      <c r="A10" s="5">
        <v>6</v>
      </c>
      <c r="B10" s="23">
        <f>'[1]buses-marginal_price'!B8</f>
        <v>14.025</v>
      </c>
      <c r="C10" s="23">
        <f>'[1]buses-marginal_price'!C8</f>
        <v>18.7</v>
      </c>
      <c r="D10" s="23">
        <f>'[1]buses-marginal_price'!D8</f>
        <v>31.44285714285714</v>
      </c>
      <c r="E10" s="23">
        <f>'[1]buses-marginal_price'!E8</f>
        <v>14.025</v>
      </c>
      <c r="F10" s="23">
        <f>'[1]buses-marginal_price'!F8</f>
        <v>22.01</v>
      </c>
      <c r="G10" s="23">
        <f>'[1]buses-marginal_price'!G8</f>
        <v>0.1</v>
      </c>
      <c r="H10" s="23">
        <f>'[1]buses-marginal_price'!L8</f>
        <v>13.925000000000001</v>
      </c>
      <c r="L10" s="8" t="s">
        <v>27</v>
      </c>
      <c r="M10" s="8">
        <v>0.01</v>
      </c>
      <c r="N10" s="8">
        <v>1</v>
      </c>
      <c r="O10" s="8">
        <v>0</v>
      </c>
      <c r="P10" s="8">
        <f>(M10+O10)</f>
        <v>0.01</v>
      </c>
    </row>
    <row r="11" spans="1:16">
      <c r="A11" s="5">
        <v>7</v>
      </c>
      <c r="B11" s="23">
        <f>'[1]buses-marginal_price'!B9</f>
        <v>14.025</v>
      </c>
      <c r="C11" s="23">
        <f>'[1]buses-marginal_price'!C9</f>
        <v>18.7</v>
      </c>
      <c r="D11" s="23">
        <f>'[1]buses-marginal_price'!D9</f>
        <v>31.44285714285714</v>
      </c>
      <c r="E11" s="23">
        <f>'[1]buses-marginal_price'!E9</f>
        <v>14.025</v>
      </c>
      <c r="F11" s="23">
        <f>'[1]buses-marginal_price'!F9</f>
        <v>22.01</v>
      </c>
      <c r="G11" s="23">
        <f>'[1]buses-marginal_price'!G9</f>
        <v>0.1</v>
      </c>
      <c r="H11" s="23">
        <f>'[1]buses-marginal_price'!L9</f>
        <v>13.925000000000001</v>
      </c>
      <c r="L11" s="8" t="s">
        <v>26</v>
      </c>
      <c r="M11" s="8">
        <v>0.01</v>
      </c>
      <c r="N11" s="8">
        <v>1</v>
      </c>
      <c r="O11" s="8">
        <v>22</v>
      </c>
      <c r="P11" s="8">
        <f>(M11+O11)</f>
        <v>22.01</v>
      </c>
    </row>
    <row r="12" spans="1:16">
      <c r="A12" s="5">
        <v>8</v>
      </c>
      <c r="B12" s="23">
        <f>'[1]buses-marginal_price'!B10</f>
        <v>14.025</v>
      </c>
      <c r="C12" s="23">
        <f>'[1]buses-marginal_price'!C10</f>
        <v>18.7</v>
      </c>
      <c r="D12" s="23">
        <f>'[1]buses-marginal_price'!D10</f>
        <v>73.7</v>
      </c>
      <c r="E12" s="23">
        <f>'[1]buses-marginal_price'!E10</f>
        <v>14.025</v>
      </c>
      <c r="F12" s="23">
        <f>'[1]buses-marginal_price'!F10</f>
        <v>51.59</v>
      </c>
      <c r="G12" s="23">
        <f>'[1]buses-marginal_price'!G10</f>
        <v>9.9999999999999992E-2</v>
      </c>
      <c r="H12" s="23">
        <f>'[1]buses-marginal_price'!L10</f>
        <v>13.925000000000001</v>
      </c>
      <c r="L12" s="8" t="s">
        <v>25</v>
      </c>
      <c r="M12" s="8">
        <v>0.01</v>
      </c>
      <c r="N12" s="8">
        <v>1</v>
      </c>
      <c r="O12" s="8">
        <v>146.19</v>
      </c>
      <c r="P12" s="8">
        <f>(M12+O12)</f>
        <v>146.19999999999999</v>
      </c>
    </row>
    <row r="13" spans="1:16">
      <c r="A13" s="5">
        <v>9</v>
      </c>
      <c r="B13" s="23">
        <f>'[1]buses-marginal_price'!B11</f>
        <v>14.025</v>
      </c>
      <c r="C13" s="23">
        <f>'[1]buses-marginal_price'!C11</f>
        <v>18.7</v>
      </c>
      <c r="D13" s="23">
        <f>'[1]buses-marginal_price'!D11</f>
        <v>28.856944285714281</v>
      </c>
      <c r="E13" s="23">
        <f>'[1]buses-marginal_price'!E11</f>
        <v>14.025</v>
      </c>
      <c r="F13" s="23">
        <f>'[1]buses-marginal_price'!F11</f>
        <v>20.199860999999999</v>
      </c>
      <c r="G13" s="23">
        <f>'[1]buses-marginal_price'!G11</f>
        <v>6.3749999999999987E-2</v>
      </c>
      <c r="H13" s="23">
        <f>'[1]buses-marginal_price'!L11</f>
        <v>13.925000000000001</v>
      </c>
      <c r="L13" s="8" t="s">
        <v>33</v>
      </c>
      <c r="M13" s="8">
        <v>0</v>
      </c>
      <c r="N13" s="8">
        <v>0.85</v>
      </c>
      <c r="O13" s="8">
        <v>0</v>
      </c>
      <c r="P13" s="8">
        <f>N13</f>
        <v>0.85</v>
      </c>
    </row>
    <row r="14" spans="1:16">
      <c r="A14" s="5">
        <v>10</v>
      </c>
      <c r="B14" s="23">
        <f>'[1]buses-marginal_price'!B12</f>
        <v>0</v>
      </c>
      <c r="C14" s="23">
        <f>'[1]buses-marginal_price'!C12</f>
        <v>18.7</v>
      </c>
      <c r="D14" s="23">
        <f>'[1]buses-marginal_price'!D12</f>
        <v>1.428571428571429E-2</v>
      </c>
      <c r="E14" s="23">
        <f>'[1]buses-marginal_price'!E12</f>
        <v>0</v>
      </c>
      <c r="F14" s="23">
        <f>'[1]buses-marginal_price'!F12</f>
        <v>0.01</v>
      </c>
      <c r="G14" s="23">
        <f>'[1]buses-marginal_price'!G12</f>
        <v>0</v>
      </c>
      <c r="H14" s="23">
        <f>'[1]buses-marginal_price'!L12</f>
        <v>0.1</v>
      </c>
      <c r="L14" s="8" t="s">
        <v>32</v>
      </c>
      <c r="M14" s="8">
        <v>0.01</v>
      </c>
      <c r="N14" s="8">
        <v>1</v>
      </c>
      <c r="O14" s="8">
        <v>15.63</v>
      </c>
      <c r="P14" s="8">
        <f t="shared" ref="P14:P18" si="0">(M14+O14)</f>
        <v>15.64</v>
      </c>
    </row>
    <row r="15" spans="1:16">
      <c r="A15" s="5">
        <v>11</v>
      </c>
      <c r="B15" s="23">
        <f>'[1]buses-marginal_price'!B13</f>
        <v>0</v>
      </c>
      <c r="C15" s="23">
        <f>'[1]buses-marginal_price'!C13</f>
        <v>18.7</v>
      </c>
      <c r="D15" s="23">
        <f>'[1]buses-marginal_price'!D13</f>
        <v>1.428571428571429E-2</v>
      </c>
      <c r="E15" s="23">
        <f>'[1]buses-marginal_price'!E13</f>
        <v>0</v>
      </c>
      <c r="F15" s="23">
        <f>'[1]buses-marginal_price'!F13</f>
        <v>0.01</v>
      </c>
      <c r="G15" s="23">
        <f>'[1]buses-marginal_price'!G13</f>
        <v>0</v>
      </c>
      <c r="H15" s="23">
        <f>'[1]buses-marginal_price'!L13</f>
        <v>0.1</v>
      </c>
      <c r="L15" s="8" t="s">
        <v>34</v>
      </c>
      <c r="M15" s="8">
        <v>0.01</v>
      </c>
      <c r="N15" s="8">
        <v>1</v>
      </c>
      <c r="O15" s="8">
        <v>0</v>
      </c>
      <c r="P15" s="8">
        <f t="shared" si="0"/>
        <v>0.01</v>
      </c>
    </row>
    <row r="16" spans="1:16">
      <c r="A16" s="5">
        <v>12</v>
      </c>
      <c r="B16" s="23">
        <f>'[1]buses-marginal_price'!B14</f>
        <v>0</v>
      </c>
      <c r="C16" s="23">
        <f>'[1]buses-marginal_price'!C14</f>
        <v>18.7</v>
      </c>
      <c r="D16" s="23">
        <f>'[1]buses-marginal_price'!D14</f>
        <v>1.428571428571429E-2</v>
      </c>
      <c r="E16" s="23">
        <f>'[1]buses-marginal_price'!E14</f>
        <v>0</v>
      </c>
      <c r="F16" s="23">
        <f>'[1]buses-marginal_price'!F14</f>
        <v>0.01</v>
      </c>
      <c r="G16" s="23">
        <f>'[1]buses-marginal_price'!G14</f>
        <v>0</v>
      </c>
      <c r="H16" s="23">
        <f>'[1]buses-marginal_price'!L14</f>
        <v>0.1</v>
      </c>
      <c r="L16" s="8" t="s">
        <v>35</v>
      </c>
      <c r="M16" s="8">
        <v>0.01</v>
      </c>
      <c r="N16" s="8">
        <v>1</v>
      </c>
      <c r="O16" s="8">
        <v>22</v>
      </c>
      <c r="P16" s="8">
        <f t="shared" si="0"/>
        <v>22.01</v>
      </c>
    </row>
    <row r="17" spans="1:16">
      <c r="A17" s="5">
        <v>13</v>
      </c>
      <c r="B17" s="23">
        <f>'[1]buses-marginal_price'!B15</f>
        <v>0</v>
      </c>
      <c r="C17" s="23">
        <f>'[1]buses-marginal_price'!C15</f>
        <v>18.7</v>
      </c>
      <c r="D17" s="23">
        <f>'[1]buses-marginal_price'!D15</f>
        <v>1.428571428571429E-2</v>
      </c>
      <c r="E17" s="23">
        <f>'[1]buses-marginal_price'!E15</f>
        <v>0</v>
      </c>
      <c r="F17" s="23">
        <f>'[1]buses-marginal_price'!F15</f>
        <v>0.01</v>
      </c>
      <c r="G17" s="23">
        <f>'[1]buses-marginal_price'!G15</f>
        <v>0</v>
      </c>
      <c r="H17" s="23">
        <f>'[1]buses-marginal_price'!L15</f>
        <v>0.1</v>
      </c>
      <c r="L17" s="8" t="s">
        <v>36</v>
      </c>
      <c r="M17" s="8">
        <v>0.01</v>
      </c>
      <c r="N17" s="8">
        <v>1</v>
      </c>
      <c r="O17" s="8">
        <v>146.19</v>
      </c>
      <c r="P17" s="8">
        <f t="shared" si="0"/>
        <v>146.19999999999999</v>
      </c>
    </row>
    <row r="18" spans="1:16">
      <c r="A18" s="5">
        <v>14</v>
      </c>
      <c r="B18" s="23">
        <f>'[1]buses-marginal_price'!B16</f>
        <v>0</v>
      </c>
      <c r="C18" s="23">
        <f>'[1]buses-marginal_price'!C16</f>
        <v>18.7</v>
      </c>
      <c r="D18" s="23">
        <f>'[1]buses-marginal_price'!D16</f>
        <v>1.428571428571429E-2</v>
      </c>
      <c r="E18" s="23">
        <f>'[1]buses-marginal_price'!E16</f>
        <v>0</v>
      </c>
      <c r="F18" s="23">
        <f>'[1]buses-marginal_price'!F16</f>
        <v>0.01</v>
      </c>
      <c r="G18" s="23">
        <f>'[1]buses-marginal_price'!G16</f>
        <v>0</v>
      </c>
      <c r="H18" s="23">
        <f>'[1]buses-marginal_price'!L16</f>
        <v>0.1</v>
      </c>
      <c r="L18" s="8" t="s">
        <v>37</v>
      </c>
      <c r="M18" s="8">
        <v>0.01</v>
      </c>
      <c r="N18" s="8">
        <v>1</v>
      </c>
      <c r="O18" s="8">
        <v>0.85</v>
      </c>
      <c r="P18" s="8">
        <f t="shared" si="0"/>
        <v>0.86</v>
      </c>
    </row>
    <row r="19" spans="1:16">
      <c r="A19" s="5">
        <v>15</v>
      </c>
      <c r="B19" s="23">
        <f>'[1]buses-marginal_price'!B17</f>
        <v>0</v>
      </c>
      <c r="C19" s="23">
        <f>'[1]buses-marginal_price'!C17</f>
        <v>18.7</v>
      </c>
      <c r="D19" s="23">
        <f>'[1]buses-marginal_price'!D17</f>
        <v>1.428571428571429E-2</v>
      </c>
      <c r="E19" s="23">
        <f>'[1]buses-marginal_price'!E17</f>
        <v>0</v>
      </c>
      <c r="F19" s="23">
        <f>'[1]buses-marginal_price'!F17</f>
        <v>0.01</v>
      </c>
      <c r="G19" s="23">
        <f>'[1]buses-marginal_price'!G17</f>
        <v>0</v>
      </c>
      <c r="H19" s="23">
        <f>'[1]buses-marginal_price'!L17</f>
        <v>0.1</v>
      </c>
    </row>
    <row r="20" spans="1:16">
      <c r="A20" s="5">
        <v>16</v>
      </c>
      <c r="B20" s="23">
        <f>'[1]buses-marginal_price'!B18</f>
        <v>0</v>
      </c>
      <c r="C20" s="23">
        <f>'[1]buses-marginal_price'!C18</f>
        <v>18.7</v>
      </c>
      <c r="D20" s="23">
        <f>'[1]buses-marginal_price'!D18</f>
        <v>1.428571428571429E-2</v>
      </c>
      <c r="E20" s="23">
        <f>'[1]buses-marginal_price'!E18</f>
        <v>0</v>
      </c>
      <c r="F20" s="23">
        <f>'[1]buses-marginal_price'!F18</f>
        <v>0.01</v>
      </c>
      <c r="G20" s="23">
        <f>'[1]buses-marginal_price'!G18</f>
        <v>0</v>
      </c>
      <c r="H20" s="23">
        <f>'[1]buses-marginal_price'!L18</f>
        <v>0</v>
      </c>
    </row>
    <row r="21" spans="1:16">
      <c r="A21" s="5">
        <v>17</v>
      </c>
      <c r="B21" s="23">
        <f>'[1]buses-marginal_price'!B19</f>
        <v>22</v>
      </c>
      <c r="C21" s="23">
        <f>'[1]buses-marginal_price'!C19</f>
        <v>18.7</v>
      </c>
      <c r="D21" s="23">
        <f>'[1]buses-marginal_price'!D19</f>
        <v>31.44285714285714</v>
      </c>
      <c r="E21" s="23">
        <f>'[1]buses-marginal_price'!E19</f>
        <v>22</v>
      </c>
      <c r="F21" s="23">
        <f>'[1]buses-marginal_price'!F19</f>
        <v>22.01</v>
      </c>
      <c r="G21" s="23">
        <f>'[1]buses-marginal_price'!G19</f>
        <v>0</v>
      </c>
      <c r="H21" s="23">
        <f>'[1]buses-marginal_price'!L19</f>
        <v>21.9</v>
      </c>
    </row>
    <row r="22" spans="1:16">
      <c r="A22" s="5">
        <v>18</v>
      </c>
      <c r="B22" s="23">
        <f>'[1]buses-marginal_price'!B20</f>
        <v>22</v>
      </c>
      <c r="C22" s="23">
        <f>'[1]buses-marginal_price'!C20</f>
        <v>18.7</v>
      </c>
      <c r="D22" s="23">
        <f>'[1]buses-marginal_price'!D20</f>
        <v>31.44285714285714</v>
      </c>
      <c r="E22" s="23">
        <f>'[1]buses-marginal_price'!E20</f>
        <v>22</v>
      </c>
      <c r="F22" s="23">
        <f>'[1]buses-marginal_price'!F20</f>
        <v>22.01</v>
      </c>
      <c r="G22" s="23">
        <f>'[1]buses-marginal_price'!G20</f>
        <v>0.1</v>
      </c>
      <c r="H22" s="23">
        <f>'[1]buses-marginal_price'!L20</f>
        <v>21.9</v>
      </c>
    </row>
    <row r="23" spans="1:16">
      <c r="A23" s="5">
        <v>19</v>
      </c>
      <c r="B23" s="23">
        <f>'[1]buses-marginal_price'!B21</f>
        <v>22</v>
      </c>
      <c r="C23" s="23">
        <f>'[1]buses-marginal_price'!C21</f>
        <v>18.7</v>
      </c>
      <c r="D23" s="23">
        <f>'[1]buses-marginal_price'!D21</f>
        <v>31.44285714285714</v>
      </c>
      <c r="E23" s="23">
        <f>'[1]buses-marginal_price'!E21</f>
        <v>22</v>
      </c>
      <c r="F23" s="23">
        <f>'[1]buses-marginal_price'!F21</f>
        <v>22.01</v>
      </c>
      <c r="G23" s="23">
        <f>'[1]buses-marginal_price'!G21</f>
        <v>0.1</v>
      </c>
      <c r="H23" s="23">
        <f>'[1]buses-marginal_price'!L21</f>
        <v>21.9</v>
      </c>
    </row>
    <row r="24" spans="1:16">
      <c r="A24" s="5">
        <v>20</v>
      </c>
      <c r="B24" s="23">
        <f>'[1]buses-marginal_price'!B22</f>
        <v>22</v>
      </c>
      <c r="C24" s="23">
        <f>'[1]buses-marginal_price'!C22</f>
        <v>18.7</v>
      </c>
      <c r="D24" s="23">
        <f>'[1]buses-marginal_price'!D22</f>
        <v>31.44285714285714</v>
      </c>
      <c r="E24" s="23">
        <f>'[1]buses-marginal_price'!E22</f>
        <v>22</v>
      </c>
      <c r="F24" s="23">
        <f>'[1]buses-marginal_price'!F22</f>
        <v>22.01</v>
      </c>
      <c r="G24" s="23">
        <f>'[1]buses-marginal_price'!G22</f>
        <v>0.1</v>
      </c>
      <c r="H24" s="23">
        <f>'[1]buses-marginal_price'!L22</f>
        <v>21.9</v>
      </c>
    </row>
    <row r="25" spans="1:16">
      <c r="A25" s="5">
        <v>21</v>
      </c>
      <c r="B25" s="23">
        <f>'[1]buses-marginal_price'!B23</f>
        <v>22</v>
      </c>
      <c r="C25" s="23">
        <f>'[1]buses-marginal_price'!C23</f>
        <v>18.7</v>
      </c>
      <c r="D25" s="23">
        <f>'[1]buses-marginal_price'!D23</f>
        <v>31.44285714285714</v>
      </c>
      <c r="E25" s="23">
        <f>'[1]buses-marginal_price'!E23</f>
        <v>22</v>
      </c>
      <c r="F25" s="23">
        <f>'[1]buses-marginal_price'!F23</f>
        <v>22.01</v>
      </c>
      <c r="G25" s="23">
        <f>'[1]buses-marginal_price'!G23</f>
        <v>0.1</v>
      </c>
      <c r="H25" s="23">
        <f>'[1]buses-marginal_price'!L23</f>
        <v>21.9</v>
      </c>
    </row>
    <row r="26" spans="1:16">
      <c r="A26" s="5">
        <v>22</v>
      </c>
      <c r="B26" s="23">
        <f>'[1]buses-marginal_price'!B24</f>
        <v>22</v>
      </c>
      <c r="C26" s="23">
        <f>'[1]buses-marginal_price'!C24</f>
        <v>18.7</v>
      </c>
      <c r="D26" s="23">
        <f>'[1]buses-marginal_price'!D24</f>
        <v>31.44285714285714</v>
      </c>
      <c r="E26" s="23">
        <f>'[1]buses-marginal_price'!E24</f>
        <v>22</v>
      </c>
      <c r="F26" s="23">
        <f>'[1]buses-marginal_price'!F24</f>
        <v>22.01</v>
      </c>
      <c r="G26" s="23">
        <f>'[1]buses-marginal_price'!G24</f>
        <v>0.1</v>
      </c>
      <c r="H26" s="23">
        <f>'[1]buses-marginal_price'!L24</f>
        <v>21.9</v>
      </c>
    </row>
    <row r="27" spans="1:16">
      <c r="A27" s="5">
        <v>23</v>
      </c>
      <c r="B27" s="23">
        <f>'[1]buses-marginal_price'!B25</f>
        <v>22</v>
      </c>
      <c r="C27" s="23">
        <f>'[1]buses-marginal_price'!C25</f>
        <v>18.7</v>
      </c>
      <c r="D27" s="23">
        <f>'[1]buses-marginal_price'!D25</f>
        <v>31.44285714285714</v>
      </c>
      <c r="E27" s="23">
        <f>'[1]buses-marginal_price'!E25</f>
        <v>22</v>
      </c>
      <c r="F27" s="23">
        <f>'[1]buses-marginal_price'!F25</f>
        <v>22.01</v>
      </c>
      <c r="G27" s="23">
        <f>'[1]buses-marginal_price'!G25</f>
        <v>0.1</v>
      </c>
      <c r="H27" s="23">
        <f>'[1]buses-marginal_price'!L25</f>
        <v>21.9</v>
      </c>
    </row>
    <row r="28" spans="1:16">
      <c r="A28" s="5">
        <v>24</v>
      </c>
      <c r="B28" s="23">
        <f>'[1]buses-marginal_price'!B26</f>
        <v>22</v>
      </c>
      <c r="C28" s="23">
        <f>'[1]buses-marginal_price'!C26</f>
        <v>18.7</v>
      </c>
      <c r="D28" s="23">
        <f>'[1]buses-marginal_price'!D26</f>
        <v>31.44285714285714</v>
      </c>
      <c r="E28" s="23">
        <f>'[1]buses-marginal_price'!E26</f>
        <v>22</v>
      </c>
      <c r="F28" s="23">
        <f>'[1]buses-marginal_price'!F26</f>
        <v>22.01</v>
      </c>
      <c r="G28" s="23">
        <f>'[1]buses-marginal_price'!G26</f>
        <v>0.1</v>
      </c>
      <c r="H28" s="23">
        <f>'[1]buses-marginal_price'!L26</f>
        <v>21.9</v>
      </c>
    </row>
    <row r="29" spans="1:16">
      <c r="A29" s="5">
        <v>25</v>
      </c>
      <c r="B29" s="23">
        <f>'[1]buses-marginal_price'!B27</f>
        <v>22</v>
      </c>
      <c r="C29" s="23">
        <f>'[1]buses-marginal_price'!C27</f>
        <v>18.7</v>
      </c>
      <c r="D29" s="23">
        <f>'[1]buses-marginal_price'!D27</f>
        <v>31.44285714285714</v>
      </c>
      <c r="E29" s="23">
        <f>'[1]buses-marginal_price'!E27</f>
        <v>22</v>
      </c>
      <c r="F29" s="23">
        <f>'[1]buses-marginal_price'!F27</f>
        <v>22.01</v>
      </c>
      <c r="G29" s="23">
        <f>'[1]buses-marginal_price'!G27</f>
        <v>0.1</v>
      </c>
      <c r="H29" s="23">
        <f>'[1]buses-marginal_price'!L27</f>
        <v>21.9</v>
      </c>
    </row>
    <row r="30" spans="1:16">
      <c r="A30" s="5">
        <v>26</v>
      </c>
      <c r="B30" s="23">
        <f>'[1]buses-marginal_price'!B28</f>
        <v>22</v>
      </c>
      <c r="C30" s="23">
        <f>'[1]buses-marginal_price'!C28</f>
        <v>18.7</v>
      </c>
      <c r="D30" s="23">
        <f>'[1]buses-marginal_price'!D28</f>
        <v>31.44285714285714</v>
      </c>
      <c r="E30" s="23">
        <f>'[1]buses-marginal_price'!E28</f>
        <v>22</v>
      </c>
      <c r="F30" s="23">
        <f>'[1]buses-marginal_price'!F28</f>
        <v>22.01</v>
      </c>
      <c r="G30" s="23">
        <f>'[1]buses-marginal_price'!G28</f>
        <v>0.1</v>
      </c>
      <c r="H30" s="23">
        <f>'[1]buses-marginal_price'!L28</f>
        <v>21.9</v>
      </c>
    </row>
    <row r="31" spans="1:16">
      <c r="A31" s="5">
        <v>27</v>
      </c>
      <c r="B31" s="23">
        <f>'[1]buses-marginal_price'!B29</f>
        <v>22</v>
      </c>
      <c r="C31" s="23">
        <f>'[1]buses-marginal_price'!C29</f>
        <v>18.7</v>
      </c>
      <c r="D31" s="23">
        <f>'[1]buses-marginal_price'!D29</f>
        <v>31.44285714285714</v>
      </c>
      <c r="E31" s="23">
        <f>'[1]buses-marginal_price'!E29</f>
        <v>22</v>
      </c>
      <c r="F31" s="23">
        <f>'[1]buses-marginal_price'!F29</f>
        <v>22.01</v>
      </c>
      <c r="G31" s="23">
        <f>'[1]buses-marginal_price'!G29</f>
        <v>0.1</v>
      </c>
      <c r="H31" s="23">
        <f>'[1]buses-marginal_price'!L29</f>
        <v>21.9</v>
      </c>
    </row>
    <row r="32" spans="1:16">
      <c r="A32" s="5">
        <v>28</v>
      </c>
      <c r="B32" s="23">
        <f>'[1]buses-marginal_price'!B30</f>
        <v>22</v>
      </c>
      <c r="C32" s="23">
        <f>'[1]buses-marginal_price'!C30</f>
        <v>18.7</v>
      </c>
      <c r="D32" s="23">
        <f>'[1]buses-marginal_price'!D30</f>
        <v>31.44285714285714</v>
      </c>
      <c r="E32" s="23">
        <f>'[1]buses-marginal_price'!E30</f>
        <v>22</v>
      </c>
      <c r="F32" s="23">
        <f>'[1]buses-marginal_price'!F30</f>
        <v>22.01</v>
      </c>
      <c r="G32" s="23">
        <f>'[1]buses-marginal_price'!G30</f>
        <v>0.1</v>
      </c>
      <c r="H32" s="23">
        <f>'[1]buses-marginal_price'!L30</f>
        <v>21.9</v>
      </c>
    </row>
    <row r="33" spans="1:16">
      <c r="A33" s="5">
        <v>29</v>
      </c>
      <c r="B33" s="23">
        <f>'[1]buses-marginal_price'!B31</f>
        <v>22</v>
      </c>
      <c r="C33" s="23">
        <f>'[1]buses-marginal_price'!C31</f>
        <v>18.7</v>
      </c>
      <c r="D33" s="23">
        <f>'[1]buses-marginal_price'!D31</f>
        <v>31.44285714285714</v>
      </c>
      <c r="E33" s="23">
        <f>'[1]buses-marginal_price'!E31</f>
        <v>22</v>
      </c>
      <c r="F33" s="23">
        <f>'[1]buses-marginal_price'!F31</f>
        <v>22.01</v>
      </c>
      <c r="G33" s="23">
        <f>'[1]buses-marginal_price'!G31</f>
        <v>0.1</v>
      </c>
      <c r="H33" s="23">
        <f>'[1]buses-marginal_price'!L31</f>
        <v>21.9</v>
      </c>
    </row>
    <row r="34" spans="1:16">
      <c r="A34" s="5">
        <v>30</v>
      </c>
      <c r="B34" s="23">
        <f>'[1]buses-marginal_price'!B32</f>
        <v>22</v>
      </c>
      <c r="C34" s="23">
        <f>'[1]buses-marginal_price'!C32</f>
        <v>18.7</v>
      </c>
      <c r="D34" s="23">
        <f>'[1]buses-marginal_price'!D32</f>
        <v>31.44285714285714</v>
      </c>
      <c r="E34" s="23">
        <f>'[1]buses-marginal_price'!E32</f>
        <v>22</v>
      </c>
      <c r="F34" s="23">
        <f>'[1]buses-marginal_price'!F32</f>
        <v>22.01</v>
      </c>
      <c r="G34" s="23">
        <f>'[1]buses-marginal_price'!G32</f>
        <v>0.1</v>
      </c>
      <c r="H34" s="23">
        <f>'[1]buses-marginal_price'!L32</f>
        <v>21.9</v>
      </c>
    </row>
    <row r="35" spans="1:16">
      <c r="A35" s="5">
        <v>31</v>
      </c>
      <c r="B35" s="23">
        <f>'[1]buses-marginal_price'!B33</f>
        <v>22</v>
      </c>
      <c r="C35" s="23">
        <f>'[1]buses-marginal_price'!C33</f>
        <v>18.7</v>
      </c>
      <c r="D35" s="23">
        <f>'[1]buses-marginal_price'!D33</f>
        <v>31.44285714285714</v>
      </c>
      <c r="E35" s="23">
        <f>'[1]buses-marginal_price'!E33</f>
        <v>22</v>
      </c>
      <c r="F35" s="23">
        <f>'[1]buses-marginal_price'!F33</f>
        <v>22.01</v>
      </c>
      <c r="G35" s="23">
        <f>'[1]buses-marginal_price'!G33</f>
        <v>0.1</v>
      </c>
      <c r="H35" s="23">
        <f>'[1]buses-marginal_price'!L33</f>
        <v>21.9</v>
      </c>
    </row>
    <row r="36" spans="1:16">
      <c r="A36" s="5">
        <v>32</v>
      </c>
      <c r="B36" s="23">
        <f>'[1]buses-marginal_price'!B34</f>
        <v>22</v>
      </c>
      <c r="C36" s="23">
        <f>'[1]buses-marginal_price'!C34</f>
        <v>18.7</v>
      </c>
      <c r="D36" s="23">
        <f>'[1]buses-marginal_price'!D34</f>
        <v>31.44285714285714</v>
      </c>
      <c r="E36" s="23">
        <f>'[1]buses-marginal_price'!E34</f>
        <v>22</v>
      </c>
      <c r="F36" s="23">
        <f>'[1]buses-marginal_price'!F34</f>
        <v>22.01</v>
      </c>
      <c r="G36" s="23">
        <f>'[1]buses-marginal_price'!G34</f>
        <v>0.1</v>
      </c>
      <c r="H36" s="23">
        <f>'[1]buses-marginal_price'!L34</f>
        <v>21.9</v>
      </c>
    </row>
    <row r="37" spans="1:16">
      <c r="A37" s="5">
        <v>33</v>
      </c>
      <c r="B37" s="23">
        <f>'[1]buses-marginal_price'!B35</f>
        <v>22</v>
      </c>
      <c r="C37" s="23">
        <f>'[1]buses-marginal_price'!C35</f>
        <v>18.7</v>
      </c>
      <c r="D37" s="23">
        <f>'[1]buses-marginal_price'!D35</f>
        <v>31.44285714285714</v>
      </c>
      <c r="E37" s="23">
        <f>'[1]buses-marginal_price'!E35</f>
        <v>22</v>
      </c>
      <c r="F37" s="23">
        <f>'[1]buses-marginal_price'!F35</f>
        <v>22.01</v>
      </c>
      <c r="G37" s="23">
        <f>'[1]buses-marginal_price'!G35</f>
        <v>6.3749999999999987E-2</v>
      </c>
      <c r="H37" s="23">
        <f>'[1]buses-marginal_price'!L35</f>
        <v>21.9</v>
      </c>
    </row>
    <row r="38" spans="1:16">
      <c r="A38" s="5">
        <v>34</v>
      </c>
      <c r="B38" s="23">
        <f>'[1]buses-marginal_price'!B36</f>
        <v>0.1</v>
      </c>
      <c r="C38" s="23">
        <f>'[1]buses-marginal_price'!C36</f>
        <v>18.7</v>
      </c>
      <c r="D38" s="23">
        <f>'[1]buses-marginal_price'!D36</f>
        <v>0.1571428571428572</v>
      </c>
      <c r="E38" s="23">
        <f>'[1]buses-marginal_price'!E36</f>
        <v>0.1</v>
      </c>
      <c r="F38" s="23">
        <f>'[1]buses-marginal_price'!F36</f>
        <v>0.11</v>
      </c>
      <c r="G38" s="23">
        <f>'[1]buses-marginal_price'!G36</f>
        <v>0</v>
      </c>
      <c r="H38" s="23">
        <f>'[1]buses-marginal_price'!L36</f>
        <v>0</v>
      </c>
    </row>
    <row r="39" spans="1:16">
      <c r="A39" s="5">
        <v>35</v>
      </c>
      <c r="B39" s="23">
        <f>'[1]buses-marginal_price'!B37</f>
        <v>0.1</v>
      </c>
      <c r="C39" s="23">
        <f>'[1]buses-marginal_price'!C37</f>
        <v>18.7</v>
      </c>
      <c r="D39" s="23">
        <f>'[1]buses-marginal_price'!D37</f>
        <v>0.1571428571428572</v>
      </c>
      <c r="E39" s="23">
        <f>'[1]buses-marginal_price'!E37</f>
        <v>0.1</v>
      </c>
      <c r="F39" s="23">
        <f>'[1]buses-marginal_price'!F37</f>
        <v>0.11</v>
      </c>
      <c r="G39" s="23">
        <f>'[1]buses-marginal_price'!G37</f>
        <v>0</v>
      </c>
      <c r="H39" s="23">
        <f>'[1]buses-marginal_price'!L37</f>
        <v>0</v>
      </c>
    </row>
    <row r="40" spans="1:16">
      <c r="A40" s="5">
        <v>36</v>
      </c>
      <c r="B40" s="23">
        <f>'[1]buses-marginal_price'!B38</f>
        <v>0.1</v>
      </c>
      <c r="C40" s="23">
        <f>'[1]buses-marginal_price'!C38</f>
        <v>18.7</v>
      </c>
      <c r="D40" s="23">
        <f>'[1]buses-marginal_price'!D38</f>
        <v>0.1571428571428572</v>
      </c>
      <c r="E40" s="23">
        <f>'[1]buses-marginal_price'!E38</f>
        <v>0.1</v>
      </c>
      <c r="F40" s="23">
        <f>'[1]buses-marginal_price'!F38</f>
        <v>0.11</v>
      </c>
      <c r="G40" s="23">
        <f>'[1]buses-marginal_price'!G38</f>
        <v>0</v>
      </c>
      <c r="H40" s="23">
        <f>'[1]buses-marginal_price'!L38</f>
        <v>0</v>
      </c>
    </row>
    <row r="41" spans="1:16">
      <c r="A41" s="5">
        <v>37</v>
      </c>
      <c r="B41" s="23">
        <f>'[1]buses-marginal_price'!B39</f>
        <v>0.06</v>
      </c>
      <c r="C41" s="23">
        <f>'[1]buses-marginal_price'!C39</f>
        <v>18.7</v>
      </c>
      <c r="D41" s="23">
        <f>'[1]buses-marginal_price'!D39</f>
        <v>0.1</v>
      </c>
      <c r="E41" s="23">
        <f>'[1]buses-marginal_price'!E39</f>
        <v>0.06</v>
      </c>
      <c r="F41" s="23">
        <f>'[1]buses-marginal_price'!F39</f>
        <v>7.0000000000000007E-2</v>
      </c>
      <c r="G41" s="23">
        <f>'[1]buses-marginal_price'!G39</f>
        <v>0</v>
      </c>
      <c r="H41" s="23">
        <f>'[1]buses-marginal_price'!L39</f>
        <v>0</v>
      </c>
    </row>
    <row r="42" spans="1:16">
      <c r="A42" s="5">
        <v>38</v>
      </c>
      <c r="B42" s="23">
        <f>'[1]buses-marginal_price'!B40</f>
        <v>0.1</v>
      </c>
      <c r="C42" s="23">
        <f>'[1]buses-marginal_price'!C40</f>
        <v>18.7</v>
      </c>
      <c r="D42" s="23">
        <f>'[1]buses-marginal_price'!D40</f>
        <v>0.1571428571428572</v>
      </c>
      <c r="E42" s="23">
        <f>'[1]buses-marginal_price'!E40</f>
        <v>0.1</v>
      </c>
      <c r="F42" s="23">
        <f>'[1]buses-marginal_price'!F40</f>
        <v>0.11</v>
      </c>
      <c r="G42" s="23">
        <f>'[1]buses-marginal_price'!G40</f>
        <v>0</v>
      </c>
      <c r="H42" s="23">
        <f>'[1]buses-marginal_price'!L40</f>
        <v>0</v>
      </c>
    </row>
    <row r="43" spans="1:16">
      <c r="A43" s="5">
        <v>39</v>
      </c>
      <c r="B43" s="23">
        <f>'[1]buses-marginal_price'!B41</f>
        <v>0.1</v>
      </c>
      <c r="C43" s="23">
        <f>'[1]buses-marginal_price'!C41</f>
        <v>18.7</v>
      </c>
      <c r="D43" s="23">
        <f>'[1]buses-marginal_price'!D41</f>
        <v>0.1571428571428572</v>
      </c>
      <c r="E43" s="23">
        <f>'[1]buses-marginal_price'!E41</f>
        <v>0.1</v>
      </c>
      <c r="F43" s="23">
        <f>'[1]buses-marginal_price'!F41</f>
        <v>0.11</v>
      </c>
      <c r="G43" s="23">
        <f>'[1]buses-marginal_price'!G41</f>
        <v>0</v>
      </c>
      <c r="H43" s="23">
        <f>'[1]buses-marginal_price'!L41</f>
        <v>0</v>
      </c>
    </row>
    <row r="44" spans="1:16">
      <c r="A44" s="5">
        <v>40</v>
      </c>
      <c r="B44" s="23">
        <f>'[1]buses-marginal_price'!B42</f>
        <v>0.1</v>
      </c>
      <c r="C44" s="23">
        <f>'[1]buses-marginal_price'!C42</f>
        <v>18.7</v>
      </c>
      <c r="D44" s="23">
        <f>'[1]buses-marginal_price'!D42</f>
        <v>0.1571428571428572</v>
      </c>
      <c r="E44" s="23">
        <f>'[1]buses-marginal_price'!E42</f>
        <v>0.1</v>
      </c>
      <c r="F44" s="23">
        <f>'[1]buses-marginal_price'!F42</f>
        <v>0.11</v>
      </c>
      <c r="G44" s="23">
        <f>'[1]buses-marginal_price'!G42</f>
        <v>0</v>
      </c>
      <c r="H44" s="23">
        <f>'[1]buses-marginal_price'!L42</f>
        <v>0</v>
      </c>
    </row>
    <row r="45" spans="1:16">
      <c r="A45" s="5">
        <v>41</v>
      </c>
      <c r="B45" s="23">
        <f>'[1]buses-marginal_price'!B43</f>
        <v>22</v>
      </c>
      <c r="C45" s="23">
        <f>'[1]buses-marginal_price'!C43</f>
        <v>18.7</v>
      </c>
      <c r="D45" s="23">
        <f>'[1]buses-marginal_price'!D43</f>
        <v>31.44285714285714</v>
      </c>
      <c r="E45" s="23">
        <f>'[1]buses-marginal_price'!E43</f>
        <v>22</v>
      </c>
      <c r="F45" s="23">
        <f>'[1]buses-marginal_price'!F43</f>
        <v>22.01</v>
      </c>
      <c r="G45" s="23">
        <f>'[1]buses-marginal_price'!G43</f>
        <v>0</v>
      </c>
      <c r="H45" s="23">
        <f>'[1]buses-marginal_price'!L43</f>
        <v>21.9</v>
      </c>
    </row>
    <row r="46" spans="1:16">
      <c r="A46" s="5">
        <v>42</v>
      </c>
      <c r="B46" s="23">
        <f>'[1]buses-marginal_price'!B44</f>
        <v>22</v>
      </c>
      <c r="C46" s="23">
        <f>'[1]buses-marginal_price'!C44</f>
        <v>18.7</v>
      </c>
      <c r="D46" s="23">
        <f>'[1]buses-marginal_price'!D44</f>
        <v>31.44285714285714</v>
      </c>
      <c r="E46" s="23">
        <f>'[1]buses-marginal_price'!E44</f>
        <v>22</v>
      </c>
      <c r="F46" s="23">
        <f>'[1]buses-marginal_price'!F44</f>
        <v>22.01</v>
      </c>
      <c r="G46" s="23">
        <f>'[1]buses-marginal_price'!G44</f>
        <v>0.1</v>
      </c>
      <c r="H46" s="23">
        <f>'[1]buses-marginal_price'!L44</f>
        <v>21.9</v>
      </c>
      <c r="K46" s="46"/>
    </row>
    <row r="47" spans="1:16">
      <c r="A47" s="5">
        <v>43</v>
      </c>
      <c r="B47" s="23">
        <f>'[1]buses-marginal_price'!B45</f>
        <v>22</v>
      </c>
      <c r="C47" s="23">
        <f>'[1]buses-marginal_price'!C45</f>
        <v>18.7</v>
      </c>
      <c r="D47" s="23">
        <f>'[1]buses-marginal_price'!D45</f>
        <v>31.44285714285714</v>
      </c>
      <c r="E47" s="23">
        <f>'[1]buses-marginal_price'!E45</f>
        <v>22</v>
      </c>
      <c r="F47" s="23">
        <f>'[1]buses-marginal_price'!F45</f>
        <v>22.01</v>
      </c>
      <c r="G47" s="23">
        <f>'[1]buses-marginal_price'!G45</f>
        <v>0.1</v>
      </c>
      <c r="H47" s="23">
        <f>'[1]buses-marginal_price'!L45</f>
        <v>21.9</v>
      </c>
      <c r="K47" s="46"/>
      <c r="P47" s="12"/>
    </row>
    <row r="48" spans="1:16">
      <c r="A48" s="5">
        <v>44</v>
      </c>
      <c r="B48" s="23">
        <f>'[1]buses-marginal_price'!B46</f>
        <v>22</v>
      </c>
      <c r="C48" s="23">
        <f>'[1]buses-marginal_price'!C46</f>
        <v>18.7</v>
      </c>
      <c r="D48" s="23">
        <f>'[1]buses-marginal_price'!D46</f>
        <v>31.44285714285714</v>
      </c>
      <c r="E48" s="23">
        <f>'[1]buses-marginal_price'!E46</f>
        <v>22</v>
      </c>
      <c r="F48" s="23">
        <f>'[1]buses-marginal_price'!F46</f>
        <v>22.01</v>
      </c>
      <c r="G48" s="23">
        <f>'[1]buses-marginal_price'!G46</f>
        <v>0.1</v>
      </c>
      <c r="H48" s="23">
        <f>'[1]buses-marginal_price'!L46</f>
        <v>21.9</v>
      </c>
      <c r="K48" s="46"/>
    </row>
    <row r="49" spans="1:11">
      <c r="A49" s="5">
        <v>45</v>
      </c>
      <c r="B49" s="23">
        <f>'[1]buses-marginal_price'!B47</f>
        <v>22</v>
      </c>
      <c r="C49" s="23">
        <f>'[1]buses-marginal_price'!C47</f>
        <v>18.7</v>
      </c>
      <c r="D49" s="23">
        <f>'[1]buses-marginal_price'!D47</f>
        <v>31.44285714285714</v>
      </c>
      <c r="E49" s="23">
        <f>'[1]buses-marginal_price'!E47</f>
        <v>22</v>
      </c>
      <c r="F49" s="23">
        <f>'[1]buses-marginal_price'!F47</f>
        <v>22.01</v>
      </c>
      <c r="G49" s="23">
        <f>'[1]buses-marginal_price'!G47</f>
        <v>6.3749999999999987E-2</v>
      </c>
      <c r="H49" s="23">
        <f>'[1]buses-marginal_price'!L47</f>
        <v>21.9</v>
      </c>
      <c r="K49" s="46"/>
    </row>
    <row r="50" spans="1:11">
      <c r="A50" s="5">
        <v>46</v>
      </c>
      <c r="B50" s="23">
        <f>'[1]buses-marginal_price'!B48</f>
        <v>22</v>
      </c>
      <c r="C50" s="23">
        <f>'[1]buses-marginal_price'!C48</f>
        <v>18.7</v>
      </c>
      <c r="D50" s="23">
        <f>'[1]buses-marginal_price'!D48</f>
        <v>31.44285714285714</v>
      </c>
      <c r="E50" s="23">
        <f>'[1]buses-marginal_price'!E48</f>
        <v>22</v>
      </c>
      <c r="F50" s="23">
        <f>'[1]buses-marginal_price'!F48</f>
        <v>22.01</v>
      </c>
      <c r="G50" s="23">
        <f>'[1]buses-marginal_price'!G48</f>
        <v>6.3749999999999987E-2</v>
      </c>
      <c r="H50" s="23">
        <f>'[1]buses-marginal_price'!L48</f>
        <v>21.9</v>
      </c>
    </row>
    <row r="51" spans="1:11">
      <c r="A51" s="5">
        <v>47</v>
      </c>
      <c r="B51" s="23">
        <f>'[1]buses-marginal_price'!B49</f>
        <v>22</v>
      </c>
      <c r="C51" s="23">
        <f>'[1]buses-marginal_price'!C49</f>
        <v>18.7</v>
      </c>
      <c r="D51" s="23">
        <f>'[1]buses-marginal_price'!D49</f>
        <v>31.44285714285714</v>
      </c>
      <c r="E51" s="23">
        <f>'[1]buses-marginal_price'!E49</f>
        <v>22</v>
      </c>
      <c r="F51" s="23">
        <f>'[1]buses-marginal_price'!F49</f>
        <v>22.01</v>
      </c>
      <c r="G51" s="23">
        <f>'[1]buses-marginal_price'!G49</f>
        <v>6.3749999999999987E-2</v>
      </c>
      <c r="H51" s="23">
        <f>'[1]buses-marginal_price'!L49</f>
        <v>21.9</v>
      </c>
    </row>
    <row r="52" spans="1:11">
      <c r="A52" s="5">
        <v>48</v>
      </c>
      <c r="B52" s="23">
        <f>'[1]buses-marginal_price'!B50</f>
        <v>22</v>
      </c>
      <c r="C52" s="23">
        <f>'[1]buses-marginal_price'!C50</f>
        <v>18.7</v>
      </c>
      <c r="D52" s="23">
        <f>'[1]buses-marginal_price'!D50</f>
        <v>31.44285714285714</v>
      </c>
      <c r="E52" s="23">
        <f>'[1]buses-marginal_price'!E50</f>
        <v>22</v>
      </c>
      <c r="F52" s="23">
        <f>'[1]buses-marginal_price'!F50</f>
        <v>22.01</v>
      </c>
      <c r="G52" s="23">
        <f>'[1]buses-marginal_price'!G50</f>
        <v>6.3749999999999987E-2</v>
      </c>
      <c r="H52" s="23">
        <f>'[1]buses-marginal_price'!L50</f>
        <v>21.9</v>
      </c>
    </row>
    <row r="53" spans="1:11">
      <c r="A53" s="5">
        <v>49</v>
      </c>
      <c r="B53" s="23">
        <f>'[1]buses-marginal_price'!B51</f>
        <v>22</v>
      </c>
      <c r="C53" s="23">
        <f>'[1]buses-marginal_price'!C51</f>
        <v>18.7</v>
      </c>
      <c r="D53" s="23">
        <f>'[1]buses-marginal_price'!D51</f>
        <v>31.44285714285714</v>
      </c>
      <c r="E53" s="23">
        <f>'[1]buses-marginal_price'!E51</f>
        <v>22</v>
      </c>
      <c r="F53" s="23">
        <f>'[1]buses-marginal_price'!F51</f>
        <v>22.01</v>
      </c>
      <c r="G53" s="23">
        <f>'[1]buses-marginal_price'!G51</f>
        <v>0</v>
      </c>
      <c r="H53" s="23">
        <f>'[1]buses-marginal_price'!L51</f>
        <v>21.9</v>
      </c>
    </row>
    <row r="54" spans="1:11">
      <c r="A54" s="5">
        <v>50</v>
      </c>
      <c r="B54" s="23">
        <f>'[1]buses-marginal_price'!B52</f>
        <v>22</v>
      </c>
      <c r="C54" s="23">
        <f>'[1]buses-marginal_price'!C52</f>
        <v>18.7</v>
      </c>
      <c r="D54" s="23">
        <f>'[1]buses-marginal_price'!D52</f>
        <v>31.44285714285714</v>
      </c>
      <c r="E54" s="23">
        <f>'[1]buses-marginal_price'!E52</f>
        <v>22</v>
      </c>
      <c r="F54" s="23">
        <f>'[1]buses-marginal_price'!F52</f>
        <v>22.01</v>
      </c>
      <c r="G54" s="23">
        <f>'[1]buses-marginal_price'!G52</f>
        <v>0</v>
      </c>
      <c r="H54" s="23">
        <f>'[1]buses-marginal_price'!L52</f>
        <v>21.9</v>
      </c>
    </row>
    <row r="55" spans="1:11">
      <c r="A55" s="5">
        <v>51</v>
      </c>
      <c r="B55" s="23">
        <f>'[1]buses-marginal_price'!B53</f>
        <v>22</v>
      </c>
      <c r="C55" s="23">
        <f>'[1]buses-marginal_price'!C53</f>
        <v>18.7</v>
      </c>
      <c r="D55" s="23">
        <f>'[1]buses-marginal_price'!D53</f>
        <v>31.44285714285714</v>
      </c>
      <c r="E55" s="23">
        <f>'[1]buses-marginal_price'!E53</f>
        <v>22</v>
      </c>
      <c r="F55" s="23">
        <f>'[1]buses-marginal_price'!F53</f>
        <v>22.01</v>
      </c>
      <c r="G55" s="23">
        <f>'[1]buses-marginal_price'!G53</f>
        <v>0</v>
      </c>
      <c r="H55" s="23">
        <f>'[1]buses-marginal_price'!L53</f>
        <v>21.9</v>
      </c>
    </row>
    <row r="56" spans="1:11">
      <c r="A56" s="5">
        <v>52</v>
      </c>
      <c r="B56" s="23">
        <f>'[1]buses-marginal_price'!B54</f>
        <v>22</v>
      </c>
      <c r="C56" s="23">
        <f>'[1]buses-marginal_price'!C54</f>
        <v>18.7</v>
      </c>
      <c r="D56" s="23">
        <f>'[1]buses-marginal_price'!D54</f>
        <v>31.44285714285714</v>
      </c>
      <c r="E56" s="23">
        <f>'[1]buses-marginal_price'!E54</f>
        <v>22</v>
      </c>
      <c r="F56" s="23">
        <f>'[1]buses-marginal_price'!F54</f>
        <v>22.01</v>
      </c>
      <c r="G56" s="23">
        <f>'[1]buses-marginal_price'!G54</f>
        <v>0</v>
      </c>
      <c r="H56" s="23">
        <f>'[1]buses-marginal_price'!L54</f>
        <v>21.9</v>
      </c>
    </row>
    <row r="57" spans="1:11">
      <c r="A57" s="5">
        <v>53</v>
      </c>
      <c r="B57" s="23">
        <f>'[1]buses-marginal_price'!B55</f>
        <v>22</v>
      </c>
      <c r="C57" s="23">
        <f>'[1]buses-marginal_price'!C55</f>
        <v>18.7</v>
      </c>
      <c r="D57" s="23">
        <f>'[1]buses-marginal_price'!D55</f>
        <v>31.44285714285714</v>
      </c>
      <c r="E57" s="23">
        <f>'[1]buses-marginal_price'!E55</f>
        <v>22</v>
      </c>
      <c r="F57" s="23">
        <f>'[1]buses-marginal_price'!F55</f>
        <v>22.01</v>
      </c>
      <c r="G57" s="23">
        <f>'[1]buses-marginal_price'!G55</f>
        <v>0</v>
      </c>
      <c r="H57" s="23">
        <f>'[1]buses-marginal_price'!L55</f>
        <v>21.9</v>
      </c>
    </row>
    <row r="58" spans="1:11">
      <c r="A58" s="5">
        <v>54</v>
      </c>
      <c r="B58" s="23">
        <f>'[1]buses-marginal_price'!B56</f>
        <v>22</v>
      </c>
      <c r="C58" s="23">
        <f>'[1]buses-marginal_price'!C56</f>
        <v>18.7</v>
      </c>
      <c r="D58" s="23">
        <f>'[1]buses-marginal_price'!D56</f>
        <v>31.44285714285714</v>
      </c>
      <c r="E58" s="23">
        <f>'[1]buses-marginal_price'!E56</f>
        <v>22</v>
      </c>
      <c r="F58" s="23">
        <f>'[1]buses-marginal_price'!F56</f>
        <v>22.01</v>
      </c>
      <c r="G58" s="23">
        <f>'[1]buses-marginal_price'!G56</f>
        <v>0</v>
      </c>
      <c r="H58" s="23">
        <f>'[1]buses-marginal_price'!L56</f>
        <v>21.9</v>
      </c>
    </row>
    <row r="59" spans="1:11">
      <c r="A59" s="5">
        <v>55</v>
      </c>
      <c r="B59" s="23">
        <f>'[1]buses-marginal_price'!B57</f>
        <v>22</v>
      </c>
      <c r="C59" s="23">
        <f>'[1]buses-marginal_price'!C57</f>
        <v>18.7</v>
      </c>
      <c r="D59" s="23">
        <f>'[1]buses-marginal_price'!D57</f>
        <v>31.44285714285714</v>
      </c>
      <c r="E59" s="23">
        <f>'[1]buses-marginal_price'!E57</f>
        <v>22</v>
      </c>
      <c r="F59" s="23">
        <f>'[1]buses-marginal_price'!F57</f>
        <v>22.01</v>
      </c>
      <c r="G59" s="23">
        <f>'[1]buses-marginal_price'!G57</f>
        <v>0</v>
      </c>
      <c r="H59" s="23">
        <f>'[1]buses-marginal_price'!L57</f>
        <v>21.9</v>
      </c>
    </row>
    <row r="60" spans="1:11">
      <c r="A60" s="5">
        <v>56</v>
      </c>
      <c r="B60" s="23">
        <f>'[1]buses-marginal_price'!B58</f>
        <v>22</v>
      </c>
      <c r="C60" s="23">
        <f>'[1]buses-marginal_price'!C58</f>
        <v>18.7</v>
      </c>
      <c r="D60" s="23">
        <f>'[1]buses-marginal_price'!D58</f>
        <v>31.44285714285714</v>
      </c>
      <c r="E60" s="23">
        <f>'[1]buses-marginal_price'!E58</f>
        <v>22</v>
      </c>
      <c r="F60" s="23">
        <f>'[1]buses-marginal_price'!F58</f>
        <v>22.01</v>
      </c>
      <c r="G60" s="23">
        <f>'[1]buses-marginal_price'!G58</f>
        <v>0</v>
      </c>
      <c r="H60" s="23">
        <f>'[1]buses-marginal_price'!L58</f>
        <v>21.9</v>
      </c>
    </row>
    <row r="61" spans="1:11">
      <c r="A61" s="5">
        <v>57</v>
      </c>
      <c r="B61" s="23">
        <f>'[1]buses-marginal_price'!B59</f>
        <v>22</v>
      </c>
      <c r="C61" s="23">
        <f>'[1]buses-marginal_price'!C59</f>
        <v>18.7</v>
      </c>
      <c r="D61" s="23">
        <f>'[1]buses-marginal_price'!D59</f>
        <v>31.44285714285714</v>
      </c>
      <c r="E61" s="23">
        <f>'[1]buses-marginal_price'!E59</f>
        <v>22</v>
      </c>
      <c r="F61" s="23">
        <f>'[1]buses-marginal_price'!F59</f>
        <v>22.01</v>
      </c>
      <c r="G61" s="23">
        <f>'[1]buses-marginal_price'!G59</f>
        <v>0</v>
      </c>
      <c r="H61" s="23">
        <f>'[1]buses-marginal_price'!L59</f>
        <v>21.9</v>
      </c>
    </row>
    <row r="62" spans="1:11">
      <c r="A62" s="5">
        <v>58</v>
      </c>
      <c r="B62" s="23">
        <f>'[1]buses-marginal_price'!B60</f>
        <v>14.025</v>
      </c>
      <c r="C62" s="23">
        <f>'[1]buses-marginal_price'!C60</f>
        <v>18.7</v>
      </c>
      <c r="D62" s="23">
        <f>'[1]buses-marginal_price'!D60</f>
        <v>20.05</v>
      </c>
      <c r="E62" s="23">
        <f>'[1]buses-marginal_price'!E60</f>
        <v>14.025</v>
      </c>
      <c r="F62" s="23">
        <f>'[1]buses-marginal_price'!F60</f>
        <v>14.035</v>
      </c>
      <c r="G62" s="23">
        <f>'[1]buses-marginal_price'!G60</f>
        <v>0</v>
      </c>
      <c r="H62" s="23">
        <f>'[1]buses-marginal_price'!L60</f>
        <v>13.925000000000001</v>
      </c>
    </row>
    <row r="63" spans="1:11">
      <c r="A63" s="5">
        <v>59</v>
      </c>
      <c r="B63" s="23">
        <f>'[1]buses-marginal_price'!B61</f>
        <v>14.025</v>
      </c>
      <c r="C63" s="23">
        <f>'[1]buses-marginal_price'!C61</f>
        <v>18.7</v>
      </c>
      <c r="D63" s="23">
        <f>'[1]buses-marginal_price'!D61</f>
        <v>20.05</v>
      </c>
      <c r="E63" s="23">
        <f>'[1]buses-marginal_price'!E61</f>
        <v>14.025</v>
      </c>
      <c r="F63" s="23">
        <f>'[1]buses-marginal_price'!F61</f>
        <v>14.035</v>
      </c>
      <c r="G63" s="23">
        <f>'[1]buses-marginal_price'!G61</f>
        <v>0</v>
      </c>
      <c r="H63" s="23">
        <f>'[1]buses-marginal_price'!L61</f>
        <v>13.925000000000001</v>
      </c>
    </row>
    <row r="64" spans="1:11">
      <c r="A64" s="5">
        <v>60</v>
      </c>
      <c r="B64" s="23">
        <f>'[1]buses-marginal_price'!B62</f>
        <v>14.025</v>
      </c>
      <c r="C64" s="23">
        <f>'[1]buses-marginal_price'!C62</f>
        <v>18.7</v>
      </c>
      <c r="D64" s="23">
        <f>'[1]buses-marginal_price'!D62</f>
        <v>20.05</v>
      </c>
      <c r="E64" s="23">
        <f>'[1]buses-marginal_price'!E62</f>
        <v>14.025</v>
      </c>
      <c r="F64" s="23">
        <f>'[1]buses-marginal_price'!F62</f>
        <v>14.035</v>
      </c>
      <c r="G64" s="23">
        <f>'[1]buses-marginal_price'!G62</f>
        <v>0</v>
      </c>
      <c r="H64" s="23">
        <f>'[1]buses-marginal_price'!L62</f>
        <v>13.925000000000001</v>
      </c>
    </row>
    <row r="65" spans="1:8">
      <c r="A65" s="5">
        <v>61</v>
      </c>
      <c r="B65" s="23">
        <f>'[1]buses-marginal_price'!B63</f>
        <v>14.025</v>
      </c>
      <c r="C65" s="23">
        <f>'[1]buses-marginal_price'!C63</f>
        <v>18.7</v>
      </c>
      <c r="D65" s="23">
        <f>'[1]buses-marginal_price'!D63</f>
        <v>20.05</v>
      </c>
      <c r="E65" s="23">
        <f>'[1]buses-marginal_price'!E63</f>
        <v>14.025</v>
      </c>
      <c r="F65" s="23">
        <f>'[1]buses-marginal_price'!F63</f>
        <v>14.035</v>
      </c>
      <c r="G65" s="23">
        <f>'[1]buses-marginal_price'!G63</f>
        <v>0</v>
      </c>
      <c r="H65" s="23">
        <f>'[1]buses-marginal_price'!L63</f>
        <v>13.925000000000001</v>
      </c>
    </row>
    <row r="66" spans="1:8">
      <c r="A66" s="5">
        <v>62</v>
      </c>
      <c r="B66" s="23">
        <f>'[1]buses-marginal_price'!B64</f>
        <v>14.025</v>
      </c>
      <c r="C66" s="23">
        <f>'[1]buses-marginal_price'!C64</f>
        <v>18.7</v>
      </c>
      <c r="D66" s="23">
        <f>'[1]buses-marginal_price'!D64</f>
        <v>20.05</v>
      </c>
      <c r="E66" s="23">
        <f>'[1]buses-marginal_price'!E64</f>
        <v>14.025</v>
      </c>
      <c r="F66" s="23">
        <f>'[1]buses-marginal_price'!F64</f>
        <v>14.035</v>
      </c>
      <c r="G66" s="23">
        <f>'[1]buses-marginal_price'!G64</f>
        <v>0</v>
      </c>
      <c r="H66" s="23">
        <f>'[1]buses-marginal_price'!L64</f>
        <v>13.925000000000001</v>
      </c>
    </row>
    <row r="67" spans="1:8">
      <c r="A67" s="5">
        <v>63</v>
      </c>
      <c r="B67" s="23">
        <f>'[1]buses-marginal_price'!B65</f>
        <v>14.025</v>
      </c>
      <c r="C67" s="23">
        <f>'[1]buses-marginal_price'!C65</f>
        <v>18.7</v>
      </c>
      <c r="D67" s="23">
        <f>'[1]buses-marginal_price'!D65</f>
        <v>20.05</v>
      </c>
      <c r="E67" s="23">
        <f>'[1]buses-marginal_price'!E65</f>
        <v>14.025</v>
      </c>
      <c r="F67" s="23">
        <f>'[1]buses-marginal_price'!F65</f>
        <v>14.035</v>
      </c>
      <c r="G67" s="23">
        <f>'[1]buses-marginal_price'!G65</f>
        <v>0</v>
      </c>
      <c r="H67" s="23">
        <f>'[1]buses-marginal_price'!L65</f>
        <v>13.925000000000001</v>
      </c>
    </row>
    <row r="68" spans="1:8">
      <c r="A68" s="5">
        <v>64</v>
      </c>
      <c r="B68" s="23">
        <f>'[1]buses-marginal_price'!B66</f>
        <v>14.025</v>
      </c>
      <c r="C68" s="23">
        <f>'[1]buses-marginal_price'!C66</f>
        <v>18.7</v>
      </c>
      <c r="D68" s="23">
        <f>'[1]buses-marginal_price'!D66</f>
        <v>20.05</v>
      </c>
      <c r="E68" s="23">
        <f>'[1]buses-marginal_price'!E66</f>
        <v>14.025</v>
      </c>
      <c r="F68" s="23">
        <f>'[1]buses-marginal_price'!F66</f>
        <v>14.035</v>
      </c>
      <c r="G68" s="23">
        <f>'[1]buses-marginal_price'!G66</f>
        <v>0</v>
      </c>
      <c r="H68" s="23">
        <f>'[1]buses-marginal_price'!L66</f>
        <v>13.925000000000001</v>
      </c>
    </row>
    <row r="69" spans="1:8">
      <c r="A69" s="5">
        <v>65</v>
      </c>
      <c r="B69" s="23">
        <f>'[1]buses-marginal_price'!B67</f>
        <v>22</v>
      </c>
      <c r="C69" s="23">
        <f>'[1]buses-marginal_price'!C67</f>
        <v>18.7</v>
      </c>
      <c r="D69" s="23">
        <f>'[1]buses-marginal_price'!D67</f>
        <v>31.44285714285714</v>
      </c>
      <c r="E69" s="23">
        <f>'[1]buses-marginal_price'!E67</f>
        <v>22</v>
      </c>
      <c r="F69" s="23">
        <f>'[1]buses-marginal_price'!F67</f>
        <v>22.01</v>
      </c>
      <c r="G69" s="23">
        <f>'[1]buses-marginal_price'!G67</f>
        <v>0</v>
      </c>
      <c r="H69" s="23">
        <f>'[1]buses-marginal_price'!L67</f>
        <v>21.9</v>
      </c>
    </row>
    <row r="70" spans="1:8">
      <c r="A70" s="5">
        <v>66</v>
      </c>
      <c r="B70" s="23">
        <f>'[1]buses-marginal_price'!B68</f>
        <v>22</v>
      </c>
      <c r="C70" s="23">
        <f>'[1]buses-marginal_price'!C68</f>
        <v>18.7</v>
      </c>
      <c r="D70" s="23">
        <f>'[1]buses-marginal_price'!D68</f>
        <v>31.44285714285714</v>
      </c>
      <c r="E70" s="23">
        <f>'[1]buses-marginal_price'!E68</f>
        <v>22</v>
      </c>
      <c r="F70" s="23">
        <f>'[1]buses-marginal_price'!F68</f>
        <v>22.01</v>
      </c>
      <c r="G70" s="23">
        <f>'[1]buses-marginal_price'!G68</f>
        <v>9.9999999999999992E-2</v>
      </c>
      <c r="H70" s="23">
        <f>'[1]buses-marginal_price'!L68</f>
        <v>21.9</v>
      </c>
    </row>
    <row r="71" spans="1:8">
      <c r="A71" s="5">
        <v>67</v>
      </c>
      <c r="B71" s="23">
        <f>'[1]buses-marginal_price'!B69</f>
        <v>22</v>
      </c>
      <c r="C71" s="23">
        <f>'[1]buses-marginal_price'!C69</f>
        <v>18.7</v>
      </c>
      <c r="D71" s="23">
        <f>'[1]buses-marginal_price'!D69</f>
        <v>31.44285714285714</v>
      </c>
      <c r="E71" s="23">
        <f>'[1]buses-marginal_price'!E69</f>
        <v>22</v>
      </c>
      <c r="F71" s="23">
        <f>'[1]buses-marginal_price'!F69</f>
        <v>22.01</v>
      </c>
      <c r="G71" s="23">
        <f>'[1]buses-marginal_price'!G69</f>
        <v>9.9999999999999992E-2</v>
      </c>
      <c r="H71" s="23">
        <f>'[1]buses-marginal_price'!L69</f>
        <v>21.9</v>
      </c>
    </row>
    <row r="72" spans="1:8">
      <c r="A72" s="5">
        <v>68</v>
      </c>
      <c r="B72" s="23">
        <f>'[1]buses-marginal_price'!B70</f>
        <v>22</v>
      </c>
      <c r="C72" s="23">
        <f>'[1]buses-marginal_price'!C70</f>
        <v>18.7</v>
      </c>
      <c r="D72" s="23">
        <f>'[1]buses-marginal_price'!D70</f>
        <v>31.44285714285714</v>
      </c>
      <c r="E72" s="23">
        <f>'[1]buses-marginal_price'!E70</f>
        <v>22</v>
      </c>
      <c r="F72" s="23">
        <f>'[1]buses-marginal_price'!F70</f>
        <v>22.01</v>
      </c>
      <c r="G72" s="23">
        <f>'[1]buses-marginal_price'!G70</f>
        <v>9.9999999999999992E-2</v>
      </c>
      <c r="H72" s="23">
        <f>'[1]buses-marginal_price'!L70</f>
        <v>21.9</v>
      </c>
    </row>
    <row r="73" spans="1:8">
      <c r="A73" s="5">
        <v>69</v>
      </c>
      <c r="B73" s="23">
        <f>'[1]buses-marginal_price'!B71</f>
        <v>22</v>
      </c>
      <c r="C73" s="23">
        <f>'[1]buses-marginal_price'!C71</f>
        <v>18.7</v>
      </c>
      <c r="D73" s="23">
        <f>'[1]buses-marginal_price'!D71</f>
        <v>31.44285714285714</v>
      </c>
      <c r="E73" s="23">
        <f>'[1]buses-marginal_price'!E71</f>
        <v>22</v>
      </c>
      <c r="F73" s="23">
        <f>'[1]buses-marginal_price'!F71</f>
        <v>22.01</v>
      </c>
      <c r="G73" s="23">
        <f>'[1]buses-marginal_price'!G71</f>
        <v>9.9999999999999992E-2</v>
      </c>
      <c r="H73" s="23">
        <f>'[1]buses-marginal_price'!L71</f>
        <v>21.9</v>
      </c>
    </row>
    <row r="74" spans="1:8">
      <c r="A74" s="5">
        <v>70</v>
      </c>
      <c r="B74" s="23">
        <f>'[1]buses-marginal_price'!B72</f>
        <v>22</v>
      </c>
      <c r="C74" s="23">
        <f>'[1]buses-marginal_price'!C72</f>
        <v>18.7</v>
      </c>
      <c r="D74" s="23">
        <f>'[1]buses-marginal_price'!D72</f>
        <v>31.44285714285714</v>
      </c>
      <c r="E74" s="23">
        <f>'[1]buses-marginal_price'!E72</f>
        <v>22</v>
      </c>
      <c r="F74" s="23">
        <f>'[1]buses-marginal_price'!F72</f>
        <v>22.01</v>
      </c>
      <c r="G74" s="23">
        <f>'[1]buses-marginal_price'!G72</f>
        <v>9.9999999999999992E-2</v>
      </c>
      <c r="H74" s="23">
        <f>'[1]buses-marginal_price'!L72</f>
        <v>21.9</v>
      </c>
    </row>
    <row r="75" spans="1:8">
      <c r="A75" s="5">
        <v>71</v>
      </c>
      <c r="B75" s="23">
        <f>'[1]buses-marginal_price'!B73</f>
        <v>22</v>
      </c>
      <c r="C75" s="23">
        <f>'[1]buses-marginal_price'!C73</f>
        <v>18.7</v>
      </c>
      <c r="D75" s="23">
        <f>'[1]buses-marginal_price'!D73</f>
        <v>31.44285714285714</v>
      </c>
      <c r="E75" s="23">
        <f>'[1]buses-marginal_price'!E73</f>
        <v>22</v>
      </c>
      <c r="F75" s="23">
        <f>'[1]buses-marginal_price'!F73</f>
        <v>22.01</v>
      </c>
      <c r="G75" s="23">
        <f>'[1]buses-marginal_price'!G73</f>
        <v>9.9999999999999992E-2</v>
      </c>
      <c r="H75" s="23">
        <f>'[1]buses-marginal_price'!L73</f>
        <v>21.9</v>
      </c>
    </row>
    <row r="76" spans="1:8">
      <c r="A76" s="5">
        <v>72</v>
      </c>
      <c r="B76" s="23">
        <f>'[1]buses-marginal_price'!B74</f>
        <v>22</v>
      </c>
      <c r="C76" s="23">
        <f>'[1]buses-marginal_price'!C74</f>
        <v>18.7</v>
      </c>
      <c r="D76" s="23">
        <f>'[1]buses-marginal_price'!D74</f>
        <v>31.44285714285714</v>
      </c>
      <c r="E76" s="23">
        <f>'[1]buses-marginal_price'!E74</f>
        <v>22</v>
      </c>
      <c r="F76" s="23">
        <f>'[1]buses-marginal_price'!F74</f>
        <v>22.01</v>
      </c>
      <c r="G76" s="23">
        <f>'[1]buses-marginal_price'!G74</f>
        <v>6.3749999999999987E-2</v>
      </c>
      <c r="H76" s="23">
        <f>'[1]buses-marginal_price'!L74</f>
        <v>21.9</v>
      </c>
    </row>
    <row r="77" spans="1:8">
      <c r="A77" s="5">
        <v>73</v>
      </c>
      <c r="B77" s="23">
        <f>'[1]buses-marginal_price'!B75</f>
        <v>22</v>
      </c>
      <c r="C77" s="23">
        <f>'[1]buses-marginal_price'!C75</f>
        <v>18.7</v>
      </c>
      <c r="D77" s="23">
        <f>'[1]buses-marginal_price'!D75</f>
        <v>31.44285714285714</v>
      </c>
      <c r="E77" s="23">
        <f>'[1]buses-marginal_price'!E75</f>
        <v>22</v>
      </c>
      <c r="F77" s="23">
        <f>'[1]buses-marginal_price'!F75</f>
        <v>22.01</v>
      </c>
      <c r="G77" s="23">
        <f>'[1]buses-marginal_price'!G75</f>
        <v>6.3749999999999987E-2</v>
      </c>
      <c r="H77" s="23">
        <f>'[1]buses-marginal_price'!L75</f>
        <v>21.9</v>
      </c>
    </row>
    <row r="78" spans="1:8">
      <c r="A78" s="5">
        <v>74</v>
      </c>
      <c r="B78" s="23">
        <f>'[1]buses-marginal_price'!B76</f>
        <v>22</v>
      </c>
      <c r="C78" s="23">
        <f>'[1]buses-marginal_price'!C76</f>
        <v>18.7</v>
      </c>
      <c r="D78" s="23">
        <f>'[1]buses-marginal_price'!D76</f>
        <v>31.44285714285714</v>
      </c>
      <c r="E78" s="23">
        <f>'[1]buses-marginal_price'!E76</f>
        <v>22</v>
      </c>
      <c r="F78" s="23">
        <f>'[1]buses-marginal_price'!F76</f>
        <v>22.01</v>
      </c>
      <c r="G78" s="23">
        <f>'[1]buses-marginal_price'!G76</f>
        <v>6.3749999999999987E-2</v>
      </c>
      <c r="H78" s="23">
        <f>'[1]buses-marginal_price'!L76</f>
        <v>21.9</v>
      </c>
    </row>
    <row r="79" spans="1:8">
      <c r="A79" s="5">
        <v>75</v>
      </c>
      <c r="B79" s="23">
        <f>'[1]buses-marginal_price'!B77</f>
        <v>22</v>
      </c>
      <c r="C79" s="23">
        <f>'[1]buses-marginal_price'!C77</f>
        <v>18.7</v>
      </c>
      <c r="D79" s="23">
        <f>'[1]buses-marginal_price'!D77</f>
        <v>31.44285714285714</v>
      </c>
      <c r="E79" s="23">
        <f>'[1]buses-marginal_price'!E77</f>
        <v>22</v>
      </c>
      <c r="F79" s="23">
        <f>'[1]buses-marginal_price'!F77</f>
        <v>22.01</v>
      </c>
      <c r="G79" s="23">
        <f>'[1]buses-marginal_price'!G77</f>
        <v>6.3749999999999987E-2</v>
      </c>
      <c r="H79" s="23">
        <f>'[1]buses-marginal_price'!L77</f>
        <v>21.9</v>
      </c>
    </row>
    <row r="80" spans="1:8">
      <c r="A80" s="5">
        <v>76</v>
      </c>
      <c r="B80" s="23">
        <f>'[1]buses-marginal_price'!B78</f>
        <v>22</v>
      </c>
      <c r="C80" s="23">
        <f>'[1]buses-marginal_price'!C78</f>
        <v>18.7</v>
      </c>
      <c r="D80" s="23">
        <f>'[1]buses-marginal_price'!D78</f>
        <v>31.44285714285714</v>
      </c>
      <c r="E80" s="23">
        <f>'[1]buses-marginal_price'!E78</f>
        <v>22</v>
      </c>
      <c r="F80" s="23">
        <f>'[1]buses-marginal_price'!F78</f>
        <v>22.01</v>
      </c>
      <c r="G80" s="23">
        <f>'[1]buses-marginal_price'!G78</f>
        <v>6.3749999999999987E-2</v>
      </c>
      <c r="H80" s="23">
        <f>'[1]buses-marginal_price'!L78</f>
        <v>21.9</v>
      </c>
    </row>
    <row r="81" spans="1:8">
      <c r="A81" s="5">
        <v>77</v>
      </c>
      <c r="B81" s="23">
        <f>'[1]buses-marginal_price'!B79</f>
        <v>22</v>
      </c>
      <c r="C81" s="23">
        <f>'[1]buses-marginal_price'!C79</f>
        <v>18.7</v>
      </c>
      <c r="D81" s="23">
        <f>'[1]buses-marginal_price'!D79</f>
        <v>31.44285714285714</v>
      </c>
      <c r="E81" s="23">
        <f>'[1]buses-marginal_price'!E79</f>
        <v>22</v>
      </c>
      <c r="F81" s="23">
        <f>'[1]buses-marginal_price'!F79</f>
        <v>22.01</v>
      </c>
      <c r="G81" s="23">
        <f>'[1]buses-marginal_price'!G79</f>
        <v>6.3749999999999987E-2</v>
      </c>
      <c r="H81" s="23">
        <f>'[1]buses-marginal_price'!L79</f>
        <v>21.9</v>
      </c>
    </row>
    <row r="82" spans="1:8">
      <c r="A82" s="5">
        <v>78</v>
      </c>
      <c r="B82" s="23">
        <f>'[1]buses-marginal_price'!B80</f>
        <v>22</v>
      </c>
      <c r="C82" s="23">
        <f>'[1]buses-marginal_price'!C80</f>
        <v>18.7</v>
      </c>
      <c r="D82" s="23">
        <f>'[1]buses-marginal_price'!D80</f>
        <v>31.44285714285714</v>
      </c>
      <c r="E82" s="23">
        <f>'[1]buses-marginal_price'!E80</f>
        <v>22</v>
      </c>
      <c r="F82" s="23">
        <f>'[1]buses-marginal_price'!F80</f>
        <v>22.01</v>
      </c>
      <c r="G82" s="23">
        <f>'[1]buses-marginal_price'!G80</f>
        <v>6.3749999999999987E-2</v>
      </c>
      <c r="H82" s="23">
        <f>'[1]buses-marginal_price'!L80</f>
        <v>21.9</v>
      </c>
    </row>
    <row r="83" spans="1:8">
      <c r="A83" s="5">
        <v>79</v>
      </c>
      <c r="B83" s="23">
        <f>'[1]buses-marginal_price'!B81</f>
        <v>22</v>
      </c>
      <c r="C83" s="23">
        <f>'[1]buses-marginal_price'!C81</f>
        <v>18.7</v>
      </c>
      <c r="D83" s="23">
        <f>'[1]buses-marginal_price'!D81</f>
        <v>31.44285714285714</v>
      </c>
      <c r="E83" s="23">
        <f>'[1]buses-marginal_price'!E81</f>
        <v>22</v>
      </c>
      <c r="F83" s="23">
        <f>'[1]buses-marginal_price'!F81</f>
        <v>22.01</v>
      </c>
      <c r="G83" s="23">
        <f>'[1]buses-marginal_price'!G81</f>
        <v>9.9999999999999992E-2</v>
      </c>
      <c r="H83" s="23">
        <f>'[1]buses-marginal_price'!L81</f>
        <v>21.9</v>
      </c>
    </row>
    <row r="84" spans="1:8">
      <c r="A84" s="5">
        <v>80</v>
      </c>
      <c r="B84" s="23">
        <f>'[1]buses-marginal_price'!B82</f>
        <v>22</v>
      </c>
      <c r="C84" s="23">
        <f>'[1]buses-marginal_price'!C82</f>
        <v>18.7</v>
      </c>
      <c r="D84" s="23">
        <f>'[1]buses-marginal_price'!D82</f>
        <v>31.44285714285714</v>
      </c>
      <c r="E84" s="23">
        <f>'[1]buses-marginal_price'!E82</f>
        <v>22</v>
      </c>
      <c r="F84" s="23">
        <f>'[1]buses-marginal_price'!F82</f>
        <v>22.01</v>
      </c>
      <c r="G84" s="23">
        <f>'[1]buses-marginal_price'!G82</f>
        <v>9.9999999999999992E-2</v>
      </c>
      <c r="H84" s="23">
        <f>'[1]buses-marginal_price'!L82</f>
        <v>21.9</v>
      </c>
    </row>
    <row r="85" spans="1:8">
      <c r="A85" s="5">
        <v>81</v>
      </c>
      <c r="B85" s="23">
        <f>'[1]buses-marginal_price'!B83</f>
        <v>22</v>
      </c>
      <c r="C85" s="23">
        <f>'[1]buses-marginal_price'!C83</f>
        <v>18.7</v>
      </c>
      <c r="D85" s="23">
        <f>'[1]buses-marginal_price'!D83</f>
        <v>31.44285714285714</v>
      </c>
      <c r="E85" s="23">
        <f>'[1]buses-marginal_price'!E83</f>
        <v>22</v>
      </c>
      <c r="F85" s="23">
        <f>'[1]buses-marginal_price'!F83</f>
        <v>22.01</v>
      </c>
      <c r="G85" s="23">
        <f>'[1]buses-marginal_price'!G83</f>
        <v>6.3749999999999987E-2</v>
      </c>
      <c r="H85" s="23">
        <f>'[1]buses-marginal_price'!L83</f>
        <v>21.9</v>
      </c>
    </row>
    <row r="86" spans="1:8">
      <c r="A86" s="5">
        <v>82</v>
      </c>
      <c r="B86" s="23">
        <f>'[1]buses-marginal_price'!B84</f>
        <v>17.60452076568405</v>
      </c>
      <c r="C86" s="23">
        <f>'[1]buses-marginal_price'!C84</f>
        <v>18.7</v>
      </c>
      <c r="D86" s="23">
        <f>'[1]buses-marginal_price'!D84</f>
        <v>25.163601093834369</v>
      </c>
      <c r="E86" s="23">
        <f>'[1]buses-marginal_price'!E84</f>
        <v>17.60452076568405</v>
      </c>
      <c r="F86" s="23">
        <f>'[1]buses-marginal_price'!F84</f>
        <v>17.614520765684059</v>
      </c>
      <c r="G86" s="23">
        <f>'[1]buses-marginal_price'!G84</f>
        <v>0</v>
      </c>
      <c r="H86" s="23">
        <f>'[1]buses-marginal_price'!L84</f>
        <v>17.50452076568406</v>
      </c>
    </row>
    <row r="87" spans="1:8">
      <c r="A87" s="5">
        <v>83</v>
      </c>
      <c r="B87" s="23">
        <f>'[1]buses-marginal_price'!B85</f>
        <v>17.60452076568405</v>
      </c>
      <c r="C87" s="23">
        <f>'[1]buses-marginal_price'!C85</f>
        <v>18.7</v>
      </c>
      <c r="D87" s="23">
        <f>'[1]buses-marginal_price'!D85</f>
        <v>25.163601093834369</v>
      </c>
      <c r="E87" s="23">
        <f>'[1]buses-marginal_price'!E85</f>
        <v>17.60452076568405</v>
      </c>
      <c r="F87" s="23">
        <f>'[1]buses-marginal_price'!F85</f>
        <v>17.614520765684059</v>
      </c>
      <c r="G87" s="23">
        <f>'[1]buses-marginal_price'!G85</f>
        <v>0</v>
      </c>
      <c r="H87" s="23">
        <f>'[1]buses-marginal_price'!L85</f>
        <v>17.50452076568406</v>
      </c>
    </row>
    <row r="88" spans="1:8">
      <c r="A88" s="5">
        <v>84</v>
      </c>
      <c r="B88" s="23">
        <f>'[1]buses-marginal_price'!B86</f>
        <v>17.60452076568405</v>
      </c>
      <c r="C88" s="23">
        <f>'[1]buses-marginal_price'!C86</f>
        <v>18.7</v>
      </c>
      <c r="D88" s="23">
        <f>'[1]buses-marginal_price'!D86</f>
        <v>25.163601093834369</v>
      </c>
      <c r="E88" s="23">
        <f>'[1]buses-marginal_price'!E86</f>
        <v>17.60452076568405</v>
      </c>
      <c r="F88" s="23">
        <f>'[1]buses-marginal_price'!F86</f>
        <v>17.614520765684059</v>
      </c>
      <c r="G88" s="23">
        <f>'[1]buses-marginal_price'!G86</f>
        <v>0</v>
      </c>
      <c r="H88" s="23">
        <f>'[1]buses-marginal_price'!L86</f>
        <v>17.50452076568406</v>
      </c>
    </row>
    <row r="89" spans="1:8">
      <c r="A89" s="5">
        <v>85</v>
      </c>
      <c r="B89" s="23">
        <f>'[1]buses-marginal_price'!B87</f>
        <v>17.60452076568405</v>
      </c>
      <c r="C89" s="23">
        <f>'[1]buses-marginal_price'!C87</f>
        <v>18.7</v>
      </c>
      <c r="D89" s="23">
        <f>'[1]buses-marginal_price'!D87</f>
        <v>25.163601093834369</v>
      </c>
      <c r="E89" s="23">
        <f>'[1]buses-marginal_price'!E87</f>
        <v>17.60452076568405</v>
      </c>
      <c r="F89" s="23">
        <f>'[1]buses-marginal_price'!F87</f>
        <v>17.614520765684059</v>
      </c>
      <c r="G89" s="23">
        <f>'[1]buses-marginal_price'!G87</f>
        <v>0</v>
      </c>
      <c r="H89" s="23">
        <f>'[1]buses-marginal_price'!L87</f>
        <v>17.50452076568406</v>
      </c>
    </row>
    <row r="90" spans="1:8">
      <c r="A90" s="5">
        <v>86</v>
      </c>
      <c r="B90" s="23">
        <f>'[1]buses-marginal_price'!B88</f>
        <v>17.60452076568405</v>
      </c>
      <c r="C90" s="23">
        <f>'[1]buses-marginal_price'!C88</f>
        <v>18.7</v>
      </c>
      <c r="D90" s="23">
        <f>'[1]buses-marginal_price'!D88</f>
        <v>25.163601093834369</v>
      </c>
      <c r="E90" s="23">
        <f>'[1]buses-marginal_price'!E88</f>
        <v>17.60452076568405</v>
      </c>
      <c r="F90" s="23">
        <f>'[1]buses-marginal_price'!F88</f>
        <v>17.614520765684059</v>
      </c>
      <c r="G90" s="23">
        <f>'[1]buses-marginal_price'!G88</f>
        <v>0</v>
      </c>
      <c r="H90" s="23">
        <f>'[1]buses-marginal_price'!L88</f>
        <v>17.50452076568406</v>
      </c>
    </row>
    <row r="91" spans="1:8">
      <c r="A91" s="5">
        <v>87</v>
      </c>
      <c r="B91" s="23">
        <f>'[1]buses-marginal_price'!B89</f>
        <v>17.60452076568405</v>
      </c>
      <c r="C91" s="23">
        <f>'[1]buses-marginal_price'!C89</f>
        <v>18.7</v>
      </c>
      <c r="D91" s="23">
        <f>'[1]buses-marginal_price'!D89</f>
        <v>25.163601093834369</v>
      </c>
      <c r="E91" s="23">
        <f>'[1]buses-marginal_price'!E89</f>
        <v>17.60452076568405</v>
      </c>
      <c r="F91" s="23">
        <f>'[1]buses-marginal_price'!F89</f>
        <v>17.614520765684059</v>
      </c>
      <c r="G91" s="23">
        <f>'[1]buses-marginal_price'!G89</f>
        <v>0</v>
      </c>
      <c r="H91" s="23">
        <f>'[1]buses-marginal_price'!L89</f>
        <v>17.50452076568406</v>
      </c>
    </row>
    <row r="92" spans="1:8">
      <c r="A92" s="5">
        <v>88</v>
      </c>
      <c r="B92" s="23">
        <f>'[1]buses-marginal_price'!B90</f>
        <v>17.60452076568405</v>
      </c>
      <c r="C92" s="23">
        <f>'[1]buses-marginal_price'!C90</f>
        <v>18.7</v>
      </c>
      <c r="D92" s="23">
        <f>'[1]buses-marginal_price'!D90</f>
        <v>25.163601093834369</v>
      </c>
      <c r="E92" s="23">
        <f>'[1]buses-marginal_price'!E90</f>
        <v>17.60452076568405</v>
      </c>
      <c r="F92" s="23">
        <f>'[1]buses-marginal_price'!F90</f>
        <v>17.614520765684059</v>
      </c>
      <c r="G92" s="23">
        <f>'[1]buses-marginal_price'!G90</f>
        <v>0</v>
      </c>
      <c r="H92" s="23">
        <f>'[1]buses-marginal_price'!L90</f>
        <v>17.50452076568406</v>
      </c>
    </row>
    <row r="93" spans="1:8">
      <c r="A93" s="5">
        <v>89</v>
      </c>
      <c r="B93" s="23">
        <f>'[1]buses-marginal_price'!B91</f>
        <v>22</v>
      </c>
      <c r="C93" s="23">
        <f>'[1]buses-marginal_price'!C91</f>
        <v>18.7</v>
      </c>
      <c r="D93" s="23">
        <f>'[1]buses-marginal_price'!D91</f>
        <v>31.44285714285714</v>
      </c>
      <c r="E93" s="23">
        <f>'[1]buses-marginal_price'!E91</f>
        <v>22</v>
      </c>
      <c r="F93" s="23">
        <f>'[1]buses-marginal_price'!F91</f>
        <v>22.01</v>
      </c>
      <c r="G93" s="23">
        <f>'[1]buses-marginal_price'!G91</f>
        <v>6.3749999999999987E-2</v>
      </c>
      <c r="H93" s="23">
        <f>'[1]buses-marginal_price'!L91</f>
        <v>21.9</v>
      </c>
    </row>
    <row r="94" spans="1:8">
      <c r="A94" s="5">
        <v>90</v>
      </c>
      <c r="B94" s="23">
        <f>'[1]buses-marginal_price'!B92</f>
        <v>22</v>
      </c>
      <c r="C94" s="23">
        <f>'[1]buses-marginal_price'!C92</f>
        <v>18.7</v>
      </c>
      <c r="D94" s="23">
        <f>'[1]buses-marginal_price'!D92</f>
        <v>31.44285714285714</v>
      </c>
      <c r="E94" s="23">
        <f>'[1]buses-marginal_price'!E92</f>
        <v>22</v>
      </c>
      <c r="F94" s="23">
        <f>'[1]buses-marginal_price'!F92</f>
        <v>22.01</v>
      </c>
      <c r="G94" s="23">
        <f>'[1]buses-marginal_price'!G92</f>
        <v>9.9999999999999992E-2</v>
      </c>
      <c r="H94" s="23">
        <f>'[1]buses-marginal_price'!L92</f>
        <v>21.9</v>
      </c>
    </row>
    <row r="95" spans="1:8">
      <c r="A95" s="5">
        <v>91</v>
      </c>
      <c r="B95" s="23">
        <f>'[1]buses-marginal_price'!B93</f>
        <v>22</v>
      </c>
      <c r="C95" s="23">
        <f>'[1]buses-marginal_price'!C93</f>
        <v>18.7</v>
      </c>
      <c r="D95" s="23">
        <f>'[1]buses-marginal_price'!D93</f>
        <v>31.44285714285714</v>
      </c>
      <c r="E95" s="23">
        <f>'[1]buses-marginal_price'!E93</f>
        <v>22</v>
      </c>
      <c r="F95" s="23">
        <f>'[1]buses-marginal_price'!F93</f>
        <v>22.01</v>
      </c>
      <c r="G95" s="23">
        <f>'[1]buses-marginal_price'!G93</f>
        <v>9.9999999999999992E-2</v>
      </c>
      <c r="H95" s="23">
        <f>'[1]buses-marginal_price'!L93</f>
        <v>21.9</v>
      </c>
    </row>
    <row r="96" spans="1:8">
      <c r="A96" s="5">
        <v>92</v>
      </c>
      <c r="B96" s="23">
        <f>'[1]buses-marginal_price'!B94</f>
        <v>22</v>
      </c>
      <c r="C96" s="23">
        <f>'[1]buses-marginal_price'!C94</f>
        <v>18.7</v>
      </c>
      <c r="D96" s="23">
        <f>'[1]buses-marginal_price'!D94</f>
        <v>31.44285714285714</v>
      </c>
      <c r="E96" s="23">
        <f>'[1]buses-marginal_price'!E94</f>
        <v>22</v>
      </c>
      <c r="F96" s="23">
        <f>'[1]buses-marginal_price'!F94</f>
        <v>22.01</v>
      </c>
      <c r="G96" s="23">
        <f>'[1]buses-marginal_price'!G94</f>
        <v>9.9999999999999992E-2</v>
      </c>
      <c r="H96" s="23">
        <f>'[1]buses-marginal_price'!L94</f>
        <v>21.9</v>
      </c>
    </row>
    <row r="97" spans="1:8">
      <c r="A97" s="5">
        <v>93</v>
      </c>
      <c r="B97" s="23">
        <f>'[1]buses-marginal_price'!B95</f>
        <v>22</v>
      </c>
      <c r="C97" s="23">
        <f>'[1]buses-marginal_price'!C95</f>
        <v>18.7</v>
      </c>
      <c r="D97" s="23">
        <f>'[1]buses-marginal_price'!D95</f>
        <v>31.44285714285714</v>
      </c>
      <c r="E97" s="23">
        <f>'[1]buses-marginal_price'!E95</f>
        <v>22</v>
      </c>
      <c r="F97" s="23">
        <f>'[1]buses-marginal_price'!F95</f>
        <v>22.01</v>
      </c>
      <c r="G97" s="23">
        <f>'[1]buses-marginal_price'!G95</f>
        <v>9.9999999999999992E-2</v>
      </c>
      <c r="H97" s="23">
        <f>'[1]buses-marginal_price'!L95</f>
        <v>21.9</v>
      </c>
    </row>
    <row r="98" spans="1:8">
      <c r="A98" s="5">
        <v>94</v>
      </c>
      <c r="B98" s="23">
        <f>'[1]buses-marginal_price'!B96</f>
        <v>22</v>
      </c>
      <c r="C98" s="23">
        <f>'[1]buses-marginal_price'!C96</f>
        <v>18.7</v>
      </c>
      <c r="D98" s="23">
        <f>'[1]buses-marginal_price'!D96</f>
        <v>31.44285714285714</v>
      </c>
      <c r="E98" s="23">
        <f>'[1]buses-marginal_price'!E96</f>
        <v>22</v>
      </c>
      <c r="F98" s="23">
        <f>'[1]buses-marginal_price'!F96</f>
        <v>22.01</v>
      </c>
      <c r="G98" s="23">
        <f>'[1]buses-marginal_price'!G96</f>
        <v>9.9999999999999992E-2</v>
      </c>
      <c r="H98" s="23">
        <f>'[1]buses-marginal_price'!L96</f>
        <v>21.9</v>
      </c>
    </row>
    <row r="99" spans="1:8">
      <c r="A99" s="5">
        <v>95</v>
      </c>
      <c r="B99" s="23">
        <f>'[1]buses-marginal_price'!B97</f>
        <v>22</v>
      </c>
      <c r="C99" s="23">
        <f>'[1]buses-marginal_price'!C97</f>
        <v>18.7</v>
      </c>
      <c r="D99" s="23">
        <f>'[1]buses-marginal_price'!D97</f>
        <v>31.44285714285714</v>
      </c>
      <c r="E99" s="23">
        <f>'[1]buses-marginal_price'!E97</f>
        <v>22</v>
      </c>
      <c r="F99" s="23">
        <f>'[1]buses-marginal_price'!F97</f>
        <v>22.01</v>
      </c>
      <c r="G99" s="23">
        <f>'[1]buses-marginal_price'!G97</f>
        <v>9.9999999999999992E-2</v>
      </c>
      <c r="H99" s="23">
        <f>'[1]buses-marginal_price'!L97</f>
        <v>21.9</v>
      </c>
    </row>
    <row r="100" spans="1:8">
      <c r="A100" s="5">
        <v>96</v>
      </c>
      <c r="B100" s="23">
        <f>'[1]buses-marginal_price'!B98</f>
        <v>22</v>
      </c>
      <c r="C100" s="23">
        <f>'[1]buses-marginal_price'!C98</f>
        <v>18.7</v>
      </c>
      <c r="D100" s="23">
        <f>'[1]buses-marginal_price'!D98</f>
        <v>31.44285714285714</v>
      </c>
      <c r="E100" s="23">
        <f>'[1]buses-marginal_price'!E98</f>
        <v>22</v>
      </c>
      <c r="F100" s="23">
        <f>'[1]buses-marginal_price'!F98</f>
        <v>22.01</v>
      </c>
      <c r="G100" s="23">
        <f>'[1]buses-marginal_price'!G98</f>
        <v>0.1</v>
      </c>
      <c r="H100" s="23">
        <f>'[1]buses-marginal_price'!L98</f>
        <v>21.9</v>
      </c>
    </row>
    <row r="101" spans="1:8">
      <c r="A101" s="5">
        <v>97</v>
      </c>
      <c r="B101" s="23">
        <f>'[1]buses-marginal_price'!B99</f>
        <v>22</v>
      </c>
      <c r="C101" s="23">
        <f>'[1]buses-marginal_price'!C99</f>
        <v>18.7</v>
      </c>
      <c r="D101" s="23">
        <f>'[1]buses-marginal_price'!D99</f>
        <v>31.44285714285714</v>
      </c>
      <c r="E101" s="23">
        <f>'[1]buses-marginal_price'!E99</f>
        <v>22</v>
      </c>
      <c r="F101" s="23">
        <f>'[1]buses-marginal_price'!F99</f>
        <v>22.01</v>
      </c>
      <c r="G101" s="23">
        <f>'[1]buses-marginal_price'!G99</f>
        <v>0.1</v>
      </c>
      <c r="H101" s="23">
        <f>'[1]buses-marginal_price'!L99</f>
        <v>22.1</v>
      </c>
    </row>
    <row r="102" spans="1:8">
      <c r="A102" s="5">
        <v>98</v>
      </c>
      <c r="B102" s="23">
        <f>'[1]buses-marginal_price'!B100</f>
        <v>22</v>
      </c>
      <c r="C102" s="23">
        <f>'[1]buses-marginal_price'!C100</f>
        <v>18.7</v>
      </c>
      <c r="D102" s="23">
        <f>'[1]buses-marginal_price'!D100</f>
        <v>31.44285714285714</v>
      </c>
      <c r="E102" s="23">
        <f>'[1]buses-marginal_price'!E100</f>
        <v>22</v>
      </c>
      <c r="F102" s="23">
        <f>'[1]buses-marginal_price'!F100</f>
        <v>22.01</v>
      </c>
      <c r="G102" s="23">
        <f>'[1]buses-marginal_price'!G100</f>
        <v>0.1</v>
      </c>
      <c r="H102" s="23">
        <f>'[1]buses-marginal_price'!L100</f>
        <v>22.1</v>
      </c>
    </row>
    <row r="103" spans="1:8">
      <c r="A103" s="5">
        <v>99</v>
      </c>
      <c r="B103" s="23">
        <f>'[1]buses-marginal_price'!B101</f>
        <v>22</v>
      </c>
      <c r="C103" s="23">
        <f>'[1]buses-marginal_price'!C101</f>
        <v>18.7</v>
      </c>
      <c r="D103" s="23">
        <f>'[1]buses-marginal_price'!D101</f>
        <v>31.44285714285714</v>
      </c>
      <c r="E103" s="23">
        <f>'[1]buses-marginal_price'!E101</f>
        <v>22</v>
      </c>
      <c r="F103" s="23">
        <f>'[1]buses-marginal_price'!F101</f>
        <v>22.01</v>
      </c>
      <c r="G103" s="23">
        <f>'[1]buses-marginal_price'!G101</f>
        <v>0.1</v>
      </c>
      <c r="H103" s="23">
        <f>'[1]buses-marginal_price'!L101</f>
        <v>21.9</v>
      </c>
    </row>
    <row r="104" spans="1:8">
      <c r="A104" s="5">
        <v>100</v>
      </c>
      <c r="B104" s="23">
        <f>'[1]buses-marginal_price'!B102</f>
        <v>22</v>
      </c>
      <c r="C104" s="23">
        <f>'[1]buses-marginal_price'!C102</f>
        <v>18.7</v>
      </c>
      <c r="D104" s="23">
        <f>'[1]buses-marginal_price'!D102</f>
        <v>31.44285714285714</v>
      </c>
      <c r="E104" s="23">
        <f>'[1]buses-marginal_price'!E102</f>
        <v>22</v>
      </c>
      <c r="F104" s="23">
        <f>'[1]buses-marginal_price'!F102</f>
        <v>22.01</v>
      </c>
      <c r="G104" s="23">
        <f>'[1]buses-marginal_price'!G102</f>
        <v>0.1</v>
      </c>
      <c r="H104" s="23">
        <f>'[1]buses-marginal_price'!L102</f>
        <v>21.9</v>
      </c>
    </row>
    <row r="105" spans="1:8">
      <c r="A105" s="5">
        <v>101</v>
      </c>
      <c r="B105" s="23">
        <f>'[1]buses-marginal_price'!B103</f>
        <v>22</v>
      </c>
      <c r="C105" s="23">
        <f>'[1]buses-marginal_price'!C103</f>
        <v>18.7</v>
      </c>
      <c r="D105" s="23">
        <f>'[1]buses-marginal_price'!D103</f>
        <v>31.44285714285714</v>
      </c>
      <c r="E105" s="23">
        <f>'[1]buses-marginal_price'!E103</f>
        <v>22</v>
      </c>
      <c r="F105" s="23">
        <f>'[1]buses-marginal_price'!F103</f>
        <v>22.01</v>
      </c>
      <c r="G105" s="23">
        <f>'[1]buses-marginal_price'!G103</f>
        <v>0.1</v>
      </c>
      <c r="H105" s="23">
        <f>'[1]buses-marginal_price'!L103</f>
        <v>22.1</v>
      </c>
    </row>
    <row r="106" spans="1:8">
      <c r="A106" s="5">
        <v>102</v>
      </c>
      <c r="B106" s="23">
        <f>'[1]buses-marginal_price'!B104</f>
        <v>22</v>
      </c>
      <c r="C106" s="23">
        <f>'[1]buses-marginal_price'!C104</f>
        <v>18.7</v>
      </c>
      <c r="D106" s="23">
        <f>'[1]buses-marginal_price'!D104</f>
        <v>31.44285714285714</v>
      </c>
      <c r="E106" s="23">
        <f>'[1]buses-marginal_price'!E104</f>
        <v>22</v>
      </c>
      <c r="F106" s="23">
        <f>'[1]buses-marginal_price'!F104</f>
        <v>22.01</v>
      </c>
      <c r="G106" s="23">
        <f>'[1]buses-marginal_price'!G104</f>
        <v>0.1</v>
      </c>
      <c r="H106" s="23">
        <f>'[1]buses-marginal_price'!L104</f>
        <v>22.1</v>
      </c>
    </row>
    <row r="107" spans="1:8">
      <c r="A107" s="5">
        <v>103</v>
      </c>
      <c r="B107" s="23">
        <f>'[1]buses-marginal_price'!B105</f>
        <v>22</v>
      </c>
      <c r="C107" s="23">
        <f>'[1]buses-marginal_price'!C105</f>
        <v>18.7</v>
      </c>
      <c r="D107" s="23">
        <f>'[1]buses-marginal_price'!D105</f>
        <v>31.44285714285714</v>
      </c>
      <c r="E107" s="23">
        <f>'[1]buses-marginal_price'!E105</f>
        <v>22</v>
      </c>
      <c r="F107" s="23">
        <f>'[1]buses-marginal_price'!F105</f>
        <v>22.01</v>
      </c>
      <c r="G107" s="23">
        <f>'[1]buses-marginal_price'!G105</f>
        <v>0.1</v>
      </c>
      <c r="H107" s="23">
        <f>'[1]buses-marginal_price'!L105</f>
        <v>22.1</v>
      </c>
    </row>
    <row r="108" spans="1:8">
      <c r="A108" s="5">
        <v>104</v>
      </c>
      <c r="B108" s="23">
        <f>'[1]buses-marginal_price'!B106</f>
        <v>22</v>
      </c>
      <c r="C108" s="23">
        <f>'[1]buses-marginal_price'!C106</f>
        <v>18.7</v>
      </c>
      <c r="D108" s="23">
        <f>'[1]buses-marginal_price'!D106</f>
        <v>31.44285714285714</v>
      </c>
      <c r="E108" s="23">
        <f>'[1]buses-marginal_price'!E106</f>
        <v>22</v>
      </c>
      <c r="F108" s="23">
        <f>'[1]buses-marginal_price'!F106</f>
        <v>22.01</v>
      </c>
      <c r="G108" s="23">
        <f>'[1]buses-marginal_price'!G106</f>
        <v>0.1</v>
      </c>
      <c r="H108" s="23">
        <f>'[1]buses-marginal_price'!L106</f>
        <v>22.1</v>
      </c>
    </row>
    <row r="109" spans="1:8">
      <c r="A109" s="5">
        <v>105</v>
      </c>
      <c r="B109" s="23">
        <f>'[1]buses-marginal_price'!B107</f>
        <v>14.025</v>
      </c>
      <c r="C109" s="23">
        <f>'[1]buses-marginal_price'!C107</f>
        <v>18.7</v>
      </c>
      <c r="D109" s="23">
        <f>'[1]buses-marginal_price'!D107</f>
        <v>20.05</v>
      </c>
      <c r="E109" s="23">
        <f>'[1]buses-marginal_price'!E107</f>
        <v>14.025</v>
      </c>
      <c r="F109" s="23">
        <f>'[1]buses-marginal_price'!F107</f>
        <v>14.035</v>
      </c>
      <c r="G109" s="23">
        <f>'[1]buses-marginal_price'!G107</f>
        <v>0.1</v>
      </c>
      <c r="H109" s="23">
        <f>'[1]buses-marginal_price'!L107</f>
        <v>14.125</v>
      </c>
    </row>
    <row r="110" spans="1:8">
      <c r="A110" s="5">
        <v>106</v>
      </c>
      <c r="B110" s="23">
        <f>'[1]buses-marginal_price'!B108</f>
        <v>0</v>
      </c>
      <c r="C110" s="23">
        <f>'[1]buses-marginal_price'!C108</f>
        <v>18.7</v>
      </c>
      <c r="D110" s="23">
        <f>'[1]buses-marginal_price'!D108</f>
        <v>1.428571428571429E-2</v>
      </c>
      <c r="E110" s="23">
        <f>'[1]buses-marginal_price'!E108</f>
        <v>0</v>
      </c>
      <c r="F110" s="23">
        <f>'[1]buses-marginal_price'!F108</f>
        <v>0.01</v>
      </c>
      <c r="G110" s="23">
        <f>'[1]buses-marginal_price'!G108</f>
        <v>0</v>
      </c>
      <c r="H110" s="23">
        <f>'[1]buses-marginal_price'!L108</f>
        <v>0.1</v>
      </c>
    </row>
    <row r="111" spans="1:8">
      <c r="A111" s="5">
        <v>107</v>
      </c>
      <c r="B111" s="23">
        <f>'[1]buses-marginal_price'!B109</f>
        <v>0</v>
      </c>
      <c r="C111" s="23">
        <f>'[1]buses-marginal_price'!C109</f>
        <v>18.7</v>
      </c>
      <c r="D111" s="23">
        <f>'[1]buses-marginal_price'!D109</f>
        <v>1.428571428571429E-2</v>
      </c>
      <c r="E111" s="23">
        <f>'[1]buses-marginal_price'!E109</f>
        <v>0</v>
      </c>
      <c r="F111" s="23">
        <f>'[1]buses-marginal_price'!F109</f>
        <v>0.01</v>
      </c>
      <c r="G111" s="23">
        <f>'[1]buses-marginal_price'!G109</f>
        <v>0</v>
      </c>
      <c r="H111" s="23">
        <f>'[1]buses-marginal_price'!L109</f>
        <v>0.1</v>
      </c>
    </row>
    <row r="112" spans="1:8">
      <c r="A112" s="5">
        <v>108</v>
      </c>
      <c r="B112" s="23">
        <f>'[1]buses-marginal_price'!B110</f>
        <v>0</v>
      </c>
      <c r="C112" s="23">
        <f>'[1]buses-marginal_price'!C110</f>
        <v>18.7</v>
      </c>
      <c r="D112" s="23">
        <f>'[1]buses-marginal_price'!D110</f>
        <v>1.428571428571429E-2</v>
      </c>
      <c r="E112" s="23">
        <f>'[1]buses-marginal_price'!E110</f>
        <v>0</v>
      </c>
      <c r="F112" s="23">
        <f>'[1]buses-marginal_price'!F110</f>
        <v>0.01</v>
      </c>
      <c r="G112" s="23">
        <f>'[1]buses-marginal_price'!G110</f>
        <v>0</v>
      </c>
      <c r="H112" s="23">
        <f>'[1]buses-marginal_price'!L110</f>
        <v>0.1</v>
      </c>
    </row>
    <row r="113" spans="1:8">
      <c r="A113" s="5">
        <v>109</v>
      </c>
      <c r="B113" s="23">
        <f>'[1]buses-marginal_price'!B111</f>
        <v>0</v>
      </c>
      <c r="C113" s="23">
        <f>'[1]buses-marginal_price'!C111</f>
        <v>18.7</v>
      </c>
      <c r="D113" s="23">
        <f>'[1]buses-marginal_price'!D111</f>
        <v>1.428571428571429E-2</v>
      </c>
      <c r="E113" s="23">
        <f>'[1]buses-marginal_price'!E111</f>
        <v>0</v>
      </c>
      <c r="F113" s="23">
        <f>'[1]buses-marginal_price'!F111</f>
        <v>0.01</v>
      </c>
      <c r="G113" s="23">
        <f>'[1]buses-marginal_price'!G111</f>
        <v>0</v>
      </c>
      <c r="H113" s="23">
        <f>'[1]buses-marginal_price'!L111</f>
        <v>0.1</v>
      </c>
    </row>
    <row r="114" spans="1:8">
      <c r="A114" s="5">
        <v>110</v>
      </c>
      <c r="B114" s="23">
        <f>'[1]buses-marginal_price'!B112</f>
        <v>0</v>
      </c>
      <c r="C114" s="23">
        <f>'[1]buses-marginal_price'!C112</f>
        <v>18.7</v>
      </c>
      <c r="D114" s="23">
        <f>'[1]buses-marginal_price'!D112</f>
        <v>1.428571428571429E-2</v>
      </c>
      <c r="E114" s="23">
        <f>'[1]buses-marginal_price'!E112</f>
        <v>0</v>
      </c>
      <c r="F114" s="23">
        <f>'[1]buses-marginal_price'!F112</f>
        <v>0.01</v>
      </c>
      <c r="G114" s="23">
        <f>'[1]buses-marginal_price'!G112</f>
        <v>0</v>
      </c>
      <c r="H114" s="23">
        <f>'[1]buses-marginal_price'!L112</f>
        <v>0.1</v>
      </c>
    </row>
    <row r="115" spans="1:8">
      <c r="A115" s="5">
        <v>111</v>
      </c>
      <c r="B115" s="23">
        <f>'[1]buses-marginal_price'!B113</f>
        <v>0</v>
      </c>
      <c r="C115" s="23">
        <f>'[1]buses-marginal_price'!C113</f>
        <v>18.7</v>
      </c>
      <c r="D115" s="23">
        <f>'[1]buses-marginal_price'!D113</f>
        <v>1.428571428571429E-2</v>
      </c>
      <c r="E115" s="23">
        <f>'[1]buses-marginal_price'!E113</f>
        <v>0</v>
      </c>
      <c r="F115" s="23">
        <f>'[1]buses-marginal_price'!F113</f>
        <v>0.01</v>
      </c>
      <c r="G115" s="23">
        <f>'[1]buses-marginal_price'!G113</f>
        <v>0</v>
      </c>
      <c r="H115" s="23">
        <f>'[1]buses-marginal_price'!L113</f>
        <v>0.1</v>
      </c>
    </row>
    <row r="116" spans="1:8">
      <c r="A116" s="5">
        <v>112</v>
      </c>
      <c r="B116" s="23">
        <f>'[1]buses-marginal_price'!B114</f>
        <v>0</v>
      </c>
      <c r="C116" s="23">
        <f>'[1]buses-marginal_price'!C114</f>
        <v>18.7</v>
      </c>
      <c r="D116" s="23">
        <f>'[1]buses-marginal_price'!D114</f>
        <v>1.428571428571429E-2</v>
      </c>
      <c r="E116" s="23">
        <f>'[1]buses-marginal_price'!E114</f>
        <v>0</v>
      </c>
      <c r="F116" s="23">
        <f>'[1]buses-marginal_price'!F114</f>
        <v>0.01</v>
      </c>
      <c r="G116" s="23">
        <f>'[1]buses-marginal_price'!G114</f>
        <v>0</v>
      </c>
      <c r="H116" s="23">
        <f>'[1]buses-marginal_price'!L114</f>
        <v>0.1</v>
      </c>
    </row>
    <row r="117" spans="1:8">
      <c r="A117" s="5">
        <v>113</v>
      </c>
      <c r="B117" s="23">
        <f>'[1]buses-marginal_price'!B115</f>
        <v>14.025</v>
      </c>
      <c r="C117" s="23">
        <f>'[1]buses-marginal_price'!C115</f>
        <v>18.7</v>
      </c>
      <c r="D117" s="23">
        <f>'[1]buses-marginal_price'!D115</f>
        <v>20.05</v>
      </c>
      <c r="E117" s="23">
        <f>'[1]buses-marginal_price'!E115</f>
        <v>14.025</v>
      </c>
      <c r="F117" s="23">
        <f>'[1]buses-marginal_price'!F115</f>
        <v>14.035</v>
      </c>
      <c r="G117" s="23">
        <f>'[1]buses-marginal_price'!G115</f>
        <v>6.3749999999999987E-2</v>
      </c>
      <c r="H117" s="23">
        <f>'[1]buses-marginal_price'!L115</f>
        <v>14.125</v>
      </c>
    </row>
    <row r="118" spans="1:8">
      <c r="A118" s="5">
        <v>114</v>
      </c>
      <c r="B118" s="23">
        <f>'[1]buses-marginal_price'!B116</f>
        <v>14.025</v>
      </c>
      <c r="C118" s="23">
        <f>'[1]buses-marginal_price'!C116</f>
        <v>18.7</v>
      </c>
      <c r="D118" s="23">
        <f>'[1]buses-marginal_price'!D116</f>
        <v>28.856944285714281</v>
      </c>
      <c r="E118" s="23">
        <f>'[1]buses-marginal_price'!E116</f>
        <v>14.025</v>
      </c>
      <c r="F118" s="23">
        <f>'[1]buses-marginal_price'!F116</f>
        <v>20.199860999999999</v>
      </c>
      <c r="G118" s="23">
        <f>'[1]buses-marginal_price'!G116</f>
        <v>13.925000000000001</v>
      </c>
      <c r="H118" s="23">
        <f>'[1]buses-marginal_price'!L116</f>
        <v>14.125</v>
      </c>
    </row>
    <row r="119" spans="1:8">
      <c r="A119" s="5">
        <v>115</v>
      </c>
      <c r="B119" s="23">
        <f>'[1]buses-marginal_price'!B117</f>
        <v>14.025</v>
      </c>
      <c r="C119" s="23">
        <f>'[1]buses-marginal_price'!C117</f>
        <v>18.7</v>
      </c>
      <c r="D119" s="23">
        <f>'[1]buses-marginal_price'!D117</f>
        <v>28.856944285714281</v>
      </c>
      <c r="E119" s="23">
        <f>'[1]buses-marginal_price'!E117</f>
        <v>14.025</v>
      </c>
      <c r="F119" s="23">
        <f>'[1]buses-marginal_price'!F117</f>
        <v>20.199860999999999</v>
      </c>
      <c r="G119" s="23">
        <f>'[1]buses-marginal_price'!G117</f>
        <v>13.925000000000001</v>
      </c>
      <c r="H119" s="23">
        <f>'[1]buses-marginal_price'!L117</f>
        <v>14.125</v>
      </c>
    </row>
    <row r="120" spans="1:8">
      <c r="A120" s="5">
        <v>116</v>
      </c>
      <c r="B120" s="23">
        <f>'[1]buses-marginal_price'!B118</f>
        <v>14.025</v>
      </c>
      <c r="C120" s="23">
        <f>'[1]buses-marginal_price'!C118</f>
        <v>18.7</v>
      </c>
      <c r="D120" s="23">
        <f>'[1]buses-marginal_price'!D118</f>
        <v>28.856944285714281</v>
      </c>
      <c r="E120" s="23">
        <f>'[1]buses-marginal_price'!E118</f>
        <v>14.025</v>
      </c>
      <c r="F120" s="23">
        <f>'[1]buses-marginal_price'!F118</f>
        <v>20.199860999999999</v>
      </c>
      <c r="G120" s="23">
        <f>'[1]buses-marginal_price'!G118</f>
        <v>13.925000000000001</v>
      </c>
      <c r="H120" s="23">
        <f>'[1]buses-marginal_price'!L118</f>
        <v>14.125</v>
      </c>
    </row>
    <row r="121" spans="1:8">
      <c r="A121" s="5">
        <v>117</v>
      </c>
      <c r="B121" s="23">
        <f>'[1]buses-marginal_price'!B119</f>
        <v>14.025</v>
      </c>
      <c r="C121" s="23">
        <f>'[1]buses-marginal_price'!C119</f>
        <v>18.7</v>
      </c>
      <c r="D121" s="23">
        <f>'[1]buses-marginal_price'!D119</f>
        <v>28.856944285714281</v>
      </c>
      <c r="E121" s="23">
        <f>'[1]buses-marginal_price'!E119</f>
        <v>14.025</v>
      </c>
      <c r="F121" s="23">
        <f>'[1]buses-marginal_price'!F119</f>
        <v>20.199860999999999</v>
      </c>
      <c r="G121" s="23">
        <f>'[1]buses-marginal_price'!G119</f>
        <v>13.925000000000001</v>
      </c>
      <c r="H121" s="23">
        <f>'[1]buses-marginal_price'!L119</f>
        <v>13.925000000000001</v>
      </c>
    </row>
    <row r="122" spans="1:8">
      <c r="A122" s="5">
        <v>118</v>
      </c>
      <c r="B122" s="23">
        <f>'[1]buses-marginal_price'!B120</f>
        <v>14.025</v>
      </c>
      <c r="C122" s="23">
        <f>'[1]buses-marginal_price'!C120</f>
        <v>18.7</v>
      </c>
      <c r="D122" s="23">
        <f>'[1]buses-marginal_price'!D120</f>
        <v>28.856944285714281</v>
      </c>
      <c r="E122" s="23">
        <f>'[1]buses-marginal_price'!E120</f>
        <v>14.025</v>
      </c>
      <c r="F122" s="23">
        <f>'[1]buses-marginal_price'!F120</f>
        <v>20.199860999999999</v>
      </c>
      <c r="G122" s="23">
        <f>'[1]buses-marginal_price'!G120</f>
        <v>13.925000000000001</v>
      </c>
      <c r="H122" s="23">
        <f>'[1]buses-marginal_price'!L120</f>
        <v>14.125</v>
      </c>
    </row>
    <row r="123" spans="1:8">
      <c r="A123" s="5">
        <v>119</v>
      </c>
      <c r="B123" s="23">
        <f>'[1]buses-marginal_price'!B121</f>
        <v>14.025</v>
      </c>
      <c r="C123" s="23">
        <f>'[1]buses-marginal_price'!C121</f>
        <v>18.7</v>
      </c>
      <c r="D123" s="23">
        <f>'[1]buses-marginal_price'!D121</f>
        <v>28.856944285714281</v>
      </c>
      <c r="E123" s="23">
        <f>'[1]buses-marginal_price'!E121</f>
        <v>14.025</v>
      </c>
      <c r="F123" s="23">
        <f>'[1]buses-marginal_price'!F121</f>
        <v>20.199860999999999</v>
      </c>
      <c r="G123" s="23">
        <f>'[1]buses-marginal_price'!G121</f>
        <v>13.925000000000001</v>
      </c>
      <c r="H123" s="23">
        <f>'[1]buses-marginal_price'!L121</f>
        <v>14.125</v>
      </c>
    </row>
    <row r="124" spans="1:8">
      <c r="A124" s="5">
        <v>120</v>
      </c>
      <c r="B124" s="23">
        <f>'[1]buses-marginal_price'!B122</f>
        <v>14.025</v>
      </c>
      <c r="C124" s="23">
        <f>'[1]buses-marginal_price'!C122</f>
        <v>18.7</v>
      </c>
      <c r="D124" s="23">
        <f>'[1]buses-marginal_price'!D122</f>
        <v>31.44285714285714</v>
      </c>
      <c r="E124" s="23">
        <f>'[1]buses-marginal_price'!E122</f>
        <v>14.025</v>
      </c>
      <c r="F124" s="23">
        <f>'[1]buses-marginal_price'!F122</f>
        <v>22.01</v>
      </c>
      <c r="G124" s="23">
        <f>'[1]buses-marginal_price'!G122</f>
        <v>13.925000000000001</v>
      </c>
      <c r="H124" s="23">
        <f>'[1]buses-marginal_price'!L122</f>
        <v>14.125</v>
      </c>
    </row>
    <row r="125" spans="1:8">
      <c r="A125" s="5">
        <v>121</v>
      </c>
      <c r="B125" s="23">
        <f>'[1]buses-marginal_price'!B123</f>
        <v>14.025</v>
      </c>
      <c r="C125" s="23">
        <f>'[1]buses-marginal_price'!C123</f>
        <v>18.7</v>
      </c>
      <c r="D125" s="23">
        <f>'[1]buses-marginal_price'!D123</f>
        <v>73.7</v>
      </c>
      <c r="E125" s="23">
        <f>'[1]buses-marginal_price'!E123</f>
        <v>14.025</v>
      </c>
      <c r="F125" s="23">
        <f>'[1]buses-marginal_price'!F123</f>
        <v>51.59</v>
      </c>
      <c r="G125" s="23">
        <f>'[1]buses-marginal_price'!G123</f>
        <v>13.925000000000001</v>
      </c>
      <c r="H125" s="23">
        <f>'[1]buses-marginal_price'!L123</f>
        <v>14.125</v>
      </c>
    </row>
    <row r="126" spans="1:8">
      <c r="A126" s="5">
        <v>122</v>
      </c>
      <c r="B126" s="23">
        <f>'[1]buses-marginal_price'!B124</f>
        <v>14.025</v>
      </c>
      <c r="C126" s="23">
        <f>'[1]buses-marginal_price'!C124</f>
        <v>18.7</v>
      </c>
      <c r="D126" s="23">
        <f>'[1]buses-marginal_price'!D124</f>
        <v>31.44285714285714</v>
      </c>
      <c r="E126" s="23">
        <f>'[1]buses-marginal_price'!E124</f>
        <v>14.025</v>
      </c>
      <c r="F126" s="23">
        <f>'[1]buses-marginal_price'!F124</f>
        <v>22.01</v>
      </c>
      <c r="G126" s="23">
        <f>'[1]buses-marginal_price'!G124</f>
        <v>13.925000000000001</v>
      </c>
      <c r="H126" s="23">
        <f>'[1]buses-marginal_price'!L124</f>
        <v>14.125</v>
      </c>
    </row>
    <row r="127" spans="1:8">
      <c r="A127" s="5">
        <v>123</v>
      </c>
      <c r="B127" s="23">
        <f>'[1]buses-marginal_price'!B125</f>
        <v>14.025</v>
      </c>
      <c r="C127" s="23">
        <f>'[1]buses-marginal_price'!C125</f>
        <v>18.7</v>
      </c>
      <c r="D127" s="23">
        <f>'[1]buses-marginal_price'!D125</f>
        <v>73.7</v>
      </c>
      <c r="E127" s="23">
        <f>'[1]buses-marginal_price'!E125</f>
        <v>14.025</v>
      </c>
      <c r="F127" s="23">
        <f>'[1]buses-marginal_price'!F125</f>
        <v>51.59</v>
      </c>
      <c r="G127" s="23">
        <f>'[1]buses-marginal_price'!G125</f>
        <v>13.925000000000001</v>
      </c>
      <c r="H127" s="23">
        <f>'[1]buses-marginal_price'!L125</f>
        <v>14.125</v>
      </c>
    </row>
    <row r="128" spans="1:8">
      <c r="A128" s="5">
        <v>124</v>
      </c>
      <c r="B128" s="23">
        <f>'[1]buses-marginal_price'!B126</f>
        <v>14.025</v>
      </c>
      <c r="C128" s="23">
        <f>'[1]buses-marginal_price'!C126</f>
        <v>18.7</v>
      </c>
      <c r="D128" s="23">
        <f>'[1]buses-marginal_price'!D126</f>
        <v>73.7</v>
      </c>
      <c r="E128" s="23">
        <f>'[1]buses-marginal_price'!E126</f>
        <v>14.025</v>
      </c>
      <c r="F128" s="23">
        <f>'[1]buses-marginal_price'!F126</f>
        <v>51.59</v>
      </c>
      <c r="G128" s="23">
        <f>'[1]buses-marginal_price'!G126</f>
        <v>13.925000000000001</v>
      </c>
      <c r="H128" s="23">
        <f>'[1]buses-marginal_price'!L126</f>
        <v>14.125</v>
      </c>
    </row>
    <row r="129" spans="1:8">
      <c r="A129" s="5">
        <v>125</v>
      </c>
      <c r="B129" s="23">
        <f>'[1]buses-marginal_price'!B127</f>
        <v>14.025</v>
      </c>
      <c r="C129" s="23">
        <f>'[1]buses-marginal_price'!C127</f>
        <v>18.7</v>
      </c>
      <c r="D129" s="23">
        <f>'[1]buses-marginal_price'!D127</f>
        <v>31.44285714285714</v>
      </c>
      <c r="E129" s="23">
        <f>'[1]buses-marginal_price'!E127</f>
        <v>14.025</v>
      </c>
      <c r="F129" s="23">
        <f>'[1]buses-marginal_price'!F127</f>
        <v>22.01</v>
      </c>
      <c r="G129" s="23">
        <f>'[1]buses-marginal_price'!G127</f>
        <v>13.925000000000001</v>
      </c>
      <c r="H129" s="23">
        <f>'[1]buses-marginal_price'!L127</f>
        <v>14.125</v>
      </c>
    </row>
    <row r="130" spans="1:8">
      <c r="A130" s="5">
        <v>126</v>
      </c>
      <c r="B130" s="23">
        <f>'[1]buses-marginal_price'!B128</f>
        <v>14.025</v>
      </c>
      <c r="C130" s="23">
        <f>'[1]buses-marginal_price'!C128</f>
        <v>18.7</v>
      </c>
      <c r="D130" s="23">
        <f>'[1]buses-marginal_price'!D128</f>
        <v>73.7</v>
      </c>
      <c r="E130" s="23">
        <f>'[1]buses-marginal_price'!E128</f>
        <v>14.025</v>
      </c>
      <c r="F130" s="23">
        <f>'[1]buses-marginal_price'!F128</f>
        <v>51.59</v>
      </c>
      <c r="G130" s="23">
        <f>'[1]buses-marginal_price'!G128</f>
        <v>13.925000000000001</v>
      </c>
      <c r="H130" s="23">
        <f>'[1]buses-marginal_price'!L128</f>
        <v>14.125</v>
      </c>
    </row>
    <row r="131" spans="1:8">
      <c r="A131" s="5">
        <v>127</v>
      </c>
      <c r="B131" s="23">
        <f>'[1]buses-marginal_price'!B129</f>
        <v>14.025</v>
      </c>
      <c r="C131" s="23">
        <f>'[1]buses-marginal_price'!C129</f>
        <v>18.7</v>
      </c>
      <c r="D131" s="23">
        <f>'[1]buses-marginal_price'!D129</f>
        <v>73.7</v>
      </c>
      <c r="E131" s="23">
        <f>'[1]buses-marginal_price'!E129</f>
        <v>14.025</v>
      </c>
      <c r="F131" s="23">
        <f>'[1]buses-marginal_price'!F129</f>
        <v>51.59</v>
      </c>
      <c r="G131" s="23">
        <f>'[1]buses-marginal_price'!G129</f>
        <v>13.925000000000001</v>
      </c>
      <c r="H131" s="23">
        <f>'[1]buses-marginal_price'!L129</f>
        <v>14.125</v>
      </c>
    </row>
    <row r="132" spans="1:8">
      <c r="A132" s="5">
        <v>128</v>
      </c>
      <c r="B132" s="23">
        <f>'[1]buses-marginal_price'!B130</f>
        <v>14.025</v>
      </c>
      <c r="C132" s="23">
        <f>'[1]buses-marginal_price'!C130</f>
        <v>18.7</v>
      </c>
      <c r="D132" s="23">
        <f>'[1]buses-marginal_price'!D130</f>
        <v>73.7</v>
      </c>
      <c r="E132" s="23">
        <f>'[1]buses-marginal_price'!E130</f>
        <v>14.025</v>
      </c>
      <c r="F132" s="23">
        <f>'[1]buses-marginal_price'!F130</f>
        <v>51.59</v>
      </c>
      <c r="G132" s="23">
        <f>'[1]buses-marginal_price'!G130</f>
        <v>13.925000000000001</v>
      </c>
      <c r="H132" s="23">
        <f>'[1]buses-marginal_price'!L130</f>
        <v>14.125</v>
      </c>
    </row>
    <row r="133" spans="1:8">
      <c r="A133" s="5">
        <v>129</v>
      </c>
      <c r="B133" s="23">
        <f>'[1]buses-marginal_price'!B131</f>
        <v>0</v>
      </c>
      <c r="C133" s="23">
        <f>'[1]buses-marginal_price'!C131</f>
        <v>18.7</v>
      </c>
      <c r="D133" s="23">
        <f>'[1]buses-marginal_price'!D131</f>
        <v>28.856944285714281</v>
      </c>
      <c r="E133" s="23">
        <f>'[1]buses-marginal_price'!E131</f>
        <v>0</v>
      </c>
      <c r="F133" s="23">
        <f>'[1]buses-marginal_price'!F131</f>
        <v>20.199860999999999</v>
      </c>
      <c r="G133" s="23">
        <f>'[1]buses-marginal_price'!G131</f>
        <v>6.3749999999999987E-2</v>
      </c>
      <c r="H133" s="23">
        <f>'[1]buses-marginal_price'!L131</f>
        <v>0.1</v>
      </c>
    </row>
    <row r="134" spans="1:8">
      <c r="A134" s="5">
        <v>130</v>
      </c>
      <c r="B134" s="23">
        <f>'[1]buses-marginal_price'!B132</f>
        <v>0</v>
      </c>
      <c r="C134" s="23">
        <f>'[1]buses-marginal_price'!C132</f>
        <v>18.7</v>
      </c>
      <c r="D134" s="23">
        <f>'[1]buses-marginal_price'!D132</f>
        <v>1.428571428571429E-2</v>
      </c>
      <c r="E134" s="23">
        <f>'[1]buses-marginal_price'!E132</f>
        <v>0</v>
      </c>
      <c r="F134" s="23">
        <f>'[1]buses-marginal_price'!F132</f>
        <v>0.01</v>
      </c>
      <c r="G134" s="23">
        <f>'[1]buses-marginal_price'!G132</f>
        <v>0</v>
      </c>
      <c r="H134" s="23">
        <f>'[1]buses-marginal_price'!L132</f>
        <v>0.1</v>
      </c>
    </row>
    <row r="135" spans="1:8">
      <c r="A135" s="5">
        <v>131</v>
      </c>
      <c r="B135" s="23">
        <f>'[1]buses-marginal_price'!B133</f>
        <v>0</v>
      </c>
      <c r="C135" s="23">
        <f>'[1]buses-marginal_price'!C133</f>
        <v>18.7</v>
      </c>
      <c r="D135" s="23">
        <f>'[1]buses-marginal_price'!D133</f>
        <v>1.428571428571429E-2</v>
      </c>
      <c r="E135" s="23">
        <f>'[1]buses-marginal_price'!E133</f>
        <v>0</v>
      </c>
      <c r="F135" s="23">
        <f>'[1]buses-marginal_price'!F133</f>
        <v>0.01</v>
      </c>
      <c r="G135" s="23">
        <f>'[1]buses-marginal_price'!G133</f>
        <v>0</v>
      </c>
      <c r="H135" s="23">
        <f>'[1]buses-marginal_price'!L133</f>
        <v>0.1</v>
      </c>
    </row>
    <row r="136" spans="1:8">
      <c r="A136" s="5">
        <v>132</v>
      </c>
      <c r="B136" s="23">
        <f>'[1]buses-marginal_price'!B134</f>
        <v>0</v>
      </c>
      <c r="C136" s="23">
        <f>'[1]buses-marginal_price'!C134</f>
        <v>18.7</v>
      </c>
      <c r="D136" s="23">
        <f>'[1]buses-marginal_price'!D134</f>
        <v>1.428571428571429E-2</v>
      </c>
      <c r="E136" s="23">
        <f>'[1]buses-marginal_price'!E134</f>
        <v>0</v>
      </c>
      <c r="F136" s="23">
        <f>'[1]buses-marginal_price'!F134</f>
        <v>0.01</v>
      </c>
      <c r="G136" s="23">
        <f>'[1]buses-marginal_price'!G134</f>
        <v>0</v>
      </c>
      <c r="H136" s="23">
        <f>'[1]buses-marginal_price'!L134</f>
        <v>0.1</v>
      </c>
    </row>
    <row r="137" spans="1:8">
      <c r="A137" s="5">
        <v>133</v>
      </c>
      <c r="B137" s="23">
        <f>'[1]buses-marginal_price'!B135</f>
        <v>0</v>
      </c>
      <c r="C137" s="23">
        <f>'[1]buses-marginal_price'!C135</f>
        <v>18.7</v>
      </c>
      <c r="D137" s="23">
        <f>'[1]buses-marginal_price'!D135</f>
        <v>1.428571428571429E-2</v>
      </c>
      <c r="E137" s="23">
        <f>'[1]buses-marginal_price'!E135</f>
        <v>0</v>
      </c>
      <c r="F137" s="23">
        <f>'[1]buses-marginal_price'!F135</f>
        <v>0.01</v>
      </c>
      <c r="G137" s="23">
        <f>'[1]buses-marginal_price'!G135</f>
        <v>0</v>
      </c>
      <c r="H137" s="23">
        <f>'[1]buses-marginal_price'!L135</f>
        <v>0.1</v>
      </c>
    </row>
    <row r="138" spans="1:8">
      <c r="A138" s="5">
        <v>134</v>
      </c>
      <c r="B138" s="23">
        <f>'[1]buses-marginal_price'!B136</f>
        <v>0</v>
      </c>
      <c r="C138" s="23">
        <f>'[1]buses-marginal_price'!C136</f>
        <v>18.7</v>
      </c>
      <c r="D138" s="23">
        <f>'[1]buses-marginal_price'!D136</f>
        <v>1.428571428571429E-2</v>
      </c>
      <c r="E138" s="23">
        <f>'[1]buses-marginal_price'!E136</f>
        <v>0</v>
      </c>
      <c r="F138" s="23">
        <f>'[1]buses-marginal_price'!F136</f>
        <v>0.01</v>
      </c>
      <c r="G138" s="23">
        <f>'[1]buses-marginal_price'!G136</f>
        <v>0</v>
      </c>
      <c r="H138" s="23">
        <f>'[1]buses-marginal_price'!L136</f>
        <v>0.1</v>
      </c>
    </row>
    <row r="139" spans="1:8">
      <c r="A139" s="5">
        <v>135</v>
      </c>
      <c r="B139" s="23">
        <f>'[1]buses-marginal_price'!B137</f>
        <v>0</v>
      </c>
      <c r="C139" s="23">
        <f>'[1]buses-marginal_price'!C137</f>
        <v>18.7</v>
      </c>
      <c r="D139" s="23">
        <f>'[1]buses-marginal_price'!D137</f>
        <v>1.428571428571429E-2</v>
      </c>
      <c r="E139" s="23">
        <f>'[1]buses-marginal_price'!E137</f>
        <v>0</v>
      </c>
      <c r="F139" s="23">
        <f>'[1]buses-marginal_price'!F137</f>
        <v>0.01</v>
      </c>
      <c r="G139" s="23">
        <f>'[1]buses-marginal_price'!G137</f>
        <v>0</v>
      </c>
      <c r="H139" s="23">
        <f>'[1]buses-marginal_price'!L137</f>
        <v>0.1</v>
      </c>
    </row>
    <row r="140" spans="1:8">
      <c r="A140" s="5">
        <v>136</v>
      </c>
      <c r="B140" s="23">
        <f>'[1]buses-marginal_price'!B138</f>
        <v>0</v>
      </c>
      <c r="C140" s="23">
        <f>'[1]buses-marginal_price'!C138</f>
        <v>18.7</v>
      </c>
      <c r="D140" s="23">
        <f>'[1]buses-marginal_price'!D138</f>
        <v>1.428571428571429E-2</v>
      </c>
      <c r="E140" s="23">
        <f>'[1]buses-marginal_price'!E138</f>
        <v>0</v>
      </c>
      <c r="F140" s="23">
        <f>'[1]buses-marginal_price'!F138</f>
        <v>0.01</v>
      </c>
      <c r="G140" s="23">
        <f>'[1]buses-marginal_price'!G138</f>
        <v>0</v>
      </c>
      <c r="H140" s="23">
        <f>'[1]buses-marginal_price'!L138</f>
        <v>0.1</v>
      </c>
    </row>
    <row r="141" spans="1:8">
      <c r="A141" s="5">
        <v>137</v>
      </c>
      <c r="B141" s="23">
        <f>'[1]buses-marginal_price'!B139</f>
        <v>14.025</v>
      </c>
      <c r="C141" s="23">
        <f>'[1]buses-marginal_price'!C139</f>
        <v>18.7</v>
      </c>
      <c r="D141" s="23">
        <f>'[1]buses-marginal_price'!D139</f>
        <v>28.856944285714281</v>
      </c>
      <c r="E141" s="23">
        <f>'[1]buses-marginal_price'!E139</f>
        <v>14.025</v>
      </c>
      <c r="F141" s="23">
        <f>'[1]buses-marginal_price'!F139</f>
        <v>20.199860999999999</v>
      </c>
      <c r="G141" s="23">
        <f>'[1]buses-marginal_price'!G139</f>
        <v>9.9999999999999992E-2</v>
      </c>
      <c r="H141" s="23">
        <f>'[1]buses-marginal_price'!L139</f>
        <v>14.125</v>
      </c>
    </row>
    <row r="142" spans="1:8">
      <c r="A142" s="5">
        <v>138</v>
      </c>
      <c r="B142" s="23">
        <f>'[1]buses-marginal_price'!B140</f>
        <v>14.025</v>
      </c>
      <c r="C142" s="23">
        <f>'[1]buses-marginal_price'!C140</f>
        <v>18.7</v>
      </c>
      <c r="D142" s="23">
        <f>'[1]buses-marginal_price'!D140</f>
        <v>73.7</v>
      </c>
      <c r="E142" s="23">
        <f>'[1]buses-marginal_price'!E140</f>
        <v>14.025</v>
      </c>
      <c r="F142" s="23">
        <f>'[1]buses-marginal_price'!F140</f>
        <v>51.59</v>
      </c>
      <c r="G142" s="23">
        <f>'[1]buses-marginal_price'!G140</f>
        <v>13.925000000000001</v>
      </c>
      <c r="H142" s="23">
        <f>'[1]buses-marginal_price'!L140</f>
        <v>14.125</v>
      </c>
    </row>
    <row r="143" spans="1:8">
      <c r="A143" s="5">
        <v>139</v>
      </c>
      <c r="B143" s="23">
        <f>'[1]buses-marginal_price'!B141</f>
        <v>14.025</v>
      </c>
      <c r="C143" s="23">
        <f>'[1]buses-marginal_price'!C141</f>
        <v>18.7</v>
      </c>
      <c r="D143" s="23">
        <f>'[1]buses-marginal_price'!D141</f>
        <v>31.44285714285714</v>
      </c>
      <c r="E143" s="23">
        <f>'[1]buses-marginal_price'!E141</f>
        <v>14.025</v>
      </c>
      <c r="F143" s="23">
        <f>'[1]buses-marginal_price'!F141</f>
        <v>22.01</v>
      </c>
      <c r="G143" s="23">
        <f>'[1]buses-marginal_price'!G141</f>
        <v>13.925000000000001</v>
      </c>
      <c r="H143" s="23">
        <f>'[1]buses-marginal_price'!L141</f>
        <v>14.125</v>
      </c>
    </row>
    <row r="144" spans="1:8">
      <c r="A144" s="5">
        <v>140</v>
      </c>
      <c r="B144" s="23">
        <f>'[1]buses-marginal_price'!B142</f>
        <v>14.025</v>
      </c>
      <c r="C144" s="23">
        <f>'[1]buses-marginal_price'!C142</f>
        <v>18.7</v>
      </c>
      <c r="D144" s="23">
        <f>'[1]buses-marginal_price'!D142</f>
        <v>31.44285714285714</v>
      </c>
      <c r="E144" s="23">
        <f>'[1]buses-marginal_price'!E142</f>
        <v>14.025</v>
      </c>
      <c r="F144" s="23">
        <f>'[1]buses-marginal_price'!F142</f>
        <v>22.01</v>
      </c>
      <c r="G144" s="23">
        <f>'[1]buses-marginal_price'!G142</f>
        <v>13.925000000000001</v>
      </c>
      <c r="H144" s="23">
        <f>'[1]buses-marginal_price'!L142</f>
        <v>14.125</v>
      </c>
    </row>
    <row r="145" spans="1:8">
      <c r="A145" s="5">
        <v>141</v>
      </c>
      <c r="B145" s="23">
        <f>'[1]buses-marginal_price'!B143</f>
        <v>14.025</v>
      </c>
      <c r="C145" s="23">
        <f>'[1]buses-marginal_price'!C143</f>
        <v>18.7</v>
      </c>
      <c r="D145" s="23">
        <f>'[1]buses-marginal_price'!D143</f>
        <v>31.44285714285714</v>
      </c>
      <c r="E145" s="23">
        <f>'[1]buses-marginal_price'!E143</f>
        <v>14.025</v>
      </c>
      <c r="F145" s="23">
        <f>'[1]buses-marginal_price'!F143</f>
        <v>22.01</v>
      </c>
      <c r="G145" s="23">
        <f>'[1]buses-marginal_price'!G143</f>
        <v>13.925000000000001</v>
      </c>
      <c r="H145" s="23">
        <f>'[1]buses-marginal_price'!L143</f>
        <v>14.125</v>
      </c>
    </row>
    <row r="146" spans="1:8">
      <c r="A146" s="5">
        <v>142</v>
      </c>
      <c r="B146" s="23">
        <f>'[1]buses-marginal_price'!B144</f>
        <v>14.025</v>
      </c>
      <c r="C146" s="23">
        <f>'[1]buses-marginal_price'!C144</f>
        <v>18.7</v>
      </c>
      <c r="D146" s="23">
        <f>'[1]buses-marginal_price'!D144</f>
        <v>28.856944285714281</v>
      </c>
      <c r="E146" s="23">
        <f>'[1]buses-marginal_price'!E144</f>
        <v>14.025</v>
      </c>
      <c r="F146" s="23">
        <f>'[1]buses-marginal_price'!F144</f>
        <v>20.199860999999999</v>
      </c>
      <c r="G146" s="23">
        <f>'[1]buses-marginal_price'!G144</f>
        <v>13.925000000000001</v>
      </c>
      <c r="H146" s="23">
        <f>'[1]buses-marginal_price'!L144</f>
        <v>14.125</v>
      </c>
    </row>
    <row r="147" spans="1:8">
      <c r="A147" s="5">
        <v>143</v>
      </c>
      <c r="B147" s="23">
        <f>'[1]buses-marginal_price'!B145</f>
        <v>14.025</v>
      </c>
      <c r="C147" s="23">
        <f>'[1]buses-marginal_price'!C145</f>
        <v>18.7</v>
      </c>
      <c r="D147" s="23">
        <f>'[1]buses-marginal_price'!D145</f>
        <v>28.856944285714281</v>
      </c>
      <c r="E147" s="23">
        <f>'[1]buses-marginal_price'!E145</f>
        <v>14.025</v>
      </c>
      <c r="F147" s="23">
        <f>'[1]buses-marginal_price'!F145</f>
        <v>20.199860999999999</v>
      </c>
      <c r="G147" s="23">
        <f>'[1]buses-marginal_price'!G145</f>
        <v>13.925000000000001</v>
      </c>
      <c r="H147" s="23">
        <f>'[1]buses-marginal_price'!L145</f>
        <v>14.125</v>
      </c>
    </row>
    <row r="148" spans="1:8">
      <c r="A148" s="5">
        <v>144</v>
      </c>
      <c r="B148" s="23">
        <f>'[1]buses-marginal_price'!B146</f>
        <v>14.025</v>
      </c>
      <c r="C148" s="23">
        <f>'[1]buses-marginal_price'!C146</f>
        <v>18.7</v>
      </c>
      <c r="D148" s="23">
        <f>'[1]buses-marginal_price'!D146</f>
        <v>28.856944285714281</v>
      </c>
      <c r="E148" s="23">
        <f>'[1]buses-marginal_price'!E146</f>
        <v>14.025</v>
      </c>
      <c r="F148" s="23">
        <f>'[1]buses-marginal_price'!F146</f>
        <v>20.199860999999999</v>
      </c>
      <c r="G148" s="23">
        <f>'[1]buses-marginal_price'!G146</f>
        <v>13.925000000000001</v>
      </c>
      <c r="H148" s="23">
        <f>'[1]buses-marginal_price'!L146</f>
        <v>14.125</v>
      </c>
    </row>
    <row r="149" spans="1:8">
      <c r="A149" s="5">
        <v>145</v>
      </c>
      <c r="B149" s="23">
        <f>'[1]buses-marginal_price'!B147</f>
        <v>14.025</v>
      </c>
      <c r="C149" s="23">
        <f>'[1]buses-marginal_price'!C147</f>
        <v>18.7</v>
      </c>
      <c r="D149" s="23">
        <f>'[1]buses-marginal_price'!D147</f>
        <v>28.856944285714281</v>
      </c>
      <c r="E149" s="23">
        <f>'[1]buses-marginal_price'!E147</f>
        <v>14.025</v>
      </c>
      <c r="F149" s="23">
        <f>'[1]buses-marginal_price'!F147</f>
        <v>20.199860999999999</v>
      </c>
      <c r="G149" s="23">
        <f>'[1]buses-marginal_price'!G147</f>
        <v>13.925000000000001</v>
      </c>
      <c r="H149" s="23">
        <f>'[1]buses-marginal_price'!L147</f>
        <v>14.125</v>
      </c>
    </row>
    <row r="150" spans="1:8">
      <c r="A150" s="5">
        <v>146</v>
      </c>
      <c r="B150" s="23">
        <f>'[1]buses-marginal_price'!B148</f>
        <v>14.025</v>
      </c>
      <c r="C150" s="23">
        <f>'[1]buses-marginal_price'!C148</f>
        <v>18.7</v>
      </c>
      <c r="D150" s="23">
        <f>'[1]buses-marginal_price'!D148</f>
        <v>20.05</v>
      </c>
      <c r="E150" s="23">
        <f>'[1]buses-marginal_price'!E148</f>
        <v>14.025</v>
      </c>
      <c r="F150" s="23">
        <f>'[1]buses-marginal_price'!F148</f>
        <v>14.035</v>
      </c>
      <c r="G150" s="23">
        <f>'[1]buses-marginal_price'!G148</f>
        <v>13.925000000000001</v>
      </c>
      <c r="H150" s="23">
        <f>'[1]buses-marginal_price'!L148</f>
        <v>14.125</v>
      </c>
    </row>
    <row r="151" spans="1:8">
      <c r="A151" s="5">
        <v>147</v>
      </c>
      <c r="B151" s="23">
        <f>'[1]buses-marginal_price'!B149</f>
        <v>14.025</v>
      </c>
      <c r="C151" s="23">
        <f>'[1]buses-marginal_price'!C149</f>
        <v>18.7</v>
      </c>
      <c r="D151" s="23">
        <f>'[1]buses-marginal_price'!D149</f>
        <v>20.05</v>
      </c>
      <c r="E151" s="23">
        <f>'[1]buses-marginal_price'!E149</f>
        <v>14.025</v>
      </c>
      <c r="F151" s="23">
        <f>'[1]buses-marginal_price'!F149</f>
        <v>14.035</v>
      </c>
      <c r="G151" s="23">
        <f>'[1]buses-marginal_price'!G149</f>
        <v>13.925000000000001</v>
      </c>
      <c r="H151" s="23">
        <f>'[1]buses-marginal_price'!L149</f>
        <v>14.125</v>
      </c>
    </row>
    <row r="152" spans="1:8">
      <c r="A152" s="5">
        <v>148</v>
      </c>
      <c r="B152" s="23">
        <f>'[1]buses-marginal_price'!B150</f>
        <v>11.60148</v>
      </c>
      <c r="C152" s="23">
        <f>'[1]buses-marginal_price'!C150</f>
        <v>18.7</v>
      </c>
      <c r="D152" s="23">
        <f>'[1]buses-marginal_price'!D150</f>
        <v>16.587828571428581</v>
      </c>
      <c r="E152" s="23">
        <f>'[1]buses-marginal_price'!E150</f>
        <v>11.60148</v>
      </c>
      <c r="F152" s="23">
        <f>'[1]buses-marginal_price'!F150</f>
        <v>11.61148</v>
      </c>
      <c r="G152" s="23">
        <f>'[1]buses-marginal_price'!G150</f>
        <v>11.70148</v>
      </c>
      <c r="H152" s="23">
        <f>'[1]buses-marginal_price'!L150</f>
        <v>11.70148</v>
      </c>
    </row>
    <row r="153" spans="1:8">
      <c r="A153" s="5">
        <v>149</v>
      </c>
      <c r="B153" s="23">
        <f>'[1]buses-marginal_price'!B151</f>
        <v>11.193742085029699</v>
      </c>
      <c r="C153" s="23">
        <f>'[1]buses-marginal_price'!C151</f>
        <v>18.7</v>
      </c>
      <c r="D153" s="23">
        <f>'[1]buses-marginal_price'!D151</f>
        <v>16.005345835756721</v>
      </c>
      <c r="E153" s="23">
        <f>'[1]buses-marginal_price'!E151</f>
        <v>11.193742085029699</v>
      </c>
      <c r="F153" s="23">
        <f>'[1]buses-marginal_price'!F151</f>
        <v>11.203742085029701</v>
      </c>
      <c r="G153" s="23">
        <f>'[1]buses-marginal_price'!G151</f>
        <v>11.70148</v>
      </c>
      <c r="H153" s="23">
        <f>'[1]buses-marginal_price'!L151</f>
        <v>11.293742085029701</v>
      </c>
    </row>
    <row r="154" spans="1:8">
      <c r="A154" s="5">
        <v>150</v>
      </c>
      <c r="B154" s="23">
        <f>'[1]buses-marginal_price'!B152</f>
        <v>11.60148</v>
      </c>
      <c r="C154" s="23">
        <f>'[1]buses-marginal_price'!C152</f>
        <v>18.7</v>
      </c>
      <c r="D154" s="23">
        <f>'[1]buses-marginal_price'!D152</f>
        <v>16.587828571428581</v>
      </c>
      <c r="E154" s="23">
        <f>'[1]buses-marginal_price'!E152</f>
        <v>11.60148</v>
      </c>
      <c r="F154" s="23">
        <f>'[1]buses-marginal_price'!F152</f>
        <v>11.61148</v>
      </c>
      <c r="G154" s="23">
        <f>'[1]buses-marginal_price'!G152</f>
        <v>11.70148</v>
      </c>
      <c r="H154" s="23">
        <f>'[1]buses-marginal_price'!L152</f>
        <v>11.70148</v>
      </c>
    </row>
    <row r="155" spans="1:8">
      <c r="A155" s="5">
        <v>151</v>
      </c>
      <c r="B155" s="23">
        <f>'[1]buses-marginal_price'!B153</f>
        <v>14.025</v>
      </c>
      <c r="C155" s="23">
        <f>'[1]buses-marginal_price'!C153</f>
        <v>18.7</v>
      </c>
      <c r="D155" s="23">
        <f>'[1]buses-marginal_price'!D153</f>
        <v>20.05</v>
      </c>
      <c r="E155" s="23">
        <f>'[1]buses-marginal_price'!E153</f>
        <v>14.025</v>
      </c>
      <c r="F155" s="23">
        <f>'[1]buses-marginal_price'!F153</f>
        <v>14.035</v>
      </c>
      <c r="G155" s="23">
        <f>'[1]buses-marginal_price'!G153</f>
        <v>13.925000000000001</v>
      </c>
      <c r="H155" s="23">
        <f>'[1]buses-marginal_price'!L153</f>
        <v>14.125</v>
      </c>
    </row>
    <row r="156" spans="1:8">
      <c r="A156" s="5">
        <v>152</v>
      </c>
      <c r="B156" s="23">
        <f>'[1]buses-marginal_price'!B154</f>
        <v>14.025</v>
      </c>
      <c r="C156" s="23">
        <f>'[1]buses-marginal_price'!C154</f>
        <v>18.7</v>
      </c>
      <c r="D156" s="23">
        <f>'[1]buses-marginal_price'!D154</f>
        <v>20.05</v>
      </c>
      <c r="E156" s="23">
        <f>'[1]buses-marginal_price'!E154</f>
        <v>14.025</v>
      </c>
      <c r="F156" s="23">
        <f>'[1]buses-marginal_price'!F154</f>
        <v>14.035</v>
      </c>
      <c r="G156" s="23">
        <f>'[1]buses-marginal_price'!G154</f>
        <v>13.925000000000001</v>
      </c>
      <c r="H156" s="23">
        <f>'[1]buses-marginal_price'!L154</f>
        <v>14.125</v>
      </c>
    </row>
    <row r="157" spans="1:8">
      <c r="A157" s="5">
        <v>153</v>
      </c>
      <c r="B157" s="23">
        <f>'[1]buses-marginal_price'!B155</f>
        <v>14.025</v>
      </c>
      <c r="C157" s="23">
        <f>'[1]buses-marginal_price'!C155</f>
        <v>18.7</v>
      </c>
      <c r="D157" s="23">
        <f>'[1]buses-marginal_price'!D155</f>
        <v>20.05</v>
      </c>
      <c r="E157" s="23">
        <f>'[1]buses-marginal_price'!E155</f>
        <v>14.025</v>
      </c>
      <c r="F157" s="23">
        <f>'[1]buses-marginal_price'!F155</f>
        <v>14.035</v>
      </c>
      <c r="G157" s="23">
        <f>'[1]buses-marginal_price'!G155</f>
        <v>13.925000000000001</v>
      </c>
      <c r="H157" s="23">
        <f>'[1]buses-marginal_price'!L155</f>
        <v>14.125</v>
      </c>
    </row>
    <row r="158" spans="1:8">
      <c r="A158" s="5">
        <v>154</v>
      </c>
      <c r="B158" s="23">
        <f>'[1]buses-marginal_price'!B156</f>
        <v>0</v>
      </c>
      <c r="C158" s="23">
        <f>'[1]buses-marginal_price'!C156</f>
        <v>18.7</v>
      </c>
      <c r="D158" s="23">
        <f>'[1]buses-marginal_price'!D156</f>
        <v>1.428571428571429E-2</v>
      </c>
      <c r="E158" s="23">
        <f>'[1]buses-marginal_price'!E156</f>
        <v>0</v>
      </c>
      <c r="F158" s="23">
        <f>'[1]buses-marginal_price'!F156</f>
        <v>0.01</v>
      </c>
      <c r="G158" s="23">
        <f>'[1]buses-marginal_price'!G156</f>
        <v>6.3749999999999987E-2</v>
      </c>
      <c r="H158" s="23">
        <f>'[1]buses-marginal_price'!L156</f>
        <v>0.1</v>
      </c>
    </row>
    <row r="159" spans="1:8">
      <c r="A159" s="5">
        <v>155</v>
      </c>
      <c r="B159" s="23">
        <f>'[1]buses-marginal_price'!B157</f>
        <v>0</v>
      </c>
      <c r="C159" s="23">
        <f>'[1]buses-marginal_price'!C157</f>
        <v>18.7</v>
      </c>
      <c r="D159" s="23">
        <f>'[1]buses-marginal_price'!D157</f>
        <v>1.428571428571429E-2</v>
      </c>
      <c r="E159" s="23">
        <f>'[1]buses-marginal_price'!E157</f>
        <v>0</v>
      </c>
      <c r="F159" s="23">
        <f>'[1]buses-marginal_price'!F157</f>
        <v>0.01</v>
      </c>
      <c r="G159" s="23">
        <f>'[1]buses-marginal_price'!G157</f>
        <v>0</v>
      </c>
      <c r="H159" s="23">
        <f>'[1]buses-marginal_price'!L157</f>
        <v>0.1</v>
      </c>
    </row>
    <row r="160" spans="1:8">
      <c r="A160" s="5">
        <v>156</v>
      </c>
      <c r="B160" s="23">
        <f>'[1]buses-marginal_price'!B158</f>
        <v>0</v>
      </c>
      <c r="C160" s="23">
        <f>'[1]buses-marginal_price'!C158</f>
        <v>18.7</v>
      </c>
      <c r="D160" s="23">
        <f>'[1]buses-marginal_price'!D158</f>
        <v>1.428571428571429E-2</v>
      </c>
      <c r="E160" s="23">
        <f>'[1]buses-marginal_price'!E158</f>
        <v>0</v>
      </c>
      <c r="F160" s="23">
        <f>'[1]buses-marginal_price'!F158</f>
        <v>0.01</v>
      </c>
      <c r="G160" s="23">
        <f>'[1]buses-marginal_price'!G158</f>
        <v>0</v>
      </c>
      <c r="H160" s="23">
        <f>'[1]buses-marginal_price'!L158</f>
        <v>0.1</v>
      </c>
    </row>
    <row r="161" spans="1:8">
      <c r="A161" s="5">
        <v>157</v>
      </c>
      <c r="B161" s="23">
        <f>'[1]buses-marginal_price'!B159</f>
        <v>0</v>
      </c>
      <c r="C161" s="23">
        <f>'[1]buses-marginal_price'!C159</f>
        <v>18.7</v>
      </c>
      <c r="D161" s="23">
        <f>'[1]buses-marginal_price'!D159</f>
        <v>1.428571428571429E-2</v>
      </c>
      <c r="E161" s="23">
        <f>'[1]buses-marginal_price'!E159</f>
        <v>0</v>
      </c>
      <c r="F161" s="23">
        <f>'[1]buses-marginal_price'!F159</f>
        <v>0.01</v>
      </c>
      <c r="G161" s="23">
        <f>'[1]buses-marginal_price'!G159</f>
        <v>0</v>
      </c>
      <c r="H161" s="23">
        <f>'[1]buses-marginal_price'!L159</f>
        <v>0.1</v>
      </c>
    </row>
    <row r="162" spans="1:8">
      <c r="A162" s="5">
        <v>158</v>
      </c>
      <c r="B162" s="23">
        <f>'[1]buses-marginal_price'!B160</f>
        <v>0</v>
      </c>
      <c r="C162" s="23">
        <f>'[1]buses-marginal_price'!C160</f>
        <v>18.7</v>
      </c>
      <c r="D162" s="23">
        <f>'[1]buses-marginal_price'!D160</f>
        <v>1.428571428571429E-2</v>
      </c>
      <c r="E162" s="23">
        <f>'[1]buses-marginal_price'!E160</f>
        <v>0</v>
      </c>
      <c r="F162" s="23">
        <f>'[1]buses-marginal_price'!F160</f>
        <v>0.01</v>
      </c>
      <c r="G162" s="23">
        <f>'[1]buses-marginal_price'!G160</f>
        <v>0</v>
      </c>
      <c r="H162" s="23">
        <f>'[1]buses-marginal_price'!L160</f>
        <v>0.1</v>
      </c>
    </row>
    <row r="163" spans="1:8">
      <c r="A163" s="5">
        <v>159</v>
      </c>
      <c r="B163" s="23">
        <f>'[1]buses-marginal_price'!B161</f>
        <v>0</v>
      </c>
      <c r="C163" s="23">
        <f>'[1]buses-marginal_price'!C161</f>
        <v>18.7</v>
      </c>
      <c r="D163" s="23">
        <f>'[1]buses-marginal_price'!D161</f>
        <v>1.428571428571429E-2</v>
      </c>
      <c r="E163" s="23">
        <f>'[1]buses-marginal_price'!E161</f>
        <v>0</v>
      </c>
      <c r="F163" s="23">
        <f>'[1]buses-marginal_price'!F161</f>
        <v>0.01</v>
      </c>
      <c r="G163" s="23">
        <f>'[1]buses-marginal_price'!G161</f>
        <v>0</v>
      </c>
      <c r="H163" s="23">
        <f>'[1]buses-marginal_price'!L161</f>
        <v>0.1</v>
      </c>
    </row>
    <row r="164" spans="1:8">
      <c r="A164" s="5">
        <v>160</v>
      </c>
      <c r="B164" s="23">
        <f>'[1]buses-marginal_price'!B162</f>
        <v>0</v>
      </c>
      <c r="C164" s="23">
        <f>'[1]buses-marginal_price'!C162</f>
        <v>18.7</v>
      </c>
      <c r="D164" s="23">
        <f>'[1]buses-marginal_price'!D162</f>
        <v>1.428571428571429E-2</v>
      </c>
      <c r="E164" s="23">
        <f>'[1]buses-marginal_price'!E162</f>
        <v>0</v>
      </c>
      <c r="F164" s="23">
        <f>'[1]buses-marginal_price'!F162</f>
        <v>0.01</v>
      </c>
      <c r="G164" s="23">
        <f>'[1]buses-marginal_price'!G162</f>
        <v>0</v>
      </c>
      <c r="H164" s="23">
        <f>'[1]buses-marginal_price'!L162</f>
        <v>0.1</v>
      </c>
    </row>
    <row r="165" spans="1:8">
      <c r="A165" s="5">
        <v>161</v>
      </c>
      <c r="B165" s="23">
        <f>'[1]buses-marginal_price'!B163</f>
        <v>0</v>
      </c>
      <c r="C165" s="23">
        <f>'[1]buses-marginal_price'!C163</f>
        <v>18.7</v>
      </c>
      <c r="D165" s="23">
        <f>'[1]buses-marginal_price'!D163</f>
        <v>1.428571428571429E-2</v>
      </c>
      <c r="E165" s="23">
        <f>'[1]buses-marginal_price'!E163</f>
        <v>0</v>
      </c>
      <c r="F165" s="23">
        <f>'[1]buses-marginal_price'!F163</f>
        <v>0.01</v>
      </c>
      <c r="G165" s="23">
        <f>'[1]buses-marginal_price'!G163</f>
        <v>6.3749999999999987E-2</v>
      </c>
      <c r="H165" s="23">
        <f>'[1]buses-marginal_price'!L163</f>
        <v>0.1</v>
      </c>
    </row>
    <row r="166" spans="1:8">
      <c r="A166" s="5">
        <v>162</v>
      </c>
      <c r="B166" s="23">
        <f>'[1]buses-marginal_price'!B164</f>
        <v>0.1</v>
      </c>
      <c r="C166" s="23">
        <f>'[1]buses-marginal_price'!C164</f>
        <v>18.7</v>
      </c>
      <c r="D166" s="23">
        <f>'[1]buses-marginal_price'!D164</f>
        <v>28.856944285714281</v>
      </c>
      <c r="E166" s="23">
        <f>'[1]buses-marginal_price'!E164</f>
        <v>0.1</v>
      </c>
      <c r="F166" s="23">
        <f>'[1]buses-marginal_price'!F164</f>
        <v>20.199860999999999</v>
      </c>
      <c r="G166" s="23">
        <f>'[1]buses-marginal_price'!G164</f>
        <v>0.1</v>
      </c>
      <c r="H166" s="23">
        <f>'[1]buses-marginal_price'!L164</f>
        <v>0.2</v>
      </c>
    </row>
    <row r="167" spans="1:8">
      <c r="A167" s="5">
        <v>163</v>
      </c>
      <c r="B167" s="23">
        <f>'[1]buses-marginal_price'!B165</f>
        <v>0.1</v>
      </c>
      <c r="C167" s="23">
        <f>'[1]buses-marginal_price'!C165</f>
        <v>18.7</v>
      </c>
      <c r="D167" s="23">
        <f>'[1]buses-marginal_price'!D165</f>
        <v>28.856944285714281</v>
      </c>
      <c r="E167" s="23">
        <f>'[1]buses-marginal_price'!E165</f>
        <v>0.1</v>
      </c>
      <c r="F167" s="23">
        <f>'[1]buses-marginal_price'!F165</f>
        <v>20.199860999999999</v>
      </c>
      <c r="G167" s="23">
        <f>'[1]buses-marginal_price'!G165</f>
        <v>0.1</v>
      </c>
      <c r="H167" s="23">
        <f>'[1]buses-marginal_price'!L165</f>
        <v>0.2</v>
      </c>
    </row>
    <row r="168" spans="1:8">
      <c r="A168" s="5">
        <v>164</v>
      </c>
      <c r="B168" s="23">
        <f>'[1]buses-marginal_price'!B166</f>
        <v>0.1</v>
      </c>
      <c r="C168" s="23">
        <f>'[1]buses-marginal_price'!C166</f>
        <v>18.7</v>
      </c>
      <c r="D168" s="23">
        <f>'[1]buses-marginal_price'!D166</f>
        <v>28.856944285714281</v>
      </c>
      <c r="E168" s="23">
        <f>'[1]buses-marginal_price'!E166</f>
        <v>0.1</v>
      </c>
      <c r="F168" s="23">
        <f>'[1]buses-marginal_price'!F166</f>
        <v>20.199860999999999</v>
      </c>
      <c r="G168" s="23">
        <f>'[1]buses-marginal_price'!G166</f>
        <v>0.1</v>
      </c>
      <c r="H168" s="23">
        <f>'[1]buses-marginal_price'!L166</f>
        <v>0.2</v>
      </c>
    </row>
    <row r="169" spans="1:8">
      <c r="A169" s="5">
        <v>165</v>
      </c>
      <c r="B169" s="23">
        <f>'[1]buses-marginal_price'!B167</f>
        <v>0.1</v>
      </c>
      <c r="C169" s="23">
        <f>'[1]buses-marginal_price'!C167</f>
        <v>18.7</v>
      </c>
      <c r="D169" s="23">
        <f>'[1]buses-marginal_price'!D167</f>
        <v>28.856944285714281</v>
      </c>
      <c r="E169" s="23">
        <f>'[1]buses-marginal_price'!E167</f>
        <v>0.1</v>
      </c>
      <c r="F169" s="23">
        <f>'[1]buses-marginal_price'!F167</f>
        <v>20.199860999999999</v>
      </c>
      <c r="G169" s="23">
        <f>'[1]buses-marginal_price'!G167</f>
        <v>0.1</v>
      </c>
      <c r="H169" s="23">
        <f>'[1]buses-marginal_price'!L167</f>
        <v>0.2</v>
      </c>
    </row>
    <row r="170" spans="1:8">
      <c r="A170" s="5">
        <v>166</v>
      </c>
      <c r="B170" s="23">
        <f>'[1]buses-marginal_price'!B168</f>
        <v>0.1</v>
      </c>
      <c r="C170" s="23">
        <f>'[1]buses-marginal_price'!C168</f>
        <v>18.7</v>
      </c>
      <c r="D170" s="23">
        <f>'[1]buses-marginal_price'!D168</f>
        <v>28.856944285714281</v>
      </c>
      <c r="E170" s="23">
        <f>'[1]buses-marginal_price'!E168</f>
        <v>0.1</v>
      </c>
      <c r="F170" s="23">
        <f>'[1]buses-marginal_price'!F168</f>
        <v>20.199860999999999</v>
      </c>
      <c r="G170" s="23">
        <f>'[1]buses-marginal_price'!G168</f>
        <v>0.1</v>
      </c>
      <c r="H170" s="23">
        <f>'[1]buses-marginal_price'!L168</f>
        <v>0.2</v>
      </c>
    </row>
    <row r="171" spans="1:8">
      <c r="A171" s="7">
        <v>167</v>
      </c>
      <c r="B171" s="23">
        <f>'[1]buses-marginal_price'!B169</f>
        <v>0</v>
      </c>
      <c r="C171" s="23">
        <f>'[1]buses-marginal_price'!C169</f>
        <v>18.7</v>
      </c>
      <c r="D171" s="23">
        <f>'[1]buses-marginal_price'!D169</f>
        <v>28.856944285714281</v>
      </c>
      <c r="E171" s="23">
        <f>'[1]buses-marginal_price'!E169</f>
        <v>0</v>
      </c>
      <c r="F171" s="23">
        <f>'[1]buses-marginal_price'!F169</f>
        <v>20.199860999999999</v>
      </c>
      <c r="G171" s="23">
        <f>'[1]buses-marginal_price'!G169</f>
        <v>0.1</v>
      </c>
      <c r="H171" s="23">
        <f>'[1]buses-marginal_price'!L169</f>
        <v>0.1</v>
      </c>
    </row>
  </sheetData>
  <mergeCells count="2">
    <mergeCell ref="K46:K49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13D-1F2B-4B1E-921A-DC562AAC8FA8}">
  <sheetPr>
    <tabColor theme="7" tint="0.79998168889431442"/>
  </sheetPr>
  <dimension ref="A1:U171"/>
  <sheetViews>
    <sheetView zoomScale="85" zoomScaleNormal="85" workbookViewId="0">
      <selection activeCell="I36" sqref="I36"/>
    </sheetView>
  </sheetViews>
  <sheetFormatPr baseColWidth="10" defaultRowHeight="14"/>
  <cols>
    <col min="1" max="1" width="17.90625" style="1" customWidth="1"/>
    <col min="2" max="2" width="31.6328125" style="1" bestFit="1" customWidth="1"/>
    <col min="3" max="3" width="18.81640625" style="1" bestFit="1" customWidth="1"/>
    <col min="4" max="4" width="11.81640625" style="1" bestFit="1" customWidth="1"/>
    <col min="5" max="5" width="11.1796875" style="1" bestFit="1" customWidth="1"/>
    <col min="6" max="6" width="17.08984375" style="1" bestFit="1" customWidth="1"/>
    <col min="7" max="8" width="10.90625" style="2"/>
    <col min="9" max="9" width="30.6328125" style="1" bestFit="1" customWidth="1"/>
    <col min="10" max="10" width="29.453125" style="1" bestFit="1" customWidth="1"/>
    <col min="11" max="11" width="30.6328125" style="1" bestFit="1" customWidth="1"/>
    <col min="12" max="12" width="29.453125" style="1" bestFit="1" customWidth="1"/>
    <col min="13" max="14" width="30.6328125" style="1" bestFit="1" customWidth="1"/>
    <col min="15" max="15" width="40.08984375" style="1" bestFit="1" customWidth="1"/>
    <col min="16" max="16" width="37.08984375" style="1" bestFit="1" customWidth="1"/>
    <col min="17" max="17" width="37.08984375" style="1" customWidth="1"/>
    <col min="18" max="18" width="36.6328125" style="1" bestFit="1" customWidth="1"/>
    <col min="19" max="20" width="38.1796875" style="1" bestFit="1" customWidth="1"/>
    <col min="21" max="21" width="29.90625" style="1" bestFit="1" customWidth="1"/>
    <col min="22" max="16384" width="10.90625" style="1"/>
  </cols>
  <sheetData>
    <row r="1" spans="1:21">
      <c r="B1" s="3" t="s">
        <v>12</v>
      </c>
      <c r="C1" s="3" t="s">
        <v>11</v>
      </c>
      <c r="D1" s="3" t="s">
        <v>13</v>
      </c>
      <c r="E1" s="3" t="s">
        <v>14</v>
      </c>
      <c r="F1" s="3" t="s">
        <v>15</v>
      </c>
      <c r="G1" s="49" t="s">
        <v>71</v>
      </c>
      <c r="H1" s="2" t="s">
        <v>3</v>
      </c>
      <c r="I1" s="1" t="str">
        <f>'[1]links-p0'!J1</f>
        <v>ES_PT_interconexion_electricidad</v>
      </c>
      <c r="J1" s="1" t="str">
        <f>'[1]links-p0'!K1</f>
        <v>ES_PT_interconexion_hidrogeno</v>
      </c>
      <c r="K1" s="1" t="str">
        <f>'[1]links-p0'!L1</f>
        <v>PT_ES_interconexion_electricidad</v>
      </c>
      <c r="L1" s="1" t="str">
        <f>'[1]links-p0'!M1</f>
        <v>PT_ES_interconexion_hidrogeno</v>
      </c>
      <c r="M1" s="1" t="str">
        <f>'[1]links-p0'!N1</f>
        <v>ES_FR_interconexion_electricidad</v>
      </c>
      <c r="N1" s="1" t="str">
        <f>'[1]links-p0'!O1</f>
        <v>FR_ES_interconexion_electricidad</v>
      </c>
      <c r="O1" s="1" t="str">
        <f>'[1]links-p0'!P1</f>
        <v>ES_FR_interconexion_hidrogeno_IrunLarrau</v>
      </c>
      <c r="P1" s="1" t="str">
        <f>'[1]links-p0'!Q1</f>
        <v>ES_FR_interconexion_hidrogeno_BarMar</v>
      </c>
      <c r="Q1" s="16" t="str">
        <f>'[1]links-p0'!R1</f>
        <v>FR_ES_interconexion_hidrogeno_BarMar</v>
      </c>
      <c r="R1" s="1" t="str">
        <f>'[1]links-p0'!S1</f>
        <v>FR_FR_interconexion_hidrogeno_SWtoS</v>
      </c>
      <c r="S1" s="1" t="str">
        <f>'[1]links-p0'!T1</f>
        <v>FR_FR_interconexion_hidrogeno_StoFRh2</v>
      </c>
      <c r="T1" s="1" t="str">
        <f>'[1]links-p0'!U1</f>
        <v>FR_FR_interconexion_hidrogeno_FRh2toS</v>
      </c>
      <c r="U1" s="1" t="str">
        <f>'[1]links-p0'!V1</f>
        <v>MA_ES_interconexion_hidrogeno</v>
      </c>
    </row>
    <row r="2" spans="1:21">
      <c r="B2" s="1" t="s">
        <v>43</v>
      </c>
      <c r="C2" s="19">
        <f>[3]links_2busSRES!$D$26</f>
        <v>7627.1186459999999</v>
      </c>
      <c r="D2" s="20">
        <f>C2*168</f>
        <v>1281355.9325280001</v>
      </c>
      <c r="E2" s="20">
        <f>P171</f>
        <v>737909.15407809895</v>
      </c>
      <c r="F2" s="24">
        <f>E2/D2</f>
        <v>0.57588148253410787</v>
      </c>
      <c r="G2" s="48">
        <f>F2+F3</f>
        <v>0.63851235729444022</v>
      </c>
      <c r="H2" s="2">
        <v>0</v>
      </c>
      <c r="I2" s="1">
        <f>'[1]links-p0'!J2</f>
        <v>0</v>
      </c>
      <c r="J2" s="1">
        <f>'[1]links-p0'!K2</f>
        <v>776.98825558499652</v>
      </c>
      <c r="K2" s="1">
        <f>'[1]links-p0'!L2</f>
        <v>2837.788522564801</v>
      </c>
      <c r="L2" s="1">
        <f>'[1]links-p0'!M2</f>
        <v>0</v>
      </c>
      <c r="M2" s="1">
        <f>'[1]links-p0'!N2</f>
        <v>0</v>
      </c>
      <c r="N2" s="1">
        <f>'[1]links-p0'!O2</f>
        <v>5000</v>
      </c>
      <c r="O2" s="1">
        <f>'[1]links-p0'!P2</f>
        <v>0</v>
      </c>
      <c r="P2" s="1">
        <f>'[1]links-p0'!Q2</f>
        <v>3985.9887250000002</v>
      </c>
      <c r="Q2" s="1">
        <f>'[1]links-p0'!R2</f>
        <v>0</v>
      </c>
      <c r="R2" s="1">
        <f>'[1]links-p0'!S2</f>
        <v>1553.672292</v>
      </c>
      <c r="S2" s="1">
        <f>'[1]links-p0'!T2</f>
        <v>6779.6610170000004</v>
      </c>
      <c r="T2" s="1">
        <f>'[1]links-p0'!U2</f>
        <v>0</v>
      </c>
      <c r="U2" s="1">
        <f>'[1]links-p0'!V2</f>
        <v>2089.2078461605961</v>
      </c>
    </row>
    <row r="3" spans="1:21">
      <c r="B3" s="1" t="s">
        <v>64</v>
      </c>
      <c r="C3" s="19">
        <f>[3]links_2busSRES!$D$26</f>
        <v>7627.1186459999999</v>
      </c>
      <c r="D3" s="20">
        <f>C3*168</f>
        <v>1281355.9325280001</v>
      </c>
      <c r="E3" s="20">
        <f>Q171</f>
        <v>80252.442933570012</v>
      </c>
      <c r="F3" s="24">
        <f>E3/D3</f>
        <v>6.2630874760332328E-2</v>
      </c>
      <c r="G3" s="49" t="s">
        <v>72</v>
      </c>
    </row>
    <row r="4" spans="1:21">
      <c r="B4" s="1" t="s">
        <v>42</v>
      </c>
      <c r="C4" s="19">
        <f>[3]links_2busSRES!$D$20</f>
        <v>2860.169492</v>
      </c>
      <c r="D4" s="20">
        <f t="shared" ref="D4:D6" si="0">C4*168</f>
        <v>480508.47465599998</v>
      </c>
      <c r="E4" s="20">
        <f>$J$171</f>
        <v>73466.108127839165</v>
      </c>
      <c r="F4" s="24">
        <f t="shared" ref="F4:F6" si="1">E4/D4</f>
        <v>0.15289242958812363</v>
      </c>
      <c r="G4" s="48">
        <f>F4+F5</f>
        <v>0.2692965692085002</v>
      </c>
      <c r="H4" s="2">
        <f>1+H2</f>
        <v>1</v>
      </c>
      <c r="I4" s="1">
        <f>'[1]links-p0'!J3</f>
        <v>0</v>
      </c>
      <c r="J4" s="1">
        <f>'[1]links-p0'!K3</f>
        <v>821.77942529061022</v>
      </c>
      <c r="K4" s="1">
        <f>'[1]links-p0'!L3</f>
        <v>3500</v>
      </c>
      <c r="L4" s="1">
        <f>'[1]links-p0'!M3</f>
        <v>0</v>
      </c>
      <c r="M4" s="1">
        <f>'[1]links-p0'!N3</f>
        <v>0</v>
      </c>
      <c r="N4" s="1">
        <f>'[1]links-p0'!O3</f>
        <v>5000</v>
      </c>
      <c r="O4" s="1">
        <f>'[1]links-p0'!P3</f>
        <v>0</v>
      </c>
      <c r="P4" s="1">
        <f>'[1]links-p0'!Q3</f>
        <v>3985.9887250000002</v>
      </c>
      <c r="Q4" s="1">
        <f>'[1]links-p0'!R3</f>
        <v>0</v>
      </c>
      <c r="R4" s="1">
        <f>'[1]links-p0'!S3</f>
        <v>1553.672292</v>
      </c>
      <c r="S4" s="1">
        <f>'[1]links-p0'!T3</f>
        <v>6779.6610170000004</v>
      </c>
      <c r="T4" s="1">
        <f>'[1]links-p0'!U3</f>
        <v>0</v>
      </c>
      <c r="U4" s="1">
        <f>'[1]links-p0'!V3</f>
        <v>1517.7757899999999</v>
      </c>
    </row>
    <row r="5" spans="1:21">
      <c r="B5" s="1" t="s">
        <v>44</v>
      </c>
      <c r="C5" s="19">
        <f>[3]links_2busSRES!$D$22</f>
        <v>2860.169492</v>
      </c>
      <c r="D5" s="20">
        <f t="shared" si="0"/>
        <v>480508.47465599998</v>
      </c>
      <c r="E5" s="20">
        <f>$L$171</f>
        <v>55933.175572631204</v>
      </c>
      <c r="F5" s="24">
        <f t="shared" si="1"/>
        <v>0.11640413962037659</v>
      </c>
      <c r="G5" s="49" t="s">
        <v>73</v>
      </c>
      <c r="H5" s="2">
        <f t="shared" ref="H5:H68" si="2">1+H4</f>
        <v>2</v>
      </c>
      <c r="I5" s="1">
        <f>'[1]links-p0'!J4</f>
        <v>0</v>
      </c>
      <c r="J5" s="1">
        <f>'[1]links-p0'!K4</f>
        <v>851.4727861446263</v>
      </c>
      <c r="K5" s="1">
        <f>'[1]links-p0'!L4</f>
        <v>3500</v>
      </c>
      <c r="L5" s="1">
        <f>'[1]links-p0'!M4</f>
        <v>0</v>
      </c>
      <c r="M5" s="1">
        <f>'[1]links-p0'!N4</f>
        <v>0</v>
      </c>
      <c r="N5" s="1">
        <f>'[1]links-p0'!O4</f>
        <v>5000</v>
      </c>
      <c r="O5" s="1">
        <f>'[1]links-p0'!P4</f>
        <v>0</v>
      </c>
      <c r="P5" s="1">
        <f>'[1]links-p0'!Q4</f>
        <v>3985.9887250000002</v>
      </c>
      <c r="Q5" s="1">
        <f>'[1]links-p0'!R4</f>
        <v>0</v>
      </c>
      <c r="R5" s="1">
        <f>'[1]links-p0'!S4</f>
        <v>1553.672292</v>
      </c>
      <c r="S5" s="1">
        <f>'[1]links-p0'!T4</f>
        <v>6779.6610170000004</v>
      </c>
      <c r="T5" s="1">
        <f>'[1]links-p0'!U4</f>
        <v>0</v>
      </c>
      <c r="U5" s="1">
        <f>'[1]links-p0'!V4</f>
        <v>1517.7757899999999</v>
      </c>
    </row>
    <row r="6" spans="1:21">
      <c r="B6" s="1" t="s">
        <v>45</v>
      </c>
      <c r="C6" s="19">
        <f>[3]links_2busSRES!$D$25</f>
        <v>5014.1242920000004</v>
      </c>
      <c r="D6" s="20">
        <f t="shared" si="0"/>
        <v>842372.88105600001</v>
      </c>
      <c r="E6" s="20">
        <f>$O$171</f>
        <v>4258.896329279999</v>
      </c>
      <c r="F6" s="24">
        <f t="shared" si="1"/>
        <v>5.0558326663377859E-3</v>
      </c>
      <c r="G6" s="48">
        <f>F6</f>
        <v>5.0558326663377859E-3</v>
      </c>
      <c r="H6" s="2">
        <f t="shared" si="2"/>
        <v>3</v>
      </c>
      <c r="I6" s="1">
        <f>'[1]links-p0'!J5</f>
        <v>0</v>
      </c>
      <c r="J6" s="1">
        <f>'[1]links-p0'!K5</f>
        <v>879.28283200569149</v>
      </c>
      <c r="K6" s="1">
        <f>'[1]links-p0'!L5</f>
        <v>3500</v>
      </c>
      <c r="L6" s="1">
        <f>'[1]links-p0'!M5</f>
        <v>0</v>
      </c>
      <c r="M6" s="1">
        <f>'[1]links-p0'!N5</f>
        <v>0</v>
      </c>
      <c r="N6" s="1">
        <f>'[1]links-p0'!O5</f>
        <v>5000</v>
      </c>
      <c r="O6" s="1">
        <f>'[1]links-p0'!P5</f>
        <v>0</v>
      </c>
      <c r="P6" s="1">
        <f>'[1]links-p0'!Q5</f>
        <v>3985.9887250000002</v>
      </c>
      <c r="Q6" s="1">
        <f>'[1]links-p0'!R5</f>
        <v>0</v>
      </c>
      <c r="R6" s="1">
        <f>'[1]links-p0'!S5</f>
        <v>1553.672292</v>
      </c>
      <c r="S6" s="1">
        <f>'[1]links-p0'!T5</f>
        <v>6779.6610170000004</v>
      </c>
      <c r="T6" s="1">
        <f>'[1]links-p0'!U5</f>
        <v>0</v>
      </c>
      <c r="U6" s="1">
        <f>'[1]links-p0'!V5</f>
        <v>1517.7757899999999</v>
      </c>
    </row>
    <row r="7" spans="1:21">
      <c r="B7" s="1" t="s">
        <v>41</v>
      </c>
      <c r="C7" s="19">
        <f>[3]links_2busSRES!$D$27</f>
        <v>1553.672292</v>
      </c>
      <c r="D7" s="20">
        <f t="shared" ref="D7:D14" si="3">C7*168</f>
        <v>261016.945056</v>
      </c>
      <c r="E7" s="20">
        <f>$R$171</f>
        <v>155779.29482309025</v>
      </c>
      <c r="F7" s="24">
        <f t="shared" ref="F7:F14" si="4">E7/D7</f>
        <v>0.59681678823445161</v>
      </c>
      <c r="G7" s="49" t="s">
        <v>74</v>
      </c>
      <c r="H7" s="2">
        <f t="shared" si="2"/>
        <v>4</v>
      </c>
      <c r="I7" s="1">
        <f>'[1]links-p0'!J6</f>
        <v>0</v>
      </c>
      <c r="J7" s="1">
        <f>'[1]links-p0'!K6</f>
        <v>899.13394189035535</v>
      </c>
      <c r="K7" s="1">
        <f>'[1]links-p0'!L6</f>
        <v>3500</v>
      </c>
      <c r="L7" s="1">
        <f>'[1]links-p0'!M6</f>
        <v>0</v>
      </c>
      <c r="M7" s="1">
        <f>'[1]links-p0'!N6</f>
        <v>0</v>
      </c>
      <c r="N7" s="1">
        <f>'[1]links-p0'!O6</f>
        <v>5000</v>
      </c>
      <c r="O7" s="1">
        <f>'[1]links-p0'!P6</f>
        <v>0</v>
      </c>
      <c r="P7" s="1">
        <f>'[1]links-p0'!Q6</f>
        <v>3985.9887250000002</v>
      </c>
      <c r="Q7" s="1">
        <f>'[1]links-p0'!R6</f>
        <v>0</v>
      </c>
      <c r="R7" s="1">
        <f>'[1]links-p0'!S6</f>
        <v>1553.672292</v>
      </c>
      <c r="S7" s="1">
        <f>'[1]links-p0'!T6</f>
        <v>6779.6610170000004</v>
      </c>
      <c r="T7" s="1">
        <f>'[1]links-p0'!U6</f>
        <v>0</v>
      </c>
      <c r="U7" s="1">
        <f>'[1]links-p0'!V6</f>
        <v>1517.7757899999999</v>
      </c>
    </row>
    <row r="8" spans="1:21">
      <c r="B8" s="1" t="s">
        <v>40</v>
      </c>
      <c r="C8" s="19">
        <f>[3]links_2busSRES!D29</f>
        <v>6779.6610170000004</v>
      </c>
      <c r="D8" s="20">
        <f t="shared" si="3"/>
        <v>1138983.050856</v>
      </c>
      <c r="E8" s="20">
        <f>$S$171</f>
        <v>880797.2010723881</v>
      </c>
      <c r="F8" s="24">
        <f t="shared" si="4"/>
        <v>0.77331897117382653</v>
      </c>
      <c r="G8" s="48">
        <f>F10</f>
        <v>0.41246221904593888</v>
      </c>
      <c r="H8" s="2">
        <f t="shared" si="2"/>
        <v>5</v>
      </c>
      <c r="I8" s="1">
        <f>'[1]links-p0'!J7</f>
        <v>0</v>
      </c>
      <c r="J8" s="1">
        <f>'[1]links-p0'!K7</f>
        <v>1008.199371115198</v>
      </c>
      <c r="K8" s="1">
        <f>'[1]links-p0'!L7</f>
        <v>3500</v>
      </c>
      <c r="L8" s="1">
        <f>'[1]links-p0'!M7</f>
        <v>0</v>
      </c>
      <c r="M8" s="1">
        <f>'[1]links-p0'!N7</f>
        <v>0</v>
      </c>
      <c r="N8" s="1">
        <f>'[1]links-p0'!O7</f>
        <v>5000</v>
      </c>
      <c r="O8" s="1">
        <f>'[1]links-p0'!P7</f>
        <v>0</v>
      </c>
      <c r="P8" s="1">
        <f>'[1]links-p0'!Q7</f>
        <v>3985.9887250000002</v>
      </c>
      <c r="Q8" s="1">
        <f>'[1]links-p0'!R7</f>
        <v>0</v>
      </c>
      <c r="R8" s="1">
        <f>'[1]links-p0'!S7</f>
        <v>1553.672292</v>
      </c>
      <c r="S8" s="1">
        <f>'[1]links-p0'!T7</f>
        <v>6779.6610170000004</v>
      </c>
      <c r="T8" s="1">
        <f>'[1]links-p0'!U7</f>
        <v>0</v>
      </c>
      <c r="U8" s="1">
        <f>'[1]links-p0'!V7</f>
        <v>1517.7757899999999</v>
      </c>
    </row>
    <row r="9" spans="1:21">
      <c r="B9" s="1" t="s">
        <v>39</v>
      </c>
      <c r="C9" s="19">
        <f>[3]links_2busSRES!D30</f>
        <v>6779.6610170000004</v>
      </c>
      <c r="D9" s="20">
        <f t="shared" si="3"/>
        <v>1138983.050856</v>
      </c>
      <c r="E9" s="20">
        <f>$T$171</f>
        <v>13913.732141330001</v>
      </c>
      <c r="F9" s="24">
        <f t="shared" si="4"/>
        <v>1.2215925540659422E-2</v>
      </c>
      <c r="H9" s="2">
        <f t="shared" si="2"/>
        <v>6</v>
      </c>
      <c r="I9" s="1">
        <f>'[1]links-p0'!J8</f>
        <v>0</v>
      </c>
      <c r="J9" s="1">
        <f>'[1]links-p0'!K8</f>
        <v>1119.785084109395</v>
      </c>
      <c r="K9" s="1">
        <f>'[1]links-p0'!L8</f>
        <v>3500</v>
      </c>
      <c r="L9" s="1">
        <f>'[1]links-p0'!M8</f>
        <v>0</v>
      </c>
      <c r="M9" s="1">
        <f>'[1]links-p0'!N8</f>
        <v>0</v>
      </c>
      <c r="N9" s="1">
        <f>'[1]links-p0'!O8</f>
        <v>5000</v>
      </c>
      <c r="O9" s="1">
        <f>'[1]links-p0'!P8</f>
        <v>0</v>
      </c>
      <c r="P9" s="1">
        <f>'[1]links-p0'!Q8</f>
        <v>3985.9887250000002</v>
      </c>
      <c r="Q9" s="1">
        <f>'[1]links-p0'!R8</f>
        <v>0</v>
      </c>
      <c r="R9" s="1">
        <f>'[1]links-p0'!S8</f>
        <v>1553.672292</v>
      </c>
      <c r="S9" s="1">
        <f>'[1]links-p0'!T8</f>
        <v>6779.6610170000004</v>
      </c>
      <c r="T9" s="1">
        <f>'[1]links-p0'!U8</f>
        <v>0</v>
      </c>
      <c r="U9" s="1">
        <f>'[1]links-p0'!V8</f>
        <v>1517.7757899999999</v>
      </c>
    </row>
    <row r="10" spans="1:21">
      <c r="A10" s="3" t="s">
        <v>10</v>
      </c>
      <c r="B10" s="3" t="s">
        <v>38</v>
      </c>
      <c r="C10" s="21">
        <f>[3]links_2busSRES!$D$31</f>
        <v>3742.94</v>
      </c>
      <c r="D10" s="22">
        <f t="shared" si="3"/>
        <v>628813.92000000004</v>
      </c>
      <c r="E10" s="22">
        <f>$U$171</f>
        <v>259361.98481017552</v>
      </c>
      <c r="F10" s="25">
        <f t="shared" si="4"/>
        <v>0.41246221904593888</v>
      </c>
      <c r="H10" s="2">
        <f t="shared" si="2"/>
        <v>7</v>
      </c>
      <c r="I10" s="1">
        <f>'[1]links-p0'!J9</f>
        <v>0</v>
      </c>
      <c r="J10" s="1">
        <f>'[1]links-p0'!K9</f>
        <v>1210.8580242095229</v>
      </c>
      <c r="K10" s="1">
        <f>'[1]links-p0'!L9</f>
        <v>3500</v>
      </c>
      <c r="L10" s="1">
        <f>'[1]links-p0'!M9</f>
        <v>0</v>
      </c>
      <c r="M10" s="1">
        <f>'[1]links-p0'!N9</f>
        <v>0</v>
      </c>
      <c r="N10" s="1">
        <f>'[1]links-p0'!O9</f>
        <v>5000</v>
      </c>
      <c r="O10" s="1">
        <f>'[1]links-p0'!P9</f>
        <v>0</v>
      </c>
      <c r="P10" s="1">
        <f>'[1]links-p0'!Q9</f>
        <v>3985.9887250000002</v>
      </c>
      <c r="Q10" s="1">
        <f>'[1]links-p0'!R9</f>
        <v>0</v>
      </c>
      <c r="R10" s="1">
        <f>'[1]links-p0'!S9</f>
        <v>1553.672292</v>
      </c>
      <c r="S10" s="1">
        <f>'[1]links-p0'!T9</f>
        <v>6779.6610170000004</v>
      </c>
      <c r="T10" s="1">
        <f>'[1]links-p0'!U9</f>
        <v>0</v>
      </c>
      <c r="U10" s="1">
        <f>'[1]links-p0'!V9</f>
        <v>1517.7757899999999</v>
      </c>
    </row>
    <row r="11" spans="1:21">
      <c r="B11" s="1" t="s">
        <v>17</v>
      </c>
      <c r="C11" s="19">
        <f>[3]links_2busSRES!$D$19</f>
        <v>4200</v>
      </c>
      <c r="D11" s="20">
        <f t="shared" si="3"/>
        <v>705600</v>
      </c>
      <c r="E11" s="20">
        <f>$I$171</f>
        <v>12003.45391924318</v>
      </c>
      <c r="F11" s="24">
        <f t="shared" si="4"/>
        <v>1.7011697731353713E-2</v>
      </c>
      <c r="H11" s="2">
        <f t="shared" si="2"/>
        <v>8</v>
      </c>
      <c r="I11" s="1">
        <f>'[1]links-p0'!J10</f>
        <v>0</v>
      </c>
      <c r="J11" s="1">
        <f>'[1]links-p0'!K10</f>
        <v>1309.004085612316</v>
      </c>
      <c r="K11" s="1">
        <f>'[1]links-p0'!L10</f>
        <v>3500</v>
      </c>
      <c r="L11" s="1">
        <f>'[1]links-p0'!M10</f>
        <v>0</v>
      </c>
      <c r="M11" s="1">
        <f>'[1]links-p0'!N10</f>
        <v>0</v>
      </c>
      <c r="N11" s="1">
        <f>'[1]links-p0'!O10</f>
        <v>5000</v>
      </c>
      <c r="O11" s="1">
        <f>'[1]links-p0'!P10</f>
        <v>0</v>
      </c>
      <c r="P11" s="1">
        <f>'[1]links-p0'!Q10</f>
        <v>3985.9887250000002</v>
      </c>
      <c r="Q11" s="1">
        <f>'[1]links-p0'!R10</f>
        <v>0</v>
      </c>
      <c r="R11" s="1">
        <f>'[1]links-p0'!S10</f>
        <v>1553.672292</v>
      </c>
      <c r="S11" s="1">
        <f>'[1]links-p0'!T10</f>
        <v>6779.6610170000004</v>
      </c>
      <c r="T11" s="1">
        <f>'[1]links-p0'!U10</f>
        <v>0</v>
      </c>
      <c r="U11" s="1">
        <f>'[1]links-p0'!V10</f>
        <v>2158.535113398565</v>
      </c>
    </row>
    <row r="12" spans="1:21">
      <c r="B12" s="1" t="s">
        <v>16</v>
      </c>
      <c r="C12" s="19">
        <f>[3]links_2busSRES!$D$21</f>
        <v>3500</v>
      </c>
      <c r="D12" s="20">
        <f t="shared" si="3"/>
        <v>588000</v>
      </c>
      <c r="E12" s="20">
        <f>$K$171</f>
        <v>385696.71515327063</v>
      </c>
      <c r="F12" s="24">
        <f t="shared" si="4"/>
        <v>0.65594679447835147</v>
      </c>
      <c r="H12" s="2">
        <f t="shared" si="2"/>
        <v>9</v>
      </c>
      <c r="I12" s="1">
        <f>'[1]links-p0'!J11</f>
        <v>0</v>
      </c>
      <c r="J12" s="1">
        <f>'[1]links-p0'!K11</f>
        <v>770.00042369744347</v>
      </c>
      <c r="K12" s="1">
        <f>'[1]links-p0'!L11</f>
        <v>3500</v>
      </c>
      <c r="L12" s="1">
        <f>'[1]links-p0'!M11</f>
        <v>0</v>
      </c>
      <c r="M12" s="1">
        <f>'[1]links-p0'!N11</f>
        <v>0</v>
      </c>
      <c r="N12" s="1">
        <f>'[1]links-p0'!O11</f>
        <v>5000</v>
      </c>
      <c r="O12" s="1">
        <f>'[1]links-p0'!P11</f>
        <v>0</v>
      </c>
      <c r="P12" s="1">
        <f>'[1]links-p0'!Q11</f>
        <v>3985.9887250000002</v>
      </c>
      <c r="Q12" s="1">
        <f>'[1]links-p0'!R11</f>
        <v>0</v>
      </c>
      <c r="R12" s="1">
        <f>'[1]links-p0'!S11</f>
        <v>1553.672292</v>
      </c>
      <c r="S12" s="1">
        <f>'[1]links-p0'!T11</f>
        <v>6779.6610170000004</v>
      </c>
      <c r="T12" s="1">
        <f>'[1]links-p0'!U11</f>
        <v>0</v>
      </c>
      <c r="U12" s="1">
        <f>'[1]links-p0'!V11</f>
        <v>1517.7757899999999</v>
      </c>
    </row>
    <row r="13" spans="1:21">
      <c r="B13" s="1" t="s">
        <v>18</v>
      </c>
      <c r="C13" s="19">
        <f>[3]links_2busSRES!$D$23</f>
        <v>5000</v>
      </c>
      <c r="D13" s="20">
        <f t="shared" si="3"/>
        <v>840000</v>
      </c>
      <c r="E13" s="20">
        <f>$M$171</f>
        <v>334263.16644706001</v>
      </c>
      <c r="F13" s="24">
        <f t="shared" si="4"/>
        <v>0.39793234100840474</v>
      </c>
      <c r="H13" s="2">
        <f t="shared" si="2"/>
        <v>10</v>
      </c>
      <c r="I13" s="1">
        <f>'[1]links-p0'!J12</f>
        <v>0</v>
      </c>
      <c r="J13" s="1">
        <f>'[1]links-p0'!K12</f>
        <v>0</v>
      </c>
      <c r="K13" s="1">
        <f>'[1]links-p0'!L12</f>
        <v>0</v>
      </c>
      <c r="L13" s="1">
        <f>'[1]links-p0'!M12</f>
        <v>0</v>
      </c>
      <c r="M13" s="1">
        <f>'[1]links-p0'!N12</f>
        <v>578.16100895</v>
      </c>
      <c r="N13" s="1">
        <f>'[1]links-p0'!O12</f>
        <v>0</v>
      </c>
      <c r="O13" s="1">
        <f>'[1]links-p0'!P12</f>
        <v>0</v>
      </c>
      <c r="P13" s="1">
        <f>'[1]links-p0'!Q12</f>
        <v>5352.1076543300014</v>
      </c>
      <c r="Q13" s="1">
        <f>'[1]links-p0'!R12</f>
        <v>0</v>
      </c>
      <c r="R13" s="1">
        <f>'[1]links-p0'!S12</f>
        <v>1232.4533626699999</v>
      </c>
      <c r="S13" s="1">
        <f>'[1]links-p0'!T12</f>
        <v>6779.6610170000004</v>
      </c>
      <c r="T13" s="1">
        <f>'[1]links-p0'!U12</f>
        <v>0</v>
      </c>
      <c r="U13" s="1">
        <f>'[1]links-p0'!V12</f>
        <v>1517.7757899999999</v>
      </c>
    </row>
    <row r="14" spans="1:21">
      <c r="A14" s="3" t="s">
        <v>9</v>
      </c>
      <c r="B14" s="3" t="s">
        <v>19</v>
      </c>
      <c r="C14" s="21">
        <f>[3]links_2busSRES!$D$23</f>
        <v>5000</v>
      </c>
      <c r="D14" s="22">
        <f t="shared" si="3"/>
        <v>840000</v>
      </c>
      <c r="E14" s="22">
        <f>$N$171</f>
        <v>382567.70525273</v>
      </c>
      <c r="F14" s="25">
        <f t="shared" si="4"/>
        <v>0.4554377443484881</v>
      </c>
      <c r="H14" s="2">
        <f t="shared" si="2"/>
        <v>11</v>
      </c>
      <c r="I14" s="1">
        <f>'[1]links-p0'!J13</f>
        <v>0</v>
      </c>
      <c r="J14" s="1">
        <f>'[1]links-p0'!K13</f>
        <v>0</v>
      </c>
      <c r="K14" s="1">
        <f>'[1]links-p0'!L13</f>
        <v>0</v>
      </c>
      <c r="L14" s="1">
        <f>'[1]links-p0'!M13</f>
        <v>0</v>
      </c>
      <c r="M14" s="1">
        <f>'[1]links-p0'!N13</f>
        <v>5000</v>
      </c>
      <c r="N14" s="1">
        <f>'[1]links-p0'!O13</f>
        <v>0</v>
      </c>
      <c r="O14" s="1">
        <f>'[1]links-p0'!P13</f>
        <v>0</v>
      </c>
      <c r="P14" s="1">
        <f>'[1]links-p0'!Q13</f>
        <v>7024.7477724199998</v>
      </c>
      <c r="Q14" s="1">
        <f>'[1]links-p0'!R13</f>
        <v>0</v>
      </c>
      <c r="R14" s="1">
        <f>'[1]links-p0'!S13</f>
        <v>572.91324458000008</v>
      </c>
      <c r="S14" s="1">
        <f>'[1]links-p0'!T13</f>
        <v>6779.6610170000004</v>
      </c>
      <c r="T14" s="1">
        <f>'[1]links-p0'!U13</f>
        <v>0</v>
      </c>
      <c r="U14" s="1">
        <f>'[1]links-p0'!V13</f>
        <v>1517.7757899999999</v>
      </c>
    </row>
    <row r="15" spans="1:21">
      <c r="H15" s="2">
        <f t="shared" si="2"/>
        <v>12</v>
      </c>
      <c r="I15" s="1">
        <f>'[1]links-p0'!J14</f>
        <v>0</v>
      </c>
      <c r="J15" s="1">
        <f>'[1]links-p0'!K14</f>
        <v>0</v>
      </c>
      <c r="K15" s="1">
        <f>'[1]links-p0'!L14</f>
        <v>0</v>
      </c>
      <c r="L15" s="1">
        <f>'[1]links-p0'!M14</f>
        <v>0</v>
      </c>
      <c r="M15" s="1">
        <f>'[1]links-p0'!N14</f>
        <v>5000</v>
      </c>
      <c r="N15" s="1">
        <f>'[1]links-p0'!O14</f>
        <v>0</v>
      </c>
      <c r="O15" s="1">
        <f>'[1]links-p0'!P14</f>
        <v>86.626873509999939</v>
      </c>
      <c r="P15" s="1">
        <f>'[1]links-p0'!Q14</f>
        <v>7597.6610170000004</v>
      </c>
      <c r="Q15" s="1">
        <f>'[1]links-p0'!R14</f>
        <v>0</v>
      </c>
      <c r="R15" s="1">
        <f>'[1]links-p0'!S14</f>
        <v>0</v>
      </c>
      <c r="S15" s="1">
        <f>'[1]links-p0'!T14</f>
        <v>6779.6610170000004</v>
      </c>
      <c r="T15" s="1">
        <f>'[1]links-p0'!U14</f>
        <v>0</v>
      </c>
      <c r="U15" s="1">
        <f>'[1]links-p0'!V14</f>
        <v>1517.7757899999999</v>
      </c>
    </row>
    <row r="16" spans="1:21">
      <c r="C16" s="11"/>
      <c r="H16" s="2">
        <f t="shared" si="2"/>
        <v>13</v>
      </c>
      <c r="I16" s="1">
        <f>'[1]links-p0'!J15</f>
        <v>0</v>
      </c>
      <c r="J16" s="1">
        <f>'[1]links-p0'!K15</f>
        <v>0</v>
      </c>
      <c r="K16" s="1">
        <f>'[1]links-p0'!L15</f>
        <v>0</v>
      </c>
      <c r="L16" s="1">
        <f>'[1]links-p0'!M15</f>
        <v>0</v>
      </c>
      <c r="M16" s="1">
        <f>'[1]links-p0'!N15</f>
        <v>5000</v>
      </c>
      <c r="N16" s="1">
        <f>'[1]links-p0'!O15</f>
        <v>0</v>
      </c>
      <c r="O16" s="1">
        <f>'[1]links-p0'!P15</f>
        <v>0</v>
      </c>
      <c r="P16" s="1">
        <f>'[1]links-p0'!Q15</f>
        <v>7178.7084983700006</v>
      </c>
      <c r="Q16" s="1">
        <f>'[1]links-p0'!R15</f>
        <v>0</v>
      </c>
      <c r="R16" s="1">
        <f>'[1]links-p0'!S15</f>
        <v>418.95251862999987</v>
      </c>
      <c r="S16" s="1">
        <f>'[1]links-p0'!T15</f>
        <v>6779.6610170000004</v>
      </c>
      <c r="T16" s="1">
        <f>'[1]links-p0'!U15</f>
        <v>0</v>
      </c>
      <c r="U16" s="1">
        <f>'[1]links-p0'!V15</f>
        <v>1517.7757899999999</v>
      </c>
    </row>
    <row r="17" spans="1:21">
      <c r="H17" s="2">
        <f t="shared" si="2"/>
        <v>14</v>
      </c>
      <c r="I17" s="1">
        <f>'[1]links-p0'!J16</f>
        <v>0</v>
      </c>
      <c r="J17" s="1">
        <f>'[1]links-p0'!K16</f>
        <v>0</v>
      </c>
      <c r="K17" s="1">
        <f>'[1]links-p0'!L16</f>
        <v>0</v>
      </c>
      <c r="L17" s="1">
        <f>'[1]links-p0'!M16</f>
        <v>0</v>
      </c>
      <c r="M17" s="1">
        <f>'[1]links-p0'!N16</f>
        <v>5000</v>
      </c>
      <c r="N17" s="1">
        <f>'[1]links-p0'!O16</f>
        <v>0</v>
      </c>
      <c r="O17" s="1">
        <f>'[1]links-p0'!P16</f>
        <v>0</v>
      </c>
      <c r="P17" s="1">
        <f>'[1]links-p0'!Q16</f>
        <v>7024.7477724199998</v>
      </c>
      <c r="Q17" s="1">
        <f>'[1]links-p0'!R16</f>
        <v>0</v>
      </c>
      <c r="R17" s="1">
        <f>'[1]links-p0'!S16</f>
        <v>572.91324458000008</v>
      </c>
      <c r="S17" s="1">
        <f>'[1]links-p0'!T16</f>
        <v>6779.6610170000004</v>
      </c>
      <c r="T17" s="1">
        <f>'[1]links-p0'!U16</f>
        <v>0</v>
      </c>
      <c r="U17" s="1">
        <f>'[1]links-p0'!V16</f>
        <v>1517.7757899999999</v>
      </c>
    </row>
    <row r="18" spans="1:21">
      <c r="H18" s="2">
        <f t="shared" si="2"/>
        <v>15</v>
      </c>
      <c r="I18" s="1">
        <f>'[1]links-p0'!J17</f>
        <v>0</v>
      </c>
      <c r="J18" s="1">
        <f>'[1]links-p0'!K17</f>
        <v>0</v>
      </c>
      <c r="K18" s="1">
        <f>'[1]links-p0'!L17</f>
        <v>0</v>
      </c>
      <c r="L18" s="1">
        <f>'[1]links-p0'!M17</f>
        <v>0</v>
      </c>
      <c r="M18" s="1">
        <f>'[1]links-p0'!N17</f>
        <v>5000</v>
      </c>
      <c r="N18" s="1">
        <f>'[1]links-p0'!O17</f>
        <v>0</v>
      </c>
      <c r="O18" s="1">
        <f>'[1]links-p0'!P17</f>
        <v>0</v>
      </c>
      <c r="P18" s="1">
        <f>'[1]links-p0'!Q17</f>
        <v>6012.1076543300014</v>
      </c>
      <c r="Q18" s="1">
        <f>'[1]links-p0'!R17</f>
        <v>0</v>
      </c>
      <c r="R18" s="1">
        <f>'[1]links-p0'!S17</f>
        <v>572.45336266999993</v>
      </c>
      <c r="S18" s="1">
        <f>'[1]links-p0'!T17</f>
        <v>6779.6610170000004</v>
      </c>
      <c r="T18" s="1">
        <f>'[1]links-p0'!U17</f>
        <v>0</v>
      </c>
      <c r="U18" s="1">
        <f>'[1]links-p0'!V17</f>
        <v>1517.7757899999999</v>
      </c>
    </row>
    <row r="19" spans="1:21">
      <c r="H19" s="2">
        <f t="shared" si="2"/>
        <v>16</v>
      </c>
      <c r="I19" s="1">
        <f>'[1]links-p0'!J18</f>
        <v>0</v>
      </c>
      <c r="J19" s="1">
        <f>'[1]links-p0'!K18</f>
        <v>0</v>
      </c>
      <c r="K19" s="1">
        <f>'[1]links-p0'!L18</f>
        <v>0</v>
      </c>
      <c r="L19" s="1">
        <f>'[1]links-p0'!M18</f>
        <v>0</v>
      </c>
      <c r="M19" s="1">
        <f>'[1]links-p0'!N18</f>
        <v>0</v>
      </c>
      <c r="N19" s="1">
        <f>'[1]links-p0'!O18</f>
        <v>0</v>
      </c>
      <c r="O19" s="1">
        <f>'[1]links-p0'!P18</f>
        <v>0</v>
      </c>
      <c r="P19" s="1">
        <f>'[1]links-p0'!Q18</f>
        <v>3985.9887250000002</v>
      </c>
      <c r="Q19" s="1">
        <f>'[1]links-p0'!R18</f>
        <v>0</v>
      </c>
      <c r="R19" s="1">
        <f>'[1]links-p0'!S18</f>
        <v>1553.672292</v>
      </c>
      <c r="S19" s="1">
        <f>'[1]links-p0'!T18</f>
        <v>6779.6610170000004</v>
      </c>
      <c r="T19" s="1">
        <f>'[1]links-p0'!U18</f>
        <v>0</v>
      </c>
      <c r="U19" s="1">
        <f>'[1]links-p0'!V18</f>
        <v>1517.7757899999999</v>
      </c>
    </row>
    <row r="20" spans="1:21">
      <c r="H20" s="2">
        <f t="shared" si="2"/>
        <v>17</v>
      </c>
      <c r="I20" s="1">
        <f>'[1]links-p0'!J19</f>
        <v>0</v>
      </c>
      <c r="J20" s="1">
        <f>'[1]links-p0'!K19</f>
        <v>364.38916456263769</v>
      </c>
      <c r="K20" s="1">
        <f>'[1]links-p0'!L19</f>
        <v>3500</v>
      </c>
      <c r="L20" s="1">
        <f>'[1]links-p0'!M19</f>
        <v>0</v>
      </c>
      <c r="M20" s="1">
        <f>'[1]links-p0'!N19</f>
        <v>0</v>
      </c>
      <c r="N20" s="1">
        <f>'[1]links-p0'!O19</f>
        <v>5000</v>
      </c>
      <c r="O20" s="1">
        <f>'[1]links-p0'!P19</f>
        <v>0</v>
      </c>
      <c r="P20" s="1">
        <f>'[1]links-p0'!Q19</f>
        <v>2941.0887250000001</v>
      </c>
      <c r="Q20" s="1">
        <f>'[1]links-p0'!R19</f>
        <v>0</v>
      </c>
      <c r="R20" s="1">
        <f>'[1]links-p0'!S19</f>
        <v>1553.672292</v>
      </c>
      <c r="S20" s="1">
        <f>'[1]links-p0'!T19</f>
        <v>5734.7610169999998</v>
      </c>
      <c r="T20" s="1">
        <f>'[1]links-p0'!U19</f>
        <v>0</v>
      </c>
      <c r="U20" s="1">
        <f>'[1]links-p0'!V19</f>
        <v>1517.7757899999999</v>
      </c>
    </row>
    <row r="21" spans="1:21">
      <c r="A21" s="13"/>
      <c r="H21" s="2">
        <f t="shared" si="2"/>
        <v>18</v>
      </c>
      <c r="I21" s="1">
        <f>'[1]links-p0'!J20</f>
        <v>0</v>
      </c>
      <c r="J21" s="1">
        <f>'[1]links-p0'!K20</f>
        <v>1163.5626823002219</v>
      </c>
      <c r="K21" s="1">
        <f>'[1]links-p0'!L20</f>
        <v>3500</v>
      </c>
      <c r="L21" s="1">
        <f>'[1]links-p0'!M20</f>
        <v>0</v>
      </c>
      <c r="M21" s="1">
        <f>'[1]links-p0'!N20</f>
        <v>0</v>
      </c>
      <c r="N21" s="1">
        <f>'[1]links-p0'!O20</f>
        <v>5000</v>
      </c>
      <c r="O21" s="1">
        <f>'[1]links-p0'!P20</f>
        <v>0</v>
      </c>
      <c r="P21" s="1">
        <f>'[1]links-p0'!Q20</f>
        <v>1896.6486069099999</v>
      </c>
      <c r="Q21" s="1">
        <f>'[1]links-p0'!R20</f>
        <v>0</v>
      </c>
      <c r="R21" s="1">
        <f>'[1]links-p0'!S20</f>
        <v>1553.672292</v>
      </c>
      <c r="S21" s="1">
        <f>'[1]links-p0'!T20</f>
        <v>4690.3208989100003</v>
      </c>
      <c r="T21" s="1">
        <f>'[1]links-p0'!U20</f>
        <v>0</v>
      </c>
      <c r="U21" s="1">
        <f>'[1]links-p0'!V20</f>
        <v>1517.7757899999999</v>
      </c>
    </row>
    <row r="22" spans="1:21">
      <c r="F22" s="14"/>
      <c r="H22" s="2">
        <f t="shared" si="2"/>
        <v>19</v>
      </c>
      <c r="I22" s="1">
        <f>'[1]links-p0'!J21</f>
        <v>0</v>
      </c>
      <c r="J22" s="1">
        <f>'[1]links-p0'!K21</f>
        <v>987.2042914150785</v>
      </c>
      <c r="K22" s="1">
        <f>'[1]links-p0'!L21</f>
        <v>3500</v>
      </c>
      <c r="L22" s="1">
        <f>'[1]links-p0'!M21</f>
        <v>0</v>
      </c>
      <c r="M22" s="1">
        <f>'[1]links-p0'!N21</f>
        <v>0</v>
      </c>
      <c r="N22" s="1">
        <f>'[1]links-p0'!O21</f>
        <v>5000</v>
      </c>
      <c r="O22" s="1">
        <f>'[1]links-p0'!P21</f>
        <v>0</v>
      </c>
      <c r="P22" s="1">
        <f>'[1]links-p0'!Q21</f>
        <v>852.20848882999985</v>
      </c>
      <c r="Q22" s="1">
        <f>'[1]links-p0'!R21</f>
        <v>0</v>
      </c>
      <c r="R22" s="1">
        <f>'[1]links-p0'!S21</f>
        <v>1553.672292</v>
      </c>
      <c r="S22" s="1">
        <f>'[1]links-p0'!T21</f>
        <v>3645.8807808299998</v>
      </c>
      <c r="T22" s="1">
        <f>'[1]links-p0'!U21</f>
        <v>0</v>
      </c>
      <c r="U22" s="1">
        <f>'[1]links-p0'!V21</f>
        <v>1517.7757899999999</v>
      </c>
    </row>
    <row r="23" spans="1:21">
      <c r="F23" s="14"/>
      <c r="H23" s="2">
        <f t="shared" si="2"/>
        <v>20</v>
      </c>
      <c r="I23" s="1">
        <f>'[1]links-p0'!J22</f>
        <v>0</v>
      </c>
      <c r="J23" s="1">
        <f>'[1]links-p0'!K22</f>
        <v>867.29104756752884</v>
      </c>
      <c r="K23" s="1">
        <f>'[1]links-p0'!L22</f>
        <v>3500</v>
      </c>
      <c r="L23" s="1">
        <f>'[1]links-p0'!M22</f>
        <v>0</v>
      </c>
      <c r="M23" s="1">
        <f>'[1]links-p0'!N22</f>
        <v>0</v>
      </c>
      <c r="N23" s="1">
        <f>'[1]links-p0'!O22</f>
        <v>5000</v>
      </c>
      <c r="O23" s="1">
        <f>'[1]links-p0'!P22</f>
        <v>0</v>
      </c>
      <c r="P23" s="1">
        <f>'[1]links-p0'!Q22</f>
        <v>0</v>
      </c>
      <c r="Q23" s="1">
        <f>'[1]links-p0'!R22</f>
        <v>192.23162926000029</v>
      </c>
      <c r="R23" s="1">
        <f>'[1]links-p0'!S22</f>
        <v>1553.672292</v>
      </c>
      <c r="S23" s="1">
        <f>'[1]links-p0'!T22</f>
        <v>2601.4406627399999</v>
      </c>
      <c r="T23" s="1">
        <f>'[1]links-p0'!U22</f>
        <v>0</v>
      </c>
      <c r="U23" s="1">
        <f>'[1]links-p0'!V22</f>
        <v>1517.7757899999999</v>
      </c>
    </row>
    <row r="24" spans="1:21">
      <c r="F24" s="14"/>
      <c r="H24" s="2">
        <f t="shared" si="2"/>
        <v>21</v>
      </c>
      <c r="I24" s="1">
        <f>'[1]links-p0'!J23</f>
        <v>0</v>
      </c>
      <c r="J24" s="1">
        <f>'[1]links-p0'!K23</f>
        <v>779.34892758403794</v>
      </c>
      <c r="K24" s="1">
        <f>'[1]links-p0'!L23</f>
        <v>3500</v>
      </c>
      <c r="L24" s="1">
        <f>'[1]links-p0'!M23</f>
        <v>0</v>
      </c>
      <c r="M24" s="1">
        <f>'[1]links-p0'!N23</f>
        <v>0</v>
      </c>
      <c r="N24" s="1">
        <f>'[1]links-p0'!O23</f>
        <v>5000</v>
      </c>
      <c r="O24" s="1">
        <f>'[1]links-p0'!P23</f>
        <v>0</v>
      </c>
      <c r="P24" s="1">
        <f>'[1]links-p0'!Q23</f>
        <v>0</v>
      </c>
      <c r="Q24" s="1">
        <f>'[1]links-p0'!R23</f>
        <v>1236.67174735</v>
      </c>
      <c r="R24" s="1">
        <f>'[1]links-p0'!S23</f>
        <v>1553.672292</v>
      </c>
      <c r="S24" s="1">
        <f>'[1]links-p0'!T23</f>
        <v>1557.0005446499999</v>
      </c>
      <c r="T24" s="1">
        <f>'[1]links-p0'!U23</f>
        <v>0</v>
      </c>
      <c r="U24" s="1">
        <f>'[1]links-p0'!V23</f>
        <v>1517.7757899999999</v>
      </c>
    </row>
    <row r="25" spans="1:21">
      <c r="F25" s="14"/>
      <c r="H25" s="2">
        <f t="shared" si="2"/>
        <v>22</v>
      </c>
      <c r="I25" s="1">
        <f>'[1]links-p0'!J24</f>
        <v>0</v>
      </c>
      <c r="J25" s="1">
        <f>'[1]links-p0'!K24</f>
        <v>749.25015490811268</v>
      </c>
      <c r="K25" s="1">
        <f>'[1]links-p0'!L24</f>
        <v>3500</v>
      </c>
      <c r="L25" s="1">
        <f>'[1]links-p0'!M24</f>
        <v>0</v>
      </c>
      <c r="M25" s="1">
        <f>'[1]links-p0'!N24</f>
        <v>0</v>
      </c>
      <c r="N25" s="1">
        <f>'[1]links-p0'!O24</f>
        <v>5000</v>
      </c>
      <c r="O25" s="1">
        <f>'[1]links-p0'!P24</f>
        <v>0</v>
      </c>
      <c r="P25" s="1">
        <f>'[1]links-p0'!Q24</f>
        <v>0</v>
      </c>
      <c r="Q25" s="1">
        <f>'[1]links-p0'!R24</f>
        <v>381.55949709000009</v>
      </c>
      <c r="R25" s="1">
        <f>'[1]links-p0'!S24</f>
        <v>1553.672292</v>
      </c>
      <c r="S25" s="1">
        <f>'[1]links-p0'!T24</f>
        <v>2412.11279491</v>
      </c>
      <c r="T25" s="1">
        <f>'[1]links-p0'!U24</f>
        <v>0</v>
      </c>
      <c r="U25" s="1">
        <f>'[1]links-p0'!V24</f>
        <v>1517.7757899999999</v>
      </c>
    </row>
    <row r="26" spans="1:21">
      <c r="F26" s="14"/>
      <c r="H26" s="2">
        <f t="shared" si="2"/>
        <v>23</v>
      </c>
      <c r="I26" s="1">
        <f>'[1]links-p0'!J25</f>
        <v>0</v>
      </c>
      <c r="J26" s="1">
        <f>'[1]links-p0'!K25</f>
        <v>778.08097925132427</v>
      </c>
      <c r="K26" s="1">
        <f>'[1]links-p0'!L25</f>
        <v>3500</v>
      </c>
      <c r="L26" s="1">
        <f>'[1]links-p0'!M25</f>
        <v>0</v>
      </c>
      <c r="M26" s="1">
        <f>'[1]links-p0'!N25</f>
        <v>0</v>
      </c>
      <c r="N26" s="1">
        <f>'[1]links-p0'!O25</f>
        <v>5000</v>
      </c>
      <c r="O26" s="1">
        <f>'[1]links-p0'!P25</f>
        <v>0</v>
      </c>
      <c r="P26" s="1">
        <f>'[1]links-p0'!Q25</f>
        <v>663.34050290999994</v>
      </c>
      <c r="Q26" s="1">
        <f>'[1]links-p0'!R25</f>
        <v>0</v>
      </c>
      <c r="R26" s="1">
        <f>'[1]links-p0'!S25</f>
        <v>1553.672292</v>
      </c>
      <c r="S26" s="1">
        <f>'[1]links-p0'!T25</f>
        <v>3457.0127949100001</v>
      </c>
      <c r="T26" s="1">
        <f>'[1]links-p0'!U25</f>
        <v>0</v>
      </c>
      <c r="U26" s="1">
        <f>'[1]links-p0'!V25</f>
        <v>1517.7757899999999</v>
      </c>
    </row>
    <row r="27" spans="1:21">
      <c r="F27" s="14"/>
      <c r="H27" s="2">
        <f t="shared" si="2"/>
        <v>24</v>
      </c>
      <c r="I27" s="1">
        <f>'[1]links-p0'!J26</f>
        <v>0</v>
      </c>
      <c r="J27" s="1">
        <f>'[1]links-p0'!K26</f>
        <v>776.86822610066076</v>
      </c>
      <c r="K27" s="1">
        <f>'[1]links-p0'!L26</f>
        <v>3500</v>
      </c>
      <c r="L27" s="1">
        <f>'[1]links-p0'!M26</f>
        <v>0</v>
      </c>
      <c r="M27" s="1">
        <f>'[1]links-p0'!N26</f>
        <v>0</v>
      </c>
      <c r="N27" s="1">
        <f>'[1]links-p0'!O26</f>
        <v>5000</v>
      </c>
      <c r="O27" s="1">
        <f>'[1]links-p0'!P26</f>
        <v>0</v>
      </c>
      <c r="P27" s="1">
        <f>'[1]links-p0'!Q26</f>
        <v>1708.24148896</v>
      </c>
      <c r="Q27" s="1">
        <f>'[1]links-p0'!R26</f>
        <v>0</v>
      </c>
      <c r="R27" s="1">
        <f>'[1]links-p0'!S26</f>
        <v>1553.672292</v>
      </c>
      <c r="S27" s="1">
        <f>'[1]links-p0'!T26</f>
        <v>4501.9137809599997</v>
      </c>
      <c r="T27" s="1">
        <f>'[1]links-p0'!U26</f>
        <v>0</v>
      </c>
      <c r="U27" s="1">
        <f>'[1]links-p0'!V26</f>
        <v>1517.7757899999999</v>
      </c>
    </row>
    <row r="28" spans="1:21">
      <c r="F28" s="14"/>
      <c r="H28" s="2">
        <f t="shared" si="2"/>
        <v>25</v>
      </c>
      <c r="I28" s="1">
        <f>'[1]links-p0'!J27</f>
        <v>0</v>
      </c>
      <c r="J28" s="1">
        <f>'[1]links-p0'!K27</f>
        <v>807.88944014449521</v>
      </c>
      <c r="K28" s="1">
        <f>'[1]links-p0'!L27</f>
        <v>3500</v>
      </c>
      <c r="L28" s="1">
        <f>'[1]links-p0'!M27</f>
        <v>0</v>
      </c>
      <c r="M28" s="1">
        <f>'[1]links-p0'!N27</f>
        <v>0</v>
      </c>
      <c r="N28" s="1">
        <f>'[1]links-p0'!O27</f>
        <v>5000</v>
      </c>
      <c r="O28" s="1">
        <f>'[1]links-p0'!P27</f>
        <v>0</v>
      </c>
      <c r="P28" s="1">
        <f>'[1]links-p0'!Q27</f>
        <v>2753.1414889600001</v>
      </c>
      <c r="Q28" s="1">
        <f>'[1]links-p0'!R27</f>
        <v>0</v>
      </c>
      <c r="R28" s="1">
        <f>'[1]links-p0'!S27</f>
        <v>1553.672292</v>
      </c>
      <c r="S28" s="1">
        <f>'[1]links-p0'!T27</f>
        <v>5546.8137809600003</v>
      </c>
      <c r="T28" s="1">
        <f>'[1]links-p0'!U27</f>
        <v>0</v>
      </c>
      <c r="U28" s="1">
        <f>'[1]links-p0'!V27</f>
        <v>1517.7757899999999</v>
      </c>
    </row>
    <row r="29" spans="1:21">
      <c r="F29" s="14"/>
      <c r="H29" s="2">
        <f t="shared" si="2"/>
        <v>26</v>
      </c>
      <c r="I29" s="1">
        <f>'[1]links-p0'!J28</f>
        <v>0</v>
      </c>
      <c r="J29" s="1">
        <f>'[1]links-p0'!K28</f>
        <v>843.63758897934076</v>
      </c>
      <c r="K29" s="1">
        <f>'[1]links-p0'!L28</f>
        <v>3500</v>
      </c>
      <c r="L29" s="1">
        <f>'[1]links-p0'!M28</f>
        <v>0</v>
      </c>
      <c r="M29" s="1">
        <f>'[1]links-p0'!N28</f>
        <v>0</v>
      </c>
      <c r="N29" s="1">
        <f>'[1]links-p0'!O28</f>
        <v>5000</v>
      </c>
      <c r="O29" s="1">
        <f>'[1]links-p0'!P28</f>
        <v>0</v>
      </c>
      <c r="P29" s="1">
        <f>'[1]links-p0'!Q28</f>
        <v>2953.4013814999998</v>
      </c>
      <c r="Q29" s="1">
        <f>'[1]links-p0'!R28</f>
        <v>0</v>
      </c>
      <c r="R29" s="1">
        <f>'[1]links-p0'!S28</f>
        <v>1553.672292</v>
      </c>
      <c r="S29" s="1">
        <f>'[1]links-p0'!T28</f>
        <v>5747.0736735</v>
      </c>
      <c r="T29" s="1">
        <f>'[1]links-p0'!U28</f>
        <v>0</v>
      </c>
      <c r="U29" s="1">
        <f>'[1]links-p0'!V28</f>
        <v>1517.7757899999999</v>
      </c>
    </row>
    <row r="30" spans="1:21">
      <c r="F30" s="14"/>
      <c r="H30" s="2">
        <f t="shared" si="2"/>
        <v>27</v>
      </c>
      <c r="I30" s="1">
        <f>'[1]links-p0'!J29</f>
        <v>0</v>
      </c>
      <c r="J30" s="1">
        <f>'[1]links-p0'!K29</f>
        <v>875.2131173724847</v>
      </c>
      <c r="K30" s="1">
        <f>'[1]links-p0'!L29</f>
        <v>3500</v>
      </c>
      <c r="L30" s="1">
        <f>'[1]links-p0'!M29</f>
        <v>0</v>
      </c>
      <c r="M30" s="1">
        <f>'[1]links-p0'!N29</f>
        <v>0</v>
      </c>
      <c r="N30" s="1">
        <f>'[1]links-p0'!O29</f>
        <v>5000</v>
      </c>
      <c r="O30" s="1">
        <f>'[1]links-p0'!P29</f>
        <v>0</v>
      </c>
      <c r="P30" s="1">
        <f>'[1]links-p0'!Q29</f>
        <v>1908.5013815</v>
      </c>
      <c r="Q30" s="1">
        <f>'[1]links-p0'!R29</f>
        <v>0</v>
      </c>
      <c r="R30" s="1">
        <f>'[1]links-p0'!S29</f>
        <v>1553.672292</v>
      </c>
      <c r="S30" s="1">
        <f>'[1]links-p0'!T29</f>
        <v>4702.1736735000004</v>
      </c>
      <c r="T30" s="1">
        <f>'[1]links-p0'!U29</f>
        <v>0</v>
      </c>
      <c r="U30" s="1">
        <f>'[1]links-p0'!V29</f>
        <v>1517.7757899999999</v>
      </c>
    </row>
    <row r="31" spans="1:21">
      <c r="B31" s="15"/>
      <c r="F31" s="14"/>
      <c r="H31" s="2">
        <f t="shared" si="2"/>
        <v>28</v>
      </c>
      <c r="I31" s="1">
        <f>'[1]links-p0'!J30</f>
        <v>0</v>
      </c>
      <c r="J31" s="1">
        <f>'[1]links-p0'!K30</f>
        <v>901.70594591957183</v>
      </c>
      <c r="K31" s="1">
        <f>'[1]links-p0'!L30</f>
        <v>3500</v>
      </c>
      <c r="L31" s="1">
        <f>'[1]links-p0'!M30</f>
        <v>0</v>
      </c>
      <c r="M31" s="1">
        <f>'[1]links-p0'!N30</f>
        <v>0</v>
      </c>
      <c r="N31" s="1">
        <f>'[1]links-p0'!O30</f>
        <v>5000</v>
      </c>
      <c r="O31" s="1">
        <f>'[1]links-p0'!P30</f>
        <v>0</v>
      </c>
      <c r="P31" s="1">
        <f>'[1]links-p0'!Q30</f>
        <v>863.14149958999997</v>
      </c>
      <c r="Q31" s="1">
        <f>'[1]links-p0'!R30</f>
        <v>0</v>
      </c>
      <c r="R31" s="1">
        <f>'[1]links-p0'!S30</f>
        <v>1553.672292</v>
      </c>
      <c r="S31" s="1">
        <f>'[1]links-p0'!T30</f>
        <v>3656.8137915900002</v>
      </c>
      <c r="T31" s="1">
        <f>'[1]links-p0'!U30</f>
        <v>0</v>
      </c>
      <c r="U31" s="1">
        <f>'[1]links-p0'!V30</f>
        <v>1517.7757899999999</v>
      </c>
    </row>
    <row r="32" spans="1:21">
      <c r="B32" s="15"/>
      <c r="F32" s="14"/>
      <c r="H32" s="2">
        <f t="shared" si="2"/>
        <v>29</v>
      </c>
      <c r="I32" s="1">
        <f>'[1]links-p0'!J31</f>
        <v>0</v>
      </c>
      <c r="J32" s="1">
        <f>'[1]links-p0'!K31</f>
        <v>1029.7902377376699</v>
      </c>
      <c r="K32" s="1">
        <f>'[1]links-p0'!L31</f>
        <v>3500</v>
      </c>
      <c r="L32" s="1">
        <f>'[1]links-p0'!M31</f>
        <v>0</v>
      </c>
      <c r="M32" s="1">
        <f>'[1]links-p0'!N31</f>
        <v>0</v>
      </c>
      <c r="N32" s="1">
        <f>'[1]links-p0'!O31</f>
        <v>5000</v>
      </c>
      <c r="O32" s="1">
        <f>'[1]links-p0'!P31</f>
        <v>0</v>
      </c>
      <c r="P32" s="1">
        <f>'[1]links-p0'!Q31</f>
        <v>0</v>
      </c>
      <c r="Q32" s="1">
        <f>'[1]links-p0'!R31</f>
        <v>182.67826424000029</v>
      </c>
      <c r="R32" s="1">
        <f>'[1]links-p0'!S31</f>
        <v>1553.672292</v>
      </c>
      <c r="S32" s="1">
        <f>'[1]links-p0'!T31</f>
        <v>2610.9940277599999</v>
      </c>
      <c r="T32" s="1">
        <f>'[1]links-p0'!U31</f>
        <v>0</v>
      </c>
      <c r="U32" s="1">
        <f>'[1]links-p0'!V31</f>
        <v>1517.7757899999999</v>
      </c>
    </row>
    <row r="33" spans="1:21">
      <c r="B33" s="15"/>
      <c r="F33" s="14"/>
      <c r="H33" s="2">
        <f t="shared" si="2"/>
        <v>30</v>
      </c>
      <c r="I33" s="1">
        <f>'[1]links-p0'!J32</f>
        <v>0</v>
      </c>
      <c r="J33" s="1">
        <f>'[1]links-p0'!K32</f>
        <v>1140.398981040202</v>
      </c>
      <c r="K33" s="1">
        <f>'[1]links-p0'!L32</f>
        <v>3500</v>
      </c>
      <c r="L33" s="1">
        <f>'[1]links-p0'!M32</f>
        <v>0</v>
      </c>
      <c r="M33" s="1">
        <f>'[1]links-p0'!N32</f>
        <v>0</v>
      </c>
      <c r="N33" s="1">
        <f>'[1]links-p0'!O32</f>
        <v>5000</v>
      </c>
      <c r="O33" s="1">
        <f>'[1]links-p0'!P32</f>
        <v>0</v>
      </c>
      <c r="P33" s="1">
        <f>'[1]links-p0'!Q32</f>
        <v>0</v>
      </c>
      <c r="Q33" s="1">
        <f>'[1]links-p0'!R32</f>
        <v>193.15139309000011</v>
      </c>
      <c r="R33" s="1">
        <f>'[1]links-p0'!S32</f>
        <v>1553.672292</v>
      </c>
      <c r="S33" s="1">
        <f>'[1]links-p0'!T32</f>
        <v>2600.5208989100001</v>
      </c>
      <c r="T33" s="1">
        <f>'[1]links-p0'!U32</f>
        <v>0</v>
      </c>
      <c r="U33" s="1">
        <f>'[1]links-p0'!V32</f>
        <v>1517.7757899999999</v>
      </c>
    </row>
    <row r="34" spans="1:21">
      <c r="B34" s="15"/>
      <c r="F34" s="14"/>
      <c r="H34" s="2">
        <f t="shared" si="2"/>
        <v>31</v>
      </c>
      <c r="I34" s="1">
        <f>'[1]links-p0'!J33</f>
        <v>0</v>
      </c>
      <c r="J34" s="1">
        <f>'[1]links-p0'!K33</f>
        <v>1223.1070613919239</v>
      </c>
      <c r="K34" s="1">
        <f>'[1]links-p0'!L33</f>
        <v>3500</v>
      </c>
      <c r="L34" s="1">
        <f>'[1]links-p0'!M33</f>
        <v>0</v>
      </c>
      <c r="M34" s="1">
        <f>'[1]links-p0'!N33</f>
        <v>0</v>
      </c>
      <c r="N34" s="1">
        <f>'[1]links-p0'!O33</f>
        <v>5000</v>
      </c>
      <c r="O34" s="1">
        <f>'[1]links-p0'!P33</f>
        <v>0</v>
      </c>
      <c r="P34" s="1">
        <f>'[1]links-p0'!Q33</f>
        <v>851.28872499999989</v>
      </c>
      <c r="Q34" s="1">
        <f>'[1]links-p0'!R33</f>
        <v>0</v>
      </c>
      <c r="R34" s="1">
        <f>'[1]links-p0'!S33</f>
        <v>1553.672292</v>
      </c>
      <c r="S34" s="1">
        <f>'[1]links-p0'!T33</f>
        <v>3644.9610170000001</v>
      </c>
      <c r="T34" s="1">
        <f>'[1]links-p0'!U33</f>
        <v>0</v>
      </c>
      <c r="U34" s="1">
        <f>'[1]links-p0'!V33</f>
        <v>1517.7757899999999</v>
      </c>
    </row>
    <row r="35" spans="1:21">
      <c r="H35" s="2">
        <f t="shared" si="2"/>
        <v>32</v>
      </c>
      <c r="I35" s="1">
        <f>'[1]links-p0'!J34</f>
        <v>0</v>
      </c>
      <c r="J35" s="1">
        <f>'[1]links-p0'!K34</f>
        <v>1305.9412858525729</v>
      </c>
      <c r="K35" s="1">
        <f>'[1]links-p0'!L34</f>
        <v>3500</v>
      </c>
      <c r="L35" s="1">
        <f>'[1]links-p0'!M34</f>
        <v>0</v>
      </c>
      <c r="M35" s="1">
        <f>'[1]links-p0'!N34</f>
        <v>0</v>
      </c>
      <c r="N35" s="1">
        <f>'[1]links-p0'!O34</f>
        <v>5000</v>
      </c>
      <c r="O35" s="1">
        <f>'[1]links-p0'!P34</f>
        <v>0</v>
      </c>
      <c r="P35" s="1">
        <f>'[1]links-p0'!Q34</f>
        <v>1896.188725</v>
      </c>
      <c r="Q35" s="1">
        <f>'[1]links-p0'!R34</f>
        <v>0</v>
      </c>
      <c r="R35" s="1">
        <f>'[1]links-p0'!S34</f>
        <v>1553.672292</v>
      </c>
      <c r="S35" s="1">
        <f>'[1]links-p0'!T34</f>
        <v>4689.8610170000002</v>
      </c>
      <c r="T35" s="1">
        <f>'[1]links-p0'!U34</f>
        <v>0</v>
      </c>
      <c r="U35" s="1">
        <f>'[1]links-p0'!V34</f>
        <v>1517.7757899999999</v>
      </c>
    </row>
    <row r="36" spans="1:21">
      <c r="H36" s="2">
        <f t="shared" si="2"/>
        <v>33</v>
      </c>
      <c r="I36" s="1">
        <f>'[1]links-p0'!J35</f>
        <v>0</v>
      </c>
      <c r="J36" s="1">
        <f>'[1]links-p0'!K35</f>
        <v>789.31396755505762</v>
      </c>
      <c r="K36" s="1">
        <f>'[1]links-p0'!L35</f>
        <v>3500</v>
      </c>
      <c r="L36" s="1">
        <f>'[1]links-p0'!M35</f>
        <v>0</v>
      </c>
      <c r="M36" s="1">
        <f>'[1]links-p0'!N35</f>
        <v>0</v>
      </c>
      <c r="N36" s="1">
        <f>'[1]links-p0'!O35</f>
        <v>5000</v>
      </c>
      <c r="O36" s="1">
        <f>'[1]links-p0'!P35</f>
        <v>0</v>
      </c>
      <c r="P36" s="1">
        <f>'[1]links-p0'!Q35</f>
        <v>2941.0887250000001</v>
      </c>
      <c r="Q36" s="1">
        <f>'[1]links-p0'!R35</f>
        <v>0</v>
      </c>
      <c r="R36" s="1">
        <f>'[1]links-p0'!S35</f>
        <v>1553.672292</v>
      </c>
      <c r="S36" s="1">
        <f>'[1]links-p0'!T35</f>
        <v>5734.7610169999998</v>
      </c>
      <c r="T36" s="1">
        <f>'[1]links-p0'!U35</f>
        <v>0</v>
      </c>
      <c r="U36" s="1">
        <f>'[1]links-p0'!V35</f>
        <v>1517.7757899999999</v>
      </c>
    </row>
    <row r="37" spans="1:21">
      <c r="A37" s="13"/>
      <c r="H37" s="2">
        <f t="shared" si="2"/>
        <v>34</v>
      </c>
      <c r="I37" s="1">
        <f>'[1]links-p0'!J36</f>
        <v>0</v>
      </c>
      <c r="J37" s="1">
        <f>'[1]links-p0'!K36</f>
        <v>0</v>
      </c>
      <c r="K37" s="1">
        <f>'[1]links-p0'!L36</f>
        <v>0</v>
      </c>
      <c r="L37" s="1">
        <f>'[1]links-p0'!M36</f>
        <v>534.1384010465506</v>
      </c>
      <c r="M37" s="1">
        <f>'[1]links-p0'!N36</f>
        <v>0</v>
      </c>
      <c r="N37" s="1">
        <f>'[1]links-p0'!O36</f>
        <v>0</v>
      </c>
      <c r="O37" s="1">
        <f>'[1]links-p0'!P36</f>
        <v>0</v>
      </c>
      <c r="P37" s="1">
        <f>'[1]links-p0'!Q36</f>
        <v>3985.9887250000002</v>
      </c>
      <c r="Q37" s="1">
        <f>'[1]links-p0'!R36</f>
        <v>0</v>
      </c>
      <c r="R37" s="1">
        <f>'[1]links-p0'!S36</f>
        <v>1553.672292</v>
      </c>
      <c r="S37" s="1">
        <f>'[1]links-p0'!T36</f>
        <v>6779.6610170000004</v>
      </c>
      <c r="T37" s="1">
        <f>'[1]links-p0'!U36</f>
        <v>0</v>
      </c>
      <c r="U37" s="1">
        <f>'[1]links-p0'!V36</f>
        <v>1517.7757899999999</v>
      </c>
    </row>
    <row r="38" spans="1:21">
      <c r="F38" s="14"/>
      <c r="H38" s="2">
        <f t="shared" si="2"/>
        <v>35</v>
      </c>
      <c r="I38" s="1">
        <f>'[1]links-p0'!J37</f>
        <v>0</v>
      </c>
      <c r="J38" s="1">
        <f>'[1]links-p0'!K37</f>
        <v>0</v>
      </c>
      <c r="K38" s="1">
        <f>'[1]links-p0'!L37</f>
        <v>0</v>
      </c>
      <c r="L38" s="1">
        <f>'[1]links-p0'!M37</f>
        <v>1861.385555285673</v>
      </c>
      <c r="M38" s="1">
        <f>'[1]links-p0'!N37</f>
        <v>0</v>
      </c>
      <c r="N38" s="1">
        <f>'[1]links-p0'!O37</f>
        <v>0</v>
      </c>
      <c r="O38" s="1">
        <f>'[1]links-p0'!P37</f>
        <v>0</v>
      </c>
      <c r="P38" s="1">
        <f>'[1]links-p0'!Q37</f>
        <v>5031.3486069099999</v>
      </c>
      <c r="Q38" s="1">
        <f>'[1]links-p0'!R37</f>
        <v>0</v>
      </c>
      <c r="R38" s="1">
        <f>'[1]links-p0'!S37</f>
        <v>1553.672292</v>
      </c>
      <c r="S38" s="1">
        <f>'[1]links-p0'!T37</f>
        <v>6779.6610170000004</v>
      </c>
      <c r="T38" s="1">
        <f>'[1]links-p0'!U37</f>
        <v>0</v>
      </c>
      <c r="U38" s="1">
        <f>'[1]links-p0'!V37</f>
        <v>1517.7757899999999</v>
      </c>
    </row>
    <row r="39" spans="1:21">
      <c r="F39" s="14"/>
      <c r="H39" s="2">
        <f t="shared" si="2"/>
        <v>36</v>
      </c>
      <c r="I39" s="1">
        <f>'[1]links-p0'!J38</f>
        <v>0</v>
      </c>
      <c r="J39" s="1">
        <f>'[1]links-p0'!K38</f>
        <v>0</v>
      </c>
      <c r="K39" s="1">
        <f>'[1]links-p0'!L38</f>
        <v>0</v>
      </c>
      <c r="L39" s="1">
        <f>'[1]links-p0'!M38</f>
        <v>2813.5703980833332</v>
      </c>
      <c r="M39" s="1">
        <f>'[1]links-p0'!N38</f>
        <v>0</v>
      </c>
      <c r="N39" s="1">
        <f>'[1]links-p0'!O38</f>
        <v>0</v>
      </c>
      <c r="O39" s="1">
        <f>'[1]links-p0'!P38</f>
        <v>0</v>
      </c>
      <c r="P39" s="1">
        <f>'[1]links-p0'!Q38</f>
        <v>5947.1300732</v>
      </c>
      <c r="Q39" s="1">
        <f>'[1]links-p0'!R38</f>
        <v>0</v>
      </c>
      <c r="R39" s="1">
        <f>'[1]links-p0'!S38</f>
        <v>832.53094380000005</v>
      </c>
      <c r="S39" s="1">
        <f>'[1]links-p0'!T38</f>
        <v>6779.6610170000004</v>
      </c>
      <c r="T39" s="1">
        <f>'[1]links-p0'!U38</f>
        <v>0</v>
      </c>
      <c r="U39" s="1">
        <f>'[1]links-p0'!V38</f>
        <v>1517.7757899999999</v>
      </c>
    </row>
    <row r="40" spans="1:21">
      <c r="F40" s="14"/>
      <c r="H40" s="2">
        <f t="shared" si="2"/>
        <v>37</v>
      </c>
      <c r="I40" s="1">
        <f>'[1]links-p0'!J39</f>
        <v>0</v>
      </c>
      <c r="J40" s="1">
        <f>'[1]links-p0'!K39</f>
        <v>0</v>
      </c>
      <c r="K40" s="1">
        <f>'[1]links-p0'!L39</f>
        <v>0</v>
      </c>
      <c r="L40" s="1">
        <f>'[1]links-p0'!M39</f>
        <v>2772.9480427404392</v>
      </c>
      <c r="M40" s="1">
        <f>'[1]links-p0'!N39</f>
        <v>0</v>
      </c>
      <c r="N40" s="1">
        <f>'[1]links-p0'!O39</f>
        <v>0</v>
      </c>
      <c r="O40" s="1">
        <f>'[1]links-p0'!P39</f>
        <v>0</v>
      </c>
      <c r="P40" s="1">
        <f>'[1]links-p0'!Q39</f>
        <v>5546.2869044600002</v>
      </c>
      <c r="Q40" s="1">
        <f>'[1]links-p0'!R39</f>
        <v>0</v>
      </c>
      <c r="R40" s="1">
        <f>'[1]links-p0'!S39</f>
        <v>1233.3741125399999</v>
      </c>
      <c r="S40" s="1">
        <f>'[1]links-p0'!T39</f>
        <v>6779.6610170000004</v>
      </c>
      <c r="T40" s="1">
        <f>'[1]links-p0'!U39</f>
        <v>0</v>
      </c>
      <c r="U40" s="1">
        <f>'[1]links-p0'!V39</f>
        <v>1517.7757899999999</v>
      </c>
    </row>
    <row r="41" spans="1:21">
      <c r="F41" s="14"/>
      <c r="H41" s="2">
        <f t="shared" si="2"/>
        <v>38</v>
      </c>
      <c r="I41" s="1">
        <f>'[1]links-p0'!J40</f>
        <v>0</v>
      </c>
      <c r="J41" s="1">
        <f>'[1]links-p0'!K40</f>
        <v>0</v>
      </c>
      <c r="K41" s="1">
        <f>'[1]links-p0'!L40</f>
        <v>1751.833555632868</v>
      </c>
      <c r="L41" s="1">
        <f>'[1]links-p0'!M40</f>
        <v>2860.169492</v>
      </c>
      <c r="M41" s="1">
        <f>'[1]links-p0'!N40</f>
        <v>0</v>
      </c>
      <c r="N41" s="1">
        <f>'[1]links-p0'!O40</f>
        <v>0</v>
      </c>
      <c r="O41" s="1">
        <f>'[1]links-p0'!P40</f>
        <v>0</v>
      </c>
      <c r="P41" s="1">
        <f>'[1]links-p0'!Q40</f>
        <v>4562.7191633700004</v>
      </c>
      <c r="Q41" s="1">
        <f>'[1]links-p0'!R40</f>
        <v>0</v>
      </c>
      <c r="R41" s="1">
        <f>'[1]links-p0'!S40</f>
        <v>1232.91423063</v>
      </c>
      <c r="S41" s="1">
        <f>'[1]links-p0'!T40</f>
        <v>6779.6610170000004</v>
      </c>
      <c r="T41" s="1">
        <f>'[1]links-p0'!U40</f>
        <v>0</v>
      </c>
      <c r="U41" s="1">
        <f>'[1]links-p0'!V40</f>
        <v>1517.7757899999999</v>
      </c>
    </row>
    <row r="42" spans="1:21">
      <c r="F42" s="14"/>
      <c r="H42" s="2">
        <f t="shared" si="2"/>
        <v>39</v>
      </c>
      <c r="I42" s="1">
        <f>'[1]links-p0'!J41</f>
        <v>0</v>
      </c>
      <c r="J42" s="1">
        <f>'[1]links-p0'!K41</f>
        <v>0</v>
      </c>
      <c r="K42" s="1">
        <f>'[1]links-p0'!L41</f>
        <v>0</v>
      </c>
      <c r="L42" s="1">
        <f>'[1]links-p0'!M41</f>
        <v>2072.1780036563482</v>
      </c>
      <c r="M42" s="1">
        <f>'[1]links-p0'!N41</f>
        <v>0</v>
      </c>
      <c r="N42" s="1">
        <f>'[1]links-p0'!O41</f>
        <v>3682.2798601</v>
      </c>
      <c r="O42" s="1">
        <f>'[1]links-p0'!P41</f>
        <v>0</v>
      </c>
      <c r="P42" s="1">
        <f>'[1]links-p0'!Q41</f>
        <v>3517.8191633699998</v>
      </c>
      <c r="Q42" s="1">
        <f>'[1]links-p0'!R41</f>
        <v>0</v>
      </c>
      <c r="R42" s="1">
        <f>'[1]links-p0'!S41</f>
        <v>1232.4543487200001</v>
      </c>
      <c r="S42" s="1">
        <f>'[1]links-p0'!T41</f>
        <v>5990.2735120899997</v>
      </c>
      <c r="T42" s="1">
        <f>'[1]links-p0'!U41</f>
        <v>0</v>
      </c>
      <c r="U42" s="1">
        <f>'[1]links-p0'!V41</f>
        <v>1517.7757899999999</v>
      </c>
    </row>
    <row r="43" spans="1:21">
      <c r="F43" s="14"/>
      <c r="H43" s="2">
        <f t="shared" si="2"/>
        <v>40</v>
      </c>
      <c r="I43" s="1">
        <f>'[1]links-p0'!J42</f>
        <v>0</v>
      </c>
      <c r="J43" s="1">
        <f>'[1]links-p0'!K42</f>
        <v>0</v>
      </c>
      <c r="K43" s="1">
        <f>'[1]links-p0'!L42</f>
        <v>3500</v>
      </c>
      <c r="L43" s="1">
        <f>'[1]links-p0'!M42</f>
        <v>908.35293108927317</v>
      </c>
      <c r="M43" s="1">
        <f>'[1]links-p0'!N42</f>
        <v>0</v>
      </c>
      <c r="N43" s="1">
        <f>'[1]links-p0'!O42</f>
        <v>5000</v>
      </c>
      <c r="O43" s="1">
        <f>'[1]links-p0'!P42</f>
        <v>0</v>
      </c>
      <c r="P43" s="1">
        <f>'[1]links-p0'!Q42</f>
        <v>2151.7012200899999</v>
      </c>
      <c r="Q43" s="1">
        <f>'[1]links-p0'!R42</f>
        <v>0</v>
      </c>
      <c r="R43" s="1">
        <f>'[1]links-p0'!S42</f>
        <v>1553.672292</v>
      </c>
      <c r="S43" s="1">
        <f>'[1]links-p0'!T42</f>
        <v>4945.3735120900001</v>
      </c>
      <c r="T43" s="1">
        <f>'[1]links-p0'!U42</f>
        <v>0</v>
      </c>
      <c r="U43" s="1">
        <f>'[1]links-p0'!V42</f>
        <v>1517.7757899999999</v>
      </c>
    </row>
    <row r="44" spans="1:21">
      <c r="F44" s="14"/>
      <c r="H44" s="2">
        <f t="shared" si="2"/>
        <v>41</v>
      </c>
      <c r="I44" s="1">
        <f>'[1]links-p0'!J43</f>
        <v>0</v>
      </c>
      <c r="J44" s="1">
        <f>'[1]links-p0'!K43</f>
        <v>363.99378765304778</v>
      </c>
      <c r="K44" s="1">
        <f>'[1]links-p0'!L43</f>
        <v>3500</v>
      </c>
      <c r="L44" s="1">
        <f>'[1]links-p0'!M43</f>
        <v>0</v>
      </c>
      <c r="M44" s="1">
        <f>'[1]links-p0'!N43</f>
        <v>0</v>
      </c>
      <c r="N44" s="1">
        <f>'[1]links-p0'!O43</f>
        <v>5000</v>
      </c>
      <c r="O44" s="1">
        <f>'[1]links-p0'!P43</f>
        <v>0</v>
      </c>
      <c r="P44" s="1">
        <f>'[1]links-p0'!Q43</f>
        <v>1106.80122009</v>
      </c>
      <c r="Q44" s="1">
        <f>'[1]links-p0'!R43</f>
        <v>0</v>
      </c>
      <c r="R44" s="1">
        <f>'[1]links-p0'!S43</f>
        <v>1553.672292</v>
      </c>
      <c r="S44" s="1">
        <f>'[1]links-p0'!T43</f>
        <v>3900.47351209</v>
      </c>
      <c r="T44" s="1">
        <f>'[1]links-p0'!U43</f>
        <v>0</v>
      </c>
      <c r="U44" s="1">
        <f>'[1]links-p0'!V43</f>
        <v>1517.7757899999999</v>
      </c>
    </row>
    <row r="45" spans="1:21">
      <c r="F45" s="14"/>
      <c r="H45" s="2">
        <f t="shared" si="2"/>
        <v>42</v>
      </c>
      <c r="I45" s="1">
        <f>'[1]links-p0'!J44</f>
        <v>0</v>
      </c>
      <c r="J45" s="1">
        <f>'[1]links-p0'!K44</f>
        <v>1141.6594014845559</v>
      </c>
      <c r="K45" s="1">
        <f>'[1]links-p0'!L44</f>
        <v>3500</v>
      </c>
      <c r="L45" s="1">
        <f>'[1]links-p0'!M44</f>
        <v>0</v>
      </c>
      <c r="M45" s="1">
        <f>'[1]links-p0'!N44</f>
        <v>0</v>
      </c>
      <c r="N45" s="1">
        <f>'[1]links-p0'!O44</f>
        <v>5000</v>
      </c>
      <c r="O45" s="1">
        <f>'[1]links-p0'!P44</f>
        <v>0</v>
      </c>
      <c r="P45" s="1">
        <f>'[1]links-p0'!Q44</f>
        <v>62.361101999999853</v>
      </c>
      <c r="Q45" s="1">
        <f>'[1]links-p0'!R44</f>
        <v>0</v>
      </c>
      <c r="R45" s="1">
        <f>'[1]links-p0'!S44</f>
        <v>1553.672292</v>
      </c>
      <c r="S45" s="1">
        <f>'[1]links-p0'!T44</f>
        <v>2856.033394</v>
      </c>
      <c r="T45" s="1">
        <f>'[1]links-p0'!U44</f>
        <v>0</v>
      </c>
      <c r="U45" s="1">
        <f>'[1]links-p0'!V44</f>
        <v>1517.7757899999999</v>
      </c>
    </row>
    <row r="46" spans="1:21">
      <c r="F46" s="14"/>
      <c r="H46" s="2">
        <f t="shared" si="2"/>
        <v>43</v>
      </c>
      <c r="I46" s="1">
        <f>'[1]links-p0'!J45</f>
        <v>0</v>
      </c>
      <c r="J46" s="1">
        <f>'[1]links-p0'!K45</f>
        <v>917.10254704249189</v>
      </c>
      <c r="K46" s="1">
        <f>'[1]links-p0'!L45</f>
        <v>3500</v>
      </c>
      <c r="L46" s="1">
        <f>'[1]links-p0'!M45</f>
        <v>0</v>
      </c>
      <c r="M46" s="1">
        <f>'[1]links-p0'!N45</f>
        <v>0</v>
      </c>
      <c r="N46" s="1">
        <f>'[1]links-p0'!O45</f>
        <v>5000</v>
      </c>
      <c r="O46" s="1">
        <f>'[1]links-p0'!P45</f>
        <v>0</v>
      </c>
      <c r="P46" s="1">
        <f>'[1]links-p0'!Q45</f>
        <v>0</v>
      </c>
      <c r="Q46" s="1">
        <f>'[1]links-p0'!R45</f>
        <v>982.0790160900001</v>
      </c>
      <c r="R46" s="1">
        <f>'[1]links-p0'!S45</f>
        <v>1553.672292</v>
      </c>
      <c r="S46" s="1">
        <f>'[1]links-p0'!T45</f>
        <v>1811.5932759100001</v>
      </c>
      <c r="T46" s="1">
        <f>'[1]links-p0'!U45</f>
        <v>0</v>
      </c>
      <c r="U46" s="1">
        <f>'[1]links-p0'!V45</f>
        <v>1517.7757899999999</v>
      </c>
    </row>
    <row r="47" spans="1:21">
      <c r="F47" s="14"/>
      <c r="H47" s="2">
        <f t="shared" si="2"/>
        <v>44</v>
      </c>
      <c r="I47" s="1">
        <f>'[1]links-p0'!J46</f>
        <v>0</v>
      </c>
      <c r="J47" s="1">
        <f>'[1]links-p0'!K46</f>
        <v>785.10267915137513</v>
      </c>
      <c r="K47" s="1">
        <f>'[1]links-p0'!L46</f>
        <v>3500</v>
      </c>
      <c r="L47" s="1">
        <f>'[1]links-p0'!M46</f>
        <v>0</v>
      </c>
      <c r="M47" s="1">
        <f>'[1]links-p0'!N46</f>
        <v>0</v>
      </c>
      <c r="N47" s="1">
        <f>'[1]links-p0'!O46</f>
        <v>5000</v>
      </c>
      <c r="O47" s="1">
        <f>'[1]links-p0'!P46</f>
        <v>0</v>
      </c>
      <c r="P47" s="1">
        <f>'[1]links-p0'!Q46</f>
        <v>0</v>
      </c>
      <c r="Q47" s="1">
        <f>'[1]links-p0'!R46</f>
        <v>2026.51913418</v>
      </c>
      <c r="R47" s="1">
        <f>'[1]links-p0'!S46</f>
        <v>1553.672292</v>
      </c>
      <c r="S47" s="1">
        <f>'[1]links-p0'!T46</f>
        <v>767.15315782000005</v>
      </c>
      <c r="T47" s="1">
        <f>'[1]links-p0'!U46</f>
        <v>0</v>
      </c>
      <c r="U47" s="1">
        <f>'[1]links-p0'!V46</f>
        <v>1517.7757899999999</v>
      </c>
    </row>
    <row r="48" spans="1:21">
      <c r="F48" s="14"/>
      <c r="H48" s="2">
        <f t="shared" si="2"/>
        <v>45</v>
      </c>
      <c r="I48" s="1">
        <f>'[1]links-p0'!J47</f>
        <v>0</v>
      </c>
      <c r="J48" s="1">
        <f>'[1]links-p0'!K47</f>
        <v>702.49348256595681</v>
      </c>
      <c r="K48" s="1">
        <f>'[1]links-p0'!L47</f>
        <v>3500</v>
      </c>
      <c r="L48" s="1">
        <f>'[1]links-p0'!M47</f>
        <v>0</v>
      </c>
      <c r="M48" s="1">
        <f>'[1]links-p0'!N47</f>
        <v>0</v>
      </c>
      <c r="N48" s="1">
        <f>'[1]links-p0'!O47</f>
        <v>5000</v>
      </c>
      <c r="O48" s="1">
        <f>'[1]links-p0'!P47</f>
        <v>0</v>
      </c>
      <c r="P48" s="1">
        <f>'[1]links-p0'!Q47</f>
        <v>0</v>
      </c>
      <c r="Q48" s="1">
        <f>'[1]links-p0'!R47</f>
        <v>2370.9623610399999</v>
      </c>
      <c r="R48" s="1">
        <f>'[1]links-p0'!S47</f>
        <v>1553.672292</v>
      </c>
      <c r="S48" s="1">
        <f>'[1]links-p0'!T47</f>
        <v>422.70993096000001</v>
      </c>
      <c r="T48" s="1">
        <f>'[1]links-p0'!U47</f>
        <v>0</v>
      </c>
      <c r="U48" s="1">
        <f>'[1]links-p0'!V47</f>
        <v>1517.7757899999999</v>
      </c>
    </row>
    <row r="49" spans="6:21">
      <c r="F49" s="14"/>
      <c r="H49" s="2">
        <f t="shared" si="2"/>
        <v>46</v>
      </c>
      <c r="I49" s="1">
        <f>'[1]links-p0'!J48</f>
        <v>0</v>
      </c>
      <c r="J49" s="1">
        <f>'[1]links-p0'!K48</f>
        <v>644.50306314495185</v>
      </c>
      <c r="K49" s="1">
        <f>'[1]links-p0'!L48</f>
        <v>3500</v>
      </c>
      <c r="L49" s="1">
        <f>'[1]links-p0'!M48</f>
        <v>0</v>
      </c>
      <c r="M49" s="1">
        <f>'[1]links-p0'!N48</f>
        <v>0</v>
      </c>
      <c r="N49" s="1">
        <f>'[1]links-p0'!O48</f>
        <v>5000</v>
      </c>
      <c r="O49" s="1">
        <f>'[1]links-p0'!P48</f>
        <v>0</v>
      </c>
      <c r="P49" s="1">
        <f>'[1]links-p0'!Q48</f>
        <v>0</v>
      </c>
      <c r="Q49" s="1">
        <f>'[1]links-p0'!R48</f>
        <v>2470.59763802</v>
      </c>
      <c r="R49" s="1">
        <f>'[1]links-p0'!S48</f>
        <v>1553.672292</v>
      </c>
      <c r="S49" s="1">
        <f>'[1]links-p0'!T48</f>
        <v>323.07465397999999</v>
      </c>
      <c r="T49" s="1">
        <f>'[1]links-p0'!U48</f>
        <v>0</v>
      </c>
      <c r="U49" s="1">
        <f>'[1]links-p0'!V48</f>
        <v>1517.7757899999999</v>
      </c>
    </row>
    <row r="50" spans="6:21">
      <c r="F50" s="14"/>
      <c r="H50" s="2">
        <f t="shared" si="2"/>
        <v>47</v>
      </c>
      <c r="I50" s="1">
        <f>'[1]links-p0'!J49</f>
        <v>0</v>
      </c>
      <c r="J50" s="1">
        <f>'[1]links-p0'!K49</f>
        <v>672.96208914818646</v>
      </c>
      <c r="K50" s="1">
        <f>'[1]links-p0'!L49</f>
        <v>3500</v>
      </c>
      <c r="L50" s="1">
        <f>'[1]links-p0'!M49</f>
        <v>0</v>
      </c>
      <c r="M50" s="1">
        <f>'[1]links-p0'!N49</f>
        <v>0</v>
      </c>
      <c r="N50" s="1">
        <f>'[1]links-p0'!O49</f>
        <v>5000</v>
      </c>
      <c r="O50" s="1">
        <f>'[1]links-p0'!P49</f>
        <v>0</v>
      </c>
      <c r="P50" s="1">
        <f>'[1]links-p0'!Q49</f>
        <v>0</v>
      </c>
      <c r="Q50" s="1">
        <f>'[1]links-p0'!R49</f>
        <v>2629.32736802</v>
      </c>
      <c r="R50" s="1">
        <f>'[1]links-p0'!S49</f>
        <v>1553.672292</v>
      </c>
      <c r="S50" s="1">
        <f>'[1]links-p0'!T49</f>
        <v>164.34492398</v>
      </c>
      <c r="T50" s="1">
        <f>'[1]links-p0'!U49</f>
        <v>0</v>
      </c>
      <c r="U50" s="1">
        <f>'[1]links-p0'!V49</f>
        <v>1517.7757899999999</v>
      </c>
    </row>
    <row r="51" spans="6:21">
      <c r="H51" s="2">
        <f t="shared" si="2"/>
        <v>48</v>
      </c>
      <c r="I51" s="1">
        <f>'[1]links-p0'!J50</f>
        <v>0</v>
      </c>
      <c r="J51" s="1">
        <f>'[1]links-p0'!K50</f>
        <v>578.19973259908897</v>
      </c>
      <c r="K51" s="1">
        <f>'[1]links-p0'!L50</f>
        <v>3500</v>
      </c>
      <c r="L51" s="1">
        <f>'[1]links-p0'!M50</f>
        <v>0</v>
      </c>
      <c r="M51" s="1">
        <f>'[1]links-p0'!N50</f>
        <v>0</v>
      </c>
      <c r="N51" s="1">
        <f>'[1]links-p0'!O50</f>
        <v>5000</v>
      </c>
      <c r="O51" s="1">
        <f>'[1]links-p0'!P50</f>
        <v>0</v>
      </c>
      <c r="P51" s="1">
        <f>'[1]links-p0'!Q50</f>
        <v>0</v>
      </c>
      <c r="Q51" s="1">
        <f>'[1]links-p0'!R50</f>
        <v>2618.8018549799999</v>
      </c>
      <c r="R51" s="1">
        <f>'[1]links-p0'!S50</f>
        <v>1553.672292</v>
      </c>
      <c r="S51" s="1">
        <f>'[1]links-p0'!T50</f>
        <v>174.87043702</v>
      </c>
      <c r="T51" s="1">
        <f>'[1]links-p0'!U50</f>
        <v>0</v>
      </c>
      <c r="U51" s="1">
        <f>'[1]links-p0'!V50</f>
        <v>1517.7757899999999</v>
      </c>
    </row>
    <row r="52" spans="6:21">
      <c r="H52" s="2">
        <f t="shared" si="2"/>
        <v>49</v>
      </c>
      <c r="I52" s="1">
        <f>'[1]links-p0'!J51</f>
        <v>0</v>
      </c>
      <c r="J52" s="1">
        <f>'[1]links-p0'!K51</f>
        <v>583.58413759178984</v>
      </c>
      <c r="K52" s="1">
        <f>'[1]links-p0'!L51</f>
        <v>3500</v>
      </c>
      <c r="L52" s="1">
        <f>'[1]links-p0'!M51</f>
        <v>0</v>
      </c>
      <c r="M52" s="1">
        <f>'[1]links-p0'!N51</f>
        <v>0</v>
      </c>
      <c r="N52" s="1">
        <f>'[1]links-p0'!O51</f>
        <v>5000</v>
      </c>
      <c r="O52" s="1">
        <f>'[1]links-p0'!P51</f>
        <v>0</v>
      </c>
      <c r="P52" s="1">
        <f>'[1]links-p0'!Q51</f>
        <v>0</v>
      </c>
      <c r="Q52" s="1">
        <f>'[1]links-p0'!R51</f>
        <v>2527.4830749799999</v>
      </c>
      <c r="R52" s="1">
        <f>'[1]links-p0'!S51</f>
        <v>1553.672292</v>
      </c>
      <c r="S52" s="1">
        <f>'[1]links-p0'!T51</f>
        <v>266.18921702</v>
      </c>
      <c r="T52" s="1">
        <f>'[1]links-p0'!U51</f>
        <v>0</v>
      </c>
      <c r="U52" s="1">
        <f>'[1]links-p0'!V51</f>
        <v>1517.7757899999999</v>
      </c>
    </row>
    <row r="53" spans="6:21">
      <c r="H53" s="2">
        <f t="shared" si="2"/>
        <v>50</v>
      </c>
      <c r="I53" s="1">
        <f>'[1]links-p0'!J52</f>
        <v>0</v>
      </c>
      <c r="J53" s="1">
        <f>'[1]links-p0'!K52</f>
        <v>562.5719205669219</v>
      </c>
      <c r="K53" s="1">
        <f>'[1]links-p0'!L52</f>
        <v>3500</v>
      </c>
      <c r="L53" s="1">
        <f>'[1]links-p0'!M52</f>
        <v>0</v>
      </c>
      <c r="M53" s="1">
        <f>'[1]links-p0'!N52</f>
        <v>0</v>
      </c>
      <c r="N53" s="1">
        <f>'[1]links-p0'!O52</f>
        <v>5000</v>
      </c>
      <c r="O53" s="1">
        <f>'[1]links-p0'!P52</f>
        <v>0</v>
      </c>
      <c r="P53" s="1">
        <f>'[1]links-p0'!Q52</f>
        <v>0</v>
      </c>
      <c r="Q53" s="1">
        <f>'[1]links-p0'!R52</f>
        <v>2435.0858049799999</v>
      </c>
      <c r="R53" s="1">
        <f>'[1]links-p0'!S52</f>
        <v>1553.672292</v>
      </c>
      <c r="S53" s="1">
        <f>'[1]links-p0'!T52</f>
        <v>358.58648701999999</v>
      </c>
      <c r="T53" s="1">
        <f>'[1]links-p0'!U52</f>
        <v>0</v>
      </c>
      <c r="U53" s="1">
        <f>'[1]links-p0'!V52</f>
        <v>1517.7757899999999</v>
      </c>
    </row>
    <row r="54" spans="6:21">
      <c r="H54" s="2">
        <f t="shared" si="2"/>
        <v>51</v>
      </c>
      <c r="I54" s="1">
        <f>'[1]links-p0'!J53</f>
        <v>0</v>
      </c>
      <c r="J54" s="1">
        <f>'[1]links-p0'!K53</f>
        <v>550.27514614320864</v>
      </c>
      <c r="K54" s="1">
        <f>'[1]links-p0'!L53</f>
        <v>3500</v>
      </c>
      <c r="L54" s="1">
        <f>'[1]links-p0'!M53</f>
        <v>0</v>
      </c>
      <c r="M54" s="1">
        <f>'[1]links-p0'!N53</f>
        <v>0</v>
      </c>
      <c r="N54" s="1">
        <f>'[1]links-p0'!O53</f>
        <v>5000</v>
      </c>
      <c r="O54" s="1">
        <f>'[1]links-p0'!P53</f>
        <v>0</v>
      </c>
      <c r="P54" s="1">
        <f>'[1]links-p0'!Q53</f>
        <v>0</v>
      </c>
      <c r="Q54" s="1">
        <f>'[1]links-p0'!R53</f>
        <v>2530.01777498</v>
      </c>
      <c r="R54" s="1">
        <f>'[1]links-p0'!S53</f>
        <v>1553.672292</v>
      </c>
      <c r="S54" s="1">
        <f>'[1]links-p0'!T53</f>
        <v>263.65451702000001</v>
      </c>
      <c r="T54" s="1">
        <f>'[1]links-p0'!U53</f>
        <v>0</v>
      </c>
      <c r="U54" s="1">
        <f>'[1]links-p0'!V53</f>
        <v>1517.7757899999999</v>
      </c>
    </row>
    <row r="55" spans="6:21">
      <c r="H55" s="2">
        <f t="shared" si="2"/>
        <v>52</v>
      </c>
      <c r="I55" s="1">
        <f>'[1]links-p0'!J54</f>
        <v>0</v>
      </c>
      <c r="J55" s="1">
        <f>'[1]links-p0'!K54</f>
        <v>544.81436547226167</v>
      </c>
      <c r="K55" s="1">
        <f>'[1]links-p0'!L54</f>
        <v>3500</v>
      </c>
      <c r="L55" s="1">
        <f>'[1]links-p0'!M54</f>
        <v>0</v>
      </c>
      <c r="M55" s="1">
        <f>'[1]links-p0'!N54</f>
        <v>0</v>
      </c>
      <c r="N55" s="1">
        <f>'[1]links-p0'!O54</f>
        <v>5000</v>
      </c>
      <c r="O55" s="1">
        <f>'[1]links-p0'!P54</f>
        <v>0</v>
      </c>
      <c r="P55" s="1">
        <f>'[1]links-p0'!Q54</f>
        <v>0</v>
      </c>
      <c r="Q55" s="1">
        <f>'[1]links-p0'!R54</f>
        <v>2655.55179774</v>
      </c>
      <c r="R55" s="1">
        <f>'[1]links-p0'!S54</f>
        <v>1553.672292</v>
      </c>
      <c r="S55" s="1">
        <f>'[1]links-p0'!T54</f>
        <v>138.12049425999999</v>
      </c>
      <c r="T55" s="1">
        <f>'[1]links-p0'!U54</f>
        <v>0</v>
      </c>
      <c r="U55" s="1">
        <f>'[1]links-p0'!V54</f>
        <v>1517.7757899999999</v>
      </c>
    </row>
    <row r="56" spans="6:21">
      <c r="H56" s="2">
        <f t="shared" si="2"/>
        <v>53</v>
      </c>
      <c r="I56" s="1">
        <f>'[1]links-p0'!J55</f>
        <v>0</v>
      </c>
      <c r="J56" s="1">
        <f>'[1]links-p0'!K55</f>
        <v>634.00111144214338</v>
      </c>
      <c r="K56" s="1">
        <f>'[1]links-p0'!L55</f>
        <v>3500</v>
      </c>
      <c r="L56" s="1">
        <f>'[1]links-p0'!M55</f>
        <v>0</v>
      </c>
      <c r="M56" s="1">
        <f>'[1]links-p0'!N55</f>
        <v>0</v>
      </c>
      <c r="N56" s="1">
        <f>'[1]links-p0'!O55</f>
        <v>5000</v>
      </c>
      <c r="O56" s="1">
        <f>'[1]links-p0'!P55</f>
        <v>0</v>
      </c>
      <c r="P56" s="1">
        <f>'[1]links-p0'!Q55</f>
        <v>0</v>
      </c>
      <c r="Q56" s="1">
        <f>'[1]links-p0'!R55</f>
        <v>2861.8570897499999</v>
      </c>
      <c r="R56" s="1">
        <f>'[1]links-p0'!S55</f>
        <v>1553.672292</v>
      </c>
      <c r="S56" s="1">
        <f>'[1]links-p0'!T55</f>
        <v>0</v>
      </c>
      <c r="T56" s="1">
        <f>'[1]links-p0'!U55</f>
        <v>68.184797750000001</v>
      </c>
      <c r="U56" s="1">
        <f>'[1]links-p0'!V55</f>
        <v>1517.7757899999999</v>
      </c>
    </row>
    <row r="57" spans="6:21">
      <c r="H57" s="2">
        <f t="shared" si="2"/>
        <v>54</v>
      </c>
      <c r="I57" s="1">
        <f>'[1]links-p0'!J56</f>
        <v>0</v>
      </c>
      <c r="J57" s="1">
        <f>'[1]links-p0'!K56</f>
        <v>741.80239878100906</v>
      </c>
      <c r="K57" s="1">
        <f>'[1]links-p0'!L56</f>
        <v>3500</v>
      </c>
      <c r="L57" s="1">
        <f>'[1]links-p0'!M56</f>
        <v>0</v>
      </c>
      <c r="M57" s="1">
        <f>'[1]links-p0'!N56</f>
        <v>0</v>
      </c>
      <c r="N57" s="1">
        <f>'[1]links-p0'!O56</f>
        <v>5000</v>
      </c>
      <c r="O57" s="1">
        <f>'[1]links-p0'!P56</f>
        <v>0</v>
      </c>
      <c r="P57" s="1">
        <f>'[1]links-p0'!Q56</f>
        <v>0</v>
      </c>
      <c r="Q57" s="1">
        <f>'[1]links-p0'!R56</f>
        <v>2275.83945877</v>
      </c>
      <c r="R57" s="1">
        <f>'[1]links-p0'!S56</f>
        <v>1553.672292</v>
      </c>
      <c r="S57" s="1">
        <f>'[1]links-p0'!T56</f>
        <v>517.83283323000001</v>
      </c>
      <c r="T57" s="1">
        <f>'[1]links-p0'!U56</f>
        <v>0</v>
      </c>
      <c r="U57" s="1">
        <f>'[1]links-p0'!V56</f>
        <v>1517.7757899999999</v>
      </c>
    </row>
    <row r="58" spans="6:21">
      <c r="H58" s="2">
        <f t="shared" si="2"/>
        <v>55</v>
      </c>
      <c r="I58" s="1">
        <f>'[1]links-p0'!J57</f>
        <v>0</v>
      </c>
      <c r="J58" s="1">
        <f>'[1]links-p0'!K57</f>
        <v>862.56003785119549</v>
      </c>
      <c r="K58" s="1">
        <f>'[1]links-p0'!L57</f>
        <v>3500</v>
      </c>
      <c r="L58" s="1">
        <f>'[1]links-p0'!M57</f>
        <v>0</v>
      </c>
      <c r="M58" s="1">
        <f>'[1]links-p0'!N57</f>
        <v>0</v>
      </c>
      <c r="N58" s="1">
        <f>'[1]links-p0'!O57</f>
        <v>5000</v>
      </c>
      <c r="O58" s="1">
        <f>'[1]links-p0'!P57</f>
        <v>0</v>
      </c>
      <c r="P58" s="1">
        <f>'[1]links-p0'!Q57</f>
        <v>0</v>
      </c>
      <c r="Q58" s="1">
        <f>'[1]links-p0'!R57</f>
        <v>1231.39934068</v>
      </c>
      <c r="R58" s="1">
        <f>'[1]links-p0'!S57</f>
        <v>1553.672292</v>
      </c>
      <c r="S58" s="1">
        <f>'[1]links-p0'!T57</f>
        <v>1562.2729513199999</v>
      </c>
      <c r="T58" s="1">
        <f>'[1]links-p0'!U57</f>
        <v>0</v>
      </c>
      <c r="U58" s="1">
        <f>'[1]links-p0'!V57</f>
        <v>1517.7757899999999</v>
      </c>
    </row>
    <row r="59" spans="6:21">
      <c r="H59" s="2">
        <f t="shared" si="2"/>
        <v>56</v>
      </c>
      <c r="I59" s="1">
        <f>'[1]links-p0'!J58</f>
        <v>0</v>
      </c>
      <c r="J59" s="1">
        <f>'[1]links-p0'!K58</f>
        <v>1003.184780751028</v>
      </c>
      <c r="K59" s="1">
        <f>'[1]links-p0'!L58</f>
        <v>3500</v>
      </c>
      <c r="L59" s="1">
        <f>'[1]links-p0'!M58</f>
        <v>0</v>
      </c>
      <c r="M59" s="1">
        <f>'[1]links-p0'!N58</f>
        <v>0</v>
      </c>
      <c r="N59" s="1">
        <f>'[1]links-p0'!O58</f>
        <v>5000</v>
      </c>
      <c r="O59" s="1">
        <f>'[1]links-p0'!P58</f>
        <v>0</v>
      </c>
      <c r="P59" s="1">
        <f>'[1]links-p0'!Q58</f>
        <v>0</v>
      </c>
      <c r="Q59" s="1">
        <f>'[1]links-p0'!R58</f>
        <v>186.49934068000039</v>
      </c>
      <c r="R59" s="1">
        <f>'[1]links-p0'!S58</f>
        <v>1553.672292</v>
      </c>
      <c r="S59" s="1">
        <f>'[1]links-p0'!T58</f>
        <v>2607.1729513199998</v>
      </c>
      <c r="T59" s="1">
        <f>'[1]links-p0'!U58</f>
        <v>0</v>
      </c>
      <c r="U59" s="1">
        <f>'[1]links-p0'!V58</f>
        <v>1517.7757899999999</v>
      </c>
    </row>
    <row r="60" spans="6:21">
      <c r="H60" s="2">
        <f t="shared" si="2"/>
        <v>57</v>
      </c>
      <c r="I60" s="1">
        <f>'[1]links-p0'!J59</f>
        <v>0</v>
      </c>
      <c r="J60" s="1">
        <f>'[1]links-p0'!K59</f>
        <v>612.54078858508581</v>
      </c>
      <c r="K60" s="1">
        <f>'[1]links-p0'!L59</f>
        <v>3500</v>
      </c>
      <c r="L60" s="1">
        <f>'[1]links-p0'!M59</f>
        <v>0</v>
      </c>
      <c r="M60" s="1">
        <f>'[1]links-p0'!N59</f>
        <v>0</v>
      </c>
      <c r="N60" s="1">
        <f>'[1]links-p0'!O59</f>
        <v>5000</v>
      </c>
      <c r="O60" s="1">
        <f>'[1]links-p0'!P59</f>
        <v>0</v>
      </c>
      <c r="P60" s="1">
        <f>'[1]links-p0'!Q59</f>
        <v>858.4006593199997</v>
      </c>
      <c r="Q60" s="1">
        <f>'[1]links-p0'!R59</f>
        <v>0</v>
      </c>
      <c r="R60" s="1">
        <f>'[1]links-p0'!S59</f>
        <v>1553.672292</v>
      </c>
      <c r="S60" s="1">
        <f>'[1]links-p0'!T59</f>
        <v>3652.0729513199999</v>
      </c>
      <c r="T60" s="1">
        <f>'[1]links-p0'!U59</f>
        <v>0</v>
      </c>
      <c r="U60" s="1">
        <f>'[1]links-p0'!V59</f>
        <v>1517.7757899999999</v>
      </c>
    </row>
    <row r="61" spans="6:21">
      <c r="H61" s="2">
        <f t="shared" si="2"/>
        <v>58</v>
      </c>
      <c r="I61" s="1">
        <f>'[1]links-p0'!J60</f>
        <v>0</v>
      </c>
      <c r="J61" s="1">
        <f>'[1]links-p0'!K60</f>
        <v>0</v>
      </c>
      <c r="K61" s="1">
        <f>'[1]links-p0'!L60</f>
        <v>3500</v>
      </c>
      <c r="L61" s="1">
        <f>'[1]links-p0'!M60</f>
        <v>569.29568604819997</v>
      </c>
      <c r="M61" s="1">
        <f>'[1]links-p0'!N60</f>
        <v>0</v>
      </c>
      <c r="N61" s="1">
        <f>'[1]links-p0'!O60</f>
        <v>5000</v>
      </c>
      <c r="O61" s="1">
        <f>'[1]links-p0'!P60</f>
        <v>0</v>
      </c>
      <c r="P61" s="1">
        <f>'[1]links-p0'!Q60</f>
        <v>1903.30065932</v>
      </c>
      <c r="Q61" s="1">
        <f>'[1]links-p0'!R60</f>
        <v>0</v>
      </c>
      <c r="R61" s="1">
        <f>'[1]links-p0'!S60</f>
        <v>1553.672292</v>
      </c>
      <c r="S61" s="1">
        <f>'[1]links-p0'!T60</f>
        <v>4696.97295132</v>
      </c>
      <c r="T61" s="1">
        <f>'[1]links-p0'!U60</f>
        <v>0</v>
      </c>
      <c r="U61" s="1">
        <f>'[1]links-p0'!V60</f>
        <v>1517.7757899999999</v>
      </c>
    </row>
    <row r="62" spans="6:21">
      <c r="H62" s="2">
        <f t="shared" si="2"/>
        <v>59</v>
      </c>
      <c r="I62" s="1">
        <f>'[1]links-p0'!J61</f>
        <v>0</v>
      </c>
      <c r="J62" s="1">
        <f>'[1]links-p0'!K61</f>
        <v>0</v>
      </c>
      <c r="K62" s="1">
        <f>'[1]links-p0'!L61</f>
        <v>3500</v>
      </c>
      <c r="L62" s="1">
        <f>'[1]links-p0'!M61</f>
        <v>1832.7152631895581</v>
      </c>
      <c r="M62" s="1">
        <f>'[1]links-p0'!N61</f>
        <v>0</v>
      </c>
      <c r="N62" s="1">
        <f>'[1]links-p0'!O61</f>
        <v>5000</v>
      </c>
      <c r="O62" s="1">
        <f>'[1]links-p0'!P61</f>
        <v>0</v>
      </c>
      <c r="P62" s="1">
        <f>'[1]links-p0'!Q61</f>
        <v>2948.66054123</v>
      </c>
      <c r="Q62" s="1">
        <f>'[1]links-p0'!R61</f>
        <v>0</v>
      </c>
      <c r="R62" s="1">
        <f>'[1]links-p0'!S61</f>
        <v>1553.672292</v>
      </c>
      <c r="S62" s="1">
        <f>'[1]links-p0'!T61</f>
        <v>5742.3328332299998</v>
      </c>
      <c r="T62" s="1">
        <f>'[1]links-p0'!U61</f>
        <v>0</v>
      </c>
      <c r="U62" s="1">
        <f>'[1]links-p0'!V61</f>
        <v>1517.7757899999999</v>
      </c>
    </row>
    <row r="63" spans="6:21">
      <c r="H63" s="2">
        <f t="shared" si="2"/>
        <v>60</v>
      </c>
      <c r="I63" s="1">
        <f>'[1]links-p0'!J62</f>
        <v>0</v>
      </c>
      <c r="J63" s="1">
        <f>'[1]links-p0'!K62</f>
        <v>0</v>
      </c>
      <c r="K63" s="1">
        <f>'[1]links-p0'!L62</f>
        <v>3500</v>
      </c>
      <c r="L63" s="1">
        <f>'[1]links-p0'!M62</f>
        <v>2762.0786111368898</v>
      </c>
      <c r="M63" s="1">
        <f>'[1]links-p0'!N62</f>
        <v>0</v>
      </c>
      <c r="N63" s="1">
        <f>'[1]links-p0'!O62</f>
        <v>5000</v>
      </c>
      <c r="O63" s="1">
        <f>'[1]links-p0'!P62</f>
        <v>0</v>
      </c>
      <c r="P63" s="1">
        <f>'[1]links-p0'!Q62</f>
        <v>4314.3176165599998</v>
      </c>
      <c r="Q63" s="1">
        <f>'[1]links-p0'!R62</f>
        <v>0</v>
      </c>
      <c r="R63" s="1">
        <f>'[1]links-p0'!S62</f>
        <v>1233.3750985900001</v>
      </c>
      <c r="S63" s="1">
        <f>'[1]links-p0'!T62</f>
        <v>6779.6610170000004</v>
      </c>
      <c r="T63" s="1">
        <f>'[1]links-p0'!U62</f>
        <v>0</v>
      </c>
      <c r="U63" s="1">
        <f>'[1]links-p0'!V62</f>
        <v>1517.7757899999999</v>
      </c>
    </row>
    <row r="64" spans="6:21">
      <c r="H64" s="2">
        <f t="shared" si="2"/>
        <v>61</v>
      </c>
      <c r="I64" s="1">
        <f>'[1]links-p0'!J63</f>
        <v>0</v>
      </c>
      <c r="J64" s="1">
        <f>'[1]links-p0'!K63</f>
        <v>0</v>
      </c>
      <c r="K64" s="1">
        <f>'[1]links-p0'!L63</f>
        <v>3500</v>
      </c>
      <c r="L64" s="1">
        <f>'[1]links-p0'!M63</f>
        <v>2860.169492</v>
      </c>
      <c r="M64" s="1">
        <f>'[1]links-p0'!N63</f>
        <v>0</v>
      </c>
      <c r="N64" s="1">
        <f>'[1]links-p0'!O63</f>
        <v>5000</v>
      </c>
      <c r="O64" s="1">
        <f>'[1]links-p0'!P63</f>
        <v>0</v>
      </c>
      <c r="P64" s="1">
        <f>'[1]links-p0'!Q63</f>
        <v>4665.3159926900007</v>
      </c>
      <c r="Q64" s="1">
        <f>'[1]links-p0'!R63</f>
        <v>0</v>
      </c>
      <c r="R64" s="1">
        <f>'[1]links-p0'!S63</f>
        <v>1233.3750985900001</v>
      </c>
      <c r="S64" s="1">
        <f>'[1]links-p0'!T63</f>
        <v>6779.6610170000004</v>
      </c>
      <c r="T64" s="1">
        <f>'[1]links-p0'!U63</f>
        <v>0</v>
      </c>
      <c r="U64" s="1">
        <f>'[1]links-p0'!V63</f>
        <v>1517.7757899999999</v>
      </c>
    </row>
    <row r="65" spans="8:21">
      <c r="H65" s="2">
        <f t="shared" si="2"/>
        <v>62</v>
      </c>
      <c r="I65" s="1">
        <f>'[1]links-p0'!J64</f>
        <v>0</v>
      </c>
      <c r="J65" s="1">
        <f>'[1]links-p0'!K64</f>
        <v>0</v>
      </c>
      <c r="K65" s="1">
        <f>'[1]links-p0'!L64</f>
        <v>3500</v>
      </c>
      <c r="L65" s="1">
        <f>'[1]links-p0'!M64</f>
        <v>2860.169492</v>
      </c>
      <c r="M65" s="1">
        <f>'[1]links-p0'!N64</f>
        <v>0</v>
      </c>
      <c r="N65" s="1">
        <f>'[1]links-p0'!O64</f>
        <v>5000</v>
      </c>
      <c r="O65" s="1">
        <f>'[1]links-p0'!P64</f>
        <v>0</v>
      </c>
      <c r="P65" s="1">
        <f>'[1]links-p0'!Q64</f>
        <v>3620.4159926900002</v>
      </c>
      <c r="Q65" s="1">
        <f>'[1]links-p0'!R64</f>
        <v>0</v>
      </c>
      <c r="R65" s="1">
        <f>'[1]links-p0'!S64</f>
        <v>1232.91521668</v>
      </c>
      <c r="S65" s="1">
        <f>'[1]links-p0'!T64</f>
        <v>6093.3312093699997</v>
      </c>
      <c r="T65" s="1">
        <f>'[1]links-p0'!U64</f>
        <v>0</v>
      </c>
      <c r="U65" s="1">
        <f>'[1]links-p0'!V64</f>
        <v>1517.7757899999999</v>
      </c>
    </row>
    <row r="66" spans="8:21">
      <c r="H66" s="2">
        <f t="shared" si="2"/>
        <v>63</v>
      </c>
      <c r="I66" s="1">
        <f>'[1]links-p0'!J65</f>
        <v>0</v>
      </c>
      <c r="J66" s="1">
        <f>'[1]links-p0'!K65</f>
        <v>0</v>
      </c>
      <c r="K66" s="1">
        <f>'[1]links-p0'!L65</f>
        <v>3500</v>
      </c>
      <c r="L66" s="1">
        <f>'[1]links-p0'!M65</f>
        <v>2175.0412062628839</v>
      </c>
      <c r="M66" s="1">
        <f>'[1]links-p0'!N65</f>
        <v>0</v>
      </c>
      <c r="N66" s="1">
        <f>'[1]links-p0'!O65</f>
        <v>5000</v>
      </c>
      <c r="O66" s="1">
        <f>'[1]links-p0'!P65</f>
        <v>0</v>
      </c>
      <c r="P66" s="1">
        <f>'[1]links-p0'!Q65</f>
        <v>2254.2990354600001</v>
      </c>
      <c r="Q66" s="1">
        <f>'[1]links-p0'!R65</f>
        <v>0</v>
      </c>
      <c r="R66" s="1">
        <f>'[1]links-p0'!S65</f>
        <v>1553.672292</v>
      </c>
      <c r="S66" s="1">
        <f>'[1]links-p0'!T65</f>
        <v>5047.9713274599999</v>
      </c>
      <c r="T66" s="1">
        <f>'[1]links-p0'!U65</f>
        <v>0</v>
      </c>
      <c r="U66" s="1">
        <f>'[1]links-p0'!V65</f>
        <v>1517.7757899999999</v>
      </c>
    </row>
    <row r="67" spans="8:21">
      <c r="H67" s="2">
        <f t="shared" si="2"/>
        <v>64</v>
      </c>
      <c r="I67" s="1">
        <f>'[1]links-p0'!J66</f>
        <v>0</v>
      </c>
      <c r="J67" s="1">
        <f>'[1]links-p0'!K66</f>
        <v>0</v>
      </c>
      <c r="K67" s="1">
        <f>'[1]links-p0'!L66</f>
        <v>3500</v>
      </c>
      <c r="L67" s="1">
        <f>'[1]links-p0'!M66</f>
        <v>1094.5551122283489</v>
      </c>
      <c r="M67" s="1">
        <f>'[1]links-p0'!N66</f>
        <v>0</v>
      </c>
      <c r="N67" s="1">
        <f>'[1]links-p0'!O66</f>
        <v>5000</v>
      </c>
      <c r="O67" s="1">
        <f>'[1]links-p0'!P66</f>
        <v>0</v>
      </c>
      <c r="P67" s="1">
        <f>'[1]links-p0'!Q66</f>
        <v>1209.3990354600001</v>
      </c>
      <c r="Q67" s="1">
        <f>'[1]links-p0'!R66</f>
        <v>0</v>
      </c>
      <c r="R67" s="1">
        <f>'[1]links-p0'!S66</f>
        <v>1553.672292</v>
      </c>
      <c r="S67" s="1">
        <f>'[1]links-p0'!T66</f>
        <v>4003.0713274599998</v>
      </c>
      <c r="T67" s="1">
        <f>'[1]links-p0'!U66</f>
        <v>0</v>
      </c>
      <c r="U67" s="1">
        <f>'[1]links-p0'!V66</f>
        <v>1517.7757899999999</v>
      </c>
    </row>
    <row r="68" spans="8:21">
      <c r="H68" s="2">
        <f t="shared" si="2"/>
        <v>65</v>
      </c>
      <c r="I68" s="1">
        <f>'[1]links-p0'!J67</f>
        <v>0</v>
      </c>
      <c r="J68" s="1">
        <f>'[1]links-p0'!K67</f>
        <v>128.18461059773401</v>
      </c>
      <c r="K68" s="1">
        <f>'[1]links-p0'!L67</f>
        <v>3500</v>
      </c>
      <c r="L68" s="1">
        <f>'[1]links-p0'!M67</f>
        <v>0</v>
      </c>
      <c r="M68" s="1">
        <f>'[1]links-p0'!N67</f>
        <v>0</v>
      </c>
      <c r="N68" s="1">
        <f>'[1]links-p0'!O67</f>
        <v>5000</v>
      </c>
      <c r="O68" s="1">
        <f>'[1]links-p0'!P67</f>
        <v>0</v>
      </c>
      <c r="P68" s="1">
        <f>'[1]links-p0'!Q67</f>
        <v>164.49903545999999</v>
      </c>
      <c r="Q68" s="1">
        <f>'[1]links-p0'!R67</f>
        <v>0</v>
      </c>
      <c r="R68" s="1">
        <f>'[1]links-p0'!S67</f>
        <v>1553.672292</v>
      </c>
      <c r="S68" s="1">
        <f>'[1]links-p0'!T67</f>
        <v>2958.1713274600002</v>
      </c>
      <c r="T68" s="1">
        <f>'[1]links-p0'!U67</f>
        <v>0</v>
      </c>
      <c r="U68" s="1">
        <f>'[1]links-p0'!V67</f>
        <v>1517.7757899999999</v>
      </c>
    </row>
    <row r="69" spans="8:21">
      <c r="H69" s="2">
        <f t="shared" ref="H69:H132" si="5">1+H68</f>
        <v>66</v>
      </c>
      <c r="I69" s="1">
        <f>'[1]links-p0'!J68</f>
        <v>0</v>
      </c>
      <c r="J69" s="1">
        <f>'[1]links-p0'!K68</f>
        <v>946.44046930144373</v>
      </c>
      <c r="K69" s="1">
        <f>'[1]links-p0'!L68</f>
        <v>3500</v>
      </c>
      <c r="L69" s="1">
        <f>'[1]links-p0'!M68</f>
        <v>0</v>
      </c>
      <c r="M69" s="1">
        <f>'[1]links-p0'!N68</f>
        <v>0</v>
      </c>
      <c r="N69" s="1">
        <f>'[1]links-p0'!O68</f>
        <v>5000</v>
      </c>
      <c r="O69" s="1">
        <f>'[1]links-p0'!P68</f>
        <v>0</v>
      </c>
      <c r="P69" s="1">
        <f>'[1]links-p0'!Q68</f>
        <v>0</v>
      </c>
      <c r="Q69" s="1">
        <f>'[1]links-p0'!R68</f>
        <v>1209.94108263</v>
      </c>
      <c r="R69" s="1">
        <f>'[1]links-p0'!S68</f>
        <v>1232.91521668</v>
      </c>
      <c r="S69" s="1">
        <f>'[1]links-p0'!T68</f>
        <v>1262.97413405</v>
      </c>
      <c r="T69" s="1">
        <f>'[1]links-p0'!U68</f>
        <v>0</v>
      </c>
      <c r="U69" s="1">
        <f>'[1]links-p0'!V68</f>
        <v>1517.7757899999999</v>
      </c>
    </row>
    <row r="70" spans="8:21">
      <c r="H70" s="2">
        <f t="shared" si="5"/>
        <v>67</v>
      </c>
      <c r="I70" s="1">
        <f>'[1]links-p0'!J69</f>
        <v>0</v>
      </c>
      <c r="J70" s="1">
        <f>'[1]links-p0'!K69</f>
        <v>765.44888910801353</v>
      </c>
      <c r="K70" s="1">
        <f>'[1]links-p0'!L69</f>
        <v>3500</v>
      </c>
      <c r="L70" s="1">
        <f>'[1]links-p0'!M69</f>
        <v>0</v>
      </c>
      <c r="M70" s="1">
        <f>'[1]links-p0'!N69</f>
        <v>0</v>
      </c>
      <c r="N70" s="1">
        <f>'[1]links-p0'!O69</f>
        <v>5000</v>
      </c>
      <c r="O70" s="1">
        <f>'[1]links-p0'!P69</f>
        <v>0</v>
      </c>
      <c r="P70" s="1">
        <f>'[1]links-p0'!Q69</f>
        <v>0</v>
      </c>
      <c r="Q70" s="1">
        <f>'[1]links-p0'!R69</f>
        <v>2254.3812007199999</v>
      </c>
      <c r="R70" s="1">
        <f>'[1]links-p0'!S69</f>
        <v>1299.38497426</v>
      </c>
      <c r="S70" s="1">
        <f>'[1]links-p0'!T69</f>
        <v>285.00377354</v>
      </c>
      <c r="T70" s="1">
        <f>'[1]links-p0'!U69</f>
        <v>0</v>
      </c>
      <c r="U70" s="1">
        <f>'[1]links-p0'!V69</f>
        <v>1517.7757899999999</v>
      </c>
    </row>
    <row r="71" spans="8:21">
      <c r="H71" s="2">
        <f t="shared" si="5"/>
        <v>68</v>
      </c>
      <c r="I71" s="1">
        <f>'[1]links-p0'!J70</f>
        <v>0</v>
      </c>
      <c r="J71" s="1">
        <f>'[1]links-p0'!K70</f>
        <v>659.9066923014625</v>
      </c>
      <c r="K71" s="1">
        <f>'[1]links-p0'!L70</f>
        <v>3500</v>
      </c>
      <c r="L71" s="1">
        <f>'[1]links-p0'!M70</f>
        <v>0</v>
      </c>
      <c r="M71" s="1">
        <f>'[1]links-p0'!N70</f>
        <v>0</v>
      </c>
      <c r="N71" s="1">
        <f>'[1]links-p0'!O70</f>
        <v>5000</v>
      </c>
      <c r="O71" s="1">
        <f>'[1]links-p0'!P70</f>
        <v>0</v>
      </c>
      <c r="P71" s="1">
        <f>'[1]links-p0'!Q70</f>
        <v>0</v>
      </c>
      <c r="Q71" s="1">
        <f>'[1]links-p0'!R70</f>
        <v>2968.8213188099999</v>
      </c>
      <c r="R71" s="1">
        <f>'[1]links-p0'!S70</f>
        <v>1553.672292</v>
      </c>
      <c r="S71" s="1">
        <f>'[1]links-p0'!T70</f>
        <v>0</v>
      </c>
      <c r="T71" s="1">
        <f>'[1]links-p0'!U70</f>
        <v>175.14902681000001</v>
      </c>
      <c r="U71" s="1">
        <f>'[1]links-p0'!V70</f>
        <v>1517.7757899999999</v>
      </c>
    </row>
    <row r="72" spans="8:21">
      <c r="H72" s="2">
        <f t="shared" si="5"/>
        <v>69</v>
      </c>
      <c r="I72" s="1">
        <f>'[1]links-p0'!J71</f>
        <v>0</v>
      </c>
      <c r="J72" s="1">
        <f>'[1]links-p0'!K71</f>
        <v>624.72657721573364</v>
      </c>
      <c r="K72" s="1">
        <f>'[1]links-p0'!L71</f>
        <v>3500</v>
      </c>
      <c r="L72" s="1">
        <f>'[1]links-p0'!M71</f>
        <v>0</v>
      </c>
      <c r="M72" s="1">
        <f>'[1]links-p0'!N71</f>
        <v>0</v>
      </c>
      <c r="N72" s="1">
        <f>'[1]links-p0'!O71</f>
        <v>5000</v>
      </c>
      <c r="O72" s="1">
        <f>'[1]links-p0'!P71</f>
        <v>0</v>
      </c>
      <c r="P72" s="1">
        <f>'[1]links-p0'!Q71</f>
        <v>0</v>
      </c>
      <c r="Q72" s="1">
        <f>'[1]links-p0'!R71</f>
        <v>4013.2614368899999</v>
      </c>
      <c r="R72" s="1">
        <f>'[1]links-p0'!S71</f>
        <v>1553.672292</v>
      </c>
      <c r="S72" s="1">
        <f>'[1]links-p0'!T71</f>
        <v>0</v>
      </c>
      <c r="T72" s="1">
        <f>'[1]links-p0'!U71</f>
        <v>1219.5891448899999</v>
      </c>
      <c r="U72" s="1">
        <f>'[1]links-p0'!V71</f>
        <v>1517.7757899999999</v>
      </c>
    </row>
    <row r="73" spans="8:21">
      <c r="H73" s="2">
        <f t="shared" si="5"/>
        <v>70</v>
      </c>
      <c r="I73" s="1">
        <f>'[1]links-p0'!J72</f>
        <v>0</v>
      </c>
      <c r="J73" s="1">
        <f>'[1]links-p0'!K72</f>
        <v>598.56768546584908</v>
      </c>
      <c r="K73" s="1">
        <f>'[1]links-p0'!L72</f>
        <v>3500</v>
      </c>
      <c r="L73" s="1">
        <f>'[1]links-p0'!M72</f>
        <v>0</v>
      </c>
      <c r="M73" s="1">
        <f>'[1]links-p0'!N72</f>
        <v>0</v>
      </c>
      <c r="N73" s="1">
        <f>'[1]links-p0'!O72</f>
        <v>5000</v>
      </c>
      <c r="O73" s="1">
        <f>'[1]links-p0'!P72</f>
        <v>0</v>
      </c>
      <c r="P73" s="1">
        <f>'[1]links-p0'!Q72</f>
        <v>0</v>
      </c>
      <c r="Q73" s="1">
        <f>'[1]links-p0'!R72</f>
        <v>5057.7015549799999</v>
      </c>
      <c r="R73" s="1">
        <f>'[1]links-p0'!S72</f>
        <v>1553.672292</v>
      </c>
      <c r="S73" s="1">
        <f>'[1]links-p0'!T72</f>
        <v>0</v>
      </c>
      <c r="T73" s="1">
        <f>'[1]links-p0'!U72</f>
        <v>2264.0292629800001</v>
      </c>
      <c r="U73" s="1">
        <f>'[1]links-p0'!V72</f>
        <v>1517.7757899999999</v>
      </c>
    </row>
    <row r="74" spans="8:21">
      <c r="H74" s="2">
        <f t="shared" si="5"/>
        <v>71</v>
      </c>
      <c r="I74" s="1">
        <f>'[1]links-p0'!J73</f>
        <v>0</v>
      </c>
      <c r="J74" s="1">
        <f>'[1]links-p0'!K73</f>
        <v>625.76487201566943</v>
      </c>
      <c r="K74" s="1">
        <f>'[1]links-p0'!L73</f>
        <v>3500</v>
      </c>
      <c r="L74" s="1">
        <f>'[1]links-p0'!M73</f>
        <v>0</v>
      </c>
      <c r="M74" s="1">
        <f>'[1]links-p0'!N73</f>
        <v>0</v>
      </c>
      <c r="N74" s="1">
        <f>'[1]links-p0'!O73</f>
        <v>5000</v>
      </c>
      <c r="O74" s="1">
        <f>'[1]links-p0'!P73</f>
        <v>0</v>
      </c>
      <c r="P74" s="1">
        <f>'[1]links-p0'!Q73</f>
        <v>0</v>
      </c>
      <c r="Q74" s="1">
        <f>'[1]links-p0'!R73</f>
        <v>4776.0455759500001</v>
      </c>
      <c r="R74" s="1">
        <f>'[1]links-p0'!S73</f>
        <v>1553.672292</v>
      </c>
      <c r="S74" s="1">
        <f>'[1]links-p0'!T73</f>
        <v>0</v>
      </c>
      <c r="T74" s="1">
        <f>'[1]links-p0'!U73</f>
        <v>1982.3732839500001</v>
      </c>
      <c r="U74" s="1">
        <f>'[1]links-p0'!V73</f>
        <v>1517.7757899999999</v>
      </c>
    </row>
    <row r="75" spans="8:21">
      <c r="H75" s="2">
        <f t="shared" si="5"/>
        <v>72</v>
      </c>
      <c r="I75" s="1">
        <f>'[1]links-p0'!J74</f>
        <v>0</v>
      </c>
      <c r="J75" s="1">
        <f>'[1]links-p0'!K74</f>
        <v>648.29268199228227</v>
      </c>
      <c r="K75" s="1">
        <f>'[1]links-p0'!L74</f>
        <v>3500</v>
      </c>
      <c r="L75" s="1">
        <f>'[1]links-p0'!M74</f>
        <v>0</v>
      </c>
      <c r="M75" s="1">
        <f>'[1]links-p0'!N74</f>
        <v>0</v>
      </c>
      <c r="N75" s="1">
        <f>'[1]links-p0'!O74</f>
        <v>5000</v>
      </c>
      <c r="O75" s="1">
        <f>'[1]links-p0'!P74</f>
        <v>0</v>
      </c>
      <c r="P75" s="1">
        <f>'[1]links-p0'!Q74</f>
        <v>0</v>
      </c>
      <c r="Q75" s="1">
        <f>'[1]links-p0'!R74</f>
        <v>4653.3086893399995</v>
      </c>
      <c r="R75" s="1">
        <f>'[1]links-p0'!S74</f>
        <v>1553.672292</v>
      </c>
      <c r="S75" s="1">
        <f>'[1]links-p0'!T74</f>
        <v>0</v>
      </c>
      <c r="T75" s="1">
        <f>'[1]links-p0'!U74</f>
        <v>1859.63639734</v>
      </c>
      <c r="U75" s="1">
        <f>'[1]links-p0'!V74</f>
        <v>1517.7757899999999</v>
      </c>
    </row>
    <row r="76" spans="8:21">
      <c r="H76" s="2">
        <f t="shared" si="5"/>
        <v>73</v>
      </c>
      <c r="I76" s="1">
        <f>'[1]links-p0'!J75</f>
        <v>0</v>
      </c>
      <c r="J76" s="1">
        <f>'[1]links-p0'!K75</f>
        <v>680.94721821813778</v>
      </c>
      <c r="K76" s="1">
        <f>'[1]links-p0'!L75</f>
        <v>3500</v>
      </c>
      <c r="L76" s="1">
        <f>'[1]links-p0'!M75</f>
        <v>0</v>
      </c>
      <c r="M76" s="1">
        <f>'[1]links-p0'!N75</f>
        <v>0</v>
      </c>
      <c r="N76" s="1">
        <f>'[1]links-p0'!O75</f>
        <v>5000</v>
      </c>
      <c r="O76" s="1">
        <f>'[1]links-p0'!P75</f>
        <v>0</v>
      </c>
      <c r="P76" s="1">
        <f>'[1]links-p0'!Q75</f>
        <v>0</v>
      </c>
      <c r="Q76" s="1">
        <f>'[1]links-p0'!R75</f>
        <v>4606.4039593400003</v>
      </c>
      <c r="R76" s="1">
        <f>'[1]links-p0'!S75</f>
        <v>1553.672292</v>
      </c>
      <c r="S76" s="1">
        <f>'[1]links-p0'!T75</f>
        <v>0</v>
      </c>
      <c r="T76" s="1">
        <f>'[1]links-p0'!U75</f>
        <v>1812.7316673400001</v>
      </c>
      <c r="U76" s="1">
        <f>'[1]links-p0'!V75</f>
        <v>1517.7757899999999</v>
      </c>
    </row>
    <row r="77" spans="8:21">
      <c r="H77" s="2">
        <f t="shared" si="5"/>
        <v>74</v>
      </c>
      <c r="I77" s="1">
        <f>'[1]links-p0'!J76</f>
        <v>0</v>
      </c>
      <c r="J77" s="1">
        <f>'[1]links-p0'!K76</f>
        <v>685.55847822149303</v>
      </c>
      <c r="K77" s="1">
        <f>'[1]links-p0'!L76</f>
        <v>3500</v>
      </c>
      <c r="L77" s="1">
        <f>'[1]links-p0'!M76</f>
        <v>0</v>
      </c>
      <c r="M77" s="1">
        <f>'[1]links-p0'!N76</f>
        <v>0</v>
      </c>
      <c r="N77" s="1">
        <f>'[1]links-p0'!O76</f>
        <v>5000</v>
      </c>
      <c r="O77" s="1">
        <f>'[1]links-p0'!P76</f>
        <v>0</v>
      </c>
      <c r="P77" s="1">
        <f>'[1]links-p0'!Q76</f>
        <v>0</v>
      </c>
      <c r="Q77" s="1">
        <f>'[1]links-p0'!R76</f>
        <v>4455.0603593400001</v>
      </c>
      <c r="R77" s="1">
        <f>'[1]links-p0'!S76</f>
        <v>1553.672292</v>
      </c>
      <c r="S77" s="1">
        <f>'[1]links-p0'!T76</f>
        <v>0</v>
      </c>
      <c r="T77" s="1">
        <f>'[1]links-p0'!U76</f>
        <v>1661.3880673399999</v>
      </c>
      <c r="U77" s="1">
        <f>'[1]links-p0'!V76</f>
        <v>1517.7757899999999</v>
      </c>
    </row>
    <row r="78" spans="8:21">
      <c r="H78" s="2">
        <f t="shared" si="5"/>
        <v>75</v>
      </c>
      <c r="I78" s="1">
        <f>'[1]links-p0'!J77</f>
        <v>0</v>
      </c>
      <c r="J78" s="1">
        <f>'[1]links-p0'!K77</f>
        <v>681.99141369995664</v>
      </c>
      <c r="K78" s="1">
        <f>'[1]links-p0'!L77</f>
        <v>3500</v>
      </c>
      <c r="L78" s="1">
        <f>'[1]links-p0'!M77</f>
        <v>0</v>
      </c>
      <c r="M78" s="1">
        <f>'[1]links-p0'!N77</f>
        <v>0</v>
      </c>
      <c r="N78" s="1">
        <f>'[1]links-p0'!O77</f>
        <v>5000</v>
      </c>
      <c r="O78" s="1">
        <f>'[1]links-p0'!P77</f>
        <v>0</v>
      </c>
      <c r="P78" s="1">
        <f>'[1]links-p0'!Q77</f>
        <v>0</v>
      </c>
      <c r="Q78" s="1">
        <f>'[1]links-p0'!R77</f>
        <v>4234.6231093400002</v>
      </c>
      <c r="R78" s="1">
        <f>'[1]links-p0'!S77</f>
        <v>1553.672292</v>
      </c>
      <c r="S78" s="1">
        <f>'[1]links-p0'!T77</f>
        <v>0</v>
      </c>
      <c r="T78" s="1">
        <f>'[1]links-p0'!U77</f>
        <v>1440.95081734</v>
      </c>
      <c r="U78" s="1">
        <f>'[1]links-p0'!V77</f>
        <v>1517.7757899999999</v>
      </c>
    </row>
    <row r="79" spans="8:21">
      <c r="H79" s="2">
        <f t="shared" si="5"/>
        <v>76</v>
      </c>
      <c r="I79" s="1">
        <f>'[1]links-p0'!J78</f>
        <v>0</v>
      </c>
      <c r="J79" s="1">
        <f>'[1]links-p0'!K78</f>
        <v>666.23946788919966</v>
      </c>
      <c r="K79" s="1">
        <f>'[1]links-p0'!L78</f>
        <v>3500</v>
      </c>
      <c r="L79" s="1">
        <f>'[1]links-p0'!M78</f>
        <v>0</v>
      </c>
      <c r="M79" s="1">
        <f>'[1]links-p0'!N78</f>
        <v>0</v>
      </c>
      <c r="N79" s="1">
        <f>'[1]links-p0'!O78</f>
        <v>5000</v>
      </c>
      <c r="O79" s="1">
        <f>'[1]links-p0'!P78</f>
        <v>0</v>
      </c>
      <c r="P79" s="1">
        <f>'[1]links-p0'!Q78</f>
        <v>0</v>
      </c>
      <c r="Q79" s="1">
        <f>'[1]links-p0'!R78</f>
        <v>3941.6156821</v>
      </c>
      <c r="R79" s="1">
        <f>'[1]links-p0'!S78</f>
        <v>1553.672292</v>
      </c>
      <c r="S79" s="1">
        <f>'[1]links-p0'!T78</f>
        <v>0</v>
      </c>
      <c r="T79" s="1">
        <f>'[1]links-p0'!U78</f>
        <v>1147.9433901</v>
      </c>
      <c r="U79" s="1">
        <f>'[1]links-p0'!V78</f>
        <v>1517.7757899999999</v>
      </c>
    </row>
    <row r="80" spans="8:21">
      <c r="H80" s="2">
        <f t="shared" si="5"/>
        <v>77</v>
      </c>
      <c r="I80" s="1">
        <f>'[1]links-p0'!J79</f>
        <v>0</v>
      </c>
      <c r="J80" s="1">
        <f>'[1]links-p0'!K79</f>
        <v>741.51578428955816</v>
      </c>
      <c r="K80" s="1">
        <f>'[1]links-p0'!L79</f>
        <v>3500</v>
      </c>
      <c r="L80" s="1">
        <f>'[1]links-p0'!M79</f>
        <v>0</v>
      </c>
      <c r="M80" s="1">
        <f>'[1]links-p0'!N79</f>
        <v>0</v>
      </c>
      <c r="N80" s="1">
        <f>'[1]links-p0'!O79</f>
        <v>5000</v>
      </c>
      <c r="O80" s="1">
        <f>'[1]links-p0'!P79</f>
        <v>0</v>
      </c>
      <c r="P80" s="1">
        <f>'[1]links-p0'!Q79</f>
        <v>0</v>
      </c>
      <c r="Q80" s="1">
        <f>'[1]links-p0'!R79</f>
        <v>3075.42857749</v>
      </c>
      <c r="R80" s="1">
        <f>'[1]links-p0'!S79</f>
        <v>1553.672292</v>
      </c>
      <c r="S80" s="1">
        <f>'[1]links-p0'!T79</f>
        <v>0</v>
      </c>
      <c r="T80" s="1">
        <f>'[1]links-p0'!U79</f>
        <v>281.75628548999998</v>
      </c>
      <c r="U80" s="1">
        <f>'[1]links-p0'!V79</f>
        <v>1517.7757899999999</v>
      </c>
    </row>
    <row r="81" spans="8:21">
      <c r="H81" s="2">
        <f t="shared" si="5"/>
        <v>78</v>
      </c>
      <c r="I81" s="1">
        <f>'[1]links-p0'!J80</f>
        <v>0</v>
      </c>
      <c r="J81" s="1">
        <f>'[1]links-p0'!K80</f>
        <v>812.66123599646221</v>
      </c>
      <c r="K81" s="1">
        <f>'[1]links-p0'!L80</f>
        <v>3500</v>
      </c>
      <c r="L81" s="1">
        <f>'[1]links-p0'!M80</f>
        <v>0</v>
      </c>
      <c r="M81" s="1">
        <f>'[1]links-p0'!N80</f>
        <v>0</v>
      </c>
      <c r="N81" s="1">
        <f>'[1]links-p0'!O80</f>
        <v>5000</v>
      </c>
      <c r="O81" s="1">
        <f>'[1]links-p0'!P80</f>
        <v>0</v>
      </c>
      <c r="P81" s="1">
        <f>'[1]links-p0'!Q80</f>
        <v>0</v>
      </c>
      <c r="Q81" s="1">
        <f>'[1]links-p0'!R80</f>
        <v>2030.9884594</v>
      </c>
      <c r="R81" s="1">
        <f>'[1]links-p0'!S80</f>
        <v>1553.672292</v>
      </c>
      <c r="S81" s="1">
        <f>'[1]links-p0'!T80</f>
        <v>762.68383259999996</v>
      </c>
      <c r="T81" s="1">
        <f>'[1]links-p0'!U80</f>
        <v>0</v>
      </c>
      <c r="U81" s="1">
        <f>'[1]links-p0'!V80</f>
        <v>1517.7757899999999</v>
      </c>
    </row>
    <row r="82" spans="8:21">
      <c r="H82" s="2">
        <f t="shared" si="5"/>
        <v>79</v>
      </c>
      <c r="I82" s="1">
        <f>'[1]links-p0'!J81</f>
        <v>0</v>
      </c>
      <c r="J82" s="1">
        <f>'[1]links-p0'!K81</f>
        <v>898.47742775705206</v>
      </c>
      <c r="K82" s="1">
        <f>'[1]links-p0'!L81</f>
        <v>3500</v>
      </c>
      <c r="L82" s="1">
        <f>'[1]links-p0'!M81</f>
        <v>0</v>
      </c>
      <c r="M82" s="1">
        <f>'[1]links-p0'!N81</f>
        <v>0</v>
      </c>
      <c r="N82" s="1">
        <f>'[1]links-p0'!O81</f>
        <v>5000</v>
      </c>
      <c r="O82" s="1">
        <f>'[1]links-p0'!P81</f>
        <v>0</v>
      </c>
      <c r="P82" s="1">
        <f>'[1]links-p0'!Q81</f>
        <v>0</v>
      </c>
      <c r="Q82" s="1">
        <f>'[1]links-p0'!R81</f>
        <v>986.54834132000019</v>
      </c>
      <c r="R82" s="1">
        <f>'[1]links-p0'!S81</f>
        <v>1553.672292</v>
      </c>
      <c r="S82" s="1">
        <f>'[1]links-p0'!T81</f>
        <v>1807.12395068</v>
      </c>
      <c r="T82" s="1">
        <f>'[1]links-p0'!U81</f>
        <v>0</v>
      </c>
      <c r="U82" s="1">
        <f>'[1]links-p0'!V81</f>
        <v>1517.7757899999999</v>
      </c>
    </row>
    <row r="83" spans="8:21">
      <c r="H83" s="2">
        <f t="shared" si="5"/>
        <v>80</v>
      </c>
      <c r="I83" s="1">
        <f>'[1]links-p0'!J82</f>
        <v>0</v>
      </c>
      <c r="J83" s="1">
        <f>'[1]links-p0'!K82</f>
        <v>982.91350713543761</v>
      </c>
      <c r="K83" s="1">
        <f>'[1]links-p0'!L82</f>
        <v>3500</v>
      </c>
      <c r="L83" s="1">
        <f>'[1]links-p0'!M82</f>
        <v>0</v>
      </c>
      <c r="M83" s="1">
        <f>'[1]links-p0'!N82</f>
        <v>0</v>
      </c>
      <c r="N83" s="1">
        <f>'[1]links-p0'!O82</f>
        <v>5000</v>
      </c>
      <c r="O83" s="1">
        <f>'[1]links-p0'!P82</f>
        <v>0</v>
      </c>
      <c r="P83" s="1">
        <f>'[1]links-p0'!Q82</f>
        <v>58.351658679999673</v>
      </c>
      <c r="Q83" s="1">
        <f>'[1]links-p0'!R82</f>
        <v>0</v>
      </c>
      <c r="R83" s="1">
        <f>'[1]links-p0'!S82</f>
        <v>1553.672292</v>
      </c>
      <c r="S83" s="1">
        <f>'[1]links-p0'!T82</f>
        <v>2852.0239506799999</v>
      </c>
      <c r="T83" s="1">
        <f>'[1]links-p0'!U82</f>
        <v>0</v>
      </c>
      <c r="U83" s="1">
        <f>'[1]links-p0'!V82</f>
        <v>1517.7757899999999</v>
      </c>
    </row>
    <row r="84" spans="8:21">
      <c r="H84" s="2">
        <f t="shared" si="5"/>
        <v>81</v>
      </c>
      <c r="I84" s="1">
        <f>'[1]links-p0'!J83</f>
        <v>0</v>
      </c>
      <c r="J84" s="1">
        <f>'[1]links-p0'!K83</f>
        <v>720.45270640267233</v>
      </c>
      <c r="K84" s="1">
        <f>'[1]links-p0'!L83</f>
        <v>3500</v>
      </c>
      <c r="L84" s="1">
        <f>'[1]links-p0'!M83</f>
        <v>0</v>
      </c>
      <c r="M84" s="1">
        <f>'[1]links-p0'!N83</f>
        <v>0</v>
      </c>
      <c r="N84" s="1">
        <f>'[1]links-p0'!O83</f>
        <v>5000</v>
      </c>
      <c r="O84" s="1">
        <f>'[1]links-p0'!P83</f>
        <v>0</v>
      </c>
      <c r="P84" s="1">
        <f>'[1]links-p0'!Q83</f>
        <v>1103.25165868</v>
      </c>
      <c r="Q84" s="1">
        <f>'[1]links-p0'!R83</f>
        <v>0</v>
      </c>
      <c r="R84" s="1">
        <f>'[1]links-p0'!S83</f>
        <v>1553.672292</v>
      </c>
      <c r="S84" s="1">
        <f>'[1]links-p0'!T83</f>
        <v>3896.92395068</v>
      </c>
      <c r="T84" s="1">
        <f>'[1]links-p0'!U83</f>
        <v>0</v>
      </c>
      <c r="U84" s="1">
        <f>'[1]links-p0'!V83</f>
        <v>1517.7757899999999</v>
      </c>
    </row>
    <row r="85" spans="8:21">
      <c r="H85" s="2">
        <f t="shared" si="5"/>
        <v>82</v>
      </c>
      <c r="I85" s="1">
        <f>'[1]links-p0'!J84</f>
        <v>0</v>
      </c>
      <c r="J85" s="1">
        <f>'[1]links-p0'!K84</f>
        <v>0</v>
      </c>
      <c r="K85" s="1">
        <f>'[1]links-p0'!L84</f>
        <v>3500</v>
      </c>
      <c r="L85" s="1">
        <f>'[1]links-p0'!M84</f>
        <v>51.416885861837947</v>
      </c>
      <c r="M85" s="1">
        <f>'[1]links-p0'!N84</f>
        <v>0</v>
      </c>
      <c r="N85" s="1">
        <f>'[1]links-p0'!O84</f>
        <v>5000</v>
      </c>
      <c r="O85" s="1">
        <f>'[1]links-p0'!P84</f>
        <v>0</v>
      </c>
      <c r="P85" s="1">
        <f>'[1]links-p0'!Q84</f>
        <v>2148.1516586799999</v>
      </c>
      <c r="Q85" s="1">
        <f>'[1]links-p0'!R84</f>
        <v>0</v>
      </c>
      <c r="R85" s="1">
        <f>'[1]links-p0'!S84</f>
        <v>1553.672292</v>
      </c>
      <c r="S85" s="1">
        <f>'[1]links-p0'!T84</f>
        <v>4941.8239506800001</v>
      </c>
      <c r="T85" s="1">
        <f>'[1]links-p0'!U84</f>
        <v>0</v>
      </c>
      <c r="U85" s="1">
        <f>'[1]links-p0'!V84</f>
        <v>1517.7757899999999</v>
      </c>
    </row>
    <row r="86" spans="8:21">
      <c r="H86" s="2">
        <f t="shared" si="5"/>
        <v>83</v>
      </c>
      <c r="I86" s="1">
        <f>'[1]links-p0'!J85</f>
        <v>0</v>
      </c>
      <c r="J86" s="1">
        <f>'[1]links-p0'!K85</f>
        <v>0</v>
      </c>
      <c r="K86" s="1">
        <f>'[1]links-p0'!L85</f>
        <v>3500</v>
      </c>
      <c r="L86" s="1">
        <f>'[1]links-p0'!M85</f>
        <v>925.61024964984313</v>
      </c>
      <c r="M86" s="1">
        <f>'[1]links-p0'!N85</f>
        <v>0</v>
      </c>
      <c r="N86" s="1">
        <f>'[1]links-p0'!O85</f>
        <v>0</v>
      </c>
      <c r="O86" s="1">
        <f>'[1]links-p0'!P85</f>
        <v>0</v>
      </c>
      <c r="P86" s="1">
        <f>'[1]links-p0'!Q85</f>
        <v>3193.5115406</v>
      </c>
      <c r="Q86" s="1">
        <f>'[1]links-p0'!R85</f>
        <v>0</v>
      </c>
      <c r="R86" s="1">
        <f>'[1]links-p0'!S85</f>
        <v>1553.672292</v>
      </c>
      <c r="S86" s="1">
        <f>'[1]links-p0'!T85</f>
        <v>5987.1838325999997</v>
      </c>
      <c r="T86" s="1">
        <f>'[1]links-p0'!U85</f>
        <v>0</v>
      </c>
      <c r="U86" s="1">
        <f>'[1]links-p0'!V85</f>
        <v>1517.7757899999999</v>
      </c>
    </row>
    <row r="87" spans="8:21">
      <c r="H87" s="2">
        <f t="shared" si="5"/>
        <v>84</v>
      </c>
      <c r="I87" s="1">
        <f>'[1]links-p0'!J86</f>
        <v>0</v>
      </c>
      <c r="J87" s="1">
        <f>'[1]links-p0'!K86</f>
        <v>0</v>
      </c>
      <c r="K87" s="1">
        <f>'[1]links-p0'!L86</f>
        <v>3500</v>
      </c>
      <c r="L87" s="1">
        <f>'[1]links-p0'!M86</f>
        <v>1681.055150775132</v>
      </c>
      <c r="M87" s="1">
        <f>'[1]links-p0'!N86</f>
        <v>0</v>
      </c>
      <c r="N87" s="1">
        <f>'[1]links-p0'!O86</f>
        <v>0</v>
      </c>
      <c r="O87" s="1">
        <f>'[1]links-p0'!P86</f>
        <v>0</v>
      </c>
      <c r="P87" s="1">
        <f>'[1]links-p0'!Q86</f>
        <v>4559.1676298700004</v>
      </c>
      <c r="Q87" s="1">
        <f>'[1]links-p0'!R86</f>
        <v>0</v>
      </c>
      <c r="R87" s="1">
        <f>'[1]links-p0'!S86</f>
        <v>1233.37608464</v>
      </c>
      <c r="S87" s="1">
        <f>'[1]links-p0'!T86</f>
        <v>6779.6610170000004</v>
      </c>
      <c r="T87" s="1">
        <f>'[1]links-p0'!U86</f>
        <v>0</v>
      </c>
      <c r="U87" s="1">
        <f>'[1]links-p0'!V86</f>
        <v>1517.7757899999999</v>
      </c>
    </row>
    <row r="88" spans="8:21">
      <c r="H88" s="2">
        <f t="shared" si="5"/>
        <v>85</v>
      </c>
      <c r="I88" s="1">
        <f>'[1]links-p0'!J87</f>
        <v>0</v>
      </c>
      <c r="J88" s="1">
        <f>'[1]links-p0'!K87</f>
        <v>0</v>
      </c>
      <c r="K88" s="1">
        <f>'[1]links-p0'!L87</f>
        <v>3500</v>
      </c>
      <c r="L88" s="1">
        <f>'[1]links-p0'!M87</f>
        <v>2053.9490774608721</v>
      </c>
      <c r="M88" s="1">
        <f>'[1]links-p0'!N87</f>
        <v>0</v>
      </c>
      <c r="N88" s="1">
        <f>'[1]links-p0'!O87</f>
        <v>0</v>
      </c>
      <c r="O88" s="1">
        <f>'[1]links-p0'!P87</f>
        <v>0</v>
      </c>
      <c r="P88" s="1">
        <f>'[1]links-p0'!Q87</f>
        <v>5546.2849323600003</v>
      </c>
      <c r="Q88" s="1">
        <f>'[1]links-p0'!R87</f>
        <v>0</v>
      </c>
      <c r="R88" s="1">
        <f>'[1]links-p0'!S87</f>
        <v>1233.37608464</v>
      </c>
      <c r="S88" s="1">
        <f>'[1]links-p0'!T87</f>
        <v>6779.6610170000004</v>
      </c>
      <c r="T88" s="1">
        <f>'[1]links-p0'!U87</f>
        <v>0</v>
      </c>
      <c r="U88" s="1">
        <f>'[1]links-p0'!V87</f>
        <v>1517.7757899999999</v>
      </c>
    </row>
    <row r="89" spans="8:21">
      <c r="H89" s="2">
        <f t="shared" si="5"/>
        <v>86</v>
      </c>
      <c r="I89" s="1">
        <f>'[1]links-p0'!J88</f>
        <v>0</v>
      </c>
      <c r="J89" s="1">
        <f>'[1]links-p0'!K88</f>
        <v>0</v>
      </c>
      <c r="K89" s="1">
        <f>'[1]links-p0'!L88</f>
        <v>3500</v>
      </c>
      <c r="L89" s="1">
        <f>'[1]links-p0'!M88</f>
        <v>2084.7243209659191</v>
      </c>
      <c r="M89" s="1">
        <f>'[1]links-p0'!N88</f>
        <v>0</v>
      </c>
      <c r="N89" s="1">
        <f>'[1]links-p0'!O88</f>
        <v>0</v>
      </c>
      <c r="O89" s="1">
        <f>'[1]links-p0'!P88</f>
        <v>0</v>
      </c>
      <c r="P89" s="1">
        <f>'[1]links-p0'!Q88</f>
        <v>5546.7448142699996</v>
      </c>
      <c r="Q89" s="1">
        <f>'[1]links-p0'!R88</f>
        <v>0</v>
      </c>
      <c r="R89" s="1">
        <f>'[1]links-p0'!S88</f>
        <v>1232.9162027299999</v>
      </c>
      <c r="S89" s="1">
        <f>'[1]links-p0'!T88</f>
        <v>6779.6610170000004</v>
      </c>
      <c r="T89" s="1">
        <f>'[1]links-p0'!U88</f>
        <v>0</v>
      </c>
      <c r="U89" s="1">
        <f>'[1]links-p0'!V88</f>
        <v>1517.7757899999999</v>
      </c>
    </row>
    <row r="90" spans="8:21">
      <c r="H90" s="2">
        <f t="shared" si="5"/>
        <v>87</v>
      </c>
      <c r="I90" s="1">
        <f>'[1]links-p0'!J89</f>
        <v>0</v>
      </c>
      <c r="J90" s="1">
        <f>'[1]links-p0'!K89</f>
        <v>0</v>
      </c>
      <c r="K90" s="1">
        <f>'[1]links-p0'!L89</f>
        <v>3500</v>
      </c>
      <c r="L90" s="1">
        <f>'[1]links-p0'!M89</f>
        <v>1539.678847467098</v>
      </c>
      <c r="M90" s="1">
        <f>'[1]links-p0'!N89</f>
        <v>0</v>
      </c>
      <c r="N90" s="1">
        <f>'[1]links-p0'!O89</f>
        <v>3139.1474637299998</v>
      </c>
      <c r="O90" s="1">
        <f>'[1]links-p0'!P89</f>
        <v>0</v>
      </c>
      <c r="P90" s="1">
        <f>'[1]links-p0'!Q89</f>
        <v>5547.2046961800006</v>
      </c>
      <c r="Q90" s="1">
        <f>'[1]links-p0'!R89</f>
        <v>0</v>
      </c>
      <c r="R90" s="1">
        <f>'[1]links-p0'!S89</f>
        <v>1232.45632082</v>
      </c>
      <c r="S90" s="1">
        <f>'[1]links-p0'!T89</f>
        <v>6779.6610170000004</v>
      </c>
      <c r="T90" s="1">
        <f>'[1]links-p0'!U89</f>
        <v>0</v>
      </c>
      <c r="U90" s="1">
        <f>'[1]links-p0'!V89</f>
        <v>1517.7757899999999</v>
      </c>
    </row>
    <row r="91" spans="8:21">
      <c r="H91" s="2">
        <f t="shared" si="5"/>
        <v>88</v>
      </c>
      <c r="I91" s="1">
        <f>'[1]links-p0'!J90</f>
        <v>0</v>
      </c>
      <c r="J91" s="1">
        <f>'[1]links-p0'!K90</f>
        <v>0</v>
      </c>
      <c r="K91" s="1">
        <f>'[1]links-p0'!L90</f>
        <v>3500</v>
      </c>
      <c r="L91" s="1">
        <f>'[1]links-p0'!M90</f>
        <v>766.82030962720592</v>
      </c>
      <c r="M91" s="1">
        <f>'[1]links-p0'!N90</f>
        <v>0</v>
      </c>
      <c r="N91" s="1">
        <f>'[1]links-p0'!O90</f>
        <v>0</v>
      </c>
      <c r="O91" s="1">
        <f>'[1]links-p0'!P90</f>
        <v>0</v>
      </c>
      <c r="P91" s="1">
        <f>'[1]links-p0'!Q90</f>
        <v>5225.9887250000002</v>
      </c>
      <c r="Q91" s="1">
        <f>'[1]links-p0'!R90</f>
        <v>0</v>
      </c>
      <c r="R91" s="1">
        <f>'[1]links-p0'!S90</f>
        <v>1553.672292</v>
      </c>
      <c r="S91" s="1">
        <f>'[1]links-p0'!T90</f>
        <v>6779.6610170000004</v>
      </c>
      <c r="T91" s="1">
        <f>'[1]links-p0'!U90</f>
        <v>0</v>
      </c>
      <c r="U91" s="1">
        <f>'[1]links-p0'!V90</f>
        <v>1517.7757899999999</v>
      </c>
    </row>
    <row r="92" spans="8:21">
      <c r="H92" s="2">
        <f t="shared" si="5"/>
        <v>89</v>
      </c>
      <c r="I92" s="1">
        <f>'[1]links-p0'!J91</f>
        <v>0</v>
      </c>
      <c r="J92" s="1">
        <f>'[1]links-p0'!K91</f>
        <v>0</v>
      </c>
      <c r="K92" s="1">
        <f>'[1]links-p0'!L91</f>
        <v>3500</v>
      </c>
      <c r="L92" s="1">
        <f>'[1]links-p0'!M91</f>
        <v>149.47337682778721</v>
      </c>
      <c r="M92" s="1">
        <f>'[1]links-p0'!N91</f>
        <v>0</v>
      </c>
      <c r="N92" s="1">
        <f>'[1]links-p0'!O91</f>
        <v>5000</v>
      </c>
      <c r="O92" s="1">
        <f>'[1]links-p0'!P91</f>
        <v>0</v>
      </c>
      <c r="P92" s="1">
        <f>'[1]links-p0'!Q91</f>
        <v>3985.9887250000002</v>
      </c>
      <c r="Q92" s="1">
        <f>'[1]links-p0'!R91</f>
        <v>0</v>
      </c>
      <c r="R92" s="1">
        <f>'[1]links-p0'!S91</f>
        <v>1553.672292</v>
      </c>
      <c r="S92" s="1">
        <f>'[1]links-p0'!T91</f>
        <v>6779.6610170000004</v>
      </c>
      <c r="T92" s="1">
        <f>'[1]links-p0'!U91</f>
        <v>0</v>
      </c>
      <c r="U92" s="1">
        <f>'[1]links-p0'!V91</f>
        <v>1517.7757899999999</v>
      </c>
    </row>
    <row r="93" spans="8:21">
      <c r="H93" s="2">
        <f t="shared" si="5"/>
        <v>90</v>
      </c>
      <c r="I93" s="1">
        <f>'[1]links-p0'!J92</f>
        <v>0</v>
      </c>
      <c r="J93" s="1">
        <f>'[1]links-p0'!K92</f>
        <v>123.0910581219316</v>
      </c>
      <c r="K93" s="1">
        <f>'[1]links-p0'!L92</f>
        <v>3500</v>
      </c>
      <c r="L93" s="1">
        <f>'[1]links-p0'!M92</f>
        <v>0</v>
      </c>
      <c r="M93" s="1">
        <f>'[1]links-p0'!N92</f>
        <v>0</v>
      </c>
      <c r="N93" s="1">
        <f>'[1]links-p0'!O92</f>
        <v>5000</v>
      </c>
      <c r="O93" s="1">
        <f>'[1]links-p0'!P92</f>
        <v>0</v>
      </c>
      <c r="P93" s="1">
        <f>'[1]links-p0'!Q92</f>
        <v>3985.9887250000002</v>
      </c>
      <c r="Q93" s="1">
        <f>'[1]links-p0'!R92</f>
        <v>0</v>
      </c>
      <c r="R93" s="1">
        <f>'[1]links-p0'!S92</f>
        <v>1553.672292</v>
      </c>
      <c r="S93" s="1">
        <f>'[1]links-p0'!T92</f>
        <v>6779.6610170000004</v>
      </c>
      <c r="T93" s="1">
        <f>'[1]links-p0'!U92</f>
        <v>0</v>
      </c>
      <c r="U93" s="1">
        <f>'[1]links-p0'!V92</f>
        <v>1517.7757899999999</v>
      </c>
    </row>
    <row r="94" spans="8:21">
      <c r="H94" s="2">
        <f t="shared" si="5"/>
        <v>91</v>
      </c>
      <c r="I94" s="1">
        <f>'[1]links-p0'!J93</f>
        <v>0</v>
      </c>
      <c r="J94" s="1">
        <f>'[1]links-p0'!K93</f>
        <v>0</v>
      </c>
      <c r="K94" s="1">
        <f>'[1]links-p0'!L93</f>
        <v>3500</v>
      </c>
      <c r="L94" s="1">
        <f>'[1]links-p0'!M93</f>
        <v>114.1984983141397</v>
      </c>
      <c r="M94" s="1">
        <f>'[1]links-p0'!N93</f>
        <v>0</v>
      </c>
      <c r="N94" s="1">
        <f>'[1]links-p0'!O93</f>
        <v>5000</v>
      </c>
      <c r="O94" s="1">
        <f>'[1]links-p0'!P93</f>
        <v>0</v>
      </c>
      <c r="P94" s="1">
        <f>'[1]links-p0'!Q93</f>
        <v>3985.9887250000002</v>
      </c>
      <c r="Q94" s="1">
        <f>'[1]links-p0'!R93</f>
        <v>0</v>
      </c>
      <c r="R94" s="1">
        <f>'[1]links-p0'!S93</f>
        <v>1553.672292</v>
      </c>
      <c r="S94" s="1">
        <f>'[1]links-p0'!T93</f>
        <v>6779.6610170000004</v>
      </c>
      <c r="T94" s="1">
        <f>'[1]links-p0'!U93</f>
        <v>0</v>
      </c>
      <c r="U94" s="1">
        <f>'[1]links-p0'!V93</f>
        <v>1517.7757899999999</v>
      </c>
    </row>
    <row r="95" spans="8:21">
      <c r="H95" s="2">
        <f t="shared" si="5"/>
        <v>92</v>
      </c>
      <c r="I95" s="1">
        <f>'[1]links-p0'!J94</f>
        <v>0</v>
      </c>
      <c r="J95" s="1">
        <f>'[1]links-p0'!K94</f>
        <v>0</v>
      </c>
      <c r="K95" s="1">
        <f>'[1]links-p0'!L94</f>
        <v>3500</v>
      </c>
      <c r="L95" s="1">
        <f>'[1]links-p0'!M94</f>
        <v>377.31659670344311</v>
      </c>
      <c r="M95" s="1">
        <f>'[1]links-p0'!N94</f>
        <v>0</v>
      </c>
      <c r="N95" s="1">
        <f>'[1]links-p0'!O94</f>
        <v>5000</v>
      </c>
      <c r="O95" s="1">
        <f>'[1]links-p0'!P94</f>
        <v>0</v>
      </c>
      <c r="P95" s="1">
        <f>'[1]links-p0'!Q94</f>
        <v>3985.9887250000002</v>
      </c>
      <c r="Q95" s="1">
        <f>'[1]links-p0'!R94</f>
        <v>0</v>
      </c>
      <c r="R95" s="1">
        <f>'[1]links-p0'!S94</f>
        <v>1553.672292</v>
      </c>
      <c r="S95" s="1">
        <f>'[1]links-p0'!T94</f>
        <v>6779.6610170000004</v>
      </c>
      <c r="T95" s="1">
        <f>'[1]links-p0'!U94</f>
        <v>0</v>
      </c>
      <c r="U95" s="1">
        <f>'[1]links-p0'!V94</f>
        <v>1517.7757899999999</v>
      </c>
    </row>
    <row r="96" spans="8:21">
      <c r="H96" s="2">
        <f t="shared" si="5"/>
        <v>93</v>
      </c>
      <c r="I96" s="1">
        <f>'[1]links-p0'!J95</f>
        <v>0</v>
      </c>
      <c r="J96" s="1">
        <f>'[1]links-p0'!K95</f>
        <v>0</v>
      </c>
      <c r="K96" s="1">
        <f>'[1]links-p0'!L95</f>
        <v>3500</v>
      </c>
      <c r="L96" s="1">
        <f>'[1]links-p0'!M95</f>
        <v>686.33920549890877</v>
      </c>
      <c r="M96" s="1">
        <f>'[1]links-p0'!N95</f>
        <v>0</v>
      </c>
      <c r="N96" s="1">
        <f>'[1]links-p0'!O95</f>
        <v>5000</v>
      </c>
      <c r="O96" s="1">
        <f>'[1]links-p0'!P95</f>
        <v>0</v>
      </c>
      <c r="P96" s="1">
        <f>'[1]links-p0'!Q95</f>
        <v>3985.9887250000002</v>
      </c>
      <c r="Q96" s="1">
        <f>'[1]links-p0'!R95</f>
        <v>0</v>
      </c>
      <c r="R96" s="1">
        <f>'[1]links-p0'!S95</f>
        <v>1553.672292</v>
      </c>
      <c r="S96" s="1">
        <f>'[1]links-p0'!T95</f>
        <v>6779.6610170000004</v>
      </c>
      <c r="T96" s="1">
        <f>'[1]links-p0'!U95</f>
        <v>0</v>
      </c>
      <c r="U96" s="1">
        <f>'[1]links-p0'!V95</f>
        <v>1517.7757899999999</v>
      </c>
    </row>
    <row r="97" spans="8:21">
      <c r="H97" s="2">
        <f t="shared" si="5"/>
        <v>94</v>
      </c>
      <c r="I97" s="1">
        <f>'[1]links-p0'!J96</f>
        <v>0</v>
      </c>
      <c r="J97" s="1">
        <f>'[1]links-p0'!K96</f>
        <v>0</v>
      </c>
      <c r="K97" s="1">
        <f>'[1]links-p0'!L96</f>
        <v>3500</v>
      </c>
      <c r="L97" s="1">
        <f>'[1]links-p0'!M96</f>
        <v>860.23420739545827</v>
      </c>
      <c r="M97" s="1">
        <f>'[1]links-p0'!N96</f>
        <v>0</v>
      </c>
      <c r="N97" s="1">
        <f>'[1]links-p0'!O96</f>
        <v>746.27792890000001</v>
      </c>
      <c r="O97" s="1">
        <f>'[1]links-p0'!P96</f>
        <v>0</v>
      </c>
      <c r="P97" s="1">
        <f>'[1]links-p0'!Q96</f>
        <v>5031.3486069099999</v>
      </c>
      <c r="Q97" s="1">
        <f>'[1]links-p0'!R96</f>
        <v>0</v>
      </c>
      <c r="R97" s="1">
        <f>'[1]links-p0'!S96</f>
        <v>1553.672292</v>
      </c>
      <c r="S97" s="1">
        <f>'[1]links-p0'!T96</f>
        <v>6779.6610170000004</v>
      </c>
      <c r="T97" s="1">
        <f>'[1]links-p0'!U96</f>
        <v>0</v>
      </c>
      <c r="U97" s="1">
        <f>'[1]links-p0'!V96</f>
        <v>1517.7757899999999</v>
      </c>
    </row>
    <row r="98" spans="8:21">
      <c r="H98" s="2">
        <f t="shared" si="5"/>
        <v>95</v>
      </c>
      <c r="I98" s="1">
        <f>'[1]links-p0'!J97</f>
        <v>0</v>
      </c>
      <c r="J98" s="1">
        <f>'[1]links-p0'!K97</f>
        <v>0</v>
      </c>
      <c r="K98" s="1">
        <f>'[1]links-p0'!L97</f>
        <v>3500</v>
      </c>
      <c r="L98" s="1">
        <f>'[1]links-p0'!M97</f>
        <v>903.96671862402582</v>
      </c>
      <c r="M98" s="1">
        <f>'[1]links-p0'!N97</f>
        <v>0</v>
      </c>
      <c r="N98" s="1">
        <f>'[1]links-p0'!O97</f>
        <v>0</v>
      </c>
      <c r="O98" s="1">
        <f>'[1]links-p0'!P97</f>
        <v>0</v>
      </c>
      <c r="P98" s="1">
        <f>'[1]links-p0'!Q97</f>
        <v>5947.5919272000001</v>
      </c>
      <c r="Q98" s="1">
        <f>'[1]links-p0'!R97</f>
        <v>0</v>
      </c>
      <c r="R98" s="1">
        <f>'[1]links-p0'!S97</f>
        <v>832.06908980000003</v>
      </c>
      <c r="S98" s="1">
        <f>'[1]links-p0'!T97</f>
        <v>6779.6610170000004</v>
      </c>
      <c r="T98" s="1">
        <f>'[1]links-p0'!U97</f>
        <v>0</v>
      </c>
      <c r="U98" s="1">
        <f>'[1]links-p0'!V97</f>
        <v>1517.7757899999999</v>
      </c>
    </row>
    <row r="99" spans="8:21">
      <c r="H99" s="2">
        <f t="shared" si="5"/>
        <v>96</v>
      </c>
      <c r="I99" s="1">
        <f>'[1]links-p0'!J98</f>
        <v>0</v>
      </c>
      <c r="J99" s="1">
        <f>'[1]links-p0'!K98</f>
        <v>0</v>
      </c>
      <c r="K99" s="1">
        <f>'[1]links-p0'!L98</f>
        <v>3500</v>
      </c>
      <c r="L99" s="1">
        <f>'[1]links-p0'!M98</f>
        <v>836.69964648763175</v>
      </c>
      <c r="M99" s="1">
        <f>'[1]links-p0'!N98</f>
        <v>0</v>
      </c>
      <c r="N99" s="1">
        <f>'[1]links-p0'!O98</f>
        <v>0</v>
      </c>
      <c r="O99" s="1">
        <f>'[1]links-p0'!P98</f>
        <v>0</v>
      </c>
      <c r="P99" s="1">
        <f>'[1]links-p0'!Q98</f>
        <v>5544.9043005699996</v>
      </c>
      <c r="Q99" s="1">
        <f>'[1]links-p0'!R98</f>
        <v>0</v>
      </c>
      <c r="R99" s="1">
        <f>'[1]links-p0'!S98</f>
        <v>1234.7567164300001</v>
      </c>
      <c r="S99" s="1">
        <f>'[1]links-p0'!T98</f>
        <v>6779.6610170000004</v>
      </c>
      <c r="T99" s="1">
        <f>'[1]links-p0'!U98</f>
        <v>0</v>
      </c>
      <c r="U99" s="1">
        <f>'[1]links-p0'!V98</f>
        <v>1517.7757899999999</v>
      </c>
    </row>
    <row r="100" spans="8:21">
      <c r="H100" s="2">
        <f t="shared" si="5"/>
        <v>97</v>
      </c>
      <c r="I100" s="1">
        <f>'[1]links-p0'!J99</f>
        <v>0</v>
      </c>
      <c r="J100" s="1">
        <f>'[1]links-p0'!K99</f>
        <v>0</v>
      </c>
      <c r="K100" s="1">
        <f>'[1]links-p0'!L99</f>
        <v>3500</v>
      </c>
      <c r="L100" s="1">
        <f>'[1]links-p0'!M99</f>
        <v>861.53258409650402</v>
      </c>
      <c r="M100" s="1">
        <f>'[1]links-p0'!N99</f>
        <v>353.90529597</v>
      </c>
      <c r="N100" s="1">
        <f>'[1]links-p0'!O99</f>
        <v>0</v>
      </c>
      <c r="O100" s="1">
        <f>'[1]links-p0'!P99</f>
        <v>0</v>
      </c>
      <c r="P100" s="1">
        <f>'[1]links-p0'!Q99</f>
        <v>5544.9043005699996</v>
      </c>
      <c r="Q100" s="1">
        <f>'[1]links-p0'!R99</f>
        <v>0</v>
      </c>
      <c r="R100" s="1">
        <f>'[1]links-p0'!S99</f>
        <v>1234.7567164300001</v>
      </c>
      <c r="S100" s="1">
        <f>'[1]links-p0'!T99</f>
        <v>6779.6610170000004</v>
      </c>
      <c r="T100" s="1">
        <f>'[1]links-p0'!U99</f>
        <v>0</v>
      </c>
      <c r="U100" s="1">
        <f>'[1]links-p0'!V99</f>
        <v>1517.7757899999999</v>
      </c>
    </row>
    <row r="101" spans="8:21">
      <c r="H101" s="2">
        <f t="shared" si="5"/>
        <v>98</v>
      </c>
      <c r="I101" s="1">
        <f>'[1]links-p0'!J100</f>
        <v>0</v>
      </c>
      <c r="J101" s="1">
        <f>'[1]links-p0'!K100</f>
        <v>0</v>
      </c>
      <c r="K101" s="1">
        <f>'[1]links-p0'!L100</f>
        <v>3500</v>
      </c>
      <c r="L101" s="1">
        <f>'[1]links-p0'!M100</f>
        <v>874.25312986892482</v>
      </c>
      <c r="M101" s="1">
        <f>'[1]links-p0'!N100</f>
        <v>2858.6637063200001</v>
      </c>
      <c r="N101" s="1">
        <f>'[1]links-p0'!O100</f>
        <v>0</v>
      </c>
      <c r="O101" s="1">
        <f>'[1]links-p0'!P100</f>
        <v>0</v>
      </c>
      <c r="P101" s="1">
        <f>'[1]links-p0'!Q100</f>
        <v>6010.2309963100006</v>
      </c>
      <c r="Q101" s="1">
        <f>'[1]links-p0'!R100</f>
        <v>0</v>
      </c>
      <c r="R101" s="1">
        <f>'[1]links-p0'!S100</f>
        <v>769.43002068999999</v>
      </c>
      <c r="S101" s="1">
        <f>'[1]links-p0'!T100</f>
        <v>6779.6610170000004</v>
      </c>
      <c r="T101" s="1">
        <f>'[1]links-p0'!U100</f>
        <v>0</v>
      </c>
      <c r="U101" s="1">
        <f>'[1]links-p0'!V100</f>
        <v>1517.7757899999999</v>
      </c>
    </row>
    <row r="102" spans="8:21">
      <c r="H102" s="2">
        <f t="shared" si="5"/>
        <v>99</v>
      </c>
      <c r="I102" s="1">
        <f>'[1]links-p0'!J101</f>
        <v>0</v>
      </c>
      <c r="J102" s="1">
        <f>'[1]links-p0'!K101</f>
        <v>0</v>
      </c>
      <c r="K102" s="1">
        <f>'[1]links-p0'!L101</f>
        <v>3500</v>
      </c>
      <c r="L102" s="1">
        <f>'[1]links-p0'!M101</f>
        <v>819.28743824172375</v>
      </c>
      <c r="M102" s="1">
        <f>'[1]links-p0'!N101</f>
        <v>0</v>
      </c>
      <c r="N102" s="1">
        <f>'[1]links-p0'!O101</f>
        <v>0</v>
      </c>
      <c r="O102" s="1">
        <f>'[1]links-p0'!P101</f>
        <v>0</v>
      </c>
      <c r="P102" s="1">
        <f>'[1]links-p0'!Q101</f>
        <v>6204.9043005699996</v>
      </c>
      <c r="Q102" s="1">
        <f>'[1]links-p0'!R101</f>
        <v>0</v>
      </c>
      <c r="R102" s="1">
        <f>'[1]links-p0'!S101</f>
        <v>574.75671642999998</v>
      </c>
      <c r="S102" s="1">
        <f>'[1]links-p0'!T101</f>
        <v>6779.6610170000004</v>
      </c>
      <c r="T102" s="1">
        <f>'[1]links-p0'!U101</f>
        <v>0</v>
      </c>
      <c r="U102" s="1">
        <f>'[1]links-p0'!V101</f>
        <v>1517.7757899999999</v>
      </c>
    </row>
    <row r="103" spans="8:21">
      <c r="H103" s="2">
        <f t="shared" si="5"/>
        <v>100</v>
      </c>
      <c r="I103" s="1">
        <f>'[1]links-p0'!J102</f>
        <v>0</v>
      </c>
      <c r="J103" s="1">
        <f>'[1]links-p0'!K102</f>
        <v>0</v>
      </c>
      <c r="K103" s="1">
        <f>'[1]links-p0'!L102</f>
        <v>3500</v>
      </c>
      <c r="L103" s="1">
        <f>'[1]links-p0'!M102</f>
        <v>742.34772193640606</v>
      </c>
      <c r="M103" s="1">
        <f>'[1]links-p0'!N102</f>
        <v>0</v>
      </c>
      <c r="N103" s="1">
        <f>'[1]links-p0'!O102</f>
        <v>0</v>
      </c>
      <c r="O103" s="1">
        <f>'[1]links-p0'!P102</f>
        <v>0</v>
      </c>
      <c r="P103" s="1">
        <f>'[1]links-p0'!Q102</f>
        <v>5545.3641824799997</v>
      </c>
      <c r="Q103" s="1">
        <f>'[1]links-p0'!R102</f>
        <v>0</v>
      </c>
      <c r="R103" s="1">
        <f>'[1]links-p0'!S102</f>
        <v>1234.2968345199999</v>
      </c>
      <c r="S103" s="1">
        <f>'[1]links-p0'!T102</f>
        <v>6779.6610170000004</v>
      </c>
      <c r="T103" s="1">
        <f>'[1]links-p0'!U102</f>
        <v>0</v>
      </c>
      <c r="U103" s="1">
        <f>'[1]links-p0'!V102</f>
        <v>1517.7757899999999</v>
      </c>
    </row>
    <row r="104" spans="8:21">
      <c r="H104" s="2">
        <f t="shared" si="5"/>
        <v>101</v>
      </c>
      <c r="I104" s="1">
        <f>'[1]links-p0'!J103</f>
        <v>0</v>
      </c>
      <c r="J104" s="1">
        <f>'[1]links-p0'!K103</f>
        <v>0</v>
      </c>
      <c r="K104" s="1">
        <f>'[1]links-p0'!L103</f>
        <v>3500</v>
      </c>
      <c r="L104" s="1">
        <f>'[1]links-p0'!M103</f>
        <v>619.10182454635788</v>
      </c>
      <c r="M104" s="1">
        <f>'[1]links-p0'!N103</f>
        <v>1329.8327752099999</v>
      </c>
      <c r="N104" s="1">
        <f>'[1]links-p0'!O103</f>
        <v>0</v>
      </c>
      <c r="O104" s="1">
        <f>'[1]links-p0'!P103</f>
        <v>0</v>
      </c>
      <c r="P104" s="1">
        <f>'[1]links-p0'!Q103</f>
        <v>5546.2839463100008</v>
      </c>
      <c r="Q104" s="1">
        <f>'[1]links-p0'!R103</f>
        <v>0</v>
      </c>
      <c r="R104" s="1">
        <f>'[1]links-p0'!S103</f>
        <v>1233.37707069</v>
      </c>
      <c r="S104" s="1">
        <f>'[1]links-p0'!T103</f>
        <v>6779.6610170000004</v>
      </c>
      <c r="T104" s="1">
        <f>'[1]links-p0'!U103</f>
        <v>0</v>
      </c>
      <c r="U104" s="1">
        <f>'[1]links-p0'!V103</f>
        <v>1517.7757899999999</v>
      </c>
    </row>
    <row r="105" spans="8:21">
      <c r="H105" s="2">
        <f t="shared" si="5"/>
        <v>102</v>
      </c>
      <c r="I105" s="1">
        <f>'[1]links-p0'!J104</f>
        <v>0</v>
      </c>
      <c r="J105" s="1">
        <f>'[1]links-p0'!K104</f>
        <v>0</v>
      </c>
      <c r="K105" s="1">
        <f>'[1]links-p0'!L104</f>
        <v>3500</v>
      </c>
      <c r="L105" s="1">
        <f>'[1]links-p0'!M104</f>
        <v>535.05736437155019</v>
      </c>
      <c r="M105" s="1">
        <f>'[1]links-p0'!N104</f>
        <v>3030.0808235099998</v>
      </c>
      <c r="N105" s="1">
        <f>'[1]links-p0'!O104</f>
        <v>0</v>
      </c>
      <c r="O105" s="1">
        <f>'[1]links-p0'!P104</f>
        <v>0</v>
      </c>
      <c r="P105" s="1">
        <f>'[1]links-p0'!Q104</f>
        <v>6206.7438282200001</v>
      </c>
      <c r="Q105" s="1">
        <f>'[1]links-p0'!R104</f>
        <v>0</v>
      </c>
      <c r="R105" s="1">
        <f>'[1]links-p0'!S104</f>
        <v>572.91718877999995</v>
      </c>
      <c r="S105" s="1">
        <f>'[1]links-p0'!T104</f>
        <v>6779.6610170000004</v>
      </c>
      <c r="T105" s="1">
        <f>'[1]links-p0'!U104</f>
        <v>0</v>
      </c>
      <c r="U105" s="1">
        <f>'[1]links-p0'!V104</f>
        <v>1517.7757899999999</v>
      </c>
    </row>
    <row r="106" spans="8:21">
      <c r="H106" s="2">
        <f t="shared" si="5"/>
        <v>103</v>
      </c>
      <c r="I106" s="1">
        <f>'[1]links-p0'!J105</f>
        <v>0</v>
      </c>
      <c r="J106" s="1">
        <f>'[1]links-p0'!K105</f>
        <v>0</v>
      </c>
      <c r="K106" s="1">
        <f>'[1]links-p0'!L105</f>
        <v>3500</v>
      </c>
      <c r="L106" s="1">
        <f>'[1]links-p0'!M105</f>
        <v>361.23874767143337</v>
      </c>
      <c r="M106" s="1">
        <f>'[1]links-p0'!N105</f>
        <v>197.61554663999999</v>
      </c>
      <c r="N106" s="1">
        <f>'[1]links-p0'!O105</f>
        <v>0</v>
      </c>
      <c r="O106" s="1">
        <f>'[1]links-p0'!P105</f>
        <v>0</v>
      </c>
      <c r="P106" s="1">
        <f>'[1]links-p0'!Q105</f>
        <v>6207.2037101300002</v>
      </c>
      <c r="Q106" s="1">
        <f>'[1]links-p0'!R105</f>
        <v>0</v>
      </c>
      <c r="R106" s="1">
        <f>'[1]links-p0'!S105</f>
        <v>572.45730687000002</v>
      </c>
      <c r="S106" s="1">
        <f>'[1]links-p0'!T105</f>
        <v>6779.6610170000004</v>
      </c>
      <c r="T106" s="1">
        <f>'[1]links-p0'!U105</f>
        <v>0</v>
      </c>
      <c r="U106" s="1">
        <f>'[1]links-p0'!V105</f>
        <v>1517.7757899999999</v>
      </c>
    </row>
    <row r="107" spans="8:21">
      <c r="H107" s="2">
        <f t="shared" si="5"/>
        <v>104</v>
      </c>
      <c r="I107" s="1">
        <f>'[1]links-p0'!J106</f>
        <v>0</v>
      </c>
      <c r="J107" s="1">
        <f>'[1]links-p0'!K106</f>
        <v>0</v>
      </c>
      <c r="K107" s="1">
        <f>'[1]links-p0'!L106</f>
        <v>3500</v>
      </c>
      <c r="L107" s="1">
        <f>'[1]links-p0'!M106</f>
        <v>132.02899165931009</v>
      </c>
      <c r="M107" s="1">
        <f>'[1]links-p0'!N106</f>
        <v>843.23938495000004</v>
      </c>
      <c r="N107" s="1">
        <f>'[1]links-p0'!O106</f>
        <v>0</v>
      </c>
      <c r="O107" s="1">
        <f>'[1]links-p0'!P106</f>
        <v>0</v>
      </c>
      <c r="P107" s="1">
        <f>'[1]links-p0'!Q106</f>
        <v>6310.3037101300006</v>
      </c>
      <c r="Q107" s="1">
        <f>'[1]links-p0'!R106</f>
        <v>0</v>
      </c>
      <c r="R107" s="1">
        <f>'[1]links-p0'!S106</f>
        <v>572.45730687000002</v>
      </c>
      <c r="S107" s="1">
        <f>'[1]links-p0'!T106</f>
        <v>6779.6610170000004</v>
      </c>
      <c r="T107" s="1">
        <f>'[1]links-p0'!U106</f>
        <v>0</v>
      </c>
      <c r="U107" s="1">
        <f>'[1]links-p0'!V106</f>
        <v>1517.7757899999999</v>
      </c>
    </row>
    <row r="108" spans="8:21">
      <c r="H108" s="2">
        <f t="shared" si="5"/>
        <v>105</v>
      </c>
      <c r="I108" s="1">
        <f>'[1]links-p0'!J107</f>
        <v>0</v>
      </c>
      <c r="J108" s="1">
        <f>'[1]links-p0'!K107</f>
        <v>0</v>
      </c>
      <c r="K108" s="1">
        <f>'[1]links-p0'!L107</f>
        <v>3500</v>
      </c>
      <c r="L108" s="1">
        <f>'[1]links-p0'!M107</f>
        <v>405.24471567759628</v>
      </c>
      <c r="M108" s="1">
        <f>'[1]links-p0'!N107</f>
        <v>5000</v>
      </c>
      <c r="N108" s="1">
        <f>'[1]links-p0'!O107</f>
        <v>0</v>
      </c>
      <c r="O108" s="1">
        <f>'[1]links-p0'!P107</f>
        <v>87.542693130000004</v>
      </c>
      <c r="P108" s="1">
        <f>'[1]links-p0'!Q107</f>
        <v>7597.6610170000004</v>
      </c>
      <c r="Q108" s="1">
        <f>'[1]links-p0'!R107</f>
        <v>0</v>
      </c>
      <c r="R108" s="1">
        <f>'[1]links-p0'!S107</f>
        <v>0</v>
      </c>
      <c r="S108" s="1">
        <f>'[1]links-p0'!T107</f>
        <v>6779.6610170000004</v>
      </c>
      <c r="T108" s="1">
        <f>'[1]links-p0'!U107</f>
        <v>0</v>
      </c>
      <c r="U108" s="1">
        <f>'[1]links-p0'!V107</f>
        <v>1517.7757899999999</v>
      </c>
    </row>
    <row r="109" spans="8:21">
      <c r="H109" s="2">
        <f t="shared" si="5"/>
        <v>106</v>
      </c>
      <c r="I109" s="1">
        <f>'[1]links-p0'!J108</f>
        <v>0</v>
      </c>
      <c r="J109" s="1">
        <f>'[1]links-p0'!K108</f>
        <v>0</v>
      </c>
      <c r="K109" s="1">
        <f>'[1]links-p0'!L108</f>
        <v>0</v>
      </c>
      <c r="L109" s="1">
        <f>'[1]links-p0'!M108</f>
        <v>0</v>
      </c>
      <c r="M109" s="1">
        <f>'[1]links-p0'!N108</f>
        <v>5000</v>
      </c>
      <c r="N109" s="1">
        <f>'[1]links-p0'!O108</f>
        <v>0</v>
      </c>
      <c r="O109" s="1">
        <f>'[1]links-p0'!P108</f>
        <v>87.542693130000004</v>
      </c>
      <c r="P109" s="1">
        <f>'[1]links-p0'!Q108</f>
        <v>7597.6610170000004</v>
      </c>
      <c r="Q109" s="1">
        <f>'[1]links-p0'!R108</f>
        <v>0</v>
      </c>
      <c r="R109" s="1">
        <f>'[1]links-p0'!S108</f>
        <v>0</v>
      </c>
      <c r="S109" s="1">
        <f>'[1]links-p0'!T108</f>
        <v>6779.6610170000004</v>
      </c>
      <c r="T109" s="1">
        <f>'[1]links-p0'!U108</f>
        <v>0</v>
      </c>
      <c r="U109" s="1">
        <f>'[1]links-p0'!V108</f>
        <v>1517.7757899999999</v>
      </c>
    </row>
    <row r="110" spans="8:21">
      <c r="H110" s="2">
        <f t="shared" si="5"/>
        <v>107</v>
      </c>
      <c r="I110" s="1">
        <f>'[1]links-p0'!J109</f>
        <v>0</v>
      </c>
      <c r="J110" s="1">
        <f>'[1]links-p0'!K109</f>
        <v>0</v>
      </c>
      <c r="K110" s="1">
        <f>'[1]links-p0'!L109</f>
        <v>0</v>
      </c>
      <c r="L110" s="1">
        <f>'[1]links-p0'!M109</f>
        <v>0</v>
      </c>
      <c r="M110" s="1">
        <f>'[1]links-p0'!N109</f>
        <v>5000</v>
      </c>
      <c r="N110" s="1">
        <f>'[1]links-p0'!O109</f>
        <v>0</v>
      </c>
      <c r="O110" s="1">
        <f>'[1]links-p0'!P109</f>
        <v>87.082811220000025</v>
      </c>
      <c r="P110" s="1">
        <f>'[1]links-p0'!Q109</f>
        <v>7597.6610170000004</v>
      </c>
      <c r="Q110" s="1">
        <f>'[1]links-p0'!R109</f>
        <v>0</v>
      </c>
      <c r="R110" s="1">
        <f>'[1]links-p0'!S109</f>
        <v>0</v>
      </c>
      <c r="S110" s="1">
        <f>'[1]links-p0'!T109</f>
        <v>6779.6610170000004</v>
      </c>
      <c r="T110" s="1">
        <f>'[1]links-p0'!U109</f>
        <v>0</v>
      </c>
      <c r="U110" s="1">
        <f>'[1]links-p0'!V109</f>
        <v>1517.7757899999999</v>
      </c>
    </row>
    <row r="111" spans="8:21">
      <c r="H111" s="2">
        <f t="shared" si="5"/>
        <v>108</v>
      </c>
      <c r="I111" s="1">
        <f>'[1]links-p0'!J110</f>
        <v>0</v>
      </c>
      <c r="J111" s="1">
        <f>'[1]links-p0'!K110</f>
        <v>0</v>
      </c>
      <c r="K111" s="1">
        <f>'[1]links-p0'!L110</f>
        <v>0</v>
      </c>
      <c r="L111" s="1">
        <f>'[1]links-p0'!M110</f>
        <v>0</v>
      </c>
      <c r="M111" s="1">
        <f>'[1]links-p0'!N110</f>
        <v>5000</v>
      </c>
      <c r="N111" s="1">
        <f>'[1]links-p0'!O110</f>
        <v>0</v>
      </c>
      <c r="O111" s="1">
        <f>'[1]links-p0'!P110</f>
        <v>86.622929309999961</v>
      </c>
      <c r="P111" s="1">
        <f>'[1]links-p0'!Q110</f>
        <v>7597.6610170000004</v>
      </c>
      <c r="Q111" s="1">
        <f>'[1]links-p0'!R110</f>
        <v>0</v>
      </c>
      <c r="R111" s="1">
        <f>'[1]links-p0'!S110</f>
        <v>0</v>
      </c>
      <c r="S111" s="1">
        <f>'[1]links-p0'!T110</f>
        <v>6779.6610170000004</v>
      </c>
      <c r="T111" s="1">
        <f>'[1]links-p0'!U110</f>
        <v>0</v>
      </c>
      <c r="U111" s="1">
        <f>'[1]links-p0'!V110</f>
        <v>1517.7757899999999</v>
      </c>
    </row>
    <row r="112" spans="8:21">
      <c r="H112" s="2">
        <f t="shared" si="5"/>
        <v>109</v>
      </c>
      <c r="I112" s="1">
        <f>'[1]links-p0'!J111</f>
        <v>0</v>
      </c>
      <c r="J112" s="1">
        <f>'[1]links-p0'!K111</f>
        <v>0</v>
      </c>
      <c r="K112" s="1">
        <f>'[1]links-p0'!L111</f>
        <v>0</v>
      </c>
      <c r="L112" s="1">
        <f>'[1]links-p0'!M111</f>
        <v>0</v>
      </c>
      <c r="M112" s="1">
        <f>'[1]links-p0'!N111</f>
        <v>5000</v>
      </c>
      <c r="N112" s="1">
        <f>'[1]links-p0'!O111</f>
        <v>0</v>
      </c>
      <c r="O112" s="1">
        <f>'[1]links-p0'!P111</f>
        <v>86.622929309999961</v>
      </c>
      <c r="P112" s="1">
        <f>'[1]links-p0'!Q111</f>
        <v>7597.6610170000004</v>
      </c>
      <c r="Q112" s="1">
        <f>'[1]links-p0'!R111</f>
        <v>0</v>
      </c>
      <c r="R112" s="1">
        <f>'[1]links-p0'!S111</f>
        <v>0</v>
      </c>
      <c r="S112" s="1">
        <f>'[1]links-p0'!T111</f>
        <v>6779.6610170000004</v>
      </c>
      <c r="T112" s="1">
        <f>'[1]links-p0'!U111</f>
        <v>0</v>
      </c>
      <c r="U112" s="1">
        <f>'[1]links-p0'!V111</f>
        <v>1517.7757899999999</v>
      </c>
    </row>
    <row r="113" spans="8:21">
      <c r="H113" s="2">
        <f t="shared" si="5"/>
        <v>110</v>
      </c>
      <c r="I113" s="1">
        <f>'[1]links-p0'!J112</f>
        <v>0</v>
      </c>
      <c r="J113" s="1">
        <f>'[1]links-p0'!K112</f>
        <v>0</v>
      </c>
      <c r="K113" s="1">
        <f>'[1]links-p0'!L112</f>
        <v>0</v>
      </c>
      <c r="L113" s="1">
        <f>'[1]links-p0'!M112</f>
        <v>0</v>
      </c>
      <c r="M113" s="1">
        <f>'[1]links-p0'!N112</f>
        <v>5000</v>
      </c>
      <c r="N113" s="1">
        <f>'[1]links-p0'!O112</f>
        <v>0</v>
      </c>
      <c r="O113" s="1">
        <f>'[1]links-p0'!P112</f>
        <v>87.082811220000025</v>
      </c>
      <c r="P113" s="1">
        <f>'[1]links-p0'!Q112</f>
        <v>7597.6610170000004</v>
      </c>
      <c r="Q113" s="1">
        <f>'[1]links-p0'!R112</f>
        <v>0</v>
      </c>
      <c r="R113" s="1">
        <f>'[1]links-p0'!S112</f>
        <v>0</v>
      </c>
      <c r="S113" s="1">
        <f>'[1]links-p0'!T112</f>
        <v>6779.6610170000004</v>
      </c>
      <c r="T113" s="1">
        <f>'[1]links-p0'!U112</f>
        <v>0</v>
      </c>
      <c r="U113" s="1">
        <f>'[1]links-p0'!V112</f>
        <v>1517.7757899999999</v>
      </c>
    </row>
    <row r="114" spans="8:21">
      <c r="H114" s="2">
        <f t="shared" si="5"/>
        <v>111</v>
      </c>
      <c r="I114" s="1">
        <f>'[1]links-p0'!J113</f>
        <v>0</v>
      </c>
      <c r="J114" s="1">
        <f>'[1]links-p0'!K113</f>
        <v>0</v>
      </c>
      <c r="K114" s="1">
        <f>'[1]links-p0'!L113</f>
        <v>0</v>
      </c>
      <c r="L114" s="1">
        <f>'[1]links-p0'!M113</f>
        <v>0</v>
      </c>
      <c r="M114" s="1">
        <f>'[1]links-p0'!N113</f>
        <v>5000</v>
      </c>
      <c r="N114" s="1">
        <f>'[1]links-p0'!O113</f>
        <v>0</v>
      </c>
      <c r="O114" s="1">
        <f>'[1]links-p0'!P113</f>
        <v>87.542693130000004</v>
      </c>
      <c r="P114" s="1">
        <f>'[1]links-p0'!Q113</f>
        <v>7597.6610170000004</v>
      </c>
      <c r="Q114" s="1">
        <f>'[1]links-p0'!R113</f>
        <v>0</v>
      </c>
      <c r="R114" s="1">
        <f>'[1]links-p0'!S113</f>
        <v>0</v>
      </c>
      <c r="S114" s="1">
        <f>'[1]links-p0'!T113</f>
        <v>6779.6610170000004</v>
      </c>
      <c r="T114" s="1">
        <f>'[1]links-p0'!U113</f>
        <v>0</v>
      </c>
      <c r="U114" s="1">
        <f>'[1]links-p0'!V113</f>
        <v>1517.7757899999999</v>
      </c>
    </row>
    <row r="115" spans="8:21">
      <c r="H115" s="2">
        <f t="shared" si="5"/>
        <v>112</v>
      </c>
      <c r="I115" s="1">
        <f>'[1]links-p0'!J114</f>
        <v>0</v>
      </c>
      <c r="J115" s="1">
        <f>'[1]links-p0'!K114</f>
        <v>0</v>
      </c>
      <c r="K115" s="1">
        <f>'[1]links-p0'!L114</f>
        <v>0</v>
      </c>
      <c r="L115" s="1">
        <f>'[1]links-p0'!M114</f>
        <v>0</v>
      </c>
      <c r="M115" s="1">
        <f>'[1]links-p0'!N114</f>
        <v>5000</v>
      </c>
      <c r="N115" s="1">
        <f>'[1]links-p0'!O114</f>
        <v>0</v>
      </c>
      <c r="O115" s="1">
        <f>'[1]links-p0'!P114</f>
        <v>87.542693130000004</v>
      </c>
      <c r="P115" s="1">
        <f>'[1]links-p0'!Q114</f>
        <v>7597.6610170000004</v>
      </c>
      <c r="Q115" s="1">
        <f>'[1]links-p0'!R114</f>
        <v>0</v>
      </c>
      <c r="R115" s="1">
        <f>'[1]links-p0'!S114</f>
        <v>0</v>
      </c>
      <c r="S115" s="1">
        <f>'[1]links-p0'!T114</f>
        <v>6779.6610170000004</v>
      </c>
      <c r="T115" s="1">
        <f>'[1]links-p0'!U114</f>
        <v>0</v>
      </c>
      <c r="U115" s="1">
        <f>'[1]links-p0'!V114</f>
        <v>1517.7757899999999</v>
      </c>
    </row>
    <row r="116" spans="8:21">
      <c r="H116" s="2">
        <f t="shared" si="5"/>
        <v>113</v>
      </c>
      <c r="I116" s="1">
        <f>'[1]links-p0'!J115</f>
        <v>0</v>
      </c>
      <c r="J116" s="1">
        <f>'[1]links-p0'!K115</f>
        <v>0</v>
      </c>
      <c r="K116" s="1">
        <f>'[1]links-p0'!L115</f>
        <v>3500</v>
      </c>
      <c r="L116" s="1">
        <f>'[1]links-p0'!M115</f>
        <v>431.75987302849148</v>
      </c>
      <c r="M116" s="1">
        <f>'[1]links-p0'!N115</f>
        <v>5000</v>
      </c>
      <c r="N116" s="1">
        <f>'[1]links-p0'!O115</f>
        <v>0</v>
      </c>
      <c r="O116" s="1">
        <f>'[1]links-p0'!P115</f>
        <v>0</v>
      </c>
      <c r="P116" s="1">
        <f>'[1]links-p0'!Q115</f>
        <v>7025.2037101300002</v>
      </c>
      <c r="Q116" s="1">
        <f>'[1]links-p0'!R115</f>
        <v>0</v>
      </c>
      <c r="R116" s="1">
        <f>'[1]links-p0'!S115</f>
        <v>572.45730687000002</v>
      </c>
      <c r="S116" s="1">
        <f>'[1]links-p0'!T115</f>
        <v>6779.6610170000004</v>
      </c>
      <c r="T116" s="1">
        <f>'[1]links-p0'!U115</f>
        <v>0</v>
      </c>
      <c r="U116" s="1">
        <f>'[1]links-p0'!V115</f>
        <v>1517.7757899999999</v>
      </c>
    </row>
    <row r="117" spans="8:21">
      <c r="H117" s="2">
        <f t="shared" si="5"/>
        <v>114</v>
      </c>
      <c r="I117" s="1">
        <f>'[1]links-p0'!J116</f>
        <v>0</v>
      </c>
      <c r="J117" s="1">
        <f>'[1]links-p0'!K116</f>
        <v>329.59331874529681</v>
      </c>
      <c r="K117" s="1">
        <f>'[1]links-p0'!L116</f>
        <v>0</v>
      </c>
      <c r="L117" s="1">
        <f>'[1]links-p0'!M116</f>
        <v>0</v>
      </c>
      <c r="M117" s="1">
        <f>'[1]links-p0'!N116</f>
        <v>5000</v>
      </c>
      <c r="N117" s="1">
        <f>'[1]links-p0'!O116</f>
        <v>0</v>
      </c>
      <c r="O117" s="1">
        <f>'[1]links-p0'!P116</f>
        <v>0</v>
      </c>
      <c r="P117" s="1">
        <f>'[1]links-p0'!Q116</f>
        <v>6373.7442540200009</v>
      </c>
      <c r="Q117" s="1">
        <f>'[1]links-p0'!R116</f>
        <v>0</v>
      </c>
      <c r="R117" s="1">
        <f>'[1]links-p0'!S116</f>
        <v>572.91718877999995</v>
      </c>
      <c r="S117" s="1">
        <f>'[1]links-p0'!T116</f>
        <v>6779.6610170000004</v>
      </c>
      <c r="T117" s="1">
        <f>'[1]links-p0'!U116</f>
        <v>0</v>
      </c>
      <c r="U117" s="1">
        <f>'[1]links-p0'!V116</f>
        <v>1517.7757899999999</v>
      </c>
    </row>
    <row r="118" spans="8:21">
      <c r="H118" s="2">
        <f t="shared" si="5"/>
        <v>115</v>
      </c>
      <c r="I118" s="1">
        <f>'[1]links-p0'!J117</f>
        <v>0</v>
      </c>
      <c r="J118" s="1">
        <f>'[1]links-p0'!K117</f>
        <v>283.5411713872636</v>
      </c>
      <c r="K118" s="1">
        <f>'[1]links-p0'!L117</f>
        <v>0</v>
      </c>
      <c r="L118" s="1">
        <f>'[1]links-p0'!M117</f>
        <v>0</v>
      </c>
      <c r="M118" s="1">
        <f>'[1]links-p0'!N117</f>
        <v>5000</v>
      </c>
      <c r="N118" s="1">
        <f>'[1]links-p0'!O117</f>
        <v>0</v>
      </c>
      <c r="O118" s="1">
        <f>'[1]links-p0'!P117</f>
        <v>0</v>
      </c>
      <c r="P118" s="1">
        <f>'[1]links-p0'!Q117</f>
        <v>5546.2839463100008</v>
      </c>
      <c r="Q118" s="1">
        <f>'[1]links-p0'!R117</f>
        <v>0</v>
      </c>
      <c r="R118" s="1">
        <f>'[1]links-p0'!S117</f>
        <v>1233.37707069</v>
      </c>
      <c r="S118" s="1">
        <f>'[1]links-p0'!T117</f>
        <v>6779.6610170000004</v>
      </c>
      <c r="T118" s="1">
        <f>'[1]links-p0'!U117</f>
        <v>0</v>
      </c>
      <c r="U118" s="1">
        <f>'[1]links-p0'!V117</f>
        <v>1517.7757899999999</v>
      </c>
    </row>
    <row r="119" spans="8:21">
      <c r="H119" s="2">
        <f t="shared" si="5"/>
        <v>116</v>
      </c>
      <c r="I119" s="1">
        <f>'[1]links-p0'!J118</f>
        <v>0</v>
      </c>
      <c r="J119" s="1">
        <f>'[1]links-p0'!K118</f>
        <v>264.57023048291308</v>
      </c>
      <c r="K119" s="1">
        <f>'[1]links-p0'!L118</f>
        <v>0</v>
      </c>
      <c r="L119" s="1">
        <f>'[1]links-p0'!M118</f>
        <v>0</v>
      </c>
      <c r="M119" s="1">
        <f>'[1]links-p0'!N118</f>
        <v>2797.6247696400001</v>
      </c>
      <c r="N119" s="1">
        <f>'[1]links-p0'!O118</f>
        <v>0</v>
      </c>
      <c r="O119" s="1">
        <f>'[1]links-p0'!P118</f>
        <v>0</v>
      </c>
      <c r="P119" s="1">
        <f>'[1]links-p0'!Q118</f>
        <v>5545.8240643999998</v>
      </c>
      <c r="Q119" s="1">
        <f>'[1]links-p0'!R118</f>
        <v>0</v>
      </c>
      <c r="R119" s="1">
        <f>'[1]links-p0'!S118</f>
        <v>1233.8369525999999</v>
      </c>
      <c r="S119" s="1">
        <f>'[1]links-p0'!T118</f>
        <v>6779.6610170000004</v>
      </c>
      <c r="T119" s="1">
        <f>'[1]links-p0'!U118</f>
        <v>0</v>
      </c>
      <c r="U119" s="1">
        <f>'[1]links-p0'!V118</f>
        <v>1517.7757899999999</v>
      </c>
    </row>
    <row r="120" spans="8:21">
      <c r="H120" s="2">
        <f t="shared" si="5"/>
        <v>117</v>
      </c>
      <c r="I120" s="1">
        <f>'[1]links-p0'!J119</f>
        <v>0</v>
      </c>
      <c r="J120" s="1">
        <f>'[1]links-p0'!K119</f>
        <v>293.90015141343491</v>
      </c>
      <c r="K120" s="1">
        <f>'[1]links-p0'!L119</f>
        <v>0</v>
      </c>
      <c r="L120" s="1">
        <f>'[1]links-p0'!M119</f>
        <v>0</v>
      </c>
      <c r="M120" s="1">
        <f>'[1]links-p0'!N119</f>
        <v>0</v>
      </c>
      <c r="N120" s="1">
        <f>'[1]links-p0'!O119</f>
        <v>0</v>
      </c>
      <c r="O120" s="1">
        <f>'[1]links-p0'!P119</f>
        <v>0</v>
      </c>
      <c r="P120" s="1">
        <f>'[1]links-p0'!Q119</f>
        <v>6205.3641824800006</v>
      </c>
      <c r="Q120" s="1">
        <f>'[1]links-p0'!R119</f>
        <v>0</v>
      </c>
      <c r="R120" s="1">
        <f>'[1]links-p0'!S119</f>
        <v>574.29683451999995</v>
      </c>
      <c r="S120" s="1">
        <f>'[1]links-p0'!T119</f>
        <v>6779.6610170000004</v>
      </c>
      <c r="T120" s="1">
        <f>'[1]links-p0'!U119</f>
        <v>0</v>
      </c>
      <c r="U120" s="1">
        <f>'[1]links-p0'!V119</f>
        <v>1517.7757899999999</v>
      </c>
    </row>
    <row r="121" spans="8:21">
      <c r="H121" s="2">
        <f t="shared" si="5"/>
        <v>118</v>
      </c>
      <c r="I121" s="1">
        <f>'[1]links-p0'!J120</f>
        <v>0</v>
      </c>
      <c r="J121" s="1">
        <f>'[1]links-p0'!K120</f>
        <v>380.00503362311127</v>
      </c>
      <c r="K121" s="1">
        <f>'[1]links-p0'!L120</f>
        <v>3500</v>
      </c>
      <c r="L121" s="1">
        <f>'[1]links-p0'!M120</f>
        <v>0</v>
      </c>
      <c r="M121" s="1">
        <f>'[1]links-p0'!N120</f>
        <v>29.88274315</v>
      </c>
      <c r="N121" s="1">
        <f>'[1]links-p0'!O120</f>
        <v>0</v>
      </c>
      <c r="O121" s="1">
        <f>'[1]links-p0'!P120</f>
        <v>0</v>
      </c>
      <c r="P121" s="1">
        <f>'[1]links-p0'!Q120</f>
        <v>5544.9043005699996</v>
      </c>
      <c r="Q121" s="1">
        <f>'[1]links-p0'!R120</f>
        <v>0</v>
      </c>
      <c r="R121" s="1">
        <f>'[1]links-p0'!S120</f>
        <v>1234.7567164300001</v>
      </c>
      <c r="S121" s="1">
        <f>'[1]links-p0'!T120</f>
        <v>6779.6610170000004</v>
      </c>
      <c r="T121" s="1">
        <f>'[1]links-p0'!U120</f>
        <v>0</v>
      </c>
      <c r="U121" s="1">
        <f>'[1]links-p0'!V120</f>
        <v>1517.7757899999999</v>
      </c>
    </row>
    <row r="122" spans="8:21">
      <c r="H122" s="2">
        <f t="shared" si="5"/>
        <v>119</v>
      </c>
      <c r="I122" s="1">
        <f>'[1]links-p0'!J121</f>
        <v>0</v>
      </c>
      <c r="J122" s="1">
        <f>'[1]links-p0'!K121</f>
        <v>498.61612662618711</v>
      </c>
      <c r="K122" s="1">
        <f>'[1]links-p0'!L121</f>
        <v>3500</v>
      </c>
      <c r="L122" s="1">
        <f>'[1]links-p0'!M121</f>
        <v>0</v>
      </c>
      <c r="M122" s="1">
        <f>'[1]links-p0'!N121</f>
        <v>2244.1603927199999</v>
      </c>
      <c r="N122" s="1">
        <f>'[1]links-p0'!O121</f>
        <v>0</v>
      </c>
      <c r="O122" s="1">
        <f>'[1]links-p0'!P121</f>
        <v>0</v>
      </c>
      <c r="P122" s="1">
        <f>'[1]links-p0'!Q121</f>
        <v>6204.9043005699996</v>
      </c>
      <c r="Q122" s="1">
        <f>'[1]links-p0'!R121</f>
        <v>0</v>
      </c>
      <c r="R122" s="1">
        <f>'[1]links-p0'!S121</f>
        <v>574.75671642999998</v>
      </c>
      <c r="S122" s="1">
        <f>'[1]links-p0'!T121</f>
        <v>6779.6610170000004</v>
      </c>
      <c r="T122" s="1">
        <f>'[1]links-p0'!U121</f>
        <v>0</v>
      </c>
      <c r="U122" s="1">
        <f>'[1]links-p0'!V121</f>
        <v>1517.7757899999999</v>
      </c>
    </row>
    <row r="123" spans="8:21">
      <c r="H123" s="2">
        <f t="shared" si="5"/>
        <v>120</v>
      </c>
      <c r="I123" s="1">
        <f>'[1]links-p0'!J122</f>
        <v>0</v>
      </c>
      <c r="J123" s="1">
        <f>'[1]links-p0'!K122</f>
        <v>1013.524995788168</v>
      </c>
      <c r="K123" s="1">
        <f>'[1]links-p0'!L122</f>
        <v>3500</v>
      </c>
      <c r="L123" s="1">
        <f>'[1]links-p0'!M122</f>
        <v>0</v>
      </c>
      <c r="M123" s="1">
        <f>'[1]links-p0'!N122</f>
        <v>5000</v>
      </c>
      <c r="N123" s="1">
        <f>'[1]links-p0'!O122</f>
        <v>0</v>
      </c>
      <c r="O123" s="1">
        <f>'[1]links-p0'!P122</f>
        <v>85.159673730000009</v>
      </c>
      <c r="P123" s="1">
        <f>'[1]links-p0'!Q122</f>
        <v>6779.6610170000004</v>
      </c>
      <c r="Q123" s="1">
        <f>'[1]links-p0'!R122</f>
        <v>0</v>
      </c>
      <c r="R123" s="1">
        <f>'[1]links-p0'!S122</f>
        <v>0</v>
      </c>
      <c r="S123" s="1">
        <f>'[1]links-p0'!T122</f>
        <v>6779.6610170000004</v>
      </c>
      <c r="T123" s="1">
        <f>'[1]links-p0'!U122</f>
        <v>0</v>
      </c>
      <c r="U123" s="1">
        <f>'[1]links-p0'!V122</f>
        <v>1517.7757899999999</v>
      </c>
    </row>
    <row r="124" spans="8:21">
      <c r="H124" s="2">
        <f t="shared" si="5"/>
        <v>121</v>
      </c>
      <c r="I124" s="1">
        <f>'[1]links-p0'!J123</f>
        <v>0</v>
      </c>
      <c r="J124" s="1">
        <f>'[1]links-p0'!K123</f>
        <v>1117.867599585127</v>
      </c>
      <c r="K124" s="1">
        <f>'[1]links-p0'!L123</f>
        <v>3500</v>
      </c>
      <c r="L124" s="1">
        <f>'[1]links-p0'!M123</f>
        <v>0</v>
      </c>
      <c r="M124" s="1">
        <f>'[1]links-p0'!N123</f>
        <v>5000</v>
      </c>
      <c r="N124" s="1">
        <f>'[1]links-p0'!O123</f>
        <v>0</v>
      </c>
      <c r="O124" s="1">
        <f>'[1]links-p0'!P123</f>
        <v>10.804415430000009</v>
      </c>
      <c r="P124" s="1">
        <f>'[1]links-p0'!Q123</f>
        <v>7597.6610170000004</v>
      </c>
      <c r="Q124" s="1">
        <f>'[1]links-p0'!R123</f>
        <v>0</v>
      </c>
      <c r="R124" s="1">
        <f>'[1]links-p0'!S123</f>
        <v>0</v>
      </c>
      <c r="S124" s="1">
        <f>'[1]links-p0'!T123</f>
        <v>6779.6610170000004</v>
      </c>
      <c r="T124" s="1">
        <f>'[1]links-p0'!U123</f>
        <v>0</v>
      </c>
      <c r="U124" s="1">
        <f>'[1]links-p0'!V123</f>
        <v>1612.9434590047269</v>
      </c>
    </row>
    <row r="125" spans="8:21">
      <c r="H125" s="2">
        <f t="shared" si="5"/>
        <v>122</v>
      </c>
      <c r="I125" s="1">
        <f>'[1]links-p0'!J124</f>
        <v>0</v>
      </c>
      <c r="J125" s="1">
        <f>'[1]links-p0'!K124</f>
        <v>1186.4051702391289</v>
      </c>
      <c r="K125" s="1">
        <f>'[1]links-p0'!L124</f>
        <v>3500</v>
      </c>
      <c r="L125" s="1">
        <f>'[1]links-p0'!M124</f>
        <v>0</v>
      </c>
      <c r="M125" s="1">
        <f>'[1]links-p0'!N124</f>
        <v>5000</v>
      </c>
      <c r="N125" s="1">
        <f>'[1]links-p0'!O124</f>
        <v>0</v>
      </c>
      <c r="O125" s="1">
        <f>'[1]links-p0'!P124</f>
        <v>0</v>
      </c>
      <c r="P125" s="1">
        <f>'[1]links-p0'!Q124</f>
        <v>7022.82069073</v>
      </c>
      <c r="Q125" s="1">
        <f>'[1]links-p0'!R124</f>
        <v>0</v>
      </c>
      <c r="R125" s="1">
        <f>'[1]links-p0'!S124</f>
        <v>574.84032626999999</v>
      </c>
      <c r="S125" s="1">
        <f>'[1]links-p0'!T124</f>
        <v>6779.6610170000004</v>
      </c>
      <c r="T125" s="1">
        <f>'[1]links-p0'!U124</f>
        <v>0</v>
      </c>
      <c r="U125" s="1">
        <f>'[1]links-p0'!V124</f>
        <v>1517.7757899999999</v>
      </c>
    </row>
    <row r="126" spans="8:21">
      <c r="H126" s="2">
        <f t="shared" si="5"/>
        <v>123</v>
      </c>
      <c r="I126" s="1">
        <f>'[1]links-p0'!J125</f>
        <v>0</v>
      </c>
      <c r="J126" s="1">
        <f>'[1]links-p0'!K125</f>
        <v>1228.3934055970319</v>
      </c>
      <c r="K126" s="1">
        <f>'[1]links-p0'!L125</f>
        <v>3500</v>
      </c>
      <c r="L126" s="1">
        <f>'[1]links-p0'!M125</f>
        <v>0</v>
      </c>
      <c r="M126" s="1">
        <f>'[1]links-p0'!N125</f>
        <v>5000</v>
      </c>
      <c r="N126" s="1">
        <f>'[1]links-p0'!O125</f>
        <v>0</v>
      </c>
      <c r="O126" s="1">
        <f>'[1]links-p0'!P125</f>
        <v>85.159673730000009</v>
      </c>
      <c r="P126" s="1">
        <f>'[1]links-p0'!Q125</f>
        <v>7597.6610170000004</v>
      </c>
      <c r="Q126" s="1">
        <f>'[1]links-p0'!R125</f>
        <v>0</v>
      </c>
      <c r="R126" s="1">
        <f>'[1]links-p0'!S125</f>
        <v>0</v>
      </c>
      <c r="S126" s="1">
        <f>'[1]links-p0'!T125</f>
        <v>6779.6610170000004</v>
      </c>
      <c r="T126" s="1">
        <f>'[1]links-p0'!U125</f>
        <v>0</v>
      </c>
      <c r="U126" s="1">
        <f>'[1]links-p0'!V125</f>
        <v>1901.9727924005811</v>
      </c>
    </row>
    <row r="127" spans="8:21">
      <c r="H127" s="2">
        <f t="shared" si="5"/>
        <v>124</v>
      </c>
      <c r="I127" s="1">
        <f>'[1]links-p0'!J126</f>
        <v>0</v>
      </c>
      <c r="J127" s="1">
        <f>'[1]links-p0'!K126</f>
        <v>1241.1604996893579</v>
      </c>
      <c r="K127" s="1">
        <f>'[1]links-p0'!L126</f>
        <v>3500</v>
      </c>
      <c r="L127" s="1">
        <f>'[1]links-p0'!M126</f>
        <v>0</v>
      </c>
      <c r="M127" s="1">
        <f>'[1]links-p0'!N126</f>
        <v>5000</v>
      </c>
      <c r="N127" s="1">
        <f>'[1]links-p0'!O126</f>
        <v>0</v>
      </c>
      <c r="O127" s="1">
        <f>'[1]links-p0'!P126</f>
        <v>86.087407649999989</v>
      </c>
      <c r="P127" s="1">
        <f>'[1]links-p0'!Q126</f>
        <v>7597.6610170000004</v>
      </c>
      <c r="Q127" s="1">
        <f>'[1]links-p0'!R126</f>
        <v>0</v>
      </c>
      <c r="R127" s="1">
        <f>'[1]links-p0'!S126</f>
        <v>0</v>
      </c>
      <c r="S127" s="1">
        <f>'[1]links-p0'!T126</f>
        <v>6779.6610170000004</v>
      </c>
      <c r="T127" s="1">
        <f>'[1]links-p0'!U126</f>
        <v>0</v>
      </c>
      <c r="U127" s="1">
        <f>'[1]links-p0'!V126</f>
        <v>1969.6930616824091</v>
      </c>
    </row>
    <row r="128" spans="8:21">
      <c r="H128" s="2">
        <f t="shared" si="5"/>
        <v>125</v>
      </c>
      <c r="I128" s="1">
        <f>'[1]links-p0'!J127</f>
        <v>0</v>
      </c>
      <c r="J128" s="1">
        <f>'[1]links-p0'!K127</f>
        <v>1217.8051840425171</v>
      </c>
      <c r="K128" s="1">
        <f>'[1]links-p0'!L127</f>
        <v>2026.669196652407</v>
      </c>
      <c r="L128" s="1">
        <f>'[1]links-p0'!M127</f>
        <v>0</v>
      </c>
      <c r="M128" s="1">
        <f>'[1]links-p0'!N127</f>
        <v>5000</v>
      </c>
      <c r="N128" s="1">
        <f>'[1]links-p0'!O127</f>
        <v>0</v>
      </c>
      <c r="O128" s="1">
        <f>'[1]links-p0'!P127</f>
        <v>87.015141559999961</v>
      </c>
      <c r="P128" s="1">
        <f>'[1]links-p0'!Q127</f>
        <v>6779.6610170000004</v>
      </c>
      <c r="Q128" s="1">
        <f>'[1]links-p0'!R127</f>
        <v>0</v>
      </c>
      <c r="R128" s="1">
        <f>'[1]links-p0'!S127</f>
        <v>0</v>
      </c>
      <c r="S128" s="1">
        <f>'[1]links-p0'!T127</f>
        <v>6779.6610170000004</v>
      </c>
      <c r="T128" s="1">
        <f>'[1]links-p0'!U127</f>
        <v>0</v>
      </c>
      <c r="U128" s="1">
        <f>'[1]links-p0'!V127</f>
        <v>1517.7757899999999</v>
      </c>
    </row>
    <row r="129" spans="8:21">
      <c r="H129" s="2">
        <f t="shared" si="5"/>
        <v>126</v>
      </c>
      <c r="I129" s="1">
        <f>'[1]links-p0'!J128</f>
        <v>0</v>
      </c>
      <c r="J129" s="1">
        <f>'[1]links-p0'!K128</f>
        <v>1213.7830586959531</v>
      </c>
      <c r="K129" s="1">
        <f>'[1]links-p0'!L128</f>
        <v>1414.4880560888</v>
      </c>
      <c r="L129" s="1">
        <f>'[1]links-p0'!M128</f>
        <v>0</v>
      </c>
      <c r="M129" s="1">
        <f>'[1]links-p0'!N128</f>
        <v>5000</v>
      </c>
      <c r="N129" s="1">
        <f>'[1]links-p0'!O128</f>
        <v>0</v>
      </c>
      <c r="O129" s="1">
        <f>'[1]links-p0'!P128</f>
        <v>87.479008520000008</v>
      </c>
      <c r="P129" s="1">
        <f>'[1]links-p0'!Q128</f>
        <v>7597.6610170000004</v>
      </c>
      <c r="Q129" s="1">
        <f>'[1]links-p0'!R128</f>
        <v>0</v>
      </c>
      <c r="R129" s="1">
        <f>'[1]links-p0'!S128</f>
        <v>0</v>
      </c>
      <c r="S129" s="1">
        <f>'[1]links-p0'!T128</f>
        <v>6779.6610170000004</v>
      </c>
      <c r="T129" s="1">
        <f>'[1]links-p0'!U128</f>
        <v>0</v>
      </c>
      <c r="U129" s="1">
        <f>'[1]links-p0'!V128</f>
        <v>2145.5189282283031</v>
      </c>
    </row>
    <row r="130" spans="8:21">
      <c r="H130" s="2">
        <f t="shared" si="5"/>
        <v>127</v>
      </c>
      <c r="I130" s="1">
        <f>'[1]links-p0'!J129</f>
        <v>0</v>
      </c>
      <c r="J130" s="1">
        <f>'[1]links-p0'!K129</f>
        <v>1222.6908082682889</v>
      </c>
      <c r="K130" s="1">
        <f>'[1]links-p0'!L129</f>
        <v>1236.5047157432</v>
      </c>
      <c r="L130" s="1">
        <f>'[1]links-p0'!M129</f>
        <v>0</v>
      </c>
      <c r="M130" s="1">
        <f>'[1]links-p0'!N129</f>
        <v>5000</v>
      </c>
      <c r="N130" s="1">
        <f>'[1]links-p0'!O129</f>
        <v>0</v>
      </c>
      <c r="O130" s="1">
        <f>'[1]links-p0'!P129</f>
        <v>0</v>
      </c>
      <c r="P130" s="1">
        <f>'[1]links-p0'!Q129</f>
        <v>7024.6761585600007</v>
      </c>
      <c r="Q130" s="1">
        <f>'[1]links-p0'!R129</f>
        <v>0</v>
      </c>
      <c r="R130" s="1">
        <f>'[1]links-p0'!S129</f>
        <v>572.98485844000004</v>
      </c>
      <c r="S130" s="1">
        <f>'[1]links-p0'!T129</f>
        <v>6779.6610170000004</v>
      </c>
      <c r="T130" s="1">
        <f>'[1]links-p0'!U129</f>
        <v>0</v>
      </c>
      <c r="U130" s="1">
        <f>'[1]links-p0'!V129</f>
        <v>1681.1761659290889</v>
      </c>
    </row>
    <row r="131" spans="8:21">
      <c r="H131" s="2">
        <f t="shared" si="5"/>
        <v>128</v>
      </c>
      <c r="I131" s="1">
        <f>'[1]links-p0'!J130</f>
        <v>0</v>
      </c>
      <c r="J131" s="1">
        <f>'[1]links-p0'!K130</f>
        <v>1232.428451398546</v>
      </c>
      <c r="K131" s="1">
        <f>'[1]links-p0'!L130</f>
        <v>404.81008111760087</v>
      </c>
      <c r="L131" s="1">
        <f>'[1]links-p0'!M130</f>
        <v>0</v>
      </c>
      <c r="M131" s="1">
        <f>'[1]links-p0'!N130</f>
        <v>5000</v>
      </c>
      <c r="N131" s="1">
        <f>'[1]links-p0'!O130</f>
        <v>0</v>
      </c>
      <c r="O131" s="1">
        <f>'[1]links-p0'!P130</f>
        <v>0</v>
      </c>
      <c r="P131" s="1">
        <f>'[1]links-p0'!Q130</f>
        <v>7024.6761585600007</v>
      </c>
      <c r="Q131" s="1">
        <f>'[1]links-p0'!R130</f>
        <v>0</v>
      </c>
      <c r="R131" s="1">
        <f>'[1]links-p0'!S130</f>
        <v>572.98485844000004</v>
      </c>
      <c r="S131" s="1">
        <f>'[1]links-p0'!T130</f>
        <v>6779.6610170000004</v>
      </c>
      <c r="T131" s="1">
        <f>'[1]links-p0'!U130</f>
        <v>0</v>
      </c>
      <c r="U131" s="1">
        <f>'[1]links-p0'!V130</f>
        <v>1846.895921258895</v>
      </c>
    </row>
    <row r="132" spans="8:21">
      <c r="H132" s="2">
        <f t="shared" si="5"/>
        <v>129</v>
      </c>
      <c r="I132" s="1">
        <f>'[1]links-p0'!J131</f>
        <v>0</v>
      </c>
      <c r="J132" s="1">
        <f>'[1]links-p0'!K131</f>
        <v>803.05312001577067</v>
      </c>
      <c r="K132" s="1">
        <f>'[1]links-p0'!L131</f>
        <v>0</v>
      </c>
      <c r="L132" s="1">
        <f>'[1]links-p0'!M131</f>
        <v>0</v>
      </c>
      <c r="M132" s="1">
        <f>'[1]links-p0'!N131</f>
        <v>5000</v>
      </c>
      <c r="N132" s="1">
        <f>'[1]links-p0'!O131</f>
        <v>0</v>
      </c>
      <c r="O132" s="1">
        <f>'[1]links-p0'!P131</f>
        <v>87.015141559999961</v>
      </c>
      <c r="P132" s="1">
        <f>'[1]links-p0'!Q131</f>
        <v>7597.6610170000004</v>
      </c>
      <c r="Q132" s="1">
        <f>'[1]links-p0'!R131</f>
        <v>0</v>
      </c>
      <c r="R132" s="1">
        <f>'[1]links-p0'!S131</f>
        <v>0</v>
      </c>
      <c r="S132" s="1">
        <f>'[1]links-p0'!T131</f>
        <v>6779.6610170000004</v>
      </c>
      <c r="T132" s="1">
        <f>'[1]links-p0'!U131</f>
        <v>0</v>
      </c>
      <c r="U132" s="1">
        <f>'[1]links-p0'!V131</f>
        <v>1517.7757899999999</v>
      </c>
    </row>
    <row r="133" spans="8:21">
      <c r="H133" s="2">
        <f t="shared" ref="H133:H170" si="6">1+H132</f>
        <v>130</v>
      </c>
      <c r="I133" s="1">
        <f>'[1]links-p0'!J132</f>
        <v>0</v>
      </c>
      <c r="J133" s="1">
        <f>'[1]links-p0'!K132</f>
        <v>0</v>
      </c>
      <c r="K133" s="1">
        <f>'[1]links-p0'!L132</f>
        <v>0</v>
      </c>
      <c r="L133" s="1">
        <f>'[1]links-p0'!M132</f>
        <v>0</v>
      </c>
      <c r="M133" s="1">
        <f>'[1]links-p0'!N132</f>
        <v>5000</v>
      </c>
      <c r="N133" s="1">
        <f>'[1]links-p0'!O132</f>
        <v>0</v>
      </c>
      <c r="O133" s="1">
        <f>'[1]links-p0'!P132</f>
        <v>87.015141559999961</v>
      </c>
      <c r="P133" s="1">
        <f>'[1]links-p0'!Q132</f>
        <v>7597.6610170000004</v>
      </c>
      <c r="Q133" s="1">
        <f>'[1]links-p0'!R132</f>
        <v>0</v>
      </c>
      <c r="R133" s="1">
        <f>'[1]links-p0'!S132</f>
        <v>0</v>
      </c>
      <c r="S133" s="1">
        <f>'[1]links-p0'!T132</f>
        <v>6779.6610170000004</v>
      </c>
      <c r="T133" s="1">
        <f>'[1]links-p0'!U132</f>
        <v>0</v>
      </c>
      <c r="U133" s="1">
        <f>'[1]links-p0'!V132</f>
        <v>1517.7757899999999</v>
      </c>
    </row>
    <row r="134" spans="8:21">
      <c r="H134" s="2">
        <f t="shared" si="6"/>
        <v>131</v>
      </c>
      <c r="I134" s="1">
        <f>'[1]links-p0'!J133</f>
        <v>0</v>
      </c>
      <c r="J134" s="1">
        <f>'[1]links-p0'!K133</f>
        <v>0</v>
      </c>
      <c r="K134" s="1">
        <f>'[1]links-p0'!L133</f>
        <v>0</v>
      </c>
      <c r="L134" s="1">
        <f>'[1]links-p0'!M133</f>
        <v>0</v>
      </c>
      <c r="M134" s="1">
        <f>'[1]links-p0'!N133</f>
        <v>5000</v>
      </c>
      <c r="N134" s="1">
        <f>'[1]links-p0'!O133</f>
        <v>0</v>
      </c>
      <c r="O134" s="1">
        <f>'[1]links-p0'!P133</f>
        <v>87.479008520000008</v>
      </c>
      <c r="P134" s="1">
        <f>'[1]links-p0'!Q133</f>
        <v>7597.6610170000004</v>
      </c>
      <c r="Q134" s="1">
        <f>'[1]links-p0'!R133</f>
        <v>0</v>
      </c>
      <c r="R134" s="1">
        <f>'[1]links-p0'!S133</f>
        <v>0</v>
      </c>
      <c r="S134" s="1">
        <f>'[1]links-p0'!T133</f>
        <v>6779.6610170000004</v>
      </c>
      <c r="T134" s="1">
        <f>'[1]links-p0'!U133</f>
        <v>0</v>
      </c>
      <c r="U134" s="1">
        <f>'[1]links-p0'!V133</f>
        <v>1517.7757899999999</v>
      </c>
    </row>
    <row r="135" spans="8:21">
      <c r="H135" s="2">
        <f t="shared" si="6"/>
        <v>132</v>
      </c>
      <c r="I135" s="1">
        <f>'[1]links-p0'!J134</f>
        <v>0</v>
      </c>
      <c r="J135" s="1">
        <f>'[1]links-p0'!K134</f>
        <v>0</v>
      </c>
      <c r="K135" s="1">
        <f>'[1]links-p0'!L134</f>
        <v>0</v>
      </c>
      <c r="L135" s="1">
        <f>'[1]links-p0'!M134</f>
        <v>0</v>
      </c>
      <c r="M135" s="1">
        <f>'[1]links-p0'!N134</f>
        <v>5000</v>
      </c>
      <c r="N135" s="1">
        <f>'[1]links-p0'!O134</f>
        <v>0</v>
      </c>
      <c r="O135" s="1">
        <f>'[1]links-p0'!P134</f>
        <v>87.015141559999961</v>
      </c>
      <c r="P135" s="1">
        <f>'[1]links-p0'!Q134</f>
        <v>7597.6610170000004</v>
      </c>
      <c r="Q135" s="1">
        <f>'[1]links-p0'!R134</f>
        <v>0</v>
      </c>
      <c r="R135" s="1">
        <f>'[1]links-p0'!S134</f>
        <v>0</v>
      </c>
      <c r="S135" s="1">
        <f>'[1]links-p0'!T134</f>
        <v>6779.6610170000004</v>
      </c>
      <c r="T135" s="1">
        <f>'[1]links-p0'!U134</f>
        <v>0</v>
      </c>
      <c r="U135" s="1">
        <f>'[1]links-p0'!V134</f>
        <v>1517.7757899999999</v>
      </c>
    </row>
    <row r="136" spans="8:21">
      <c r="H136" s="2">
        <f t="shared" si="6"/>
        <v>133</v>
      </c>
      <c r="I136" s="1">
        <f>'[1]links-p0'!J135</f>
        <v>0</v>
      </c>
      <c r="J136" s="1">
        <f>'[1]links-p0'!K135</f>
        <v>0</v>
      </c>
      <c r="K136" s="1">
        <f>'[1]links-p0'!L135</f>
        <v>0</v>
      </c>
      <c r="L136" s="1">
        <f>'[1]links-p0'!M135</f>
        <v>0</v>
      </c>
      <c r="M136" s="1">
        <f>'[1]links-p0'!N135</f>
        <v>5000</v>
      </c>
      <c r="N136" s="1">
        <f>'[1]links-p0'!O135</f>
        <v>0</v>
      </c>
      <c r="O136" s="1">
        <f>'[1]links-p0'!P135</f>
        <v>87.015141559999961</v>
      </c>
      <c r="P136" s="1">
        <f>'[1]links-p0'!Q135</f>
        <v>7597.6610170000004</v>
      </c>
      <c r="Q136" s="1">
        <f>'[1]links-p0'!R135</f>
        <v>0</v>
      </c>
      <c r="R136" s="1">
        <f>'[1]links-p0'!S135</f>
        <v>0</v>
      </c>
      <c r="S136" s="1">
        <f>'[1]links-p0'!T135</f>
        <v>6779.6610170000004</v>
      </c>
      <c r="T136" s="1">
        <f>'[1]links-p0'!U135</f>
        <v>0</v>
      </c>
      <c r="U136" s="1">
        <f>'[1]links-p0'!V135</f>
        <v>1517.7757899999999</v>
      </c>
    </row>
    <row r="137" spans="8:21">
      <c r="H137" s="2">
        <f t="shared" si="6"/>
        <v>134</v>
      </c>
      <c r="I137" s="1">
        <f>'[1]links-p0'!J136</f>
        <v>0</v>
      </c>
      <c r="J137" s="1">
        <f>'[1]links-p0'!K136</f>
        <v>0</v>
      </c>
      <c r="K137" s="1">
        <f>'[1]links-p0'!L136</f>
        <v>0</v>
      </c>
      <c r="L137" s="1">
        <f>'[1]links-p0'!M136</f>
        <v>0</v>
      </c>
      <c r="M137" s="1">
        <f>'[1]links-p0'!N136</f>
        <v>5000</v>
      </c>
      <c r="N137" s="1">
        <f>'[1]links-p0'!O136</f>
        <v>0</v>
      </c>
      <c r="O137" s="1">
        <f>'[1]links-p0'!P136</f>
        <v>87.479008520000008</v>
      </c>
      <c r="P137" s="1">
        <f>'[1]links-p0'!Q136</f>
        <v>7597.6610170000004</v>
      </c>
      <c r="Q137" s="1">
        <f>'[1]links-p0'!R136</f>
        <v>0</v>
      </c>
      <c r="R137" s="1">
        <f>'[1]links-p0'!S136</f>
        <v>0</v>
      </c>
      <c r="S137" s="1">
        <f>'[1]links-p0'!T136</f>
        <v>6779.6610170000004</v>
      </c>
      <c r="T137" s="1">
        <f>'[1]links-p0'!U136</f>
        <v>0</v>
      </c>
      <c r="U137" s="1">
        <f>'[1]links-p0'!V136</f>
        <v>1517.7757899999999</v>
      </c>
    </row>
    <row r="138" spans="8:21">
      <c r="H138" s="2">
        <f t="shared" si="6"/>
        <v>135</v>
      </c>
      <c r="I138" s="1">
        <f>'[1]links-p0'!J137</f>
        <v>0</v>
      </c>
      <c r="J138" s="1">
        <f>'[1]links-p0'!K137</f>
        <v>0</v>
      </c>
      <c r="K138" s="1">
        <f>'[1]links-p0'!L137</f>
        <v>0</v>
      </c>
      <c r="L138" s="1">
        <f>'[1]links-p0'!M137</f>
        <v>0</v>
      </c>
      <c r="M138" s="1">
        <f>'[1]links-p0'!N137</f>
        <v>5000</v>
      </c>
      <c r="N138" s="1">
        <f>'[1]links-p0'!O137</f>
        <v>0</v>
      </c>
      <c r="O138" s="1">
        <f>'[1]links-p0'!P137</f>
        <v>87.015141559999961</v>
      </c>
      <c r="P138" s="1">
        <f>'[1]links-p0'!Q137</f>
        <v>7597.6610170000004</v>
      </c>
      <c r="Q138" s="1">
        <f>'[1]links-p0'!R137</f>
        <v>0</v>
      </c>
      <c r="R138" s="1">
        <f>'[1]links-p0'!S137</f>
        <v>0</v>
      </c>
      <c r="S138" s="1">
        <f>'[1]links-p0'!T137</f>
        <v>6779.6610170000004</v>
      </c>
      <c r="T138" s="1">
        <f>'[1]links-p0'!U137</f>
        <v>0</v>
      </c>
      <c r="U138" s="1">
        <f>'[1]links-p0'!V137</f>
        <v>1517.7757899999999</v>
      </c>
    </row>
    <row r="139" spans="8:21">
      <c r="H139" s="2">
        <f t="shared" si="6"/>
        <v>136</v>
      </c>
      <c r="I139" s="1">
        <f>'[1]links-p0'!J138</f>
        <v>0</v>
      </c>
      <c r="J139" s="1">
        <f>'[1]links-p0'!K138</f>
        <v>0</v>
      </c>
      <c r="K139" s="1">
        <f>'[1]links-p0'!L138</f>
        <v>0</v>
      </c>
      <c r="L139" s="1">
        <f>'[1]links-p0'!M138</f>
        <v>0</v>
      </c>
      <c r="M139" s="1">
        <f>'[1]links-p0'!N138</f>
        <v>5000</v>
      </c>
      <c r="N139" s="1">
        <f>'[1]links-p0'!O138</f>
        <v>0</v>
      </c>
      <c r="O139" s="1">
        <f>'[1]links-p0'!P138</f>
        <v>87.015141559999961</v>
      </c>
      <c r="P139" s="1">
        <f>'[1]links-p0'!Q138</f>
        <v>7597.6610170000004</v>
      </c>
      <c r="Q139" s="1">
        <f>'[1]links-p0'!R138</f>
        <v>0</v>
      </c>
      <c r="R139" s="1">
        <f>'[1]links-p0'!S138</f>
        <v>0</v>
      </c>
      <c r="S139" s="1">
        <f>'[1]links-p0'!T138</f>
        <v>6779.6610170000004</v>
      </c>
      <c r="T139" s="1">
        <f>'[1]links-p0'!U138</f>
        <v>0</v>
      </c>
      <c r="U139" s="1">
        <f>'[1]links-p0'!V138</f>
        <v>1517.7757899999999</v>
      </c>
    </row>
    <row r="140" spans="8:21">
      <c r="H140" s="2">
        <f t="shared" si="6"/>
        <v>137</v>
      </c>
      <c r="I140" s="1">
        <f>'[1]links-p0'!J139</f>
        <v>0</v>
      </c>
      <c r="J140" s="1">
        <f>'[1]links-p0'!K139</f>
        <v>0</v>
      </c>
      <c r="K140" s="1">
        <f>'[1]links-p0'!L139</f>
        <v>3500</v>
      </c>
      <c r="L140" s="1">
        <f>'[1]links-p0'!M139</f>
        <v>283.45966871112932</v>
      </c>
      <c r="M140" s="1">
        <f>'[1]links-p0'!N139</f>
        <v>5000</v>
      </c>
      <c r="N140" s="1">
        <f>'[1]links-p0'!O139</f>
        <v>0</v>
      </c>
      <c r="O140" s="1">
        <f>'[1]links-p0'!P139</f>
        <v>0</v>
      </c>
      <c r="P140" s="1">
        <f>'[1]links-p0'!Q139</f>
        <v>6414.7316264000001</v>
      </c>
      <c r="Q140" s="1">
        <f>'[1]links-p0'!R139</f>
        <v>0</v>
      </c>
      <c r="R140" s="1">
        <f>'[1]links-p0'!S139</f>
        <v>364.92939059999998</v>
      </c>
      <c r="S140" s="1">
        <f>'[1]links-p0'!T139</f>
        <v>6779.6610170000004</v>
      </c>
      <c r="T140" s="1">
        <f>'[1]links-p0'!U139</f>
        <v>0</v>
      </c>
      <c r="U140" s="1">
        <f>'[1]links-p0'!V139</f>
        <v>1517.7757899999999</v>
      </c>
    </row>
    <row r="141" spans="8:21">
      <c r="H141" s="2">
        <f t="shared" si="6"/>
        <v>138</v>
      </c>
      <c r="I141" s="1">
        <f>'[1]links-p0'!J140</f>
        <v>0</v>
      </c>
      <c r="J141" s="1">
        <f>'[1]links-p0'!K140</f>
        <v>16.299484337253261</v>
      </c>
      <c r="K141" s="1">
        <f>'[1]links-p0'!L140</f>
        <v>0</v>
      </c>
      <c r="L141" s="1">
        <f>'[1]links-p0'!M140</f>
        <v>0</v>
      </c>
      <c r="M141" s="1">
        <f>'[1]links-p0'!N140</f>
        <v>5000</v>
      </c>
      <c r="N141" s="1">
        <f>'[1]links-p0'!O140</f>
        <v>0</v>
      </c>
      <c r="O141" s="1">
        <f>'[1]links-p0'!P140</f>
        <v>87.479008520000008</v>
      </c>
      <c r="P141" s="1">
        <f>'[1]links-p0'!Q140</f>
        <v>7597.6610170000004</v>
      </c>
      <c r="Q141" s="1">
        <f>'[1]links-p0'!R140</f>
        <v>0</v>
      </c>
      <c r="R141" s="1">
        <f>'[1]links-p0'!S140</f>
        <v>0</v>
      </c>
      <c r="S141" s="1">
        <f>'[1]links-p0'!T140</f>
        <v>6779.6610170000004</v>
      </c>
      <c r="T141" s="1">
        <f>'[1]links-p0'!U140</f>
        <v>0</v>
      </c>
      <c r="U141" s="1">
        <f>'[1]links-p0'!V140</f>
        <v>2629.6909121113531</v>
      </c>
    </row>
    <row r="142" spans="8:21">
      <c r="H142" s="2">
        <f t="shared" si="6"/>
        <v>139</v>
      </c>
      <c r="I142" s="1">
        <f>'[1]links-p0'!J141</f>
        <v>0</v>
      </c>
      <c r="J142" s="1">
        <f>'[1]links-p0'!K141</f>
        <v>0</v>
      </c>
      <c r="K142" s="1">
        <f>'[1]links-p0'!L141</f>
        <v>0</v>
      </c>
      <c r="L142" s="1">
        <f>'[1]links-p0'!M141</f>
        <v>117.2068820847137</v>
      </c>
      <c r="M142" s="1">
        <f>'[1]links-p0'!N141</f>
        <v>5000</v>
      </c>
      <c r="N142" s="1">
        <f>'[1]links-p0'!O141</f>
        <v>0</v>
      </c>
      <c r="O142" s="1">
        <f>'[1]links-p0'!P141</f>
        <v>0</v>
      </c>
      <c r="P142" s="1">
        <f>'[1]links-p0'!Q141</f>
        <v>7024.6761585600007</v>
      </c>
      <c r="Q142" s="1">
        <f>'[1]links-p0'!R141</f>
        <v>0</v>
      </c>
      <c r="R142" s="1">
        <f>'[1]links-p0'!S141</f>
        <v>572.98485844000004</v>
      </c>
      <c r="S142" s="1">
        <f>'[1]links-p0'!T141</f>
        <v>6779.6610170000004</v>
      </c>
      <c r="T142" s="1">
        <f>'[1]links-p0'!U141</f>
        <v>0</v>
      </c>
      <c r="U142" s="1">
        <f>'[1]links-p0'!V141</f>
        <v>1517.7757899999999</v>
      </c>
    </row>
    <row r="143" spans="8:21">
      <c r="H143" s="2">
        <f t="shared" si="6"/>
        <v>140</v>
      </c>
      <c r="I143" s="1">
        <f>'[1]links-p0'!J142</f>
        <v>0</v>
      </c>
      <c r="J143" s="1">
        <f>'[1]links-p0'!K142</f>
        <v>0</v>
      </c>
      <c r="K143" s="1">
        <f>'[1]links-p0'!L142</f>
        <v>0</v>
      </c>
      <c r="L143" s="1">
        <f>'[1]links-p0'!M142</f>
        <v>263.33376335910862</v>
      </c>
      <c r="M143" s="1">
        <f>'[1]links-p0'!N142</f>
        <v>5000</v>
      </c>
      <c r="N143" s="1">
        <f>'[1]links-p0'!O142</f>
        <v>0</v>
      </c>
      <c r="O143" s="1">
        <f>'[1]links-p0'!P142</f>
        <v>86.551274600000028</v>
      </c>
      <c r="P143" s="1">
        <f>'[1]links-p0'!Q142</f>
        <v>7597.6610170000004</v>
      </c>
      <c r="Q143" s="1">
        <f>'[1]links-p0'!R142</f>
        <v>0</v>
      </c>
      <c r="R143" s="1">
        <f>'[1]links-p0'!S142</f>
        <v>0</v>
      </c>
      <c r="S143" s="1">
        <f>'[1]links-p0'!T142</f>
        <v>6779.6610170000004</v>
      </c>
      <c r="T143" s="1">
        <f>'[1]links-p0'!U142</f>
        <v>0</v>
      </c>
      <c r="U143" s="1">
        <f>'[1]links-p0'!V142</f>
        <v>1517.7757899999999</v>
      </c>
    </row>
    <row r="144" spans="8:21">
      <c r="H144" s="2">
        <f t="shared" si="6"/>
        <v>141</v>
      </c>
      <c r="I144" s="1">
        <f>'[1]links-p0'!J143</f>
        <v>0</v>
      </c>
      <c r="J144" s="1">
        <f>'[1]links-p0'!K143</f>
        <v>0</v>
      </c>
      <c r="K144" s="1">
        <f>'[1]links-p0'!L143</f>
        <v>3500</v>
      </c>
      <c r="L144" s="1">
        <f>'[1]links-p0'!M143</f>
        <v>389.32145791333119</v>
      </c>
      <c r="M144" s="1">
        <f>'[1]links-p0'!N143</f>
        <v>5000</v>
      </c>
      <c r="N144" s="1">
        <f>'[1]links-p0'!O143</f>
        <v>0</v>
      </c>
      <c r="O144" s="1">
        <f>'[1]links-p0'!P143</f>
        <v>0</v>
      </c>
      <c r="P144" s="1">
        <f>'[1]links-p0'!Q143</f>
        <v>7023.7484246500007</v>
      </c>
      <c r="Q144" s="1">
        <f>'[1]links-p0'!R143</f>
        <v>0</v>
      </c>
      <c r="R144" s="1">
        <f>'[1]links-p0'!S143</f>
        <v>573.91259234999995</v>
      </c>
      <c r="S144" s="1">
        <f>'[1]links-p0'!T143</f>
        <v>6779.6610170000004</v>
      </c>
      <c r="T144" s="1">
        <f>'[1]links-p0'!U143</f>
        <v>0</v>
      </c>
      <c r="U144" s="1">
        <f>'[1]links-p0'!V143</f>
        <v>1517.7757899999999</v>
      </c>
    </row>
    <row r="145" spans="8:21">
      <c r="H145" s="2">
        <f t="shared" si="6"/>
        <v>142</v>
      </c>
      <c r="I145" s="1">
        <f>'[1]links-p0'!J144</f>
        <v>0</v>
      </c>
      <c r="J145" s="1">
        <f>'[1]links-p0'!K144</f>
        <v>0</v>
      </c>
      <c r="K145" s="1">
        <f>'[1]links-p0'!L144</f>
        <v>3301.3505845432651</v>
      </c>
      <c r="L145" s="1">
        <f>'[1]links-p0'!M144</f>
        <v>509.91916725365382</v>
      </c>
      <c r="M145" s="1">
        <f>'[1]links-p0'!N144</f>
        <v>5000</v>
      </c>
      <c r="N145" s="1">
        <f>'[1]links-p0'!O144</f>
        <v>0</v>
      </c>
      <c r="O145" s="1">
        <f>'[1]links-p0'!P144</f>
        <v>85.159673730000009</v>
      </c>
      <c r="P145" s="1">
        <f>'[1]links-p0'!Q144</f>
        <v>6779.6610170000004</v>
      </c>
      <c r="Q145" s="1">
        <f>'[1]links-p0'!R144</f>
        <v>0</v>
      </c>
      <c r="R145" s="1">
        <f>'[1]links-p0'!S144</f>
        <v>0</v>
      </c>
      <c r="S145" s="1">
        <f>'[1]links-p0'!T144</f>
        <v>6779.6610170000004</v>
      </c>
      <c r="T145" s="1">
        <f>'[1]links-p0'!U144</f>
        <v>0</v>
      </c>
      <c r="U145" s="1">
        <f>'[1]links-p0'!V144</f>
        <v>1517.7757899999999</v>
      </c>
    </row>
    <row r="146" spans="8:21">
      <c r="H146" s="2">
        <f t="shared" si="6"/>
        <v>143</v>
      </c>
      <c r="I146" s="1">
        <f>'[1]links-p0'!J145</f>
        <v>0</v>
      </c>
      <c r="J146" s="1">
        <f>'[1]links-p0'!K145</f>
        <v>0</v>
      </c>
      <c r="K146" s="1">
        <f>'[1]links-p0'!L145</f>
        <v>3500</v>
      </c>
      <c r="L146" s="1">
        <f>'[1]links-p0'!M145</f>
        <v>630.87775678864068</v>
      </c>
      <c r="M146" s="1">
        <f>'[1]links-p0'!N145</f>
        <v>5000</v>
      </c>
      <c r="N146" s="1">
        <f>'[1]links-p0'!O145</f>
        <v>0</v>
      </c>
      <c r="O146" s="1">
        <f>'[1]links-p0'!P145</f>
        <v>0</v>
      </c>
      <c r="P146" s="1">
        <f>'[1]links-p0'!Q145</f>
        <v>7022.82069073</v>
      </c>
      <c r="Q146" s="1">
        <f>'[1]links-p0'!R145</f>
        <v>0</v>
      </c>
      <c r="R146" s="1">
        <f>'[1]links-p0'!S145</f>
        <v>574.84032626999999</v>
      </c>
      <c r="S146" s="1">
        <f>'[1]links-p0'!T145</f>
        <v>6779.6610170000004</v>
      </c>
      <c r="T146" s="1">
        <f>'[1]links-p0'!U145</f>
        <v>0</v>
      </c>
      <c r="U146" s="1">
        <f>'[1]links-p0'!V145</f>
        <v>1517.7757899999999</v>
      </c>
    </row>
    <row r="147" spans="8:21">
      <c r="H147" s="2">
        <f t="shared" si="6"/>
        <v>144</v>
      </c>
      <c r="I147" s="1">
        <f>'[1]links-p0'!J146</f>
        <v>0</v>
      </c>
      <c r="J147" s="1">
        <f>'[1]links-p0'!K146</f>
        <v>0</v>
      </c>
      <c r="K147" s="1">
        <f>'[1]links-p0'!L146</f>
        <v>0</v>
      </c>
      <c r="L147" s="1">
        <f>'[1]links-p0'!M146</f>
        <v>707.28672951718249</v>
      </c>
      <c r="M147" s="1">
        <f>'[1]links-p0'!N146</f>
        <v>5000</v>
      </c>
      <c r="N147" s="1">
        <f>'[1]links-p0'!O146</f>
        <v>0</v>
      </c>
      <c r="O147" s="1">
        <f>'[1]links-p0'!P146</f>
        <v>85.158687680000014</v>
      </c>
      <c r="P147" s="1">
        <f>'[1]links-p0'!Q146</f>
        <v>7597.6610170000004</v>
      </c>
      <c r="Q147" s="1">
        <f>'[1]links-p0'!R146</f>
        <v>0</v>
      </c>
      <c r="R147" s="1">
        <f>'[1]links-p0'!S146</f>
        <v>0</v>
      </c>
      <c r="S147" s="1">
        <f>'[1]links-p0'!T146</f>
        <v>6779.6610170000004</v>
      </c>
      <c r="T147" s="1">
        <f>'[1]links-p0'!U146</f>
        <v>0</v>
      </c>
      <c r="U147" s="1">
        <f>'[1]links-p0'!V146</f>
        <v>1517.7757899999999</v>
      </c>
    </row>
    <row r="148" spans="8:21">
      <c r="H148" s="2">
        <f t="shared" si="6"/>
        <v>145</v>
      </c>
      <c r="I148" s="1">
        <f>'[1]links-p0'!J147</f>
        <v>0</v>
      </c>
      <c r="J148" s="1">
        <f>'[1]links-p0'!K147</f>
        <v>0</v>
      </c>
      <c r="K148" s="1">
        <f>'[1]links-p0'!L147</f>
        <v>3500</v>
      </c>
      <c r="L148" s="1">
        <f>'[1]links-p0'!M147</f>
        <v>780.0800768206384</v>
      </c>
      <c r="M148" s="1">
        <f>'[1]links-p0'!N147</f>
        <v>5000</v>
      </c>
      <c r="N148" s="1">
        <f>'[1]links-p0'!O147</f>
        <v>0</v>
      </c>
      <c r="O148" s="1">
        <f>'[1]links-p0'!P147</f>
        <v>85.158687680000014</v>
      </c>
      <c r="P148" s="1">
        <f>'[1]links-p0'!Q147</f>
        <v>7597.6610170000004</v>
      </c>
      <c r="Q148" s="1">
        <f>'[1]links-p0'!R147</f>
        <v>0</v>
      </c>
      <c r="R148" s="1">
        <f>'[1]links-p0'!S147</f>
        <v>0</v>
      </c>
      <c r="S148" s="1">
        <f>'[1]links-p0'!T147</f>
        <v>6779.6610170000004</v>
      </c>
      <c r="T148" s="1">
        <f>'[1]links-p0'!U147</f>
        <v>0</v>
      </c>
      <c r="U148" s="1">
        <f>'[1]links-p0'!V147</f>
        <v>1517.7757899999999</v>
      </c>
    </row>
    <row r="149" spans="8:21">
      <c r="H149" s="2">
        <f t="shared" si="6"/>
        <v>146</v>
      </c>
      <c r="I149" s="1">
        <f>'[1]links-p0'!J148</f>
        <v>0</v>
      </c>
      <c r="J149" s="1">
        <f>'[1]links-p0'!K148</f>
        <v>0</v>
      </c>
      <c r="K149" s="1">
        <f>'[1]links-p0'!L148</f>
        <v>3500</v>
      </c>
      <c r="L149" s="1">
        <f>'[1]links-p0'!M148</f>
        <v>859.25736881027365</v>
      </c>
      <c r="M149" s="1">
        <f>'[1]links-p0'!N148</f>
        <v>5000</v>
      </c>
      <c r="N149" s="1">
        <f>'[1]links-p0'!O148</f>
        <v>0</v>
      </c>
      <c r="O149" s="1">
        <f>'[1]links-p0'!P148</f>
        <v>85.158687680000014</v>
      </c>
      <c r="P149" s="1">
        <f>'[1]links-p0'!Q148</f>
        <v>7597.6610170000004</v>
      </c>
      <c r="Q149" s="1">
        <f>'[1]links-p0'!R148</f>
        <v>0</v>
      </c>
      <c r="R149" s="1">
        <f>'[1]links-p0'!S148</f>
        <v>0</v>
      </c>
      <c r="S149" s="1">
        <f>'[1]links-p0'!T148</f>
        <v>6779.6610170000004</v>
      </c>
      <c r="T149" s="1">
        <f>'[1]links-p0'!U148</f>
        <v>0</v>
      </c>
      <c r="U149" s="1">
        <f>'[1]links-p0'!V148</f>
        <v>1517.7757899999999</v>
      </c>
    </row>
    <row r="150" spans="8:21">
      <c r="H150" s="2">
        <f t="shared" si="6"/>
        <v>147</v>
      </c>
      <c r="I150" s="1">
        <f>'[1]links-p0'!J149</f>
        <v>0</v>
      </c>
      <c r="J150" s="1">
        <f>'[1]links-p0'!K149</f>
        <v>0</v>
      </c>
      <c r="K150" s="1">
        <f>'[1]links-p0'!L149</f>
        <v>1251.543351218739</v>
      </c>
      <c r="L150" s="1">
        <f>'[1]links-p0'!M149</f>
        <v>882.67936522090963</v>
      </c>
      <c r="M150" s="1">
        <f>'[1]links-p0'!N149</f>
        <v>5000</v>
      </c>
      <c r="N150" s="1">
        <f>'[1]links-p0'!O149</f>
        <v>0</v>
      </c>
      <c r="O150" s="1">
        <f>'[1]links-p0'!P149</f>
        <v>85.158687680000014</v>
      </c>
      <c r="P150" s="1">
        <f>'[1]links-p0'!Q149</f>
        <v>7597.6610170000004</v>
      </c>
      <c r="Q150" s="1">
        <f>'[1]links-p0'!R149</f>
        <v>0</v>
      </c>
      <c r="R150" s="1">
        <f>'[1]links-p0'!S149</f>
        <v>0</v>
      </c>
      <c r="S150" s="1">
        <f>'[1]links-p0'!T149</f>
        <v>6779.6610170000004</v>
      </c>
      <c r="T150" s="1">
        <f>'[1]links-p0'!U149</f>
        <v>0</v>
      </c>
      <c r="U150" s="1">
        <f>'[1]links-p0'!V149</f>
        <v>1517.7757899999999</v>
      </c>
    </row>
    <row r="151" spans="8:21">
      <c r="H151" s="2">
        <f t="shared" si="6"/>
        <v>148</v>
      </c>
      <c r="I151" s="1">
        <f>'[1]links-p0'!J150</f>
        <v>3471.1602574531062</v>
      </c>
      <c r="J151" s="1">
        <f>'[1]links-p0'!K150</f>
        <v>0</v>
      </c>
      <c r="K151" s="1">
        <f>'[1]links-p0'!L150</f>
        <v>0</v>
      </c>
      <c r="L151" s="1">
        <f>'[1]links-p0'!M150</f>
        <v>836.72763093869594</v>
      </c>
      <c r="M151" s="1">
        <f>'[1]links-p0'!N150</f>
        <v>5000</v>
      </c>
      <c r="N151" s="1">
        <f>'[1]links-p0'!O150</f>
        <v>0</v>
      </c>
      <c r="O151" s="1">
        <f>'[1]links-p0'!P150</f>
        <v>86.086421599999994</v>
      </c>
      <c r="P151" s="1">
        <f>'[1]links-p0'!Q150</f>
        <v>7597.6610170000004</v>
      </c>
      <c r="Q151" s="1">
        <f>'[1]links-p0'!R150</f>
        <v>0</v>
      </c>
      <c r="R151" s="1">
        <f>'[1]links-p0'!S150</f>
        <v>0</v>
      </c>
      <c r="S151" s="1">
        <f>'[1]links-p0'!T150</f>
        <v>6779.6610170000004</v>
      </c>
      <c r="T151" s="1">
        <f>'[1]links-p0'!U150</f>
        <v>0</v>
      </c>
      <c r="U151" s="1">
        <f>'[1]links-p0'!V150</f>
        <v>1517.7757899999999</v>
      </c>
    </row>
    <row r="152" spans="8:21">
      <c r="H152" s="2">
        <f t="shared" si="6"/>
        <v>149</v>
      </c>
      <c r="I152" s="1">
        <f>'[1]links-p0'!J151</f>
        <v>4200</v>
      </c>
      <c r="J152" s="1">
        <f>'[1]links-p0'!K151</f>
        <v>0</v>
      </c>
      <c r="K152" s="1">
        <f>'[1]links-p0'!L151</f>
        <v>0</v>
      </c>
      <c r="L152" s="1">
        <f>'[1]links-p0'!M151</f>
        <v>729.1818130853751</v>
      </c>
      <c r="M152" s="1">
        <f>'[1]links-p0'!N151</f>
        <v>5000</v>
      </c>
      <c r="N152" s="1">
        <f>'[1]links-p0'!O151</f>
        <v>0</v>
      </c>
      <c r="O152" s="1">
        <f>'[1]links-p0'!P151</f>
        <v>87.014155510000023</v>
      </c>
      <c r="P152" s="1">
        <f>'[1]links-p0'!Q151</f>
        <v>7597.6610170000004</v>
      </c>
      <c r="Q152" s="1">
        <f>'[1]links-p0'!R151</f>
        <v>0</v>
      </c>
      <c r="R152" s="1">
        <f>'[1]links-p0'!S151</f>
        <v>0</v>
      </c>
      <c r="S152" s="1">
        <f>'[1]links-p0'!T151</f>
        <v>6779.6610170000004</v>
      </c>
      <c r="T152" s="1">
        <f>'[1]links-p0'!U151</f>
        <v>0</v>
      </c>
      <c r="U152" s="1">
        <f>'[1]links-p0'!V151</f>
        <v>1517.7757899999999</v>
      </c>
    </row>
    <row r="153" spans="8:21">
      <c r="H153" s="2">
        <f t="shared" si="6"/>
        <v>150</v>
      </c>
      <c r="I153" s="1">
        <f>'[1]links-p0'!J152</f>
        <v>3097.8781241243869</v>
      </c>
      <c r="J153" s="1">
        <f>'[1]links-p0'!K152</f>
        <v>0</v>
      </c>
      <c r="K153" s="1">
        <f>'[1]links-p0'!L152</f>
        <v>0</v>
      </c>
      <c r="L153" s="1">
        <f>'[1]links-p0'!M152</f>
        <v>748.63744752570142</v>
      </c>
      <c r="M153" s="1">
        <f>'[1]links-p0'!N152</f>
        <v>5000</v>
      </c>
      <c r="N153" s="1">
        <f>'[1]links-p0'!O152</f>
        <v>0</v>
      </c>
      <c r="O153" s="1">
        <f>'[1]links-p0'!P152</f>
        <v>87.478022470000013</v>
      </c>
      <c r="P153" s="1">
        <f>'[1]links-p0'!Q152</f>
        <v>7597.6610170000004</v>
      </c>
      <c r="Q153" s="1">
        <f>'[1]links-p0'!R152</f>
        <v>0</v>
      </c>
      <c r="R153" s="1">
        <f>'[1]links-p0'!S152</f>
        <v>0</v>
      </c>
      <c r="S153" s="1">
        <f>'[1]links-p0'!T152</f>
        <v>6779.6610170000004</v>
      </c>
      <c r="T153" s="1">
        <f>'[1]links-p0'!U152</f>
        <v>0</v>
      </c>
      <c r="U153" s="1">
        <f>'[1]links-p0'!V152</f>
        <v>1517.7757899999999</v>
      </c>
    </row>
    <row r="154" spans="8:21">
      <c r="H154" s="2">
        <f t="shared" si="6"/>
        <v>151</v>
      </c>
      <c r="I154" s="1">
        <f>'[1]links-p0'!J153</f>
        <v>0</v>
      </c>
      <c r="J154" s="1">
        <f>'[1]links-p0'!K153</f>
        <v>0</v>
      </c>
      <c r="K154" s="1">
        <f>'[1]links-p0'!L153</f>
        <v>1541.8405241220239</v>
      </c>
      <c r="L154" s="1">
        <f>'[1]links-p0'!M153</f>
        <v>682.38244687828251</v>
      </c>
      <c r="M154" s="1">
        <f>'[1]links-p0'!N153</f>
        <v>5000</v>
      </c>
      <c r="N154" s="1">
        <f>'[1]links-p0'!O153</f>
        <v>0</v>
      </c>
      <c r="O154" s="1">
        <f>'[1]links-p0'!P153</f>
        <v>87.014155510000023</v>
      </c>
      <c r="P154" s="1">
        <f>'[1]links-p0'!Q153</f>
        <v>7597.6610170000004</v>
      </c>
      <c r="Q154" s="1">
        <f>'[1]links-p0'!R153</f>
        <v>0</v>
      </c>
      <c r="R154" s="1">
        <f>'[1]links-p0'!S153</f>
        <v>0</v>
      </c>
      <c r="S154" s="1">
        <f>'[1]links-p0'!T153</f>
        <v>6779.6610170000004</v>
      </c>
      <c r="T154" s="1">
        <f>'[1]links-p0'!U153</f>
        <v>0</v>
      </c>
      <c r="U154" s="1">
        <f>'[1]links-p0'!V153</f>
        <v>1517.7757899999999</v>
      </c>
    </row>
    <row r="155" spans="8:21">
      <c r="H155" s="2">
        <f t="shared" si="6"/>
        <v>152</v>
      </c>
      <c r="I155" s="1">
        <f>'[1]links-p0'!J154</f>
        <v>0</v>
      </c>
      <c r="J155" s="1">
        <f>'[1]links-p0'!K154</f>
        <v>0</v>
      </c>
      <c r="K155" s="1">
        <f>'[1]links-p0'!L154</f>
        <v>2429.886565586939</v>
      </c>
      <c r="L155" s="1">
        <f>'[1]links-p0'!M154</f>
        <v>437.08519809803221</v>
      </c>
      <c r="M155" s="1">
        <f>'[1]links-p0'!N154</f>
        <v>5000</v>
      </c>
      <c r="N155" s="1">
        <f>'[1]links-p0'!O154</f>
        <v>0</v>
      </c>
      <c r="O155" s="1">
        <f>'[1]links-p0'!P154</f>
        <v>87.014155510000023</v>
      </c>
      <c r="P155" s="1">
        <f>'[1]links-p0'!Q154</f>
        <v>7597.6610170000004</v>
      </c>
      <c r="Q155" s="1">
        <f>'[1]links-p0'!R154</f>
        <v>0</v>
      </c>
      <c r="R155" s="1">
        <f>'[1]links-p0'!S154</f>
        <v>0</v>
      </c>
      <c r="S155" s="1">
        <f>'[1]links-p0'!T154</f>
        <v>6779.6610170000004</v>
      </c>
      <c r="T155" s="1">
        <f>'[1]links-p0'!U154</f>
        <v>0</v>
      </c>
      <c r="U155" s="1">
        <f>'[1]links-p0'!V154</f>
        <v>1517.7757899999999</v>
      </c>
    </row>
    <row r="156" spans="8:21">
      <c r="H156" s="2">
        <f t="shared" si="6"/>
        <v>153</v>
      </c>
      <c r="I156" s="1">
        <f>'[1]links-p0'!J155</f>
        <v>0</v>
      </c>
      <c r="J156" s="1">
        <f>'[1]links-p0'!K155</f>
        <v>0</v>
      </c>
      <c r="K156" s="1">
        <f>'[1]links-p0'!L155</f>
        <v>0</v>
      </c>
      <c r="L156" s="1">
        <f>'[1]links-p0'!M155</f>
        <v>285.63563010044601</v>
      </c>
      <c r="M156" s="1">
        <f>'[1]links-p0'!N155</f>
        <v>5000</v>
      </c>
      <c r="N156" s="1">
        <f>'[1]links-p0'!O155</f>
        <v>0</v>
      </c>
      <c r="O156" s="1">
        <f>'[1]links-p0'!P155</f>
        <v>87.014155510000023</v>
      </c>
      <c r="P156" s="1">
        <f>'[1]links-p0'!Q155</f>
        <v>7597.6610170000004</v>
      </c>
      <c r="Q156" s="1">
        <f>'[1]links-p0'!R155</f>
        <v>0</v>
      </c>
      <c r="R156" s="1">
        <f>'[1]links-p0'!S155</f>
        <v>0</v>
      </c>
      <c r="S156" s="1">
        <f>'[1]links-p0'!T155</f>
        <v>6779.6610170000004</v>
      </c>
      <c r="T156" s="1">
        <f>'[1]links-p0'!U155</f>
        <v>0</v>
      </c>
      <c r="U156" s="1">
        <f>'[1]links-p0'!V155</f>
        <v>1517.7757899999999</v>
      </c>
    </row>
    <row r="157" spans="8:21">
      <c r="H157" s="2">
        <f t="shared" si="6"/>
        <v>154</v>
      </c>
      <c r="I157" s="1">
        <f>'[1]links-p0'!J156</f>
        <v>0</v>
      </c>
      <c r="J157" s="1">
        <f>'[1]links-p0'!K156</f>
        <v>0</v>
      </c>
      <c r="K157" s="1">
        <f>'[1]links-p0'!L156</f>
        <v>0</v>
      </c>
      <c r="L157" s="1">
        <f>'[1]links-p0'!M156</f>
        <v>0</v>
      </c>
      <c r="M157" s="1">
        <f>'[1]links-p0'!N156</f>
        <v>5000</v>
      </c>
      <c r="N157" s="1">
        <f>'[1]links-p0'!O156</f>
        <v>0</v>
      </c>
      <c r="O157" s="1">
        <f>'[1]links-p0'!P156</f>
        <v>87.014155510000023</v>
      </c>
      <c r="P157" s="1">
        <f>'[1]links-p0'!Q156</f>
        <v>7597.6610170000004</v>
      </c>
      <c r="Q157" s="1">
        <f>'[1]links-p0'!R156</f>
        <v>0</v>
      </c>
      <c r="R157" s="1">
        <f>'[1]links-p0'!S156</f>
        <v>0</v>
      </c>
      <c r="S157" s="1">
        <f>'[1]links-p0'!T156</f>
        <v>6779.6610170000004</v>
      </c>
      <c r="T157" s="1">
        <f>'[1]links-p0'!U156</f>
        <v>0</v>
      </c>
      <c r="U157" s="1">
        <f>'[1]links-p0'!V156</f>
        <v>1517.7757899999999</v>
      </c>
    </row>
    <row r="158" spans="8:21">
      <c r="H158" s="2">
        <f t="shared" si="6"/>
        <v>155</v>
      </c>
      <c r="I158" s="1">
        <f>'[1]links-p0'!J157</f>
        <v>0</v>
      </c>
      <c r="J158" s="1">
        <f>'[1]links-p0'!K157</f>
        <v>0</v>
      </c>
      <c r="K158" s="1">
        <f>'[1]links-p0'!L157</f>
        <v>0</v>
      </c>
      <c r="L158" s="1">
        <f>'[1]links-p0'!M157</f>
        <v>0</v>
      </c>
      <c r="M158" s="1">
        <f>'[1]links-p0'!N157</f>
        <v>5000</v>
      </c>
      <c r="N158" s="1">
        <f>'[1]links-p0'!O157</f>
        <v>0</v>
      </c>
      <c r="O158" s="1">
        <f>'[1]links-p0'!P157</f>
        <v>87.478022470000013</v>
      </c>
      <c r="P158" s="1">
        <f>'[1]links-p0'!Q157</f>
        <v>7597.6610170000004</v>
      </c>
      <c r="Q158" s="1">
        <f>'[1]links-p0'!R157</f>
        <v>0</v>
      </c>
      <c r="R158" s="1">
        <f>'[1]links-p0'!S157</f>
        <v>0</v>
      </c>
      <c r="S158" s="1">
        <f>'[1]links-p0'!T157</f>
        <v>6779.6610170000004</v>
      </c>
      <c r="T158" s="1">
        <f>'[1]links-p0'!U157</f>
        <v>0</v>
      </c>
      <c r="U158" s="1">
        <f>'[1]links-p0'!V157</f>
        <v>1517.7757899999999</v>
      </c>
    </row>
    <row r="159" spans="8:21">
      <c r="H159" s="2">
        <f t="shared" si="6"/>
        <v>156</v>
      </c>
      <c r="I159" s="1">
        <f>'[1]links-p0'!J158</f>
        <v>0</v>
      </c>
      <c r="J159" s="1">
        <f>'[1]links-p0'!K158</f>
        <v>0</v>
      </c>
      <c r="K159" s="1">
        <f>'[1]links-p0'!L158</f>
        <v>0</v>
      </c>
      <c r="L159" s="1">
        <f>'[1]links-p0'!M158</f>
        <v>0</v>
      </c>
      <c r="M159" s="1">
        <f>'[1]links-p0'!N158</f>
        <v>5000</v>
      </c>
      <c r="N159" s="1">
        <f>'[1]links-p0'!O158</f>
        <v>0</v>
      </c>
      <c r="O159" s="1">
        <f>'[1]links-p0'!P158</f>
        <v>87.014155510000023</v>
      </c>
      <c r="P159" s="1">
        <f>'[1]links-p0'!Q158</f>
        <v>7597.6610170000004</v>
      </c>
      <c r="Q159" s="1">
        <f>'[1]links-p0'!R158</f>
        <v>0</v>
      </c>
      <c r="R159" s="1">
        <f>'[1]links-p0'!S158</f>
        <v>0</v>
      </c>
      <c r="S159" s="1">
        <f>'[1]links-p0'!T158</f>
        <v>6779.6610170000004</v>
      </c>
      <c r="T159" s="1">
        <f>'[1]links-p0'!U158</f>
        <v>0</v>
      </c>
      <c r="U159" s="1">
        <f>'[1]links-p0'!V158</f>
        <v>1517.7757899999999</v>
      </c>
    </row>
    <row r="160" spans="8:21">
      <c r="H160" s="2">
        <f t="shared" si="6"/>
        <v>157</v>
      </c>
      <c r="I160" s="1">
        <f>'[1]links-p0'!J159</f>
        <v>0</v>
      </c>
      <c r="J160" s="1">
        <f>'[1]links-p0'!K159</f>
        <v>0</v>
      </c>
      <c r="K160" s="1">
        <f>'[1]links-p0'!L159</f>
        <v>0</v>
      </c>
      <c r="L160" s="1">
        <f>'[1]links-p0'!M159</f>
        <v>0</v>
      </c>
      <c r="M160" s="1">
        <f>'[1]links-p0'!N159</f>
        <v>5000</v>
      </c>
      <c r="N160" s="1">
        <f>'[1]links-p0'!O159</f>
        <v>0</v>
      </c>
      <c r="O160" s="1">
        <f>'[1]links-p0'!P159</f>
        <v>87.014155510000023</v>
      </c>
      <c r="P160" s="1">
        <f>'[1]links-p0'!Q159</f>
        <v>7597.6610170000004</v>
      </c>
      <c r="Q160" s="1">
        <f>'[1]links-p0'!R159</f>
        <v>0</v>
      </c>
      <c r="R160" s="1">
        <f>'[1]links-p0'!S159</f>
        <v>0</v>
      </c>
      <c r="S160" s="1">
        <f>'[1]links-p0'!T159</f>
        <v>6779.6610170000004</v>
      </c>
      <c r="T160" s="1">
        <f>'[1]links-p0'!U159</f>
        <v>0</v>
      </c>
      <c r="U160" s="1">
        <f>'[1]links-p0'!V159</f>
        <v>1517.7757899999999</v>
      </c>
    </row>
    <row r="161" spans="8:21">
      <c r="H161" s="2">
        <f t="shared" si="6"/>
        <v>158</v>
      </c>
      <c r="I161" s="1">
        <f>'[1]links-p0'!J160</f>
        <v>0</v>
      </c>
      <c r="J161" s="1">
        <f>'[1]links-p0'!K160</f>
        <v>0</v>
      </c>
      <c r="K161" s="1">
        <f>'[1]links-p0'!L160</f>
        <v>0</v>
      </c>
      <c r="L161" s="1">
        <f>'[1]links-p0'!M160</f>
        <v>0</v>
      </c>
      <c r="M161" s="1">
        <f>'[1]links-p0'!N160</f>
        <v>5000</v>
      </c>
      <c r="N161" s="1">
        <f>'[1]links-p0'!O160</f>
        <v>0</v>
      </c>
      <c r="O161" s="1">
        <f>'[1]links-p0'!P160</f>
        <v>87.478022470000013</v>
      </c>
      <c r="P161" s="1">
        <f>'[1]links-p0'!Q160</f>
        <v>7597.6610170000004</v>
      </c>
      <c r="Q161" s="1">
        <f>'[1]links-p0'!R160</f>
        <v>0</v>
      </c>
      <c r="R161" s="1">
        <f>'[1]links-p0'!S160</f>
        <v>0</v>
      </c>
      <c r="S161" s="1">
        <f>'[1]links-p0'!T160</f>
        <v>6779.6610170000004</v>
      </c>
      <c r="T161" s="1">
        <f>'[1]links-p0'!U160</f>
        <v>0</v>
      </c>
      <c r="U161" s="1">
        <f>'[1]links-p0'!V160</f>
        <v>1517.7757899999999</v>
      </c>
    </row>
    <row r="162" spans="8:21">
      <c r="H162" s="2">
        <f t="shared" si="6"/>
        <v>159</v>
      </c>
      <c r="I162" s="1">
        <f>'[1]links-p0'!J161</f>
        <v>0</v>
      </c>
      <c r="J162" s="1">
        <f>'[1]links-p0'!K161</f>
        <v>0</v>
      </c>
      <c r="K162" s="1">
        <f>'[1]links-p0'!L161</f>
        <v>0</v>
      </c>
      <c r="L162" s="1">
        <f>'[1]links-p0'!M161</f>
        <v>0</v>
      </c>
      <c r="M162" s="1">
        <f>'[1]links-p0'!N161</f>
        <v>5000</v>
      </c>
      <c r="N162" s="1">
        <f>'[1]links-p0'!O161</f>
        <v>0</v>
      </c>
      <c r="O162" s="1">
        <f>'[1]links-p0'!P161</f>
        <v>87.014155510000023</v>
      </c>
      <c r="P162" s="1">
        <f>'[1]links-p0'!Q161</f>
        <v>7597.6610170000004</v>
      </c>
      <c r="Q162" s="1">
        <f>'[1]links-p0'!R161</f>
        <v>0</v>
      </c>
      <c r="R162" s="1">
        <f>'[1]links-p0'!S161</f>
        <v>0</v>
      </c>
      <c r="S162" s="1">
        <f>'[1]links-p0'!T161</f>
        <v>6779.6610170000004</v>
      </c>
      <c r="T162" s="1">
        <f>'[1]links-p0'!U161</f>
        <v>0</v>
      </c>
      <c r="U162" s="1">
        <f>'[1]links-p0'!V161</f>
        <v>1517.7757899999999</v>
      </c>
    </row>
    <row r="163" spans="8:21">
      <c r="H163" s="2">
        <f t="shared" si="6"/>
        <v>160</v>
      </c>
      <c r="I163" s="1">
        <f>'[1]links-p0'!J162</f>
        <v>0</v>
      </c>
      <c r="J163" s="1">
        <f>'[1]links-p0'!K162</f>
        <v>0</v>
      </c>
      <c r="K163" s="1">
        <f>'[1]links-p0'!L162</f>
        <v>0</v>
      </c>
      <c r="L163" s="1">
        <f>'[1]links-p0'!M162</f>
        <v>0</v>
      </c>
      <c r="M163" s="1">
        <f>'[1]links-p0'!N162</f>
        <v>5000</v>
      </c>
      <c r="N163" s="1">
        <f>'[1]links-p0'!O162</f>
        <v>0</v>
      </c>
      <c r="O163" s="1">
        <f>'[1]links-p0'!P162</f>
        <v>87.014155510000023</v>
      </c>
      <c r="P163" s="1">
        <f>'[1]links-p0'!Q162</f>
        <v>7597.6610170000004</v>
      </c>
      <c r="Q163" s="1">
        <f>'[1]links-p0'!R162</f>
        <v>0</v>
      </c>
      <c r="R163" s="1">
        <f>'[1]links-p0'!S162</f>
        <v>0</v>
      </c>
      <c r="S163" s="1">
        <f>'[1]links-p0'!T162</f>
        <v>6779.6610170000004</v>
      </c>
      <c r="T163" s="1">
        <f>'[1]links-p0'!U162</f>
        <v>0</v>
      </c>
      <c r="U163" s="1">
        <f>'[1]links-p0'!V162</f>
        <v>1517.7757899999999</v>
      </c>
    </row>
    <row r="164" spans="8:21">
      <c r="H164" s="2">
        <f t="shared" si="6"/>
        <v>161</v>
      </c>
      <c r="I164" s="1">
        <f>'[1]links-p0'!J163</f>
        <v>0</v>
      </c>
      <c r="J164" s="1">
        <f>'[1]links-p0'!K163</f>
        <v>1006.570181842764</v>
      </c>
      <c r="K164" s="1">
        <f>'[1]links-p0'!L163</f>
        <v>0</v>
      </c>
      <c r="L164" s="1">
        <f>'[1]links-p0'!M163</f>
        <v>0</v>
      </c>
      <c r="M164" s="1">
        <f>'[1]links-p0'!N163</f>
        <v>5000</v>
      </c>
      <c r="N164" s="1">
        <f>'[1]links-p0'!O163</f>
        <v>0</v>
      </c>
      <c r="O164" s="1">
        <f>'[1]links-p0'!P163</f>
        <v>87.014155510000023</v>
      </c>
      <c r="P164" s="1">
        <f>'[1]links-p0'!Q163</f>
        <v>7597.6610170000004</v>
      </c>
      <c r="Q164" s="1">
        <f>'[1]links-p0'!R163</f>
        <v>0</v>
      </c>
      <c r="R164" s="1">
        <f>'[1]links-p0'!S163</f>
        <v>0</v>
      </c>
      <c r="S164" s="1">
        <f>'[1]links-p0'!T163</f>
        <v>6779.6610170000004</v>
      </c>
      <c r="T164" s="1">
        <f>'[1]links-p0'!U163</f>
        <v>0</v>
      </c>
      <c r="U164" s="1">
        <f>'[1]links-p0'!V163</f>
        <v>1517.7757899999999</v>
      </c>
    </row>
    <row r="165" spans="8:21">
      <c r="H165" s="2">
        <f t="shared" si="6"/>
        <v>162</v>
      </c>
      <c r="I165" s="1">
        <f>'[1]links-p0'!J164</f>
        <v>0</v>
      </c>
      <c r="J165" s="1">
        <f>'[1]links-p0'!K164</f>
        <v>1631.1485899891261</v>
      </c>
      <c r="K165" s="1">
        <f>'[1]links-p0'!L164</f>
        <v>0</v>
      </c>
      <c r="L165" s="1">
        <f>'[1]links-p0'!M164</f>
        <v>0</v>
      </c>
      <c r="M165" s="1">
        <f>'[1]links-p0'!N164</f>
        <v>5000</v>
      </c>
      <c r="N165" s="1">
        <f>'[1]links-p0'!O164</f>
        <v>0</v>
      </c>
      <c r="O165" s="1">
        <f>'[1]links-p0'!P164</f>
        <v>87.478022470000013</v>
      </c>
      <c r="P165" s="1">
        <f>'[1]links-p0'!Q164</f>
        <v>7597.6610170000004</v>
      </c>
      <c r="Q165" s="1">
        <f>'[1]links-p0'!R164</f>
        <v>0</v>
      </c>
      <c r="R165" s="1">
        <f>'[1]links-p0'!S164</f>
        <v>0</v>
      </c>
      <c r="S165" s="1">
        <f>'[1]links-p0'!T164</f>
        <v>6779.6610170000004</v>
      </c>
      <c r="T165" s="1">
        <f>'[1]links-p0'!U164</f>
        <v>0</v>
      </c>
      <c r="U165" s="1">
        <f>'[1]links-p0'!V164</f>
        <v>1517.7757899999999</v>
      </c>
    </row>
    <row r="166" spans="8:21">
      <c r="H166" s="2">
        <f t="shared" si="6"/>
        <v>163</v>
      </c>
      <c r="I166" s="1">
        <f>'[1]links-p0'!J165</f>
        <v>0</v>
      </c>
      <c r="J166" s="1">
        <f>'[1]links-p0'!K165</f>
        <v>1672.686025962814</v>
      </c>
      <c r="K166" s="1">
        <f>'[1]links-p0'!L165</f>
        <v>0</v>
      </c>
      <c r="L166" s="1">
        <f>'[1]links-p0'!M165</f>
        <v>0</v>
      </c>
      <c r="M166" s="1">
        <f>'[1]links-p0'!N165</f>
        <v>5000</v>
      </c>
      <c r="N166" s="1">
        <f>'[1]links-p0'!O165</f>
        <v>0</v>
      </c>
      <c r="O166" s="1">
        <f>'[1]links-p0'!P165</f>
        <v>87.014155510000023</v>
      </c>
      <c r="P166" s="1">
        <f>'[1]links-p0'!Q165</f>
        <v>7597.6610170000004</v>
      </c>
      <c r="Q166" s="1">
        <f>'[1]links-p0'!R165</f>
        <v>0</v>
      </c>
      <c r="R166" s="1">
        <f>'[1]links-p0'!S165</f>
        <v>0</v>
      </c>
      <c r="S166" s="1">
        <f>'[1]links-p0'!T165</f>
        <v>6779.6610170000004</v>
      </c>
      <c r="T166" s="1">
        <f>'[1]links-p0'!U165</f>
        <v>0</v>
      </c>
      <c r="U166" s="1">
        <f>'[1]links-p0'!V165</f>
        <v>1517.7757899999999</v>
      </c>
    </row>
    <row r="167" spans="8:21">
      <c r="H167" s="2">
        <f t="shared" si="6"/>
        <v>164</v>
      </c>
      <c r="I167" s="1">
        <f>'[1]links-p0'!J166</f>
        <v>0</v>
      </c>
      <c r="J167" s="1">
        <f>'[1]links-p0'!K166</f>
        <v>1671.4230811118341</v>
      </c>
      <c r="K167" s="1">
        <f>'[1]links-p0'!L166</f>
        <v>0</v>
      </c>
      <c r="L167" s="1">
        <f>'[1]links-p0'!M166</f>
        <v>0</v>
      </c>
      <c r="M167" s="1">
        <f>'[1]links-p0'!N166</f>
        <v>5000</v>
      </c>
      <c r="N167" s="1">
        <f>'[1]links-p0'!O166</f>
        <v>0</v>
      </c>
      <c r="O167" s="1">
        <f>'[1]links-p0'!P166</f>
        <v>86.550288550000005</v>
      </c>
      <c r="P167" s="1">
        <f>'[1]links-p0'!Q166</f>
        <v>7597.6610170000004</v>
      </c>
      <c r="Q167" s="1">
        <f>'[1]links-p0'!R166</f>
        <v>0</v>
      </c>
      <c r="R167" s="1">
        <f>'[1]links-p0'!S166</f>
        <v>0</v>
      </c>
      <c r="S167" s="1">
        <f>'[1]links-p0'!T166</f>
        <v>6779.6610170000004</v>
      </c>
      <c r="T167" s="1">
        <f>'[1]links-p0'!U166</f>
        <v>0</v>
      </c>
      <c r="U167" s="1">
        <f>'[1]links-p0'!V166</f>
        <v>1517.7757899999999</v>
      </c>
    </row>
    <row r="168" spans="8:21">
      <c r="H168" s="2">
        <f t="shared" si="6"/>
        <v>165</v>
      </c>
      <c r="I168" s="1">
        <f>'[1]links-p0'!J167</f>
        <v>0</v>
      </c>
      <c r="J168" s="1">
        <f>'[1]links-p0'!K167</f>
        <v>1673.9951224408969</v>
      </c>
      <c r="K168" s="1">
        <f>'[1]links-p0'!L167</f>
        <v>0</v>
      </c>
      <c r="L168" s="1">
        <f>'[1]links-p0'!M167</f>
        <v>0</v>
      </c>
      <c r="M168" s="1">
        <f>'[1]links-p0'!N167</f>
        <v>5000</v>
      </c>
      <c r="N168" s="1">
        <f>'[1]links-p0'!O167</f>
        <v>0</v>
      </c>
      <c r="O168" s="1">
        <f>'[1]links-p0'!P167</f>
        <v>86.086421599999994</v>
      </c>
      <c r="P168" s="1">
        <f>'[1]links-p0'!Q167</f>
        <v>7597.6610170000004</v>
      </c>
      <c r="Q168" s="1">
        <f>'[1]links-p0'!R167</f>
        <v>0</v>
      </c>
      <c r="R168" s="1">
        <f>'[1]links-p0'!S167</f>
        <v>0</v>
      </c>
      <c r="S168" s="1">
        <f>'[1]links-p0'!T167</f>
        <v>6779.6610170000004</v>
      </c>
      <c r="T168" s="1">
        <f>'[1]links-p0'!U167</f>
        <v>0</v>
      </c>
      <c r="U168" s="1">
        <f>'[1]links-p0'!V167</f>
        <v>1517.7757899999999</v>
      </c>
    </row>
    <row r="169" spans="8:21">
      <c r="H169" s="2">
        <f t="shared" si="6"/>
        <v>166</v>
      </c>
      <c r="I169" s="1">
        <f>'[1]links-p0'!J168</f>
        <v>0</v>
      </c>
      <c r="J169" s="1">
        <f>'[1]links-p0'!K168</f>
        <v>1673.601037884122</v>
      </c>
      <c r="K169" s="1">
        <f>'[1]links-p0'!L168</f>
        <v>0</v>
      </c>
      <c r="L169" s="1">
        <f>'[1]links-p0'!M168</f>
        <v>0</v>
      </c>
      <c r="M169" s="1">
        <f>'[1]links-p0'!N168</f>
        <v>5000</v>
      </c>
      <c r="N169" s="1">
        <f>'[1]links-p0'!O168</f>
        <v>0</v>
      </c>
      <c r="O169" s="1">
        <f>'[1]links-p0'!P168</f>
        <v>85.158687680000014</v>
      </c>
      <c r="P169" s="1">
        <f>'[1]links-p0'!Q168</f>
        <v>7597.6610170000004</v>
      </c>
      <c r="Q169" s="1">
        <f>'[1]links-p0'!R168</f>
        <v>0</v>
      </c>
      <c r="R169" s="1">
        <f>'[1]links-p0'!S168</f>
        <v>0</v>
      </c>
      <c r="S169" s="1">
        <f>'[1]links-p0'!T168</f>
        <v>6779.6610170000004</v>
      </c>
      <c r="T169" s="1">
        <f>'[1]links-p0'!U168</f>
        <v>0</v>
      </c>
      <c r="U169" s="1">
        <f>'[1]links-p0'!V168</f>
        <v>1517.7757899999999</v>
      </c>
    </row>
    <row r="170" spans="8:21">
      <c r="H170" s="2">
        <f t="shared" si="6"/>
        <v>167</v>
      </c>
      <c r="I170" s="1">
        <f>'[1]links-p0'!J169</f>
        <v>1234.415537665687</v>
      </c>
      <c r="J170" s="1">
        <f>'[1]links-p0'!K169</f>
        <v>1671.016703624804</v>
      </c>
      <c r="K170" s="1">
        <f>'[1]links-p0'!L169</f>
        <v>0</v>
      </c>
      <c r="L170" s="1">
        <f>'[1]links-p0'!M169</f>
        <v>0</v>
      </c>
      <c r="M170" s="1">
        <f>'[1]links-p0'!N169</f>
        <v>5000</v>
      </c>
      <c r="N170" s="1">
        <f>'[1]links-p0'!O169</f>
        <v>0</v>
      </c>
      <c r="O170" s="1">
        <f>'[1]links-p0'!P169</f>
        <v>85.158687680000014</v>
      </c>
      <c r="P170" s="1">
        <f>'[1]links-p0'!Q169</f>
        <v>7597.6610170000004</v>
      </c>
      <c r="Q170" s="1">
        <f>'[1]links-p0'!R169</f>
        <v>0</v>
      </c>
      <c r="R170" s="1">
        <f>'[1]links-p0'!S169</f>
        <v>0</v>
      </c>
      <c r="S170" s="1">
        <f>'[1]links-p0'!T169</f>
        <v>6779.6610170000004</v>
      </c>
      <c r="T170" s="1">
        <f>'[1]links-p0'!U169</f>
        <v>0</v>
      </c>
      <c r="U170" s="1">
        <f>'[1]links-p0'!V169</f>
        <v>1517.7757899999999</v>
      </c>
    </row>
    <row r="171" spans="8:21">
      <c r="H171" s="18" t="s">
        <v>14</v>
      </c>
      <c r="I171" s="17">
        <f>SUM(I2:I170)</f>
        <v>12003.45391924318</v>
      </c>
      <c r="J171" s="17">
        <f t="shared" ref="J171:U171" si="7">SUM(J2:J170)</f>
        <v>73466.108127839165</v>
      </c>
      <c r="K171" s="17">
        <f t="shared" si="7"/>
        <v>385696.71515327063</v>
      </c>
      <c r="L171" s="17">
        <f t="shared" si="7"/>
        <v>55933.175572631204</v>
      </c>
      <c r="M171" s="17">
        <f t="shared" si="7"/>
        <v>334263.16644706001</v>
      </c>
      <c r="N171" s="17">
        <f t="shared" si="7"/>
        <v>382567.70525273</v>
      </c>
      <c r="O171" s="17">
        <f t="shared" si="7"/>
        <v>4258.896329279999</v>
      </c>
      <c r="P171" s="17">
        <f t="shared" si="7"/>
        <v>737909.15407809895</v>
      </c>
      <c r="Q171" s="17">
        <f t="shared" si="7"/>
        <v>80252.442933570012</v>
      </c>
      <c r="R171" s="17">
        <f t="shared" si="7"/>
        <v>155779.29482309025</v>
      </c>
      <c r="S171" s="17">
        <f t="shared" si="7"/>
        <v>880797.2010723881</v>
      </c>
      <c r="T171" s="11">
        <f t="shared" si="7"/>
        <v>13913.732141330001</v>
      </c>
      <c r="U171" s="11">
        <f t="shared" si="7"/>
        <v>259361.98481017552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163B-253C-44AC-80ED-1D4C6FF63FA4}">
  <dimension ref="A1:V169"/>
  <sheetViews>
    <sheetView zoomScale="85" zoomScaleNormal="85" workbookViewId="0">
      <selection activeCell="B1" sqref="B1"/>
    </sheetView>
  </sheetViews>
  <sheetFormatPr baseColWidth="10" defaultRowHeight="14.5"/>
  <cols>
    <col min="1" max="4" width="17.36328125" style="26" customWidth="1"/>
    <col min="5" max="5" width="24.81640625" style="26" bestFit="1" customWidth="1"/>
    <col min="6" max="6" width="24.54296875" style="26" bestFit="1" customWidth="1"/>
    <col min="7" max="7" width="30.36328125" style="26" bestFit="1" customWidth="1"/>
    <col min="8" max="8" width="11.08984375" style="26" bestFit="1" customWidth="1"/>
    <col min="9" max="9" width="8.26953125" style="26" bestFit="1" customWidth="1"/>
    <col min="10" max="11" width="8.26953125" style="26" customWidth="1"/>
    <col min="12" max="12" width="24.6328125" style="26" bestFit="1" customWidth="1"/>
    <col min="13" max="21" width="17.36328125" style="26" customWidth="1"/>
    <col min="22" max="22" width="32.90625" style="26" bestFit="1" customWidth="1"/>
    <col min="23" max="16384" width="10.90625" style="26"/>
  </cols>
  <sheetData>
    <row r="1" spans="1:22">
      <c r="A1" s="1" t="s">
        <v>47</v>
      </c>
      <c r="B1" s="38" t="str">
        <f>'[1]buses-marginal_price'!B1</f>
        <v>ES_electricity_market_bus</v>
      </c>
      <c r="C1" s="39" t="str">
        <f>'[1]buses-marginal_price'!C1</f>
        <v>ES_water_bus</v>
      </c>
      <c r="D1" s="43" t="str">
        <f>'[1]buses-marginal_price'!D1</f>
        <v>ES_hydrogen_bus</v>
      </c>
      <c r="E1" s="39" t="str">
        <f>'[1]buses-marginal_price'!E1</f>
        <v>ES_SRES_excedentes_bus</v>
      </c>
      <c r="F1" s="43" t="str">
        <f>'[1]buses-marginal_price'!F1</f>
        <v>ES_SRES_electrolyzer_bus</v>
      </c>
      <c r="G1" s="41" t="s">
        <v>65</v>
      </c>
      <c r="H1" s="39" t="s">
        <v>67</v>
      </c>
      <c r="I1" s="39" t="s">
        <v>68</v>
      </c>
      <c r="J1" s="39" t="s">
        <v>69</v>
      </c>
      <c r="K1" s="39" t="s">
        <v>70</v>
      </c>
      <c r="L1" s="39" t="str">
        <f>'[1]buses-marginal_price'!G1</f>
        <v>PT_electricity_market_bus</v>
      </c>
      <c r="M1" s="39" t="str">
        <f>'[1]buses-marginal_price'!H1</f>
        <v>PT_water_bus</v>
      </c>
      <c r="N1" s="43" t="str">
        <f>'[1]buses-marginal_price'!I1</f>
        <v>PT_hydrogen_bus</v>
      </c>
      <c r="O1" s="39" t="str">
        <f>'[1]buses-marginal_price'!J1</f>
        <v>PT_SRES_excedentes_bus</v>
      </c>
      <c r="P1" s="43" t="str">
        <f>'[1]buses-marginal_price'!K1</f>
        <v>PT_SRES_electrolyzer_bus</v>
      </c>
      <c r="Q1" s="39" t="str">
        <f>'[1]buses-marginal_price'!L1</f>
        <v>FR_electricity_market_bus</v>
      </c>
      <c r="R1" s="43" t="str">
        <f>'[1]buses-marginal_price'!M1</f>
        <v>FR_hydrogen_bus</v>
      </c>
      <c r="S1" s="43" t="str">
        <f>'[1]buses-marginal_price'!N1</f>
        <v>FRS_hydrogen_bus</v>
      </c>
      <c r="T1" s="43" t="str">
        <f>'[1]buses-marginal_price'!O1</f>
        <v>FRSW_hydrogen_bus</v>
      </c>
      <c r="U1" s="43" t="str">
        <f>'[1]buses-marginal_price'!P1</f>
        <v>MA_hydrogen_bus</v>
      </c>
      <c r="V1" s="42" t="s">
        <v>66</v>
      </c>
    </row>
    <row r="2" spans="1:22">
      <c r="A2" s="1">
        <f>'[1]buses-marginal_price'!A2</f>
        <v>0</v>
      </c>
      <c r="B2" s="1">
        <f>'[1]buses-marginal_price'!B2</f>
        <v>22</v>
      </c>
      <c r="C2" s="1">
        <f>'[1]buses-marginal_price'!C2</f>
        <v>18.7</v>
      </c>
      <c r="D2" s="1">
        <f>'[1]buses-marginal_price'!D2</f>
        <v>73.7</v>
      </c>
      <c r="E2" s="1">
        <f>'[1]buses-marginal_price'!E2</f>
        <v>22</v>
      </c>
      <c r="F2" s="1">
        <f>'[1]buses-marginal_price'!F2</f>
        <v>51.59</v>
      </c>
      <c r="G2" s="40">
        <f>MAX(C2,L2,Q2)</f>
        <v>21.9</v>
      </c>
      <c r="H2" s="1">
        <v>0.1</v>
      </c>
      <c r="I2" s="1">
        <v>22</v>
      </c>
      <c r="J2" s="1">
        <v>18.7</v>
      </c>
      <c r="K2" s="1">
        <v>14</v>
      </c>
      <c r="L2" s="1">
        <f>'[1]buses-marginal_price'!G2</f>
        <v>21.9</v>
      </c>
      <c r="M2" s="1">
        <f>'[1]buses-marginal_price'!H2</f>
        <v>8.4999999999999992E-2</v>
      </c>
      <c r="N2" s="1">
        <f>'[1]buses-marginal_price'!I2</f>
        <v>73.800000000000011</v>
      </c>
      <c r="O2" s="1">
        <f>'[1]buses-marginal_price'!J2</f>
        <v>21.9</v>
      </c>
      <c r="P2" s="1">
        <f>'[1]buses-marginal_price'!K2</f>
        <v>51.66</v>
      </c>
      <c r="Q2" s="1">
        <f>'[1]buses-marginal_price'!L2</f>
        <v>21.9</v>
      </c>
      <c r="R2" s="1">
        <f>'[1]buses-marginal_price'!M2</f>
        <v>73.900000000000006</v>
      </c>
      <c r="S2" s="1">
        <f>'[1]buses-marginal_price'!N2</f>
        <v>73.800000000000011</v>
      </c>
      <c r="T2" s="1">
        <f>'[1]buses-marginal_price'!O2</f>
        <v>0</v>
      </c>
      <c r="U2" s="1">
        <f>'[1]buses-marginal_price'!P2</f>
        <v>73.7</v>
      </c>
      <c r="V2" s="40">
        <f>MAX(D2,F2,P2,R2:U2)</f>
        <v>73.900000000000006</v>
      </c>
    </row>
    <row r="3" spans="1:22">
      <c r="A3" s="1">
        <f>'[1]buses-marginal_price'!A3</f>
        <v>1</v>
      </c>
      <c r="B3" s="1">
        <f>'[1]buses-marginal_price'!B3</f>
        <v>14.025</v>
      </c>
      <c r="C3" s="1">
        <f>'[1]buses-marginal_price'!C3</f>
        <v>18.7</v>
      </c>
      <c r="D3" s="1">
        <f>'[1]buses-marginal_price'!D3</f>
        <v>31.44285714285714</v>
      </c>
      <c r="E3" s="1">
        <f>'[1]buses-marginal_price'!E3</f>
        <v>14.025</v>
      </c>
      <c r="F3" s="1">
        <f>'[1]buses-marginal_price'!F3</f>
        <v>22.01</v>
      </c>
      <c r="G3" s="40">
        <f t="shared" ref="G3:G66" si="0">MAX(C3,L3,Q3)</f>
        <v>18.7</v>
      </c>
      <c r="H3" s="1">
        <v>0.1</v>
      </c>
      <c r="I3" s="1">
        <v>22</v>
      </c>
      <c r="J3" s="1">
        <v>18.7</v>
      </c>
      <c r="K3" s="1">
        <v>14</v>
      </c>
      <c r="L3" s="1">
        <f>'[1]buses-marginal_price'!G3</f>
        <v>0.1</v>
      </c>
      <c r="M3" s="1">
        <f>'[1]buses-marginal_price'!H3</f>
        <v>8.4999999999999992E-2</v>
      </c>
      <c r="N3" s="1">
        <f>'[1]buses-marginal_price'!I3</f>
        <v>31.542857142857141</v>
      </c>
      <c r="O3" s="1">
        <f>'[1]buses-marginal_price'!J3</f>
        <v>0.1</v>
      </c>
      <c r="P3" s="1">
        <f>'[1]buses-marginal_price'!K3</f>
        <v>22.08</v>
      </c>
      <c r="Q3" s="1">
        <f>'[1]buses-marginal_price'!L3</f>
        <v>13.925000000000001</v>
      </c>
      <c r="R3" s="1">
        <f>'[1]buses-marginal_price'!M3</f>
        <v>31.642857142857139</v>
      </c>
      <c r="S3" s="1">
        <f>'[1]buses-marginal_price'!N3</f>
        <v>31.542857142857141</v>
      </c>
      <c r="T3" s="1">
        <f>'[1]buses-marginal_price'!O3</f>
        <v>0</v>
      </c>
      <c r="U3" s="1">
        <f>'[1]buses-marginal_price'!P3</f>
        <v>31.44285714285714</v>
      </c>
      <c r="V3" s="40">
        <f t="shared" ref="V3:V66" si="1">MAX(D3,F3,P3,R3:U3)</f>
        <v>31.642857142857139</v>
      </c>
    </row>
    <row r="4" spans="1:22">
      <c r="A4" s="1">
        <f>'[1]buses-marginal_price'!A4</f>
        <v>2</v>
      </c>
      <c r="B4" s="1">
        <f>'[1]buses-marginal_price'!B4</f>
        <v>14.025</v>
      </c>
      <c r="C4" s="1">
        <f>'[1]buses-marginal_price'!C4</f>
        <v>18.7</v>
      </c>
      <c r="D4" s="1">
        <f>'[1]buses-marginal_price'!D4</f>
        <v>31.44285714285714</v>
      </c>
      <c r="E4" s="1">
        <f>'[1]buses-marginal_price'!E4</f>
        <v>14.025</v>
      </c>
      <c r="F4" s="1">
        <f>'[1]buses-marginal_price'!F4</f>
        <v>22.01</v>
      </c>
      <c r="G4" s="40">
        <f t="shared" si="0"/>
        <v>18.7</v>
      </c>
      <c r="H4" s="1">
        <v>0.1</v>
      </c>
      <c r="I4" s="1">
        <v>22</v>
      </c>
      <c r="J4" s="1">
        <v>18.7</v>
      </c>
      <c r="K4" s="1">
        <v>14</v>
      </c>
      <c r="L4" s="1">
        <f>'[1]buses-marginal_price'!G4</f>
        <v>0.1</v>
      </c>
      <c r="M4" s="1">
        <f>'[1]buses-marginal_price'!H4</f>
        <v>8.4999999999999992E-2</v>
      </c>
      <c r="N4" s="1">
        <f>'[1]buses-marginal_price'!I4</f>
        <v>31.542857142857141</v>
      </c>
      <c r="O4" s="1">
        <f>'[1]buses-marginal_price'!J4</f>
        <v>0.1</v>
      </c>
      <c r="P4" s="1">
        <f>'[1]buses-marginal_price'!K4</f>
        <v>22.08</v>
      </c>
      <c r="Q4" s="1">
        <f>'[1]buses-marginal_price'!L4</f>
        <v>13.925000000000001</v>
      </c>
      <c r="R4" s="1">
        <f>'[1]buses-marginal_price'!M4</f>
        <v>31.642857142857139</v>
      </c>
      <c r="S4" s="1">
        <f>'[1]buses-marginal_price'!N4</f>
        <v>31.542857142857141</v>
      </c>
      <c r="T4" s="1">
        <f>'[1]buses-marginal_price'!O4</f>
        <v>0</v>
      </c>
      <c r="U4" s="1">
        <f>'[1]buses-marginal_price'!P4</f>
        <v>31.44285714285714</v>
      </c>
      <c r="V4" s="40">
        <f t="shared" si="1"/>
        <v>31.642857142857139</v>
      </c>
    </row>
    <row r="5" spans="1:22">
      <c r="A5" s="1">
        <f>'[1]buses-marginal_price'!A5</f>
        <v>3</v>
      </c>
      <c r="B5" s="1">
        <f>'[1]buses-marginal_price'!B5</f>
        <v>14.025</v>
      </c>
      <c r="C5" s="1">
        <f>'[1]buses-marginal_price'!C5</f>
        <v>18.7</v>
      </c>
      <c r="D5" s="1">
        <f>'[1]buses-marginal_price'!D5</f>
        <v>31.44285714285714</v>
      </c>
      <c r="E5" s="1">
        <f>'[1]buses-marginal_price'!E5</f>
        <v>14.025</v>
      </c>
      <c r="F5" s="1">
        <f>'[1]buses-marginal_price'!F5</f>
        <v>22.01</v>
      </c>
      <c r="G5" s="40">
        <f t="shared" si="0"/>
        <v>18.7</v>
      </c>
      <c r="H5" s="1">
        <v>0.1</v>
      </c>
      <c r="I5" s="1">
        <v>22</v>
      </c>
      <c r="J5" s="1">
        <v>18.7</v>
      </c>
      <c r="K5" s="1">
        <v>14</v>
      </c>
      <c r="L5" s="1">
        <f>'[1]buses-marginal_price'!G5</f>
        <v>0.1</v>
      </c>
      <c r="M5" s="1">
        <f>'[1]buses-marginal_price'!H5</f>
        <v>8.4999999999999992E-2</v>
      </c>
      <c r="N5" s="1">
        <f>'[1]buses-marginal_price'!I5</f>
        <v>31.542857142857141</v>
      </c>
      <c r="O5" s="1">
        <f>'[1]buses-marginal_price'!J5</f>
        <v>0.1</v>
      </c>
      <c r="P5" s="1">
        <f>'[1]buses-marginal_price'!K5</f>
        <v>22.08</v>
      </c>
      <c r="Q5" s="1">
        <f>'[1]buses-marginal_price'!L5</f>
        <v>13.925000000000001</v>
      </c>
      <c r="R5" s="1">
        <f>'[1]buses-marginal_price'!M5</f>
        <v>31.642857142857139</v>
      </c>
      <c r="S5" s="1">
        <f>'[1]buses-marginal_price'!N5</f>
        <v>31.542857142857141</v>
      </c>
      <c r="T5" s="1">
        <f>'[1]buses-marginal_price'!O5</f>
        <v>0</v>
      </c>
      <c r="U5" s="1">
        <f>'[1]buses-marginal_price'!P5</f>
        <v>31.44285714285714</v>
      </c>
      <c r="V5" s="40">
        <f t="shared" si="1"/>
        <v>31.642857142857139</v>
      </c>
    </row>
    <row r="6" spans="1:22">
      <c r="A6" s="1">
        <f>'[1]buses-marginal_price'!A6</f>
        <v>4</v>
      </c>
      <c r="B6" s="1">
        <f>'[1]buses-marginal_price'!B6</f>
        <v>14.025</v>
      </c>
      <c r="C6" s="1">
        <f>'[1]buses-marginal_price'!C6</f>
        <v>18.7</v>
      </c>
      <c r="D6" s="1">
        <f>'[1]buses-marginal_price'!D6</f>
        <v>31.44285714285714</v>
      </c>
      <c r="E6" s="1">
        <f>'[1]buses-marginal_price'!E6</f>
        <v>14.025</v>
      </c>
      <c r="F6" s="1">
        <f>'[1]buses-marginal_price'!F6</f>
        <v>22.01</v>
      </c>
      <c r="G6" s="40">
        <f t="shared" si="0"/>
        <v>18.7</v>
      </c>
      <c r="H6" s="1">
        <v>0.1</v>
      </c>
      <c r="I6" s="1">
        <v>22</v>
      </c>
      <c r="J6" s="1">
        <v>18.7</v>
      </c>
      <c r="K6" s="1">
        <v>14</v>
      </c>
      <c r="L6" s="1">
        <f>'[1]buses-marginal_price'!G6</f>
        <v>0.1</v>
      </c>
      <c r="M6" s="1">
        <f>'[1]buses-marginal_price'!H6</f>
        <v>8.4999999999999992E-2</v>
      </c>
      <c r="N6" s="1">
        <f>'[1]buses-marginal_price'!I6</f>
        <v>31.542857142857141</v>
      </c>
      <c r="O6" s="1">
        <f>'[1]buses-marginal_price'!J6</f>
        <v>0.1</v>
      </c>
      <c r="P6" s="1">
        <f>'[1]buses-marginal_price'!K6</f>
        <v>22.08</v>
      </c>
      <c r="Q6" s="1">
        <f>'[1]buses-marginal_price'!L6</f>
        <v>13.925000000000001</v>
      </c>
      <c r="R6" s="1">
        <f>'[1]buses-marginal_price'!M6</f>
        <v>31.642857142857139</v>
      </c>
      <c r="S6" s="1">
        <f>'[1]buses-marginal_price'!N6</f>
        <v>31.542857142857141</v>
      </c>
      <c r="T6" s="1">
        <f>'[1]buses-marginal_price'!O6</f>
        <v>0</v>
      </c>
      <c r="U6" s="1">
        <f>'[1]buses-marginal_price'!P6</f>
        <v>31.44285714285714</v>
      </c>
      <c r="V6" s="40">
        <f t="shared" si="1"/>
        <v>31.642857142857139</v>
      </c>
    </row>
    <row r="7" spans="1:22">
      <c r="A7" s="1">
        <f>'[1]buses-marginal_price'!A7</f>
        <v>5</v>
      </c>
      <c r="B7" s="1">
        <f>'[1]buses-marginal_price'!B7</f>
        <v>14.025</v>
      </c>
      <c r="C7" s="1">
        <f>'[1]buses-marginal_price'!C7</f>
        <v>18.7</v>
      </c>
      <c r="D7" s="1">
        <f>'[1]buses-marginal_price'!D7</f>
        <v>31.44285714285714</v>
      </c>
      <c r="E7" s="1">
        <f>'[1]buses-marginal_price'!E7</f>
        <v>14.025</v>
      </c>
      <c r="F7" s="1">
        <f>'[1]buses-marginal_price'!F7</f>
        <v>22.01</v>
      </c>
      <c r="G7" s="40">
        <f t="shared" si="0"/>
        <v>18.7</v>
      </c>
      <c r="H7" s="1">
        <v>0.1</v>
      </c>
      <c r="I7" s="1">
        <v>22</v>
      </c>
      <c r="J7" s="1">
        <v>18.7</v>
      </c>
      <c r="K7" s="1">
        <v>14</v>
      </c>
      <c r="L7" s="1">
        <f>'[1]buses-marginal_price'!G7</f>
        <v>0.1</v>
      </c>
      <c r="M7" s="1">
        <f>'[1]buses-marginal_price'!H7</f>
        <v>8.4999999999999992E-2</v>
      </c>
      <c r="N7" s="1">
        <f>'[1]buses-marginal_price'!I7</f>
        <v>31.542857142857141</v>
      </c>
      <c r="O7" s="1">
        <f>'[1]buses-marginal_price'!J7</f>
        <v>0.1</v>
      </c>
      <c r="P7" s="1">
        <f>'[1]buses-marginal_price'!K7</f>
        <v>22.08</v>
      </c>
      <c r="Q7" s="1">
        <f>'[1]buses-marginal_price'!L7</f>
        <v>13.925000000000001</v>
      </c>
      <c r="R7" s="1">
        <f>'[1]buses-marginal_price'!M7</f>
        <v>31.642857142857139</v>
      </c>
      <c r="S7" s="1">
        <f>'[1]buses-marginal_price'!N7</f>
        <v>31.542857142857141</v>
      </c>
      <c r="T7" s="1">
        <f>'[1]buses-marginal_price'!O7</f>
        <v>0</v>
      </c>
      <c r="U7" s="1">
        <f>'[1]buses-marginal_price'!P7</f>
        <v>31.44285714285714</v>
      </c>
      <c r="V7" s="40">
        <f t="shared" si="1"/>
        <v>31.642857142857139</v>
      </c>
    </row>
    <row r="8" spans="1:22">
      <c r="A8" s="1">
        <f>'[1]buses-marginal_price'!A8</f>
        <v>6</v>
      </c>
      <c r="B8" s="1">
        <f>'[1]buses-marginal_price'!B8</f>
        <v>14.025</v>
      </c>
      <c r="C8" s="1">
        <f>'[1]buses-marginal_price'!C8</f>
        <v>18.7</v>
      </c>
      <c r="D8" s="1">
        <f>'[1]buses-marginal_price'!D8</f>
        <v>31.44285714285714</v>
      </c>
      <c r="E8" s="1">
        <f>'[1]buses-marginal_price'!E8</f>
        <v>14.025</v>
      </c>
      <c r="F8" s="1">
        <f>'[1]buses-marginal_price'!F8</f>
        <v>22.01</v>
      </c>
      <c r="G8" s="40">
        <f t="shared" si="0"/>
        <v>18.7</v>
      </c>
      <c r="H8" s="1">
        <v>0.1</v>
      </c>
      <c r="I8" s="1">
        <v>22</v>
      </c>
      <c r="J8" s="1">
        <v>18.7</v>
      </c>
      <c r="K8" s="1">
        <v>14</v>
      </c>
      <c r="L8" s="1">
        <f>'[1]buses-marginal_price'!G8</f>
        <v>0.1</v>
      </c>
      <c r="M8" s="1">
        <f>'[1]buses-marginal_price'!H8</f>
        <v>8.4999999999999992E-2</v>
      </c>
      <c r="N8" s="1">
        <f>'[1]buses-marginal_price'!I8</f>
        <v>31.542857142857141</v>
      </c>
      <c r="O8" s="1">
        <f>'[1]buses-marginal_price'!J8</f>
        <v>0.1</v>
      </c>
      <c r="P8" s="1">
        <f>'[1]buses-marginal_price'!K8</f>
        <v>22.08</v>
      </c>
      <c r="Q8" s="1">
        <f>'[1]buses-marginal_price'!L8</f>
        <v>13.925000000000001</v>
      </c>
      <c r="R8" s="1">
        <f>'[1]buses-marginal_price'!M8</f>
        <v>31.642857142857139</v>
      </c>
      <c r="S8" s="1">
        <f>'[1]buses-marginal_price'!N8</f>
        <v>31.542857142857141</v>
      </c>
      <c r="T8" s="1">
        <f>'[1]buses-marginal_price'!O8</f>
        <v>0</v>
      </c>
      <c r="U8" s="1">
        <f>'[1]buses-marginal_price'!P8</f>
        <v>31.44285714285714</v>
      </c>
      <c r="V8" s="40">
        <f t="shared" si="1"/>
        <v>31.642857142857139</v>
      </c>
    </row>
    <row r="9" spans="1:22">
      <c r="A9" s="1">
        <f>'[1]buses-marginal_price'!A9</f>
        <v>7</v>
      </c>
      <c r="B9" s="1">
        <f>'[1]buses-marginal_price'!B9</f>
        <v>14.025</v>
      </c>
      <c r="C9" s="1">
        <f>'[1]buses-marginal_price'!C9</f>
        <v>18.7</v>
      </c>
      <c r="D9" s="1">
        <f>'[1]buses-marginal_price'!D9</f>
        <v>31.44285714285714</v>
      </c>
      <c r="E9" s="1">
        <f>'[1]buses-marginal_price'!E9</f>
        <v>14.025</v>
      </c>
      <c r="F9" s="1">
        <f>'[1]buses-marginal_price'!F9</f>
        <v>22.01</v>
      </c>
      <c r="G9" s="40">
        <f t="shared" si="0"/>
        <v>18.7</v>
      </c>
      <c r="H9" s="1">
        <v>0.1</v>
      </c>
      <c r="I9" s="1">
        <v>22</v>
      </c>
      <c r="J9" s="1">
        <v>18.7</v>
      </c>
      <c r="K9" s="1">
        <v>14</v>
      </c>
      <c r="L9" s="1">
        <f>'[1]buses-marginal_price'!G9</f>
        <v>0.1</v>
      </c>
      <c r="M9" s="1">
        <f>'[1]buses-marginal_price'!H9</f>
        <v>8.5000000000000006E-2</v>
      </c>
      <c r="N9" s="1">
        <f>'[1]buses-marginal_price'!I9</f>
        <v>31.542857142857141</v>
      </c>
      <c r="O9" s="1">
        <f>'[1]buses-marginal_price'!J9</f>
        <v>0.1</v>
      </c>
      <c r="P9" s="1">
        <f>'[1]buses-marginal_price'!K9</f>
        <v>22.08</v>
      </c>
      <c r="Q9" s="1">
        <f>'[1]buses-marginal_price'!L9</f>
        <v>13.925000000000001</v>
      </c>
      <c r="R9" s="1">
        <f>'[1]buses-marginal_price'!M9</f>
        <v>31.642857142857139</v>
      </c>
      <c r="S9" s="1">
        <f>'[1]buses-marginal_price'!N9</f>
        <v>31.542857142857141</v>
      </c>
      <c r="T9" s="1">
        <f>'[1]buses-marginal_price'!O9</f>
        <v>0</v>
      </c>
      <c r="U9" s="1">
        <f>'[1]buses-marginal_price'!P9</f>
        <v>31.44285714285714</v>
      </c>
      <c r="V9" s="40">
        <f t="shared" si="1"/>
        <v>31.642857142857139</v>
      </c>
    </row>
    <row r="10" spans="1:22">
      <c r="A10" s="1">
        <f>'[1]buses-marginal_price'!A10</f>
        <v>8</v>
      </c>
      <c r="B10" s="1">
        <f>'[1]buses-marginal_price'!B10</f>
        <v>14.025</v>
      </c>
      <c r="C10" s="1">
        <f>'[1]buses-marginal_price'!C10</f>
        <v>18.7</v>
      </c>
      <c r="D10" s="1">
        <f>'[1]buses-marginal_price'!D10</f>
        <v>73.7</v>
      </c>
      <c r="E10" s="1">
        <f>'[1]buses-marginal_price'!E10</f>
        <v>14.025</v>
      </c>
      <c r="F10" s="1">
        <f>'[1]buses-marginal_price'!F10</f>
        <v>51.59</v>
      </c>
      <c r="G10" s="40">
        <f t="shared" si="0"/>
        <v>18.7</v>
      </c>
      <c r="H10" s="1">
        <v>0.1</v>
      </c>
      <c r="I10" s="1">
        <v>22</v>
      </c>
      <c r="J10" s="1">
        <v>18.7</v>
      </c>
      <c r="K10" s="1">
        <v>14</v>
      </c>
      <c r="L10" s="1">
        <f>'[1]buses-marginal_price'!G10</f>
        <v>9.9999999999999992E-2</v>
      </c>
      <c r="M10" s="1">
        <f>'[1]buses-marginal_price'!H10</f>
        <v>8.4999999999999992E-2</v>
      </c>
      <c r="N10" s="1">
        <f>'[1]buses-marginal_price'!I10</f>
        <v>73.800000000000011</v>
      </c>
      <c r="O10" s="1">
        <f>'[1]buses-marginal_price'!J10</f>
        <v>9.9999999999999992E-2</v>
      </c>
      <c r="P10" s="1">
        <f>'[1]buses-marginal_price'!K10</f>
        <v>51.66</v>
      </c>
      <c r="Q10" s="1">
        <f>'[1]buses-marginal_price'!L10</f>
        <v>13.925000000000001</v>
      </c>
      <c r="R10" s="1">
        <f>'[1]buses-marginal_price'!M10</f>
        <v>73.900000000000006</v>
      </c>
      <c r="S10" s="1">
        <f>'[1]buses-marginal_price'!N10</f>
        <v>73.800000000000011</v>
      </c>
      <c r="T10" s="1">
        <f>'[1]buses-marginal_price'!O10</f>
        <v>0</v>
      </c>
      <c r="U10" s="1">
        <f>'[1]buses-marginal_price'!P10</f>
        <v>73.7</v>
      </c>
      <c r="V10" s="40">
        <f t="shared" si="1"/>
        <v>73.900000000000006</v>
      </c>
    </row>
    <row r="11" spans="1:22">
      <c r="A11" s="1">
        <f>'[1]buses-marginal_price'!A11</f>
        <v>9</v>
      </c>
      <c r="B11" s="1">
        <f>'[1]buses-marginal_price'!B11</f>
        <v>14.025</v>
      </c>
      <c r="C11" s="1">
        <f>'[1]buses-marginal_price'!C11</f>
        <v>18.7</v>
      </c>
      <c r="D11" s="1">
        <f>'[1]buses-marginal_price'!D11</f>
        <v>28.856944285714281</v>
      </c>
      <c r="E11" s="1">
        <f>'[1]buses-marginal_price'!E11</f>
        <v>14.025</v>
      </c>
      <c r="F11" s="1">
        <f>'[1]buses-marginal_price'!F11</f>
        <v>20.199860999999999</v>
      </c>
      <c r="G11" s="40">
        <f t="shared" si="0"/>
        <v>18.7</v>
      </c>
      <c r="H11" s="1">
        <v>0.1</v>
      </c>
      <c r="I11" s="1">
        <v>22</v>
      </c>
      <c r="J11" s="1">
        <v>18.7</v>
      </c>
      <c r="K11" s="1">
        <v>14</v>
      </c>
      <c r="L11" s="1">
        <f>'[1]buses-marginal_price'!G11</f>
        <v>6.3749999999999987E-2</v>
      </c>
      <c r="M11" s="1">
        <f>'[1]buses-marginal_price'!H11</f>
        <v>8.4999999999999992E-2</v>
      </c>
      <c r="N11" s="1">
        <f>'[1]buses-marginal_price'!I11</f>
        <v>28.95694428571429</v>
      </c>
      <c r="O11" s="1">
        <f>'[1]buses-marginal_price'!J11</f>
        <v>6.3749999999999987E-2</v>
      </c>
      <c r="P11" s="1">
        <f>'[1]buses-marginal_price'!K11</f>
        <v>20.269860999999999</v>
      </c>
      <c r="Q11" s="1">
        <f>'[1]buses-marginal_price'!L11</f>
        <v>13.925000000000001</v>
      </c>
      <c r="R11" s="1">
        <f>'[1]buses-marginal_price'!M11</f>
        <v>29.056944285714291</v>
      </c>
      <c r="S11" s="1">
        <f>'[1]buses-marginal_price'!N11</f>
        <v>28.95694428571429</v>
      </c>
      <c r="T11" s="1">
        <f>'[1]buses-marginal_price'!O11</f>
        <v>0</v>
      </c>
      <c r="U11" s="1">
        <f>'[1]buses-marginal_price'!P11</f>
        <v>28.856944285714281</v>
      </c>
      <c r="V11" s="40">
        <f t="shared" si="1"/>
        <v>29.056944285714291</v>
      </c>
    </row>
    <row r="12" spans="1:22">
      <c r="A12" s="1">
        <f>'[1]buses-marginal_price'!A12</f>
        <v>10</v>
      </c>
      <c r="B12" s="1">
        <f>'[1]buses-marginal_price'!B12</f>
        <v>0</v>
      </c>
      <c r="C12" s="1">
        <f>'[1]buses-marginal_price'!C12</f>
        <v>18.7</v>
      </c>
      <c r="D12" s="1">
        <f>'[1]buses-marginal_price'!D12</f>
        <v>1.428571428571429E-2</v>
      </c>
      <c r="E12" s="1">
        <f>'[1]buses-marginal_price'!E12</f>
        <v>0</v>
      </c>
      <c r="F12" s="1">
        <f>'[1]buses-marginal_price'!F12</f>
        <v>0.01</v>
      </c>
      <c r="G12" s="40">
        <f t="shared" si="0"/>
        <v>18.7</v>
      </c>
      <c r="H12" s="1">
        <v>0.1</v>
      </c>
      <c r="I12" s="1">
        <v>22</v>
      </c>
      <c r="J12" s="1">
        <v>18.7</v>
      </c>
      <c r="K12" s="1">
        <v>14</v>
      </c>
      <c r="L12" s="1">
        <f>'[1]buses-marginal_price'!G12</f>
        <v>0</v>
      </c>
      <c r="M12" s="1">
        <f>'[1]buses-marginal_price'!H12</f>
        <v>8.4999999999999992E-2</v>
      </c>
      <c r="N12" s="1">
        <f>'[1]buses-marginal_price'!I12</f>
        <v>0</v>
      </c>
      <c r="O12" s="1">
        <f>'[1]buses-marginal_price'!J12</f>
        <v>0</v>
      </c>
      <c r="P12" s="1">
        <f>'[1]buses-marginal_price'!K12</f>
        <v>0</v>
      </c>
      <c r="Q12" s="1">
        <f>'[1]buses-marginal_price'!L12</f>
        <v>0.1</v>
      </c>
      <c r="R12" s="1">
        <f>'[1]buses-marginal_price'!M12</f>
        <v>0.2142857142857143</v>
      </c>
      <c r="S12" s="1">
        <f>'[1]buses-marginal_price'!N12</f>
        <v>0.1142857142857143</v>
      </c>
      <c r="T12" s="1">
        <f>'[1]buses-marginal_price'!O12</f>
        <v>1.428571428571429E-2</v>
      </c>
      <c r="U12" s="1">
        <f>'[1]buses-marginal_price'!P12</f>
        <v>1.428571428571429E-2</v>
      </c>
      <c r="V12" s="40">
        <f t="shared" si="1"/>
        <v>0.2142857142857143</v>
      </c>
    </row>
    <row r="13" spans="1:22">
      <c r="A13" s="1">
        <f>'[1]buses-marginal_price'!A13</f>
        <v>11</v>
      </c>
      <c r="B13" s="1">
        <f>'[1]buses-marginal_price'!B13</f>
        <v>0</v>
      </c>
      <c r="C13" s="1">
        <f>'[1]buses-marginal_price'!C13</f>
        <v>18.7</v>
      </c>
      <c r="D13" s="1">
        <f>'[1]buses-marginal_price'!D13</f>
        <v>1.428571428571429E-2</v>
      </c>
      <c r="E13" s="1">
        <f>'[1]buses-marginal_price'!E13</f>
        <v>0</v>
      </c>
      <c r="F13" s="1">
        <f>'[1]buses-marginal_price'!F13</f>
        <v>0.01</v>
      </c>
      <c r="G13" s="40">
        <f t="shared" si="0"/>
        <v>18.7</v>
      </c>
      <c r="H13" s="1">
        <v>0.1</v>
      </c>
      <c r="I13" s="1">
        <v>22</v>
      </c>
      <c r="J13" s="1">
        <v>18.7</v>
      </c>
      <c r="K13" s="1">
        <v>14</v>
      </c>
      <c r="L13" s="1">
        <f>'[1]buses-marginal_price'!G13</f>
        <v>0</v>
      </c>
      <c r="M13" s="1">
        <f>'[1]buses-marginal_price'!H13</f>
        <v>8.4999999999999992E-2</v>
      </c>
      <c r="N13" s="1">
        <f>'[1]buses-marginal_price'!I13</f>
        <v>0</v>
      </c>
      <c r="O13" s="1">
        <f>'[1]buses-marginal_price'!J13</f>
        <v>0</v>
      </c>
      <c r="P13" s="1">
        <f>'[1]buses-marginal_price'!K13</f>
        <v>0</v>
      </c>
      <c r="Q13" s="1">
        <f>'[1]buses-marginal_price'!L13</f>
        <v>0.1</v>
      </c>
      <c r="R13" s="1">
        <f>'[1]buses-marginal_price'!M13</f>
        <v>0.2142857142857143</v>
      </c>
      <c r="S13" s="1">
        <f>'[1]buses-marginal_price'!N13</f>
        <v>0.1142857142857143</v>
      </c>
      <c r="T13" s="1">
        <f>'[1]buses-marginal_price'!O13</f>
        <v>1.428571428571429E-2</v>
      </c>
      <c r="U13" s="1">
        <f>'[1]buses-marginal_price'!P13</f>
        <v>1.428571428571429E-2</v>
      </c>
      <c r="V13" s="40">
        <f t="shared" si="1"/>
        <v>0.2142857142857143</v>
      </c>
    </row>
    <row r="14" spans="1:22">
      <c r="A14" s="1">
        <f>'[1]buses-marginal_price'!A14</f>
        <v>12</v>
      </c>
      <c r="B14" s="1">
        <f>'[1]buses-marginal_price'!B14</f>
        <v>0</v>
      </c>
      <c r="C14" s="1">
        <f>'[1]buses-marginal_price'!C14</f>
        <v>18.7</v>
      </c>
      <c r="D14" s="1">
        <f>'[1]buses-marginal_price'!D14</f>
        <v>1.428571428571429E-2</v>
      </c>
      <c r="E14" s="1">
        <f>'[1]buses-marginal_price'!E14</f>
        <v>0</v>
      </c>
      <c r="F14" s="1">
        <f>'[1]buses-marginal_price'!F14</f>
        <v>0.01</v>
      </c>
      <c r="G14" s="40">
        <f t="shared" si="0"/>
        <v>18.7</v>
      </c>
      <c r="H14" s="1">
        <v>0.1</v>
      </c>
      <c r="I14" s="1">
        <v>22</v>
      </c>
      <c r="J14" s="1">
        <v>18.7</v>
      </c>
      <c r="K14" s="1">
        <v>14</v>
      </c>
      <c r="L14" s="1">
        <f>'[1]buses-marginal_price'!G14</f>
        <v>0</v>
      </c>
      <c r="M14" s="1">
        <f>'[1]buses-marginal_price'!H14</f>
        <v>8.4999999999999992E-2</v>
      </c>
      <c r="N14" s="1">
        <f>'[1]buses-marginal_price'!I14</f>
        <v>0</v>
      </c>
      <c r="O14" s="1">
        <f>'[1]buses-marginal_price'!J14</f>
        <v>0</v>
      </c>
      <c r="P14" s="1">
        <f>'[1]buses-marginal_price'!K14</f>
        <v>0</v>
      </c>
      <c r="Q14" s="1">
        <f>'[1]buses-marginal_price'!L14</f>
        <v>0.1</v>
      </c>
      <c r="R14" s="1">
        <f>'[1]buses-marginal_price'!M14</f>
        <v>0.2142857142857143</v>
      </c>
      <c r="S14" s="1">
        <f>'[1]buses-marginal_price'!N14</f>
        <v>0.1142857142857143</v>
      </c>
      <c r="T14" s="1">
        <f>'[1]buses-marginal_price'!O14</f>
        <v>0.1142857142857143</v>
      </c>
      <c r="U14" s="1">
        <f>'[1]buses-marginal_price'!P14</f>
        <v>1.428571428571429E-2</v>
      </c>
      <c r="V14" s="40">
        <f t="shared" si="1"/>
        <v>0.2142857142857143</v>
      </c>
    </row>
    <row r="15" spans="1:22">
      <c r="A15" s="1">
        <f>'[1]buses-marginal_price'!A15</f>
        <v>13</v>
      </c>
      <c r="B15" s="1">
        <f>'[1]buses-marginal_price'!B15</f>
        <v>0</v>
      </c>
      <c r="C15" s="1">
        <f>'[1]buses-marginal_price'!C15</f>
        <v>18.7</v>
      </c>
      <c r="D15" s="1">
        <f>'[1]buses-marginal_price'!D15</f>
        <v>1.428571428571429E-2</v>
      </c>
      <c r="E15" s="1">
        <f>'[1]buses-marginal_price'!E15</f>
        <v>0</v>
      </c>
      <c r="F15" s="1">
        <f>'[1]buses-marginal_price'!F15</f>
        <v>0.01</v>
      </c>
      <c r="G15" s="40">
        <f t="shared" si="0"/>
        <v>18.7</v>
      </c>
      <c r="H15" s="1">
        <v>0.1</v>
      </c>
      <c r="I15" s="1">
        <v>22</v>
      </c>
      <c r="J15" s="1">
        <v>18.7</v>
      </c>
      <c r="K15" s="1">
        <v>14</v>
      </c>
      <c r="L15" s="1">
        <f>'[1]buses-marginal_price'!G15</f>
        <v>0</v>
      </c>
      <c r="M15" s="1">
        <f>'[1]buses-marginal_price'!H15</f>
        <v>8.4999999999999992E-2</v>
      </c>
      <c r="N15" s="1">
        <f>'[1]buses-marginal_price'!I15</f>
        <v>0</v>
      </c>
      <c r="O15" s="1">
        <f>'[1]buses-marginal_price'!J15</f>
        <v>0</v>
      </c>
      <c r="P15" s="1">
        <f>'[1]buses-marginal_price'!K15</f>
        <v>0</v>
      </c>
      <c r="Q15" s="1">
        <f>'[1]buses-marginal_price'!L15</f>
        <v>0.1</v>
      </c>
      <c r="R15" s="1">
        <f>'[1]buses-marginal_price'!M15</f>
        <v>0.2142857142857143</v>
      </c>
      <c r="S15" s="1">
        <f>'[1]buses-marginal_price'!N15</f>
        <v>0.1142857142857143</v>
      </c>
      <c r="T15" s="1">
        <f>'[1]buses-marginal_price'!O15</f>
        <v>1.428571428571429E-2</v>
      </c>
      <c r="U15" s="1">
        <f>'[1]buses-marginal_price'!P15</f>
        <v>1.428571428571429E-2</v>
      </c>
      <c r="V15" s="40">
        <f t="shared" si="1"/>
        <v>0.2142857142857143</v>
      </c>
    </row>
    <row r="16" spans="1:22">
      <c r="A16" s="1">
        <f>'[1]buses-marginal_price'!A16</f>
        <v>14</v>
      </c>
      <c r="B16" s="1">
        <f>'[1]buses-marginal_price'!B16</f>
        <v>0</v>
      </c>
      <c r="C16" s="1">
        <f>'[1]buses-marginal_price'!C16</f>
        <v>18.7</v>
      </c>
      <c r="D16" s="1">
        <f>'[1]buses-marginal_price'!D16</f>
        <v>1.428571428571429E-2</v>
      </c>
      <c r="E16" s="1">
        <f>'[1]buses-marginal_price'!E16</f>
        <v>0</v>
      </c>
      <c r="F16" s="1">
        <f>'[1]buses-marginal_price'!F16</f>
        <v>0.01</v>
      </c>
      <c r="G16" s="40">
        <f t="shared" si="0"/>
        <v>18.7</v>
      </c>
      <c r="H16" s="1">
        <v>0.1</v>
      </c>
      <c r="I16" s="1">
        <v>22</v>
      </c>
      <c r="J16" s="1">
        <v>18.7</v>
      </c>
      <c r="K16" s="1">
        <v>14</v>
      </c>
      <c r="L16" s="1">
        <f>'[1]buses-marginal_price'!G16</f>
        <v>0</v>
      </c>
      <c r="M16" s="1">
        <f>'[1]buses-marginal_price'!H16</f>
        <v>8.4999999999999992E-2</v>
      </c>
      <c r="N16" s="1">
        <f>'[1]buses-marginal_price'!I16</f>
        <v>0</v>
      </c>
      <c r="O16" s="1">
        <f>'[1]buses-marginal_price'!J16</f>
        <v>0</v>
      </c>
      <c r="P16" s="1">
        <f>'[1]buses-marginal_price'!K16</f>
        <v>0</v>
      </c>
      <c r="Q16" s="1">
        <f>'[1]buses-marginal_price'!L16</f>
        <v>0.1</v>
      </c>
      <c r="R16" s="1">
        <f>'[1]buses-marginal_price'!M16</f>
        <v>0.2142857142857143</v>
      </c>
      <c r="S16" s="1">
        <f>'[1]buses-marginal_price'!N16</f>
        <v>0.1142857142857143</v>
      </c>
      <c r="T16" s="1">
        <f>'[1]buses-marginal_price'!O16</f>
        <v>1.428571428571429E-2</v>
      </c>
      <c r="U16" s="1">
        <f>'[1]buses-marginal_price'!P16</f>
        <v>1.428571428571429E-2</v>
      </c>
      <c r="V16" s="40">
        <f t="shared" si="1"/>
        <v>0.2142857142857143</v>
      </c>
    </row>
    <row r="17" spans="1:22">
      <c r="A17" s="1">
        <f>'[1]buses-marginal_price'!A17</f>
        <v>15</v>
      </c>
      <c r="B17" s="1">
        <f>'[1]buses-marginal_price'!B17</f>
        <v>0</v>
      </c>
      <c r="C17" s="1">
        <f>'[1]buses-marginal_price'!C17</f>
        <v>18.7</v>
      </c>
      <c r="D17" s="1">
        <f>'[1]buses-marginal_price'!D17</f>
        <v>1.428571428571429E-2</v>
      </c>
      <c r="E17" s="1">
        <f>'[1]buses-marginal_price'!E17</f>
        <v>0</v>
      </c>
      <c r="F17" s="1">
        <f>'[1]buses-marginal_price'!F17</f>
        <v>0.01</v>
      </c>
      <c r="G17" s="40">
        <f t="shared" si="0"/>
        <v>18.7</v>
      </c>
      <c r="H17" s="1">
        <v>0.1</v>
      </c>
      <c r="I17" s="1">
        <v>22</v>
      </c>
      <c r="J17" s="1">
        <v>18.7</v>
      </c>
      <c r="K17" s="1">
        <v>14</v>
      </c>
      <c r="L17" s="1">
        <f>'[1]buses-marginal_price'!G17</f>
        <v>0</v>
      </c>
      <c r="M17" s="1">
        <f>'[1]buses-marginal_price'!H17</f>
        <v>8.4999999999999992E-2</v>
      </c>
      <c r="N17" s="1">
        <f>'[1]buses-marginal_price'!I17</f>
        <v>0</v>
      </c>
      <c r="O17" s="1">
        <f>'[1]buses-marginal_price'!J17</f>
        <v>0</v>
      </c>
      <c r="P17" s="1">
        <f>'[1]buses-marginal_price'!K17</f>
        <v>0</v>
      </c>
      <c r="Q17" s="1">
        <f>'[1]buses-marginal_price'!L17</f>
        <v>0.1</v>
      </c>
      <c r="R17" s="1">
        <f>'[1]buses-marginal_price'!M17</f>
        <v>0.2142857142857143</v>
      </c>
      <c r="S17" s="1">
        <f>'[1]buses-marginal_price'!N17</f>
        <v>0.1142857142857143</v>
      </c>
      <c r="T17" s="1">
        <f>'[1]buses-marginal_price'!O17</f>
        <v>1.428571428571429E-2</v>
      </c>
      <c r="U17" s="1">
        <f>'[1]buses-marginal_price'!P17</f>
        <v>1.428571428571429E-2</v>
      </c>
      <c r="V17" s="40">
        <f t="shared" si="1"/>
        <v>0.2142857142857143</v>
      </c>
    </row>
    <row r="18" spans="1:22">
      <c r="A18" s="1">
        <f>'[1]buses-marginal_price'!A18</f>
        <v>16</v>
      </c>
      <c r="B18" s="1">
        <f>'[1]buses-marginal_price'!B18</f>
        <v>0</v>
      </c>
      <c r="C18" s="1">
        <f>'[1]buses-marginal_price'!C18</f>
        <v>18.7</v>
      </c>
      <c r="D18" s="1">
        <f>'[1]buses-marginal_price'!D18</f>
        <v>1.428571428571429E-2</v>
      </c>
      <c r="E18" s="1">
        <f>'[1]buses-marginal_price'!E18</f>
        <v>0</v>
      </c>
      <c r="F18" s="1">
        <f>'[1]buses-marginal_price'!F18</f>
        <v>0.01</v>
      </c>
      <c r="G18" s="40">
        <f t="shared" si="0"/>
        <v>18.7</v>
      </c>
      <c r="H18" s="1">
        <v>0.1</v>
      </c>
      <c r="I18" s="1">
        <v>22</v>
      </c>
      <c r="J18" s="1">
        <v>18.7</v>
      </c>
      <c r="K18" s="1">
        <v>14</v>
      </c>
      <c r="L18" s="1">
        <f>'[1]buses-marginal_price'!G18</f>
        <v>0</v>
      </c>
      <c r="M18" s="1">
        <f>'[1]buses-marginal_price'!H18</f>
        <v>8.4999999999999992E-2</v>
      </c>
      <c r="N18" s="1">
        <f>'[1]buses-marginal_price'!I18</f>
        <v>0</v>
      </c>
      <c r="O18" s="1">
        <f>'[1]buses-marginal_price'!J18</f>
        <v>0</v>
      </c>
      <c r="P18" s="1">
        <f>'[1]buses-marginal_price'!K18</f>
        <v>0</v>
      </c>
      <c r="Q18" s="1">
        <f>'[1]buses-marginal_price'!L18</f>
        <v>0</v>
      </c>
      <c r="R18" s="1">
        <f>'[1]buses-marginal_price'!M18</f>
        <v>0.2142857142857143</v>
      </c>
      <c r="S18" s="1">
        <f>'[1]buses-marginal_price'!N18</f>
        <v>0.1142857142857143</v>
      </c>
      <c r="T18" s="1">
        <f>'[1]buses-marginal_price'!O18</f>
        <v>0</v>
      </c>
      <c r="U18" s="1">
        <f>'[1]buses-marginal_price'!P18</f>
        <v>1.428571428571429E-2</v>
      </c>
      <c r="V18" s="40">
        <f t="shared" si="1"/>
        <v>0.2142857142857143</v>
      </c>
    </row>
    <row r="19" spans="1:22">
      <c r="A19" s="1">
        <f>'[1]buses-marginal_price'!A19</f>
        <v>17</v>
      </c>
      <c r="B19" s="1">
        <f>'[1]buses-marginal_price'!B19</f>
        <v>22</v>
      </c>
      <c r="C19" s="1">
        <f>'[1]buses-marginal_price'!C19</f>
        <v>18.7</v>
      </c>
      <c r="D19" s="1">
        <f>'[1]buses-marginal_price'!D19</f>
        <v>31.44285714285714</v>
      </c>
      <c r="E19" s="1">
        <f>'[1]buses-marginal_price'!E19</f>
        <v>22</v>
      </c>
      <c r="F19" s="1">
        <f>'[1]buses-marginal_price'!F19</f>
        <v>22.01</v>
      </c>
      <c r="G19" s="40">
        <f t="shared" si="0"/>
        <v>21.9</v>
      </c>
      <c r="H19" s="1">
        <v>0.1</v>
      </c>
      <c r="I19" s="1">
        <v>22</v>
      </c>
      <c r="J19" s="1">
        <v>18.7</v>
      </c>
      <c r="K19" s="1">
        <v>14</v>
      </c>
      <c r="L19" s="1">
        <f>'[1]buses-marginal_price'!G19</f>
        <v>0</v>
      </c>
      <c r="M19" s="1">
        <f>'[1]buses-marginal_price'!H19</f>
        <v>8.4999999999999992E-2</v>
      </c>
      <c r="N19" s="1">
        <f>'[1]buses-marginal_price'!I19</f>
        <v>31.542857142857141</v>
      </c>
      <c r="O19" s="1">
        <f>'[1]buses-marginal_price'!J19</f>
        <v>0</v>
      </c>
      <c r="P19" s="1">
        <f>'[1]buses-marginal_price'!K19</f>
        <v>22.08</v>
      </c>
      <c r="Q19" s="1">
        <f>'[1]buses-marginal_price'!L19</f>
        <v>21.9</v>
      </c>
      <c r="R19" s="1">
        <f>'[1]buses-marginal_price'!M19</f>
        <v>31.642857142857139</v>
      </c>
      <c r="S19" s="1">
        <f>'[1]buses-marginal_price'!N19</f>
        <v>31.542857142857141</v>
      </c>
      <c r="T19" s="1">
        <f>'[1]buses-marginal_price'!O19</f>
        <v>0</v>
      </c>
      <c r="U19" s="1">
        <f>'[1]buses-marginal_price'!P19</f>
        <v>31.44285714285714</v>
      </c>
      <c r="V19" s="40">
        <f t="shared" si="1"/>
        <v>31.642857142857139</v>
      </c>
    </row>
    <row r="20" spans="1:22">
      <c r="A20" s="1">
        <f>'[1]buses-marginal_price'!A20</f>
        <v>18</v>
      </c>
      <c r="B20" s="1">
        <f>'[1]buses-marginal_price'!B20</f>
        <v>22</v>
      </c>
      <c r="C20" s="1">
        <f>'[1]buses-marginal_price'!C20</f>
        <v>18.7</v>
      </c>
      <c r="D20" s="1">
        <f>'[1]buses-marginal_price'!D20</f>
        <v>31.44285714285714</v>
      </c>
      <c r="E20" s="1">
        <f>'[1]buses-marginal_price'!E20</f>
        <v>22</v>
      </c>
      <c r="F20" s="1">
        <f>'[1]buses-marginal_price'!F20</f>
        <v>22.01</v>
      </c>
      <c r="G20" s="40">
        <f t="shared" si="0"/>
        <v>21.9</v>
      </c>
      <c r="H20" s="1">
        <v>0.1</v>
      </c>
      <c r="I20" s="1">
        <v>22</v>
      </c>
      <c r="J20" s="1">
        <v>18.7</v>
      </c>
      <c r="K20" s="1">
        <v>14</v>
      </c>
      <c r="L20" s="1">
        <f>'[1]buses-marginal_price'!G20</f>
        <v>0.1</v>
      </c>
      <c r="M20" s="1">
        <f>'[1]buses-marginal_price'!H20</f>
        <v>8.4999999999999992E-2</v>
      </c>
      <c r="N20" s="1">
        <f>'[1]buses-marginal_price'!I20</f>
        <v>31.542857142857141</v>
      </c>
      <c r="O20" s="1">
        <f>'[1]buses-marginal_price'!J20</f>
        <v>0.1</v>
      </c>
      <c r="P20" s="1">
        <f>'[1]buses-marginal_price'!K20</f>
        <v>22.08</v>
      </c>
      <c r="Q20" s="1">
        <f>'[1]buses-marginal_price'!L20</f>
        <v>21.9</v>
      </c>
      <c r="R20" s="1">
        <f>'[1]buses-marginal_price'!M20</f>
        <v>31.642857142857139</v>
      </c>
      <c r="S20" s="1">
        <f>'[1]buses-marginal_price'!N20</f>
        <v>31.542857142857141</v>
      </c>
      <c r="T20" s="1">
        <f>'[1]buses-marginal_price'!O20</f>
        <v>0</v>
      </c>
      <c r="U20" s="1">
        <f>'[1]buses-marginal_price'!P20</f>
        <v>31.44285714285714</v>
      </c>
      <c r="V20" s="40">
        <f t="shared" si="1"/>
        <v>31.642857142857139</v>
      </c>
    </row>
    <row r="21" spans="1:22">
      <c r="A21" s="1">
        <f>'[1]buses-marginal_price'!A21</f>
        <v>19</v>
      </c>
      <c r="B21" s="1">
        <f>'[1]buses-marginal_price'!B21</f>
        <v>22</v>
      </c>
      <c r="C21" s="1">
        <f>'[1]buses-marginal_price'!C21</f>
        <v>18.7</v>
      </c>
      <c r="D21" s="1">
        <f>'[1]buses-marginal_price'!D21</f>
        <v>31.44285714285714</v>
      </c>
      <c r="E21" s="1">
        <f>'[1]buses-marginal_price'!E21</f>
        <v>22</v>
      </c>
      <c r="F21" s="1">
        <f>'[1]buses-marginal_price'!F21</f>
        <v>22.01</v>
      </c>
      <c r="G21" s="40">
        <f t="shared" si="0"/>
        <v>21.9</v>
      </c>
      <c r="H21" s="1">
        <v>0.1</v>
      </c>
      <c r="I21" s="1">
        <v>22</v>
      </c>
      <c r="J21" s="1">
        <v>18.7</v>
      </c>
      <c r="K21" s="1">
        <v>14</v>
      </c>
      <c r="L21" s="1">
        <f>'[1]buses-marginal_price'!G21</f>
        <v>0.1</v>
      </c>
      <c r="M21" s="1">
        <f>'[1]buses-marginal_price'!H21</f>
        <v>8.4999999999999992E-2</v>
      </c>
      <c r="N21" s="1">
        <f>'[1]buses-marginal_price'!I21</f>
        <v>31.542857142857141</v>
      </c>
      <c r="O21" s="1">
        <f>'[1]buses-marginal_price'!J21</f>
        <v>0.1</v>
      </c>
      <c r="P21" s="1">
        <f>'[1]buses-marginal_price'!K21</f>
        <v>22.08</v>
      </c>
      <c r="Q21" s="1">
        <f>'[1]buses-marginal_price'!L21</f>
        <v>21.9</v>
      </c>
      <c r="R21" s="1">
        <f>'[1]buses-marginal_price'!M21</f>
        <v>31.642857142857139</v>
      </c>
      <c r="S21" s="1">
        <f>'[1]buses-marginal_price'!N21</f>
        <v>31.542857142857141</v>
      </c>
      <c r="T21" s="1">
        <f>'[1]buses-marginal_price'!O21</f>
        <v>0</v>
      </c>
      <c r="U21" s="1">
        <f>'[1]buses-marginal_price'!P21</f>
        <v>31.44285714285714</v>
      </c>
      <c r="V21" s="40">
        <f t="shared" si="1"/>
        <v>31.642857142857139</v>
      </c>
    </row>
    <row r="22" spans="1:22">
      <c r="A22" s="1">
        <f>'[1]buses-marginal_price'!A22</f>
        <v>20</v>
      </c>
      <c r="B22" s="1">
        <f>'[1]buses-marginal_price'!B22</f>
        <v>22</v>
      </c>
      <c r="C22" s="1">
        <f>'[1]buses-marginal_price'!C22</f>
        <v>18.7</v>
      </c>
      <c r="D22" s="1">
        <f>'[1]buses-marginal_price'!D22</f>
        <v>31.44285714285714</v>
      </c>
      <c r="E22" s="1">
        <f>'[1]buses-marginal_price'!E22</f>
        <v>22</v>
      </c>
      <c r="F22" s="1">
        <f>'[1]buses-marginal_price'!F22</f>
        <v>22.01</v>
      </c>
      <c r="G22" s="40">
        <f t="shared" si="0"/>
        <v>21.9</v>
      </c>
      <c r="H22" s="1">
        <v>0.1</v>
      </c>
      <c r="I22" s="1">
        <v>22</v>
      </c>
      <c r="J22" s="1">
        <v>18.7</v>
      </c>
      <c r="K22" s="1">
        <v>14</v>
      </c>
      <c r="L22" s="1">
        <f>'[1]buses-marginal_price'!G22</f>
        <v>0.1</v>
      </c>
      <c r="M22" s="1">
        <f>'[1]buses-marginal_price'!H22</f>
        <v>8.4999999999999992E-2</v>
      </c>
      <c r="N22" s="1">
        <f>'[1]buses-marginal_price'!I22</f>
        <v>31.542857142857141</v>
      </c>
      <c r="O22" s="1">
        <f>'[1]buses-marginal_price'!J22</f>
        <v>0.1</v>
      </c>
      <c r="P22" s="1">
        <f>'[1]buses-marginal_price'!K22</f>
        <v>22.08</v>
      </c>
      <c r="Q22" s="1">
        <f>'[1]buses-marginal_price'!L22</f>
        <v>21.9</v>
      </c>
      <c r="R22" s="1">
        <f>'[1]buses-marginal_price'!M22</f>
        <v>31.44285714285714</v>
      </c>
      <c r="S22" s="1">
        <f>'[1]buses-marginal_price'!N22</f>
        <v>31.342857142857142</v>
      </c>
      <c r="T22" s="1">
        <f>'[1]buses-marginal_price'!O22</f>
        <v>0</v>
      </c>
      <c r="U22" s="1">
        <f>'[1]buses-marginal_price'!P22</f>
        <v>31.44285714285714</v>
      </c>
      <c r="V22" s="40">
        <f t="shared" si="1"/>
        <v>31.44285714285714</v>
      </c>
    </row>
    <row r="23" spans="1:22">
      <c r="A23" s="1">
        <f>'[1]buses-marginal_price'!A23</f>
        <v>21</v>
      </c>
      <c r="B23" s="1">
        <f>'[1]buses-marginal_price'!B23</f>
        <v>22</v>
      </c>
      <c r="C23" s="1">
        <f>'[1]buses-marginal_price'!C23</f>
        <v>18.7</v>
      </c>
      <c r="D23" s="1">
        <f>'[1]buses-marginal_price'!D23</f>
        <v>31.44285714285714</v>
      </c>
      <c r="E23" s="1">
        <f>'[1]buses-marginal_price'!E23</f>
        <v>22</v>
      </c>
      <c r="F23" s="1">
        <f>'[1]buses-marginal_price'!F23</f>
        <v>22.01</v>
      </c>
      <c r="G23" s="40">
        <f t="shared" si="0"/>
        <v>21.9</v>
      </c>
      <c r="H23" s="1">
        <v>0.1</v>
      </c>
      <c r="I23" s="1">
        <v>22</v>
      </c>
      <c r="J23" s="1">
        <v>18.7</v>
      </c>
      <c r="K23" s="1">
        <v>14</v>
      </c>
      <c r="L23" s="1">
        <f>'[1]buses-marginal_price'!G23</f>
        <v>0.1</v>
      </c>
      <c r="M23" s="1">
        <f>'[1]buses-marginal_price'!H23</f>
        <v>8.4999999999999992E-2</v>
      </c>
      <c r="N23" s="1">
        <f>'[1]buses-marginal_price'!I23</f>
        <v>31.542857142857141</v>
      </c>
      <c r="O23" s="1">
        <f>'[1]buses-marginal_price'!J23</f>
        <v>0.1</v>
      </c>
      <c r="P23" s="1">
        <f>'[1]buses-marginal_price'!K23</f>
        <v>22.08</v>
      </c>
      <c r="Q23" s="1">
        <f>'[1]buses-marginal_price'!L23</f>
        <v>21.9</v>
      </c>
      <c r="R23" s="1">
        <f>'[1]buses-marginal_price'!M23</f>
        <v>31.44285714285714</v>
      </c>
      <c r="S23" s="1">
        <f>'[1]buses-marginal_price'!N23</f>
        <v>31.342857142857142</v>
      </c>
      <c r="T23" s="1">
        <f>'[1]buses-marginal_price'!O23</f>
        <v>0</v>
      </c>
      <c r="U23" s="1">
        <f>'[1]buses-marginal_price'!P23</f>
        <v>31.44285714285714</v>
      </c>
      <c r="V23" s="40">
        <f t="shared" si="1"/>
        <v>31.44285714285714</v>
      </c>
    </row>
    <row r="24" spans="1:22">
      <c r="A24" s="1">
        <f>'[1]buses-marginal_price'!A24</f>
        <v>22</v>
      </c>
      <c r="B24" s="1">
        <f>'[1]buses-marginal_price'!B24</f>
        <v>22</v>
      </c>
      <c r="C24" s="1">
        <f>'[1]buses-marginal_price'!C24</f>
        <v>18.7</v>
      </c>
      <c r="D24" s="1">
        <f>'[1]buses-marginal_price'!D24</f>
        <v>31.44285714285714</v>
      </c>
      <c r="E24" s="1">
        <f>'[1]buses-marginal_price'!E24</f>
        <v>22</v>
      </c>
      <c r="F24" s="1">
        <f>'[1]buses-marginal_price'!F24</f>
        <v>22.01</v>
      </c>
      <c r="G24" s="40">
        <f t="shared" si="0"/>
        <v>21.9</v>
      </c>
      <c r="H24" s="1">
        <v>0.1</v>
      </c>
      <c r="I24" s="1">
        <v>22</v>
      </c>
      <c r="J24" s="1">
        <v>18.7</v>
      </c>
      <c r="K24" s="1">
        <v>14</v>
      </c>
      <c r="L24" s="1">
        <f>'[1]buses-marginal_price'!G24</f>
        <v>0.1</v>
      </c>
      <c r="M24" s="1">
        <f>'[1]buses-marginal_price'!H24</f>
        <v>8.4999999999999992E-2</v>
      </c>
      <c r="N24" s="1">
        <f>'[1]buses-marginal_price'!I24</f>
        <v>31.542857142857141</v>
      </c>
      <c r="O24" s="1">
        <f>'[1]buses-marginal_price'!J24</f>
        <v>0.1</v>
      </c>
      <c r="P24" s="1">
        <f>'[1]buses-marginal_price'!K24</f>
        <v>22.08</v>
      </c>
      <c r="Q24" s="1">
        <f>'[1]buses-marginal_price'!L24</f>
        <v>21.9</v>
      </c>
      <c r="R24" s="1">
        <f>'[1]buses-marginal_price'!M24</f>
        <v>31.44285714285714</v>
      </c>
      <c r="S24" s="1">
        <f>'[1]buses-marginal_price'!N24</f>
        <v>31.342857142857142</v>
      </c>
      <c r="T24" s="1">
        <f>'[1]buses-marginal_price'!O24</f>
        <v>0</v>
      </c>
      <c r="U24" s="1">
        <f>'[1]buses-marginal_price'!P24</f>
        <v>31.44285714285714</v>
      </c>
      <c r="V24" s="40">
        <f t="shared" si="1"/>
        <v>31.44285714285714</v>
      </c>
    </row>
    <row r="25" spans="1:22">
      <c r="A25" s="1">
        <f>'[1]buses-marginal_price'!A25</f>
        <v>23</v>
      </c>
      <c r="B25" s="1">
        <f>'[1]buses-marginal_price'!B25</f>
        <v>22</v>
      </c>
      <c r="C25" s="1">
        <f>'[1]buses-marginal_price'!C25</f>
        <v>18.7</v>
      </c>
      <c r="D25" s="1">
        <f>'[1]buses-marginal_price'!D25</f>
        <v>31.44285714285714</v>
      </c>
      <c r="E25" s="1">
        <f>'[1]buses-marginal_price'!E25</f>
        <v>22</v>
      </c>
      <c r="F25" s="1">
        <f>'[1]buses-marginal_price'!F25</f>
        <v>22.01</v>
      </c>
      <c r="G25" s="40">
        <f t="shared" si="0"/>
        <v>21.9</v>
      </c>
      <c r="H25" s="1">
        <v>0.1</v>
      </c>
      <c r="I25" s="1">
        <v>22</v>
      </c>
      <c r="J25" s="1">
        <v>18.7</v>
      </c>
      <c r="K25" s="1">
        <v>14</v>
      </c>
      <c r="L25" s="1">
        <f>'[1]buses-marginal_price'!G25</f>
        <v>0.1</v>
      </c>
      <c r="M25" s="1">
        <f>'[1]buses-marginal_price'!H25</f>
        <v>8.4999999999999992E-2</v>
      </c>
      <c r="N25" s="1">
        <f>'[1]buses-marginal_price'!I25</f>
        <v>31.542857142857141</v>
      </c>
      <c r="O25" s="1">
        <f>'[1]buses-marginal_price'!J25</f>
        <v>0.1</v>
      </c>
      <c r="P25" s="1">
        <f>'[1]buses-marginal_price'!K25</f>
        <v>22.08</v>
      </c>
      <c r="Q25" s="1">
        <f>'[1]buses-marginal_price'!L25</f>
        <v>21.9</v>
      </c>
      <c r="R25" s="1">
        <f>'[1]buses-marginal_price'!M25</f>
        <v>31.642857142857139</v>
      </c>
      <c r="S25" s="1">
        <f>'[1]buses-marginal_price'!N25</f>
        <v>31.542857142857141</v>
      </c>
      <c r="T25" s="1">
        <f>'[1]buses-marginal_price'!O25</f>
        <v>0</v>
      </c>
      <c r="U25" s="1">
        <f>'[1]buses-marginal_price'!P25</f>
        <v>31.44285714285714</v>
      </c>
      <c r="V25" s="40">
        <f t="shared" si="1"/>
        <v>31.642857142857139</v>
      </c>
    </row>
    <row r="26" spans="1:22">
      <c r="A26" s="1">
        <f>'[1]buses-marginal_price'!A26</f>
        <v>24</v>
      </c>
      <c r="B26" s="1">
        <f>'[1]buses-marginal_price'!B26</f>
        <v>22</v>
      </c>
      <c r="C26" s="1">
        <f>'[1]buses-marginal_price'!C26</f>
        <v>18.7</v>
      </c>
      <c r="D26" s="1">
        <f>'[1]buses-marginal_price'!D26</f>
        <v>31.44285714285714</v>
      </c>
      <c r="E26" s="1">
        <f>'[1]buses-marginal_price'!E26</f>
        <v>22</v>
      </c>
      <c r="F26" s="1">
        <f>'[1]buses-marginal_price'!F26</f>
        <v>22.01</v>
      </c>
      <c r="G26" s="40">
        <f t="shared" si="0"/>
        <v>21.9</v>
      </c>
      <c r="H26" s="1">
        <v>0.1</v>
      </c>
      <c r="I26" s="1">
        <v>22</v>
      </c>
      <c r="J26" s="1">
        <v>18.7</v>
      </c>
      <c r="K26" s="1">
        <v>14</v>
      </c>
      <c r="L26" s="1">
        <f>'[1]buses-marginal_price'!G26</f>
        <v>0.1</v>
      </c>
      <c r="M26" s="1">
        <f>'[1]buses-marginal_price'!H26</f>
        <v>8.4999999999999992E-2</v>
      </c>
      <c r="N26" s="1">
        <f>'[1]buses-marginal_price'!I26</f>
        <v>31.542857142857141</v>
      </c>
      <c r="O26" s="1">
        <f>'[1]buses-marginal_price'!J26</f>
        <v>0.1</v>
      </c>
      <c r="P26" s="1">
        <f>'[1]buses-marginal_price'!K26</f>
        <v>22.08</v>
      </c>
      <c r="Q26" s="1">
        <f>'[1]buses-marginal_price'!L26</f>
        <v>21.9</v>
      </c>
      <c r="R26" s="1">
        <f>'[1]buses-marginal_price'!M26</f>
        <v>31.642857142857139</v>
      </c>
      <c r="S26" s="1">
        <f>'[1]buses-marginal_price'!N26</f>
        <v>31.542857142857141</v>
      </c>
      <c r="T26" s="1">
        <f>'[1]buses-marginal_price'!O26</f>
        <v>0</v>
      </c>
      <c r="U26" s="1">
        <f>'[1]buses-marginal_price'!P26</f>
        <v>31.44285714285714</v>
      </c>
      <c r="V26" s="40">
        <f t="shared" si="1"/>
        <v>31.642857142857139</v>
      </c>
    </row>
    <row r="27" spans="1:22">
      <c r="A27" s="1">
        <f>'[1]buses-marginal_price'!A27</f>
        <v>25</v>
      </c>
      <c r="B27" s="1">
        <f>'[1]buses-marginal_price'!B27</f>
        <v>22</v>
      </c>
      <c r="C27" s="1">
        <f>'[1]buses-marginal_price'!C27</f>
        <v>18.7</v>
      </c>
      <c r="D27" s="1">
        <f>'[1]buses-marginal_price'!D27</f>
        <v>31.44285714285714</v>
      </c>
      <c r="E27" s="1">
        <f>'[1]buses-marginal_price'!E27</f>
        <v>22</v>
      </c>
      <c r="F27" s="1">
        <f>'[1]buses-marginal_price'!F27</f>
        <v>22.01</v>
      </c>
      <c r="G27" s="40">
        <f t="shared" si="0"/>
        <v>21.9</v>
      </c>
      <c r="H27" s="1">
        <v>0.1</v>
      </c>
      <c r="I27" s="1">
        <v>22</v>
      </c>
      <c r="J27" s="1">
        <v>18.7</v>
      </c>
      <c r="K27" s="1">
        <v>14</v>
      </c>
      <c r="L27" s="1">
        <f>'[1]buses-marginal_price'!G27</f>
        <v>0.1</v>
      </c>
      <c r="M27" s="1">
        <f>'[1]buses-marginal_price'!H27</f>
        <v>8.4999999999999992E-2</v>
      </c>
      <c r="N27" s="1">
        <f>'[1]buses-marginal_price'!I27</f>
        <v>31.542857142857141</v>
      </c>
      <c r="O27" s="1">
        <f>'[1]buses-marginal_price'!J27</f>
        <v>0.1</v>
      </c>
      <c r="P27" s="1">
        <f>'[1]buses-marginal_price'!K27</f>
        <v>22.08</v>
      </c>
      <c r="Q27" s="1">
        <f>'[1]buses-marginal_price'!L27</f>
        <v>21.9</v>
      </c>
      <c r="R27" s="1">
        <f>'[1]buses-marginal_price'!M27</f>
        <v>31.642857142857139</v>
      </c>
      <c r="S27" s="1">
        <f>'[1]buses-marginal_price'!N27</f>
        <v>31.542857142857141</v>
      </c>
      <c r="T27" s="1">
        <f>'[1]buses-marginal_price'!O27</f>
        <v>0</v>
      </c>
      <c r="U27" s="1">
        <f>'[1]buses-marginal_price'!P27</f>
        <v>31.44285714285714</v>
      </c>
      <c r="V27" s="40">
        <f t="shared" si="1"/>
        <v>31.642857142857139</v>
      </c>
    </row>
    <row r="28" spans="1:22">
      <c r="A28" s="1">
        <f>'[1]buses-marginal_price'!A28</f>
        <v>26</v>
      </c>
      <c r="B28" s="1">
        <f>'[1]buses-marginal_price'!B28</f>
        <v>22</v>
      </c>
      <c r="C28" s="1">
        <f>'[1]buses-marginal_price'!C28</f>
        <v>18.7</v>
      </c>
      <c r="D28" s="1">
        <f>'[1]buses-marginal_price'!D28</f>
        <v>31.44285714285714</v>
      </c>
      <c r="E28" s="1">
        <f>'[1]buses-marginal_price'!E28</f>
        <v>22</v>
      </c>
      <c r="F28" s="1">
        <f>'[1]buses-marginal_price'!F28</f>
        <v>22.01</v>
      </c>
      <c r="G28" s="40">
        <f t="shared" si="0"/>
        <v>21.9</v>
      </c>
      <c r="H28" s="1">
        <v>0.1</v>
      </c>
      <c r="I28" s="1">
        <v>22</v>
      </c>
      <c r="J28" s="1">
        <v>18.7</v>
      </c>
      <c r="K28" s="1">
        <v>14</v>
      </c>
      <c r="L28" s="1">
        <f>'[1]buses-marginal_price'!G28</f>
        <v>0.1</v>
      </c>
      <c r="M28" s="1">
        <f>'[1]buses-marginal_price'!H28</f>
        <v>8.4999999999999992E-2</v>
      </c>
      <c r="N28" s="1">
        <f>'[1]buses-marginal_price'!I28</f>
        <v>31.542857142857141</v>
      </c>
      <c r="O28" s="1">
        <f>'[1]buses-marginal_price'!J28</f>
        <v>0.1</v>
      </c>
      <c r="P28" s="1">
        <f>'[1]buses-marginal_price'!K28</f>
        <v>22.08</v>
      </c>
      <c r="Q28" s="1">
        <f>'[1]buses-marginal_price'!L28</f>
        <v>21.9</v>
      </c>
      <c r="R28" s="1">
        <f>'[1]buses-marginal_price'!M28</f>
        <v>31.642857142857139</v>
      </c>
      <c r="S28" s="1">
        <f>'[1]buses-marginal_price'!N28</f>
        <v>31.542857142857141</v>
      </c>
      <c r="T28" s="1">
        <f>'[1]buses-marginal_price'!O28</f>
        <v>0</v>
      </c>
      <c r="U28" s="1">
        <f>'[1]buses-marginal_price'!P28</f>
        <v>31.44285714285714</v>
      </c>
      <c r="V28" s="40">
        <f t="shared" si="1"/>
        <v>31.642857142857139</v>
      </c>
    </row>
    <row r="29" spans="1:22">
      <c r="A29" s="1">
        <f>'[1]buses-marginal_price'!A29</f>
        <v>27</v>
      </c>
      <c r="B29" s="1">
        <f>'[1]buses-marginal_price'!B29</f>
        <v>22</v>
      </c>
      <c r="C29" s="1">
        <f>'[1]buses-marginal_price'!C29</f>
        <v>18.7</v>
      </c>
      <c r="D29" s="1">
        <f>'[1]buses-marginal_price'!D29</f>
        <v>31.44285714285714</v>
      </c>
      <c r="E29" s="1">
        <f>'[1]buses-marginal_price'!E29</f>
        <v>22</v>
      </c>
      <c r="F29" s="1">
        <f>'[1]buses-marginal_price'!F29</f>
        <v>22.01</v>
      </c>
      <c r="G29" s="40">
        <f t="shared" si="0"/>
        <v>21.9</v>
      </c>
      <c r="H29" s="1">
        <v>0.1</v>
      </c>
      <c r="I29" s="1">
        <v>22</v>
      </c>
      <c r="J29" s="1">
        <v>18.7</v>
      </c>
      <c r="K29" s="1">
        <v>14</v>
      </c>
      <c r="L29" s="1">
        <f>'[1]buses-marginal_price'!G29</f>
        <v>0.1</v>
      </c>
      <c r="M29" s="1">
        <f>'[1]buses-marginal_price'!H29</f>
        <v>8.4999999999999992E-2</v>
      </c>
      <c r="N29" s="1">
        <f>'[1]buses-marginal_price'!I29</f>
        <v>31.542857142857141</v>
      </c>
      <c r="O29" s="1">
        <f>'[1]buses-marginal_price'!J29</f>
        <v>0.1</v>
      </c>
      <c r="P29" s="1">
        <f>'[1]buses-marginal_price'!K29</f>
        <v>22.08</v>
      </c>
      <c r="Q29" s="1">
        <f>'[1]buses-marginal_price'!L29</f>
        <v>21.9</v>
      </c>
      <c r="R29" s="1">
        <f>'[1]buses-marginal_price'!M29</f>
        <v>31.642857142857139</v>
      </c>
      <c r="S29" s="1">
        <f>'[1]buses-marginal_price'!N29</f>
        <v>31.542857142857141</v>
      </c>
      <c r="T29" s="1">
        <f>'[1]buses-marginal_price'!O29</f>
        <v>0</v>
      </c>
      <c r="U29" s="1">
        <f>'[1]buses-marginal_price'!P29</f>
        <v>31.44285714285714</v>
      </c>
      <c r="V29" s="40">
        <f t="shared" si="1"/>
        <v>31.642857142857139</v>
      </c>
    </row>
    <row r="30" spans="1:22">
      <c r="A30" s="1">
        <f>'[1]buses-marginal_price'!A30</f>
        <v>28</v>
      </c>
      <c r="B30" s="1">
        <f>'[1]buses-marginal_price'!B30</f>
        <v>22</v>
      </c>
      <c r="C30" s="1">
        <f>'[1]buses-marginal_price'!C30</f>
        <v>18.7</v>
      </c>
      <c r="D30" s="1">
        <f>'[1]buses-marginal_price'!D30</f>
        <v>31.44285714285714</v>
      </c>
      <c r="E30" s="1">
        <f>'[1]buses-marginal_price'!E30</f>
        <v>22</v>
      </c>
      <c r="F30" s="1">
        <f>'[1]buses-marginal_price'!F30</f>
        <v>22.01</v>
      </c>
      <c r="G30" s="40">
        <f t="shared" si="0"/>
        <v>21.9</v>
      </c>
      <c r="H30" s="1">
        <v>0.1</v>
      </c>
      <c r="I30" s="1">
        <v>22</v>
      </c>
      <c r="J30" s="1">
        <v>18.7</v>
      </c>
      <c r="K30" s="1">
        <v>14</v>
      </c>
      <c r="L30" s="1">
        <f>'[1]buses-marginal_price'!G30</f>
        <v>0.1</v>
      </c>
      <c r="M30" s="1">
        <f>'[1]buses-marginal_price'!H30</f>
        <v>8.4999999999999992E-2</v>
      </c>
      <c r="N30" s="1">
        <f>'[1]buses-marginal_price'!I30</f>
        <v>31.542857142857141</v>
      </c>
      <c r="O30" s="1">
        <f>'[1]buses-marginal_price'!J30</f>
        <v>0.1</v>
      </c>
      <c r="P30" s="1">
        <f>'[1]buses-marginal_price'!K30</f>
        <v>22.08</v>
      </c>
      <c r="Q30" s="1">
        <f>'[1]buses-marginal_price'!L30</f>
        <v>21.9</v>
      </c>
      <c r="R30" s="1">
        <f>'[1]buses-marginal_price'!M30</f>
        <v>31.642857142857139</v>
      </c>
      <c r="S30" s="1">
        <f>'[1]buses-marginal_price'!N30</f>
        <v>31.542857142857141</v>
      </c>
      <c r="T30" s="1">
        <f>'[1]buses-marginal_price'!O30</f>
        <v>0</v>
      </c>
      <c r="U30" s="1">
        <f>'[1]buses-marginal_price'!P30</f>
        <v>31.44285714285714</v>
      </c>
      <c r="V30" s="40">
        <f t="shared" si="1"/>
        <v>31.642857142857139</v>
      </c>
    </row>
    <row r="31" spans="1:22">
      <c r="A31" s="1">
        <f>'[1]buses-marginal_price'!A31</f>
        <v>29</v>
      </c>
      <c r="B31" s="1">
        <f>'[1]buses-marginal_price'!B31</f>
        <v>22</v>
      </c>
      <c r="C31" s="1">
        <f>'[1]buses-marginal_price'!C31</f>
        <v>18.7</v>
      </c>
      <c r="D31" s="1">
        <f>'[1]buses-marginal_price'!D31</f>
        <v>31.44285714285714</v>
      </c>
      <c r="E31" s="1">
        <f>'[1]buses-marginal_price'!E31</f>
        <v>22</v>
      </c>
      <c r="F31" s="1">
        <f>'[1]buses-marginal_price'!F31</f>
        <v>22.01</v>
      </c>
      <c r="G31" s="40">
        <f t="shared" si="0"/>
        <v>21.9</v>
      </c>
      <c r="H31" s="1">
        <v>0.1</v>
      </c>
      <c r="I31" s="1">
        <v>22</v>
      </c>
      <c r="J31" s="1">
        <v>18.7</v>
      </c>
      <c r="K31" s="1">
        <v>14</v>
      </c>
      <c r="L31" s="1">
        <f>'[1]buses-marginal_price'!G31</f>
        <v>0.1</v>
      </c>
      <c r="M31" s="1">
        <f>'[1]buses-marginal_price'!H31</f>
        <v>8.4999999999999992E-2</v>
      </c>
      <c r="N31" s="1">
        <f>'[1]buses-marginal_price'!I31</f>
        <v>31.542857142857141</v>
      </c>
      <c r="O31" s="1">
        <f>'[1]buses-marginal_price'!J31</f>
        <v>0.1</v>
      </c>
      <c r="P31" s="1">
        <f>'[1]buses-marginal_price'!K31</f>
        <v>22.08</v>
      </c>
      <c r="Q31" s="1">
        <f>'[1]buses-marginal_price'!L31</f>
        <v>21.9</v>
      </c>
      <c r="R31" s="1">
        <f>'[1]buses-marginal_price'!M31</f>
        <v>31.44285714285714</v>
      </c>
      <c r="S31" s="1">
        <f>'[1]buses-marginal_price'!N31</f>
        <v>31.342857142857142</v>
      </c>
      <c r="T31" s="1">
        <f>'[1]buses-marginal_price'!O31</f>
        <v>0</v>
      </c>
      <c r="U31" s="1">
        <f>'[1]buses-marginal_price'!P31</f>
        <v>31.44285714285714</v>
      </c>
      <c r="V31" s="40">
        <f t="shared" si="1"/>
        <v>31.44285714285714</v>
      </c>
    </row>
    <row r="32" spans="1:22">
      <c r="A32" s="1">
        <f>'[1]buses-marginal_price'!A32</f>
        <v>30</v>
      </c>
      <c r="B32" s="1">
        <f>'[1]buses-marginal_price'!B32</f>
        <v>22</v>
      </c>
      <c r="C32" s="1">
        <f>'[1]buses-marginal_price'!C32</f>
        <v>18.7</v>
      </c>
      <c r="D32" s="1">
        <f>'[1]buses-marginal_price'!D32</f>
        <v>31.44285714285714</v>
      </c>
      <c r="E32" s="1">
        <f>'[1]buses-marginal_price'!E32</f>
        <v>22</v>
      </c>
      <c r="F32" s="1">
        <f>'[1]buses-marginal_price'!F32</f>
        <v>22.01</v>
      </c>
      <c r="G32" s="40">
        <f t="shared" si="0"/>
        <v>21.9</v>
      </c>
      <c r="H32" s="1">
        <v>0.1</v>
      </c>
      <c r="I32" s="1">
        <v>22</v>
      </c>
      <c r="J32" s="1">
        <v>18.7</v>
      </c>
      <c r="K32" s="1">
        <v>14</v>
      </c>
      <c r="L32" s="1">
        <f>'[1]buses-marginal_price'!G32</f>
        <v>0.1</v>
      </c>
      <c r="M32" s="1">
        <f>'[1]buses-marginal_price'!H32</f>
        <v>8.4999999999999992E-2</v>
      </c>
      <c r="N32" s="1">
        <f>'[1]buses-marginal_price'!I32</f>
        <v>31.542857142857141</v>
      </c>
      <c r="O32" s="1">
        <f>'[1]buses-marginal_price'!J32</f>
        <v>0.1</v>
      </c>
      <c r="P32" s="1">
        <f>'[1]buses-marginal_price'!K32</f>
        <v>22.08</v>
      </c>
      <c r="Q32" s="1">
        <f>'[1]buses-marginal_price'!L32</f>
        <v>21.9</v>
      </c>
      <c r="R32" s="1">
        <f>'[1]buses-marginal_price'!M32</f>
        <v>31.44285714285714</v>
      </c>
      <c r="S32" s="1">
        <f>'[1]buses-marginal_price'!N32</f>
        <v>31.342857142857142</v>
      </c>
      <c r="T32" s="1">
        <f>'[1]buses-marginal_price'!O32</f>
        <v>0</v>
      </c>
      <c r="U32" s="1">
        <f>'[1]buses-marginal_price'!P32</f>
        <v>31.44285714285714</v>
      </c>
      <c r="V32" s="40">
        <f t="shared" si="1"/>
        <v>31.44285714285714</v>
      </c>
    </row>
    <row r="33" spans="1:22">
      <c r="A33" s="1">
        <f>'[1]buses-marginal_price'!A33</f>
        <v>31</v>
      </c>
      <c r="B33" s="1">
        <f>'[1]buses-marginal_price'!B33</f>
        <v>22</v>
      </c>
      <c r="C33" s="1">
        <f>'[1]buses-marginal_price'!C33</f>
        <v>18.7</v>
      </c>
      <c r="D33" s="1">
        <f>'[1]buses-marginal_price'!D33</f>
        <v>31.44285714285714</v>
      </c>
      <c r="E33" s="1">
        <f>'[1]buses-marginal_price'!E33</f>
        <v>22</v>
      </c>
      <c r="F33" s="1">
        <f>'[1]buses-marginal_price'!F33</f>
        <v>22.01</v>
      </c>
      <c r="G33" s="40">
        <f t="shared" si="0"/>
        <v>21.9</v>
      </c>
      <c r="H33" s="1">
        <v>0.1</v>
      </c>
      <c r="I33" s="1">
        <v>22</v>
      </c>
      <c r="J33" s="1">
        <v>18.7</v>
      </c>
      <c r="K33" s="1">
        <v>14</v>
      </c>
      <c r="L33" s="1">
        <f>'[1]buses-marginal_price'!G33</f>
        <v>0.1</v>
      </c>
      <c r="M33" s="1">
        <f>'[1]buses-marginal_price'!H33</f>
        <v>8.4999999999999992E-2</v>
      </c>
      <c r="N33" s="1">
        <f>'[1]buses-marginal_price'!I33</f>
        <v>31.542857142857141</v>
      </c>
      <c r="O33" s="1">
        <f>'[1]buses-marginal_price'!J33</f>
        <v>0.1</v>
      </c>
      <c r="P33" s="1">
        <f>'[1]buses-marginal_price'!K33</f>
        <v>22.08</v>
      </c>
      <c r="Q33" s="1">
        <f>'[1]buses-marginal_price'!L33</f>
        <v>21.9</v>
      </c>
      <c r="R33" s="1">
        <f>'[1]buses-marginal_price'!M33</f>
        <v>31.642857142857139</v>
      </c>
      <c r="S33" s="1">
        <f>'[1]buses-marginal_price'!N33</f>
        <v>31.542857142857141</v>
      </c>
      <c r="T33" s="1">
        <f>'[1]buses-marginal_price'!O33</f>
        <v>0</v>
      </c>
      <c r="U33" s="1">
        <f>'[1]buses-marginal_price'!P33</f>
        <v>31.44285714285714</v>
      </c>
      <c r="V33" s="40">
        <f t="shared" si="1"/>
        <v>31.642857142857139</v>
      </c>
    </row>
    <row r="34" spans="1:22">
      <c r="A34" s="1">
        <f>'[1]buses-marginal_price'!A34</f>
        <v>32</v>
      </c>
      <c r="B34" s="1">
        <f>'[1]buses-marginal_price'!B34</f>
        <v>22</v>
      </c>
      <c r="C34" s="1">
        <f>'[1]buses-marginal_price'!C34</f>
        <v>18.7</v>
      </c>
      <c r="D34" s="1">
        <f>'[1]buses-marginal_price'!D34</f>
        <v>31.44285714285714</v>
      </c>
      <c r="E34" s="1">
        <f>'[1]buses-marginal_price'!E34</f>
        <v>22</v>
      </c>
      <c r="F34" s="1">
        <f>'[1]buses-marginal_price'!F34</f>
        <v>22.01</v>
      </c>
      <c r="G34" s="40">
        <f t="shared" si="0"/>
        <v>21.9</v>
      </c>
      <c r="H34" s="1">
        <v>0.1</v>
      </c>
      <c r="I34" s="1">
        <v>22</v>
      </c>
      <c r="J34" s="1">
        <v>18.7</v>
      </c>
      <c r="K34" s="1">
        <v>14</v>
      </c>
      <c r="L34" s="1">
        <f>'[1]buses-marginal_price'!G34</f>
        <v>0.1</v>
      </c>
      <c r="M34" s="1">
        <f>'[1]buses-marginal_price'!H34</f>
        <v>8.4999999999999992E-2</v>
      </c>
      <c r="N34" s="1">
        <f>'[1]buses-marginal_price'!I34</f>
        <v>31.542857142857141</v>
      </c>
      <c r="O34" s="1">
        <f>'[1]buses-marginal_price'!J34</f>
        <v>0.1</v>
      </c>
      <c r="P34" s="1">
        <f>'[1]buses-marginal_price'!K34</f>
        <v>22.08</v>
      </c>
      <c r="Q34" s="1">
        <f>'[1]buses-marginal_price'!L34</f>
        <v>21.9</v>
      </c>
      <c r="R34" s="1">
        <f>'[1]buses-marginal_price'!M34</f>
        <v>31.642857142857139</v>
      </c>
      <c r="S34" s="1">
        <f>'[1]buses-marginal_price'!N34</f>
        <v>31.542857142857141</v>
      </c>
      <c r="T34" s="1">
        <f>'[1]buses-marginal_price'!O34</f>
        <v>0</v>
      </c>
      <c r="U34" s="1">
        <f>'[1]buses-marginal_price'!P34</f>
        <v>31.44285714285714</v>
      </c>
      <c r="V34" s="40">
        <f t="shared" si="1"/>
        <v>31.642857142857139</v>
      </c>
    </row>
    <row r="35" spans="1:22">
      <c r="A35" s="1">
        <f>'[1]buses-marginal_price'!A35</f>
        <v>33</v>
      </c>
      <c r="B35" s="1">
        <f>'[1]buses-marginal_price'!B35</f>
        <v>22</v>
      </c>
      <c r="C35" s="1">
        <f>'[1]buses-marginal_price'!C35</f>
        <v>18.7</v>
      </c>
      <c r="D35" s="1">
        <f>'[1]buses-marginal_price'!D35</f>
        <v>31.44285714285714</v>
      </c>
      <c r="E35" s="1">
        <f>'[1]buses-marginal_price'!E35</f>
        <v>22</v>
      </c>
      <c r="F35" s="1">
        <f>'[1]buses-marginal_price'!F35</f>
        <v>22.01</v>
      </c>
      <c r="G35" s="40">
        <f t="shared" si="0"/>
        <v>21.9</v>
      </c>
      <c r="H35" s="1">
        <v>0.1</v>
      </c>
      <c r="I35" s="1">
        <v>22</v>
      </c>
      <c r="J35" s="1">
        <v>18.7</v>
      </c>
      <c r="K35" s="1">
        <v>14</v>
      </c>
      <c r="L35" s="1">
        <f>'[1]buses-marginal_price'!G35</f>
        <v>6.3749999999999987E-2</v>
      </c>
      <c r="M35" s="1">
        <f>'[1]buses-marginal_price'!H35</f>
        <v>8.4999999999999992E-2</v>
      </c>
      <c r="N35" s="1">
        <f>'[1]buses-marginal_price'!I35</f>
        <v>31.542857142857141</v>
      </c>
      <c r="O35" s="1">
        <f>'[1]buses-marginal_price'!J35</f>
        <v>6.3749999999999987E-2</v>
      </c>
      <c r="P35" s="1">
        <f>'[1]buses-marginal_price'!K35</f>
        <v>22.08</v>
      </c>
      <c r="Q35" s="1">
        <f>'[1]buses-marginal_price'!L35</f>
        <v>21.9</v>
      </c>
      <c r="R35" s="1">
        <f>'[1]buses-marginal_price'!M35</f>
        <v>31.642857142857139</v>
      </c>
      <c r="S35" s="1">
        <f>'[1]buses-marginal_price'!N35</f>
        <v>31.542857142857141</v>
      </c>
      <c r="T35" s="1">
        <f>'[1]buses-marginal_price'!O35</f>
        <v>0</v>
      </c>
      <c r="U35" s="1">
        <f>'[1]buses-marginal_price'!P35</f>
        <v>31.44285714285714</v>
      </c>
      <c r="V35" s="40">
        <f t="shared" si="1"/>
        <v>31.642857142857139</v>
      </c>
    </row>
    <row r="36" spans="1:22">
      <c r="A36" s="1">
        <f>'[1]buses-marginal_price'!A36</f>
        <v>34</v>
      </c>
      <c r="B36" s="1">
        <f>'[1]buses-marginal_price'!B36</f>
        <v>0.1</v>
      </c>
      <c r="C36" s="1">
        <f>'[1]buses-marginal_price'!C36</f>
        <v>18.7</v>
      </c>
      <c r="D36" s="1">
        <f>'[1]buses-marginal_price'!D36</f>
        <v>0.1571428571428572</v>
      </c>
      <c r="E36" s="1">
        <f>'[1]buses-marginal_price'!E36</f>
        <v>0.1</v>
      </c>
      <c r="F36" s="1">
        <f>'[1]buses-marginal_price'!F36</f>
        <v>0.11</v>
      </c>
      <c r="G36" s="40">
        <f t="shared" si="0"/>
        <v>18.7</v>
      </c>
      <c r="H36" s="1">
        <v>0.1</v>
      </c>
      <c r="I36" s="1">
        <v>22</v>
      </c>
      <c r="J36" s="1">
        <v>18.7</v>
      </c>
      <c r="K36" s="1">
        <v>14</v>
      </c>
      <c r="L36" s="1">
        <f>'[1]buses-marginal_price'!G36</f>
        <v>0</v>
      </c>
      <c r="M36" s="1">
        <f>'[1]buses-marginal_price'!H36</f>
        <v>8.4999999999999992E-2</v>
      </c>
      <c r="N36" s="1">
        <f>'[1]buses-marginal_price'!I36</f>
        <v>5.7142857142857162E-2</v>
      </c>
      <c r="O36" s="1">
        <f>'[1]buses-marginal_price'!J36</f>
        <v>0</v>
      </c>
      <c r="P36" s="1">
        <f>'[1]buses-marginal_price'!K36</f>
        <v>4.0000000000000008E-2</v>
      </c>
      <c r="Q36" s="1">
        <f>'[1]buses-marginal_price'!L36</f>
        <v>0</v>
      </c>
      <c r="R36" s="1">
        <f>'[1]buses-marginal_price'!M36</f>
        <v>0.35714285714285721</v>
      </c>
      <c r="S36" s="1">
        <f>'[1]buses-marginal_price'!N36</f>
        <v>0.25714285714285717</v>
      </c>
      <c r="T36" s="1">
        <f>'[1]buses-marginal_price'!O36</f>
        <v>0</v>
      </c>
      <c r="U36" s="1">
        <f>'[1]buses-marginal_price'!P36</f>
        <v>0.1571428571428572</v>
      </c>
      <c r="V36" s="40">
        <f t="shared" si="1"/>
        <v>0.35714285714285721</v>
      </c>
    </row>
    <row r="37" spans="1:22">
      <c r="A37" s="1">
        <f>'[1]buses-marginal_price'!A37</f>
        <v>35</v>
      </c>
      <c r="B37" s="1">
        <f>'[1]buses-marginal_price'!B37</f>
        <v>0.1</v>
      </c>
      <c r="C37" s="1">
        <f>'[1]buses-marginal_price'!C37</f>
        <v>18.7</v>
      </c>
      <c r="D37" s="1">
        <f>'[1]buses-marginal_price'!D37</f>
        <v>0.1571428571428572</v>
      </c>
      <c r="E37" s="1">
        <f>'[1]buses-marginal_price'!E37</f>
        <v>0.1</v>
      </c>
      <c r="F37" s="1">
        <f>'[1]buses-marginal_price'!F37</f>
        <v>0.11</v>
      </c>
      <c r="G37" s="40">
        <f t="shared" si="0"/>
        <v>18.7</v>
      </c>
      <c r="H37" s="1">
        <v>0.1</v>
      </c>
      <c r="I37" s="1">
        <v>22</v>
      </c>
      <c r="J37" s="1">
        <v>18.7</v>
      </c>
      <c r="K37" s="1">
        <v>14</v>
      </c>
      <c r="L37" s="1">
        <f>'[1]buses-marginal_price'!G37</f>
        <v>0</v>
      </c>
      <c r="M37" s="1">
        <f>'[1]buses-marginal_price'!H37</f>
        <v>8.4999999999999992E-2</v>
      </c>
      <c r="N37" s="1">
        <f>'[1]buses-marginal_price'!I37</f>
        <v>5.7142857142857162E-2</v>
      </c>
      <c r="O37" s="1">
        <f>'[1]buses-marginal_price'!J37</f>
        <v>0</v>
      </c>
      <c r="P37" s="1">
        <f>'[1]buses-marginal_price'!K37</f>
        <v>4.0000000000000008E-2</v>
      </c>
      <c r="Q37" s="1">
        <f>'[1]buses-marginal_price'!L37</f>
        <v>0</v>
      </c>
      <c r="R37" s="1">
        <f>'[1]buses-marginal_price'!M37</f>
        <v>0.35714285714285721</v>
      </c>
      <c r="S37" s="1">
        <f>'[1]buses-marginal_price'!N37</f>
        <v>0.25714285714285717</v>
      </c>
      <c r="T37" s="1">
        <f>'[1]buses-marginal_price'!O37</f>
        <v>0</v>
      </c>
      <c r="U37" s="1">
        <f>'[1]buses-marginal_price'!P37</f>
        <v>0.1571428571428572</v>
      </c>
      <c r="V37" s="40">
        <f t="shared" si="1"/>
        <v>0.35714285714285721</v>
      </c>
    </row>
    <row r="38" spans="1:22">
      <c r="A38" s="1">
        <f>'[1]buses-marginal_price'!A38</f>
        <v>36</v>
      </c>
      <c r="B38" s="1">
        <f>'[1]buses-marginal_price'!B38</f>
        <v>0.1</v>
      </c>
      <c r="C38" s="1">
        <f>'[1]buses-marginal_price'!C38</f>
        <v>18.7</v>
      </c>
      <c r="D38" s="1">
        <f>'[1]buses-marginal_price'!D38</f>
        <v>0.1571428571428572</v>
      </c>
      <c r="E38" s="1">
        <f>'[1]buses-marginal_price'!E38</f>
        <v>0.1</v>
      </c>
      <c r="F38" s="1">
        <f>'[1]buses-marginal_price'!F38</f>
        <v>0.11</v>
      </c>
      <c r="G38" s="40">
        <f t="shared" si="0"/>
        <v>18.7</v>
      </c>
      <c r="H38" s="1">
        <v>0.1</v>
      </c>
      <c r="I38" s="1">
        <v>22</v>
      </c>
      <c r="J38" s="1">
        <v>18.7</v>
      </c>
      <c r="K38" s="1">
        <v>14</v>
      </c>
      <c r="L38" s="1">
        <f>'[1]buses-marginal_price'!G38</f>
        <v>0</v>
      </c>
      <c r="M38" s="1">
        <f>'[1]buses-marginal_price'!H38</f>
        <v>8.4999999999999992E-2</v>
      </c>
      <c r="N38" s="1">
        <f>'[1]buses-marginal_price'!I38</f>
        <v>5.7142857142857162E-2</v>
      </c>
      <c r="O38" s="1">
        <f>'[1]buses-marginal_price'!J38</f>
        <v>0</v>
      </c>
      <c r="P38" s="1">
        <f>'[1]buses-marginal_price'!K38</f>
        <v>4.0000000000000008E-2</v>
      </c>
      <c r="Q38" s="1">
        <f>'[1]buses-marginal_price'!L38</f>
        <v>0</v>
      </c>
      <c r="R38" s="1">
        <f>'[1]buses-marginal_price'!M38</f>
        <v>0.35714285714285721</v>
      </c>
      <c r="S38" s="1">
        <f>'[1]buses-marginal_price'!N38</f>
        <v>0.25714285714285717</v>
      </c>
      <c r="T38" s="1">
        <f>'[1]buses-marginal_price'!O38</f>
        <v>0.1571428571428572</v>
      </c>
      <c r="U38" s="1">
        <f>'[1]buses-marginal_price'!P38</f>
        <v>0.1571428571428572</v>
      </c>
      <c r="V38" s="40">
        <f t="shared" si="1"/>
        <v>0.35714285714285721</v>
      </c>
    </row>
    <row r="39" spans="1:22">
      <c r="A39" s="1">
        <f>'[1]buses-marginal_price'!A39</f>
        <v>37</v>
      </c>
      <c r="B39" s="1">
        <f>'[1]buses-marginal_price'!B39</f>
        <v>0.06</v>
      </c>
      <c r="C39" s="1">
        <f>'[1]buses-marginal_price'!C39</f>
        <v>18.7</v>
      </c>
      <c r="D39" s="1">
        <f>'[1]buses-marginal_price'!D39</f>
        <v>0.1</v>
      </c>
      <c r="E39" s="1">
        <f>'[1]buses-marginal_price'!E39</f>
        <v>0.06</v>
      </c>
      <c r="F39" s="1">
        <f>'[1]buses-marginal_price'!F39</f>
        <v>7.0000000000000007E-2</v>
      </c>
      <c r="G39" s="40">
        <f t="shared" si="0"/>
        <v>18.7</v>
      </c>
      <c r="H39" s="1">
        <v>0.1</v>
      </c>
      <c r="I39" s="1">
        <v>22</v>
      </c>
      <c r="J39" s="1">
        <v>18.7</v>
      </c>
      <c r="K39" s="1">
        <v>14</v>
      </c>
      <c r="L39" s="1">
        <f>'[1]buses-marginal_price'!G39</f>
        <v>0</v>
      </c>
      <c r="M39" s="1">
        <f>'[1]buses-marginal_price'!H39</f>
        <v>8.4999999999999992E-2</v>
      </c>
      <c r="N39" s="1">
        <f>'[1]buses-marginal_price'!I39</f>
        <v>0</v>
      </c>
      <c r="O39" s="1">
        <f>'[1]buses-marginal_price'!J39</f>
        <v>0</v>
      </c>
      <c r="P39" s="1">
        <f>'[1]buses-marginal_price'!K39</f>
        <v>0</v>
      </c>
      <c r="Q39" s="1">
        <f>'[1]buses-marginal_price'!L39</f>
        <v>0</v>
      </c>
      <c r="R39" s="1">
        <f>'[1]buses-marginal_price'!M39</f>
        <v>0.3</v>
      </c>
      <c r="S39" s="1">
        <f>'[1]buses-marginal_price'!N39</f>
        <v>0.2</v>
      </c>
      <c r="T39" s="1">
        <f>'[1]buses-marginal_price'!O39</f>
        <v>0.1</v>
      </c>
      <c r="U39" s="1">
        <f>'[1]buses-marginal_price'!P39</f>
        <v>0.1</v>
      </c>
      <c r="V39" s="40">
        <f t="shared" si="1"/>
        <v>0.3</v>
      </c>
    </row>
    <row r="40" spans="1:22">
      <c r="A40" s="1">
        <f>'[1]buses-marginal_price'!A40</f>
        <v>38</v>
      </c>
      <c r="B40" s="1">
        <f>'[1]buses-marginal_price'!B40</f>
        <v>0.1</v>
      </c>
      <c r="C40" s="1">
        <f>'[1]buses-marginal_price'!C40</f>
        <v>18.7</v>
      </c>
      <c r="D40" s="1">
        <f>'[1]buses-marginal_price'!D40</f>
        <v>0.1571428571428572</v>
      </c>
      <c r="E40" s="1">
        <f>'[1]buses-marginal_price'!E40</f>
        <v>0.1</v>
      </c>
      <c r="F40" s="1">
        <f>'[1]buses-marginal_price'!F40</f>
        <v>0.11</v>
      </c>
      <c r="G40" s="40">
        <f t="shared" si="0"/>
        <v>18.7</v>
      </c>
      <c r="H40" s="1">
        <v>0.1</v>
      </c>
      <c r="I40" s="1">
        <v>22</v>
      </c>
      <c r="J40" s="1">
        <v>18.7</v>
      </c>
      <c r="K40" s="1">
        <v>14</v>
      </c>
      <c r="L40" s="1">
        <f>'[1]buses-marginal_price'!G40</f>
        <v>0</v>
      </c>
      <c r="M40" s="1">
        <f>'[1]buses-marginal_price'!H40</f>
        <v>8.4999999999999992E-2</v>
      </c>
      <c r="N40" s="1">
        <f>'[1]buses-marginal_price'!I40</f>
        <v>0</v>
      </c>
      <c r="O40" s="1">
        <f>'[1]buses-marginal_price'!J40</f>
        <v>0</v>
      </c>
      <c r="P40" s="1">
        <f>'[1]buses-marginal_price'!K40</f>
        <v>0</v>
      </c>
      <c r="Q40" s="1">
        <f>'[1]buses-marginal_price'!L40</f>
        <v>0</v>
      </c>
      <c r="R40" s="1">
        <f>'[1]buses-marginal_price'!M40</f>
        <v>0.35714285714285721</v>
      </c>
      <c r="S40" s="1">
        <f>'[1]buses-marginal_price'!N40</f>
        <v>0.25714285714285717</v>
      </c>
      <c r="T40" s="1">
        <f>'[1]buses-marginal_price'!O40</f>
        <v>0.1571428571428572</v>
      </c>
      <c r="U40" s="1">
        <f>'[1]buses-marginal_price'!P40</f>
        <v>0.1571428571428572</v>
      </c>
      <c r="V40" s="40">
        <f t="shared" si="1"/>
        <v>0.35714285714285721</v>
      </c>
    </row>
    <row r="41" spans="1:22">
      <c r="A41" s="1">
        <f>'[1]buses-marginal_price'!A41</f>
        <v>39</v>
      </c>
      <c r="B41" s="1">
        <f>'[1]buses-marginal_price'!B41</f>
        <v>0.1</v>
      </c>
      <c r="C41" s="1">
        <f>'[1]buses-marginal_price'!C41</f>
        <v>18.7</v>
      </c>
      <c r="D41" s="1">
        <f>'[1]buses-marginal_price'!D41</f>
        <v>0.1571428571428572</v>
      </c>
      <c r="E41" s="1">
        <f>'[1]buses-marginal_price'!E41</f>
        <v>0.1</v>
      </c>
      <c r="F41" s="1">
        <f>'[1]buses-marginal_price'!F41</f>
        <v>0.11</v>
      </c>
      <c r="G41" s="40">
        <f t="shared" si="0"/>
        <v>18.7</v>
      </c>
      <c r="H41" s="1">
        <v>0.1</v>
      </c>
      <c r="I41" s="1">
        <v>22</v>
      </c>
      <c r="J41" s="1">
        <v>18.7</v>
      </c>
      <c r="K41" s="1">
        <v>14</v>
      </c>
      <c r="L41" s="1">
        <f>'[1]buses-marginal_price'!G41</f>
        <v>0</v>
      </c>
      <c r="M41" s="1">
        <f>'[1]buses-marginal_price'!H41</f>
        <v>8.4999999999999992E-2</v>
      </c>
      <c r="N41" s="1">
        <f>'[1]buses-marginal_price'!I41</f>
        <v>5.7142857142857162E-2</v>
      </c>
      <c r="O41" s="1">
        <f>'[1]buses-marginal_price'!J41</f>
        <v>0</v>
      </c>
      <c r="P41" s="1">
        <f>'[1]buses-marginal_price'!K41</f>
        <v>4.0000000000000008E-2</v>
      </c>
      <c r="Q41" s="1">
        <f>'[1]buses-marginal_price'!L41</f>
        <v>0</v>
      </c>
      <c r="R41" s="1">
        <f>'[1]buses-marginal_price'!M41</f>
        <v>0.35714285714285721</v>
      </c>
      <c r="S41" s="1">
        <f>'[1]buses-marginal_price'!N41</f>
        <v>0.25714285714285717</v>
      </c>
      <c r="T41" s="1">
        <f>'[1]buses-marginal_price'!O41</f>
        <v>0.1571428571428572</v>
      </c>
      <c r="U41" s="1">
        <f>'[1]buses-marginal_price'!P41</f>
        <v>0.1571428571428572</v>
      </c>
      <c r="V41" s="40">
        <f t="shared" si="1"/>
        <v>0.35714285714285721</v>
      </c>
    </row>
    <row r="42" spans="1:22">
      <c r="A42" s="1">
        <f>'[1]buses-marginal_price'!A42</f>
        <v>40</v>
      </c>
      <c r="B42" s="1">
        <f>'[1]buses-marginal_price'!B42</f>
        <v>0.1</v>
      </c>
      <c r="C42" s="1">
        <f>'[1]buses-marginal_price'!C42</f>
        <v>18.7</v>
      </c>
      <c r="D42" s="1">
        <f>'[1]buses-marginal_price'!D42</f>
        <v>0.1571428571428572</v>
      </c>
      <c r="E42" s="1">
        <f>'[1]buses-marginal_price'!E42</f>
        <v>0.1</v>
      </c>
      <c r="F42" s="1">
        <f>'[1]buses-marginal_price'!F42</f>
        <v>0.11</v>
      </c>
      <c r="G42" s="40">
        <f t="shared" si="0"/>
        <v>18.7</v>
      </c>
      <c r="H42" s="1">
        <v>0.1</v>
      </c>
      <c r="I42" s="1">
        <v>22</v>
      </c>
      <c r="J42" s="1">
        <v>18.7</v>
      </c>
      <c r="K42" s="1">
        <v>14</v>
      </c>
      <c r="L42" s="1">
        <f>'[1]buses-marginal_price'!G42</f>
        <v>0</v>
      </c>
      <c r="M42" s="1">
        <f>'[1]buses-marginal_price'!H42</f>
        <v>8.4999999999999992E-2</v>
      </c>
      <c r="N42" s="1">
        <f>'[1]buses-marginal_price'!I42</f>
        <v>5.7142857142857162E-2</v>
      </c>
      <c r="O42" s="1">
        <f>'[1]buses-marginal_price'!J42</f>
        <v>0</v>
      </c>
      <c r="P42" s="1">
        <f>'[1]buses-marginal_price'!K42</f>
        <v>4.0000000000000008E-2</v>
      </c>
      <c r="Q42" s="1">
        <f>'[1]buses-marginal_price'!L42</f>
        <v>0</v>
      </c>
      <c r="R42" s="1">
        <f>'[1]buses-marginal_price'!M42</f>
        <v>0.35714285714285721</v>
      </c>
      <c r="S42" s="1">
        <f>'[1]buses-marginal_price'!N42</f>
        <v>0.25714285714285717</v>
      </c>
      <c r="T42" s="1">
        <f>'[1]buses-marginal_price'!O42</f>
        <v>0</v>
      </c>
      <c r="U42" s="1">
        <f>'[1]buses-marginal_price'!P42</f>
        <v>0.1571428571428572</v>
      </c>
      <c r="V42" s="40">
        <f t="shared" si="1"/>
        <v>0.35714285714285721</v>
      </c>
    </row>
    <row r="43" spans="1:22">
      <c r="A43" s="1">
        <f>'[1]buses-marginal_price'!A43</f>
        <v>41</v>
      </c>
      <c r="B43" s="1">
        <f>'[1]buses-marginal_price'!B43</f>
        <v>22</v>
      </c>
      <c r="C43" s="1">
        <f>'[1]buses-marginal_price'!C43</f>
        <v>18.7</v>
      </c>
      <c r="D43" s="1">
        <f>'[1]buses-marginal_price'!D43</f>
        <v>31.44285714285714</v>
      </c>
      <c r="E43" s="1">
        <f>'[1]buses-marginal_price'!E43</f>
        <v>22</v>
      </c>
      <c r="F43" s="1">
        <f>'[1]buses-marginal_price'!F43</f>
        <v>22.01</v>
      </c>
      <c r="G43" s="40">
        <f t="shared" si="0"/>
        <v>21.9</v>
      </c>
      <c r="H43" s="1">
        <v>0.1</v>
      </c>
      <c r="I43" s="1">
        <v>22</v>
      </c>
      <c r="J43" s="1">
        <v>18.7</v>
      </c>
      <c r="K43" s="1">
        <v>14</v>
      </c>
      <c r="L43" s="1">
        <f>'[1]buses-marginal_price'!G43</f>
        <v>0</v>
      </c>
      <c r="M43" s="1">
        <f>'[1]buses-marginal_price'!H43</f>
        <v>8.4999999999999992E-2</v>
      </c>
      <c r="N43" s="1">
        <f>'[1]buses-marginal_price'!I43</f>
        <v>31.542857142857141</v>
      </c>
      <c r="O43" s="1">
        <f>'[1]buses-marginal_price'!J43</f>
        <v>0</v>
      </c>
      <c r="P43" s="1">
        <f>'[1]buses-marginal_price'!K43</f>
        <v>22.08</v>
      </c>
      <c r="Q43" s="1">
        <f>'[1]buses-marginal_price'!L43</f>
        <v>21.9</v>
      </c>
      <c r="R43" s="1">
        <f>'[1]buses-marginal_price'!M43</f>
        <v>31.642857142857139</v>
      </c>
      <c r="S43" s="1">
        <f>'[1]buses-marginal_price'!N43</f>
        <v>31.542857142857141</v>
      </c>
      <c r="T43" s="1">
        <f>'[1]buses-marginal_price'!O43</f>
        <v>0</v>
      </c>
      <c r="U43" s="1">
        <f>'[1]buses-marginal_price'!P43</f>
        <v>31.44285714285714</v>
      </c>
      <c r="V43" s="40">
        <f t="shared" si="1"/>
        <v>31.642857142857139</v>
      </c>
    </row>
    <row r="44" spans="1:22">
      <c r="A44" s="1">
        <f>'[1]buses-marginal_price'!A44</f>
        <v>42</v>
      </c>
      <c r="B44" s="1">
        <f>'[1]buses-marginal_price'!B44</f>
        <v>22</v>
      </c>
      <c r="C44" s="1">
        <f>'[1]buses-marginal_price'!C44</f>
        <v>18.7</v>
      </c>
      <c r="D44" s="1">
        <f>'[1]buses-marginal_price'!D44</f>
        <v>31.44285714285714</v>
      </c>
      <c r="E44" s="1">
        <f>'[1]buses-marginal_price'!E44</f>
        <v>22</v>
      </c>
      <c r="F44" s="1">
        <f>'[1]buses-marginal_price'!F44</f>
        <v>22.01</v>
      </c>
      <c r="G44" s="40">
        <f t="shared" si="0"/>
        <v>21.9</v>
      </c>
      <c r="H44" s="1">
        <v>0.1</v>
      </c>
      <c r="I44" s="1">
        <v>22</v>
      </c>
      <c r="J44" s="1">
        <v>18.7</v>
      </c>
      <c r="K44" s="1">
        <v>14</v>
      </c>
      <c r="L44" s="1">
        <f>'[1]buses-marginal_price'!G44</f>
        <v>0.1</v>
      </c>
      <c r="M44" s="1">
        <f>'[1]buses-marginal_price'!H44</f>
        <v>8.4999999999999992E-2</v>
      </c>
      <c r="N44" s="1">
        <f>'[1]buses-marginal_price'!I44</f>
        <v>31.542857142857141</v>
      </c>
      <c r="O44" s="1">
        <f>'[1]buses-marginal_price'!J44</f>
        <v>0.1</v>
      </c>
      <c r="P44" s="1">
        <f>'[1]buses-marginal_price'!K44</f>
        <v>22.08</v>
      </c>
      <c r="Q44" s="1">
        <f>'[1]buses-marginal_price'!L44</f>
        <v>21.9</v>
      </c>
      <c r="R44" s="1">
        <f>'[1]buses-marginal_price'!M44</f>
        <v>31.642857142857139</v>
      </c>
      <c r="S44" s="1">
        <f>'[1]buses-marginal_price'!N44</f>
        <v>31.542857142857141</v>
      </c>
      <c r="T44" s="1">
        <f>'[1]buses-marginal_price'!O44</f>
        <v>0</v>
      </c>
      <c r="U44" s="1">
        <f>'[1]buses-marginal_price'!P44</f>
        <v>31.44285714285714</v>
      </c>
      <c r="V44" s="40">
        <f t="shared" si="1"/>
        <v>31.642857142857139</v>
      </c>
    </row>
    <row r="45" spans="1:22">
      <c r="A45" s="1">
        <f>'[1]buses-marginal_price'!A45</f>
        <v>43</v>
      </c>
      <c r="B45" s="1">
        <f>'[1]buses-marginal_price'!B45</f>
        <v>22</v>
      </c>
      <c r="C45" s="1">
        <f>'[1]buses-marginal_price'!C45</f>
        <v>18.7</v>
      </c>
      <c r="D45" s="1">
        <f>'[1]buses-marginal_price'!D45</f>
        <v>31.44285714285714</v>
      </c>
      <c r="E45" s="1">
        <f>'[1]buses-marginal_price'!E45</f>
        <v>22</v>
      </c>
      <c r="F45" s="1">
        <f>'[1]buses-marginal_price'!F45</f>
        <v>22.01</v>
      </c>
      <c r="G45" s="40">
        <f t="shared" si="0"/>
        <v>21.9</v>
      </c>
      <c r="H45" s="1">
        <v>0.1</v>
      </c>
      <c r="I45" s="1">
        <v>22</v>
      </c>
      <c r="J45" s="1">
        <v>18.7</v>
      </c>
      <c r="K45" s="1">
        <v>14</v>
      </c>
      <c r="L45" s="1">
        <f>'[1]buses-marginal_price'!G45</f>
        <v>0.1</v>
      </c>
      <c r="M45" s="1">
        <f>'[1]buses-marginal_price'!H45</f>
        <v>8.4999999999999992E-2</v>
      </c>
      <c r="N45" s="1">
        <f>'[1]buses-marginal_price'!I45</f>
        <v>31.542857142857141</v>
      </c>
      <c r="O45" s="1">
        <f>'[1]buses-marginal_price'!J45</f>
        <v>0.1</v>
      </c>
      <c r="P45" s="1">
        <f>'[1]buses-marginal_price'!K45</f>
        <v>22.08</v>
      </c>
      <c r="Q45" s="1">
        <f>'[1]buses-marginal_price'!L45</f>
        <v>21.9</v>
      </c>
      <c r="R45" s="1">
        <f>'[1]buses-marginal_price'!M45</f>
        <v>31.44285714285714</v>
      </c>
      <c r="S45" s="1">
        <f>'[1]buses-marginal_price'!N45</f>
        <v>31.342857142857142</v>
      </c>
      <c r="T45" s="1">
        <f>'[1]buses-marginal_price'!O45</f>
        <v>0</v>
      </c>
      <c r="U45" s="1">
        <f>'[1]buses-marginal_price'!P45</f>
        <v>31.44285714285714</v>
      </c>
      <c r="V45" s="40">
        <f t="shared" si="1"/>
        <v>31.44285714285714</v>
      </c>
    </row>
    <row r="46" spans="1:22">
      <c r="A46" s="1">
        <f>'[1]buses-marginal_price'!A46</f>
        <v>44</v>
      </c>
      <c r="B46" s="1">
        <f>'[1]buses-marginal_price'!B46</f>
        <v>22</v>
      </c>
      <c r="C46" s="1">
        <f>'[1]buses-marginal_price'!C46</f>
        <v>18.7</v>
      </c>
      <c r="D46" s="1">
        <f>'[1]buses-marginal_price'!D46</f>
        <v>31.44285714285714</v>
      </c>
      <c r="E46" s="1">
        <f>'[1]buses-marginal_price'!E46</f>
        <v>22</v>
      </c>
      <c r="F46" s="1">
        <f>'[1]buses-marginal_price'!F46</f>
        <v>22.01</v>
      </c>
      <c r="G46" s="40">
        <f t="shared" si="0"/>
        <v>21.9</v>
      </c>
      <c r="H46" s="1">
        <v>0.1</v>
      </c>
      <c r="I46" s="1">
        <v>22</v>
      </c>
      <c r="J46" s="1">
        <v>18.7</v>
      </c>
      <c r="K46" s="1">
        <v>14</v>
      </c>
      <c r="L46" s="1">
        <f>'[1]buses-marginal_price'!G46</f>
        <v>0.1</v>
      </c>
      <c r="M46" s="1">
        <f>'[1]buses-marginal_price'!H46</f>
        <v>8.4999999999999992E-2</v>
      </c>
      <c r="N46" s="1">
        <f>'[1]buses-marginal_price'!I46</f>
        <v>31.542857142857141</v>
      </c>
      <c r="O46" s="1">
        <f>'[1]buses-marginal_price'!J46</f>
        <v>0.1</v>
      </c>
      <c r="P46" s="1">
        <f>'[1]buses-marginal_price'!K46</f>
        <v>22.08</v>
      </c>
      <c r="Q46" s="1">
        <f>'[1]buses-marginal_price'!L46</f>
        <v>21.9</v>
      </c>
      <c r="R46" s="1">
        <f>'[1]buses-marginal_price'!M46</f>
        <v>31.44285714285714</v>
      </c>
      <c r="S46" s="1">
        <f>'[1]buses-marginal_price'!N46</f>
        <v>31.342857142857142</v>
      </c>
      <c r="T46" s="1">
        <f>'[1]buses-marginal_price'!O46</f>
        <v>0</v>
      </c>
      <c r="U46" s="1">
        <f>'[1]buses-marginal_price'!P46</f>
        <v>31.44285714285714</v>
      </c>
      <c r="V46" s="40">
        <f t="shared" si="1"/>
        <v>31.44285714285714</v>
      </c>
    </row>
    <row r="47" spans="1:22">
      <c r="A47" s="1">
        <f>'[1]buses-marginal_price'!A47</f>
        <v>45</v>
      </c>
      <c r="B47" s="1">
        <f>'[1]buses-marginal_price'!B47</f>
        <v>22</v>
      </c>
      <c r="C47" s="1">
        <f>'[1]buses-marginal_price'!C47</f>
        <v>18.7</v>
      </c>
      <c r="D47" s="1">
        <f>'[1]buses-marginal_price'!D47</f>
        <v>31.44285714285714</v>
      </c>
      <c r="E47" s="1">
        <f>'[1]buses-marginal_price'!E47</f>
        <v>22</v>
      </c>
      <c r="F47" s="1">
        <f>'[1]buses-marginal_price'!F47</f>
        <v>22.01</v>
      </c>
      <c r="G47" s="40">
        <f t="shared" si="0"/>
        <v>21.9</v>
      </c>
      <c r="H47" s="1">
        <v>0.1</v>
      </c>
      <c r="I47" s="1">
        <v>22</v>
      </c>
      <c r="J47" s="1">
        <v>18.7</v>
      </c>
      <c r="K47" s="1">
        <v>14</v>
      </c>
      <c r="L47" s="1">
        <f>'[1]buses-marginal_price'!G47</f>
        <v>6.3749999999999987E-2</v>
      </c>
      <c r="M47" s="1">
        <f>'[1]buses-marginal_price'!H47</f>
        <v>8.4999999999999992E-2</v>
      </c>
      <c r="N47" s="1">
        <f>'[1]buses-marginal_price'!I47</f>
        <v>31.542857142857141</v>
      </c>
      <c r="O47" s="1">
        <f>'[1]buses-marginal_price'!J47</f>
        <v>6.3749999999999987E-2</v>
      </c>
      <c r="P47" s="1">
        <f>'[1]buses-marginal_price'!K47</f>
        <v>22.08</v>
      </c>
      <c r="Q47" s="1">
        <f>'[1]buses-marginal_price'!L47</f>
        <v>21.9</v>
      </c>
      <c r="R47" s="1">
        <f>'[1]buses-marginal_price'!M47</f>
        <v>31.44285714285714</v>
      </c>
      <c r="S47" s="1">
        <f>'[1]buses-marginal_price'!N47</f>
        <v>31.342857142857142</v>
      </c>
      <c r="T47" s="1">
        <f>'[1]buses-marginal_price'!O47</f>
        <v>0</v>
      </c>
      <c r="U47" s="1">
        <f>'[1]buses-marginal_price'!P47</f>
        <v>31.44285714285714</v>
      </c>
      <c r="V47" s="40">
        <f t="shared" si="1"/>
        <v>31.44285714285714</v>
      </c>
    </row>
    <row r="48" spans="1:22">
      <c r="A48" s="1">
        <f>'[1]buses-marginal_price'!A48</f>
        <v>46</v>
      </c>
      <c r="B48" s="1">
        <f>'[1]buses-marginal_price'!B48</f>
        <v>22</v>
      </c>
      <c r="C48" s="1">
        <f>'[1]buses-marginal_price'!C48</f>
        <v>18.7</v>
      </c>
      <c r="D48" s="1">
        <f>'[1]buses-marginal_price'!D48</f>
        <v>31.44285714285714</v>
      </c>
      <c r="E48" s="1">
        <f>'[1]buses-marginal_price'!E48</f>
        <v>22</v>
      </c>
      <c r="F48" s="1">
        <f>'[1]buses-marginal_price'!F48</f>
        <v>22.01</v>
      </c>
      <c r="G48" s="40">
        <f t="shared" si="0"/>
        <v>21.9</v>
      </c>
      <c r="H48" s="1">
        <v>0.1</v>
      </c>
      <c r="I48" s="1">
        <v>22</v>
      </c>
      <c r="J48" s="1">
        <v>18.7</v>
      </c>
      <c r="K48" s="1">
        <v>14</v>
      </c>
      <c r="L48" s="1">
        <f>'[1]buses-marginal_price'!G48</f>
        <v>6.3749999999999987E-2</v>
      </c>
      <c r="M48" s="1">
        <f>'[1]buses-marginal_price'!H48</f>
        <v>8.4999999999999992E-2</v>
      </c>
      <c r="N48" s="1">
        <f>'[1]buses-marginal_price'!I48</f>
        <v>31.542857142857141</v>
      </c>
      <c r="O48" s="1">
        <f>'[1]buses-marginal_price'!J48</f>
        <v>6.3749999999999987E-2</v>
      </c>
      <c r="P48" s="1">
        <f>'[1]buses-marginal_price'!K48</f>
        <v>22.08</v>
      </c>
      <c r="Q48" s="1">
        <f>'[1]buses-marginal_price'!L48</f>
        <v>21.9</v>
      </c>
      <c r="R48" s="1">
        <f>'[1]buses-marginal_price'!M48</f>
        <v>31.44285714285714</v>
      </c>
      <c r="S48" s="1">
        <f>'[1]buses-marginal_price'!N48</f>
        <v>31.342857142857142</v>
      </c>
      <c r="T48" s="1">
        <f>'[1]buses-marginal_price'!O48</f>
        <v>0</v>
      </c>
      <c r="U48" s="1">
        <f>'[1]buses-marginal_price'!P48</f>
        <v>31.44285714285714</v>
      </c>
      <c r="V48" s="40">
        <f t="shared" si="1"/>
        <v>31.44285714285714</v>
      </c>
    </row>
    <row r="49" spans="1:22">
      <c r="A49" s="1">
        <f>'[1]buses-marginal_price'!A49</f>
        <v>47</v>
      </c>
      <c r="B49" s="1">
        <f>'[1]buses-marginal_price'!B49</f>
        <v>22</v>
      </c>
      <c r="C49" s="1">
        <f>'[1]buses-marginal_price'!C49</f>
        <v>18.7</v>
      </c>
      <c r="D49" s="1">
        <f>'[1]buses-marginal_price'!D49</f>
        <v>31.44285714285714</v>
      </c>
      <c r="E49" s="1">
        <f>'[1]buses-marginal_price'!E49</f>
        <v>22</v>
      </c>
      <c r="F49" s="1">
        <f>'[1]buses-marginal_price'!F49</f>
        <v>22.01</v>
      </c>
      <c r="G49" s="40">
        <f t="shared" si="0"/>
        <v>21.9</v>
      </c>
      <c r="H49" s="1">
        <v>0.1</v>
      </c>
      <c r="I49" s="1">
        <v>22</v>
      </c>
      <c r="J49" s="1">
        <v>18.7</v>
      </c>
      <c r="K49" s="1">
        <v>14</v>
      </c>
      <c r="L49" s="1">
        <f>'[1]buses-marginal_price'!G49</f>
        <v>6.3749999999999987E-2</v>
      </c>
      <c r="M49" s="1">
        <f>'[1]buses-marginal_price'!H49</f>
        <v>8.4999999999999992E-2</v>
      </c>
      <c r="N49" s="1">
        <f>'[1]buses-marginal_price'!I49</f>
        <v>31.542857142857141</v>
      </c>
      <c r="O49" s="1">
        <f>'[1]buses-marginal_price'!J49</f>
        <v>6.3749999999999987E-2</v>
      </c>
      <c r="P49" s="1">
        <f>'[1]buses-marginal_price'!K49</f>
        <v>22.08</v>
      </c>
      <c r="Q49" s="1">
        <f>'[1]buses-marginal_price'!L49</f>
        <v>21.9</v>
      </c>
      <c r="R49" s="1">
        <f>'[1]buses-marginal_price'!M49</f>
        <v>31.44285714285714</v>
      </c>
      <c r="S49" s="1">
        <f>'[1]buses-marginal_price'!N49</f>
        <v>31.342857142857142</v>
      </c>
      <c r="T49" s="1">
        <f>'[1]buses-marginal_price'!O49</f>
        <v>0</v>
      </c>
      <c r="U49" s="1">
        <f>'[1]buses-marginal_price'!P49</f>
        <v>31.44285714285714</v>
      </c>
      <c r="V49" s="40">
        <f t="shared" si="1"/>
        <v>31.44285714285714</v>
      </c>
    </row>
    <row r="50" spans="1:22">
      <c r="A50" s="1">
        <f>'[1]buses-marginal_price'!A50</f>
        <v>48</v>
      </c>
      <c r="B50" s="1">
        <f>'[1]buses-marginal_price'!B50</f>
        <v>22</v>
      </c>
      <c r="C50" s="1">
        <f>'[1]buses-marginal_price'!C50</f>
        <v>18.7</v>
      </c>
      <c r="D50" s="1">
        <f>'[1]buses-marginal_price'!D50</f>
        <v>31.44285714285714</v>
      </c>
      <c r="E50" s="1">
        <f>'[1]buses-marginal_price'!E50</f>
        <v>22</v>
      </c>
      <c r="F50" s="1">
        <f>'[1]buses-marginal_price'!F50</f>
        <v>22.01</v>
      </c>
      <c r="G50" s="40">
        <f t="shared" si="0"/>
        <v>21.9</v>
      </c>
      <c r="H50" s="1">
        <v>0.1</v>
      </c>
      <c r="I50" s="1">
        <v>22</v>
      </c>
      <c r="J50" s="1">
        <v>18.7</v>
      </c>
      <c r="K50" s="1">
        <v>14</v>
      </c>
      <c r="L50" s="1">
        <f>'[1]buses-marginal_price'!G50</f>
        <v>6.3749999999999987E-2</v>
      </c>
      <c r="M50" s="1">
        <f>'[1]buses-marginal_price'!H50</f>
        <v>8.4999999999999992E-2</v>
      </c>
      <c r="N50" s="1">
        <f>'[1]buses-marginal_price'!I50</f>
        <v>31.542857142857141</v>
      </c>
      <c r="O50" s="1">
        <f>'[1]buses-marginal_price'!J50</f>
        <v>6.3749999999999987E-2</v>
      </c>
      <c r="P50" s="1">
        <f>'[1]buses-marginal_price'!K50</f>
        <v>22.08</v>
      </c>
      <c r="Q50" s="1">
        <f>'[1]buses-marginal_price'!L50</f>
        <v>21.9</v>
      </c>
      <c r="R50" s="1">
        <f>'[1]buses-marginal_price'!M50</f>
        <v>31.44285714285714</v>
      </c>
      <c r="S50" s="1">
        <f>'[1]buses-marginal_price'!N50</f>
        <v>31.342857142857142</v>
      </c>
      <c r="T50" s="1">
        <f>'[1]buses-marginal_price'!O50</f>
        <v>0</v>
      </c>
      <c r="U50" s="1">
        <f>'[1]buses-marginal_price'!P50</f>
        <v>31.44285714285714</v>
      </c>
      <c r="V50" s="40">
        <f t="shared" si="1"/>
        <v>31.44285714285714</v>
      </c>
    </row>
    <row r="51" spans="1:22">
      <c r="A51" s="1">
        <f>'[1]buses-marginal_price'!A51</f>
        <v>49</v>
      </c>
      <c r="B51" s="1">
        <f>'[1]buses-marginal_price'!B51</f>
        <v>22</v>
      </c>
      <c r="C51" s="1">
        <f>'[1]buses-marginal_price'!C51</f>
        <v>18.7</v>
      </c>
      <c r="D51" s="1">
        <f>'[1]buses-marginal_price'!D51</f>
        <v>31.44285714285714</v>
      </c>
      <c r="E51" s="1">
        <f>'[1]buses-marginal_price'!E51</f>
        <v>22</v>
      </c>
      <c r="F51" s="1">
        <f>'[1]buses-marginal_price'!F51</f>
        <v>22.01</v>
      </c>
      <c r="G51" s="40">
        <f t="shared" si="0"/>
        <v>21.9</v>
      </c>
      <c r="H51" s="1">
        <v>0.1</v>
      </c>
      <c r="I51" s="1">
        <v>22</v>
      </c>
      <c r="J51" s="1">
        <v>18.7</v>
      </c>
      <c r="K51" s="1">
        <v>14</v>
      </c>
      <c r="L51" s="1">
        <f>'[1]buses-marginal_price'!G51</f>
        <v>0</v>
      </c>
      <c r="M51" s="1">
        <f>'[1]buses-marginal_price'!H51</f>
        <v>8.4999999999999992E-2</v>
      </c>
      <c r="N51" s="1">
        <f>'[1]buses-marginal_price'!I51</f>
        <v>31.542857142857141</v>
      </c>
      <c r="O51" s="1">
        <f>'[1]buses-marginal_price'!J51</f>
        <v>0</v>
      </c>
      <c r="P51" s="1">
        <f>'[1]buses-marginal_price'!K51</f>
        <v>22.08</v>
      </c>
      <c r="Q51" s="1">
        <f>'[1]buses-marginal_price'!L51</f>
        <v>21.9</v>
      </c>
      <c r="R51" s="1">
        <f>'[1]buses-marginal_price'!M51</f>
        <v>31.44285714285714</v>
      </c>
      <c r="S51" s="1">
        <f>'[1]buses-marginal_price'!N51</f>
        <v>31.342857142857142</v>
      </c>
      <c r="T51" s="1">
        <f>'[1]buses-marginal_price'!O51</f>
        <v>0</v>
      </c>
      <c r="U51" s="1">
        <f>'[1]buses-marginal_price'!P51</f>
        <v>31.44285714285714</v>
      </c>
      <c r="V51" s="40">
        <f t="shared" si="1"/>
        <v>31.44285714285714</v>
      </c>
    </row>
    <row r="52" spans="1:22">
      <c r="A52" s="1">
        <f>'[1]buses-marginal_price'!A52</f>
        <v>50</v>
      </c>
      <c r="B52" s="1">
        <f>'[1]buses-marginal_price'!B52</f>
        <v>22</v>
      </c>
      <c r="C52" s="1">
        <f>'[1]buses-marginal_price'!C52</f>
        <v>18.7</v>
      </c>
      <c r="D52" s="1">
        <f>'[1]buses-marginal_price'!D52</f>
        <v>31.44285714285714</v>
      </c>
      <c r="E52" s="1">
        <f>'[1]buses-marginal_price'!E52</f>
        <v>22</v>
      </c>
      <c r="F52" s="1">
        <f>'[1]buses-marginal_price'!F52</f>
        <v>22.01</v>
      </c>
      <c r="G52" s="40">
        <f t="shared" si="0"/>
        <v>21.9</v>
      </c>
      <c r="H52" s="1">
        <v>0.1</v>
      </c>
      <c r="I52" s="1">
        <v>22</v>
      </c>
      <c r="J52" s="1">
        <v>18.7</v>
      </c>
      <c r="K52" s="1">
        <v>14</v>
      </c>
      <c r="L52" s="1">
        <f>'[1]buses-marginal_price'!G52</f>
        <v>0</v>
      </c>
      <c r="M52" s="1">
        <f>'[1]buses-marginal_price'!H52</f>
        <v>8.4999999999999992E-2</v>
      </c>
      <c r="N52" s="1">
        <f>'[1]buses-marginal_price'!I52</f>
        <v>31.542857142857141</v>
      </c>
      <c r="O52" s="1">
        <f>'[1]buses-marginal_price'!J52</f>
        <v>0</v>
      </c>
      <c r="P52" s="1">
        <f>'[1]buses-marginal_price'!K52</f>
        <v>22.08</v>
      </c>
      <c r="Q52" s="1">
        <f>'[1]buses-marginal_price'!L52</f>
        <v>21.9</v>
      </c>
      <c r="R52" s="1">
        <f>'[1]buses-marginal_price'!M52</f>
        <v>31.44285714285714</v>
      </c>
      <c r="S52" s="1">
        <f>'[1]buses-marginal_price'!N52</f>
        <v>31.342857142857142</v>
      </c>
      <c r="T52" s="1">
        <f>'[1]buses-marginal_price'!O52</f>
        <v>0</v>
      </c>
      <c r="U52" s="1">
        <f>'[1]buses-marginal_price'!P52</f>
        <v>31.44285714285714</v>
      </c>
      <c r="V52" s="40">
        <f t="shared" si="1"/>
        <v>31.44285714285714</v>
      </c>
    </row>
    <row r="53" spans="1:22">
      <c r="A53" s="1">
        <f>'[1]buses-marginal_price'!A53</f>
        <v>51</v>
      </c>
      <c r="B53" s="1">
        <f>'[1]buses-marginal_price'!B53</f>
        <v>22</v>
      </c>
      <c r="C53" s="1">
        <f>'[1]buses-marginal_price'!C53</f>
        <v>18.7</v>
      </c>
      <c r="D53" s="1">
        <f>'[1]buses-marginal_price'!D53</f>
        <v>31.44285714285714</v>
      </c>
      <c r="E53" s="1">
        <f>'[1]buses-marginal_price'!E53</f>
        <v>22</v>
      </c>
      <c r="F53" s="1">
        <f>'[1]buses-marginal_price'!F53</f>
        <v>22.01</v>
      </c>
      <c r="G53" s="40">
        <f t="shared" si="0"/>
        <v>21.9</v>
      </c>
      <c r="H53" s="1">
        <v>0.1</v>
      </c>
      <c r="I53" s="1">
        <v>22</v>
      </c>
      <c r="J53" s="1">
        <v>18.7</v>
      </c>
      <c r="K53" s="1">
        <v>14</v>
      </c>
      <c r="L53" s="1">
        <f>'[1]buses-marginal_price'!G53</f>
        <v>0</v>
      </c>
      <c r="M53" s="1">
        <f>'[1]buses-marginal_price'!H53</f>
        <v>8.4999999999999992E-2</v>
      </c>
      <c r="N53" s="1">
        <f>'[1]buses-marginal_price'!I53</f>
        <v>31.542857142857141</v>
      </c>
      <c r="O53" s="1">
        <f>'[1]buses-marginal_price'!J53</f>
        <v>0</v>
      </c>
      <c r="P53" s="1">
        <f>'[1]buses-marginal_price'!K53</f>
        <v>22.08</v>
      </c>
      <c r="Q53" s="1">
        <f>'[1]buses-marginal_price'!L53</f>
        <v>21.9</v>
      </c>
      <c r="R53" s="1">
        <f>'[1]buses-marginal_price'!M53</f>
        <v>31.44285714285714</v>
      </c>
      <c r="S53" s="1">
        <f>'[1]buses-marginal_price'!N53</f>
        <v>31.342857142857142</v>
      </c>
      <c r="T53" s="1">
        <f>'[1]buses-marginal_price'!O53</f>
        <v>0</v>
      </c>
      <c r="U53" s="1">
        <f>'[1]buses-marginal_price'!P53</f>
        <v>31.44285714285714</v>
      </c>
      <c r="V53" s="40">
        <f t="shared" si="1"/>
        <v>31.44285714285714</v>
      </c>
    </row>
    <row r="54" spans="1:22">
      <c r="A54" s="1">
        <f>'[1]buses-marginal_price'!A54</f>
        <v>52</v>
      </c>
      <c r="B54" s="1">
        <f>'[1]buses-marginal_price'!B54</f>
        <v>22</v>
      </c>
      <c r="C54" s="1">
        <f>'[1]buses-marginal_price'!C54</f>
        <v>18.7</v>
      </c>
      <c r="D54" s="1">
        <f>'[1]buses-marginal_price'!D54</f>
        <v>31.44285714285714</v>
      </c>
      <c r="E54" s="1">
        <f>'[1]buses-marginal_price'!E54</f>
        <v>22</v>
      </c>
      <c r="F54" s="1">
        <f>'[1]buses-marginal_price'!F54</f>
        <v>22.01</v>
      </c>
      <c r="G54" s="40">
        <f t="shared" si="0"/>
        <v>21.9</v>
      </c>
      <c r="H54" s="1">
        <v>0.1</v>
      </c>
      <c r="I54" s="1">
        <v>22</v>
      </c>
      <c r="J54" s="1">
        <v>18.7</v>
      </c>
      <c r="K54" s="1">
        <v>14</v>
      </c>
      <c r="L54" s="1">
        <f>'[1]buses-marginal_price'!G54</f>
        <v>0</v>
      </c>
      <c r="M54" s="1">
        <f>'[1]buses-marginal_price'!H54</f>
        <v>8.4999999999999992E-2</v>
      </c>
      <c r="N54" s="1">
        <f>'[1]buses-marginal_price'!I54</f>
        <v>31.542857142857141</v>
      </c>
      <c r="O54" s="1">
        <f>'[1]buses-marginal_price'!J54</f>
        <v>0</v>
      </c>
      <c r="P54" s="1">
        <f>'[1]buses-marginal_price'!K54</f>
        <v>22.08</v>
      </c>
      <c r="Q54" s="1">
        <f>'[1]buses-marginal_price'!L54</f>
        <v>21.9</v>
      </c>
      <c r="R54" s="1">
        <f>'[1]buses-marginal_price'!M54</f>
        <v>31.44285714285714</v>
      </c>
      <c r="S54" s="1">
        <f>'[1]buses-marginal_price'!N54</f>
        <v>31.342857142857142</v>
      </c>
      <c r="T54" s="1">
        <f>'[1]buses-marginal_price'!O54</f>
        <v>0</v>
      </c>
      <c r="U54" s="1">
        <f>'[1]buses-marginal_price'!P54</f>
        <v>31.44285714285714</v>
      </c>
      <c r="V54" s="40">
        <f t="shared" si="1"/>
        <v>31.44285714285714</v>
      </c>
    </row>
    <row r="55" spans="1:22">
      <c r="A55" s="1">
        <f>'[1]buses-marginal_price'!A55</f>
        <v>53</v>
      </c>
      <c r="B55" s="1">
        <f>'[1]buses-marginal_price'!B55</f>
        <v>22</v>
      </c>
      <c r="C55" s="1">
        <f>'[1]buses-marginal_price'!C55</f>
        <v>18.7</v>
      </c>
      <c r="D55" s="1">
        <f>'[1]buses-marginal_price'!D55</f>
        <v>31.44285714285714</v>
      </c>
      <c r="E55" s="1">
        <f>'[1]buses-marginal_price'!E55</f>
        <v>22</v>
      </c>
      <c r="F55" s="1">
        <f>'[1]buses-marginal_price'!F55</f>
        <v>22.01</v>
      </c>
      <c r="G55" s="40">
        <f t="shared" si="0"/>
        <v>21.9</v>
      </c>
      <c r="H55" s="1">
        <v>0.1</v>
      </c>
      <c r="I55" s="1">
        <v>22</v>
      </c>
      <c r="J55" s="1">
        <v>18.7</v>
      </c>
      <c r="K55" s="1">
        <v>14</v>
      </c>
      <c r="L55" s="1">
        <f>'[1]buses-marginal_price'!G55</f>
        <v>0</v>
      </c>
      <c r="M55" s="1">
        <f>'[1]buses-marginal_price'!H55</f>
        <v>8.4999999999999992E-2</v>
      </c>
      <c r="N55" s="1">
        <f>'[1]buses-marginal_price'!I55</f>
        <v>31.542857142857141</v>
      </c>
      <c r="O55" s="1">
        <f>'[1]buses-marginal_price'!J55</f>
        <v>0</v>
      </c>
      <c r="P55" s="1">
        <f>'[1]buses-marginal_price'!K55</f>
        <v>22.08</v>
      </c>
      <c r="Q55" s="1">
        <f>'[1]buses-marginal_price'!L55</f>
        <v>21.9</v>
      </c>
      <c r="R55" s="1">
        <f>'[1]buses-marginal_price'!M55</f>
        <v>31.24285714285714</v>
      </c>
      <c r="S55" s="1">
        <f>'[1]buses-marginal_price'!N55</f>
        <v>31.342857142857142</v>
      </c>
      <c r="T55" s="1">
        <f>'[1]buses-marginal_price'!O55</f>
        <v>0</v>
      </c>
      <c r="U55" s="1">
        <f>'[1]buses-marginal_price'!P55</f>
        <v>31.44285714285714</v>
      </c>
      <c r="V55" s="40">
        <f t="shared" si="1"/>
        <v>31.44285714285714</v>
      </c>
    </row>
    <row r="56" spans="1:22">
      <c r="A56" s="1">
        <f>'[1]buses-marginal_price'!A56</f>
        <v>54</v>
      </c>
      <c r="B56" s="1">
        <f>'[1]buses-marginal_price'!B56</f>
        <v>22</v>
      </c>
      <c r="C56" s="1">
        <f>'[1]buses-marginal_price'!C56</f>
        <v>18.7</v>
      </c>
      <c r="D56" s="1">
        <f>'[1]buses-marginal_price'!D56</f>
        <v>31.44285714285714</v>
      </c>
      <c r="E56" s="1">
        <f>'[1]buses-marginal_price'!E56</f>
        <v>22</v>
      </c>
      <c r="F56" s="1">
        <f>'[1]buses-marginal_price'!F56</f>
        <v>22.01</v>
      </c>
      <c r="G56" s="40">
        <f t="shared" si="0"/>
        <v>21.9</v>
      </c>
      <c r="H56" s="1">
        <v>0.1</v>
      </c>
      <c r="I56" s="1">
        <v>22</v>
      </c>
      <c r="J56" s="1">
        <v>18.7</v>
      </c>
      <c r="K56" s="1">
        <v>14</v>
      </c>
      <c r="L56" s="1">
        <f>'[1]buses-marginal_price'!G56</f>
        <v>0</v>
      </c>
      <c r="M56" s="1">
        <f>'[1]buses-marginal_price'!H56</f>
        <v>8.4999999999999992E-2</v>
      </c>
      <c r="N56" s="1">
        <f>'[1]buses-marginal_price'!I56</f>
        <v>31.542857142857141</v>
      </c>
      <c r="O56" s="1">
        <f>'[1]buses-marginal_price'!J56</f>
        <v>0</v>
      </c>
      <c r="P56" s="1">
        <f>'[1]buses-marginal_price'!K56</f>
        <v>22.08</v>
      </c>
      <c r="Q56" s="1">
        <f>'[1]buses-marginal_price'!L56</f>
        <v>21.9</v>
      </c>
      <c r="R56" s="1">
        <f>'[1]buses-marginal_price'!M56</f>
        <v>31.44285714285714</v>
      </c>
      <c r="S56" s="1">
        <f>'[1]buses-marginal_price'!N56</f>
        <v>31.342857142857142</v>
      </c>
      <c r="T56" s="1">
        <f>'[1]buses-marginal_price'!O56</f>
        <v>0</v>
      </c>
      <c r="U56" s="1">
        <f>'[1]buses-marginal_price'!P56</f>
        <v>31.44285714285714</v>
      </c>
      <c r="V56" s="40">
        <f t="shared" si="1"/>
        <v>31.44285714285714</v>
      </c>
    </row>
    <row r="57" spans="1:22">
      <c r="A57" s="1">
        <f>'[1]buses-marginal_price'!A57</f>
        <v>55</v>
      </c>
      <c r="B57" s="1">
        <f>'[1]buses-marginal_price'!B57</f>
        <v>22</v>
      </c>
      <c r="C57" s="1">
        <f>'[1]buses-marginal_price'!C57</f>
        <v>18.7</v>
      </c>
      <c r="D57" s="1">
        <f>'[1]buses-marginal_price'!D57</f>
        <v>31.44285714285714</v>
      </c>
      <c r="E57" s="1">
        <f>'[1]buses-marginal_price'!E57</f>
        <v>22</v>
      </c>
      <c r="F57" s="1">
        <f>'[1]buses-marginal_price'!F57</f>
        <v>22.01</v>
      </c>
      <c r="G57" s="40">
        <f t="shared" si="0"/>
        <v>21.9</v>
      </c>
      <c r="H57" s="1">
        <v>0.1</v>
      </c>
      <c r="I57" s="1">
        <v>22</v>
      </c>
      <c r="J57" s="1">
        <v>18.7</v>
      </c>
      <c r="K57" s="1">
        <v>14</v>
      </c>
      <c r="L57" s="1">
        <f>'[1]buses-marginal_price'!G57</f>
        <v>0</v>
      </c>
      <c r="M57" s="1">
        <f>'[1]buses-marginal_price'!H57</f>
        <v>8.4999999999999992E-2</v>
      </c>
      <c r="N57" s="1">
        <f>'[1]buses-marginal_price'!I57</f>
        <v>31.542857142857141</v>
      </c>
      <c r="O57" s="1">
        <f>'[1]buses-marginal_price'!J57</f>
        <v>0</v>
      </c>
      <c r="P57" s="1">
        <f>'[1]buses-marginal_price'!K57</f>
        <v>22.08</v>
      </c>
      <c r="Q57" s="1">
        <f>'[1]buses-marginal_price'!L57</f>
        <v>21.9</v>
      </c>
      <c r="R57" s="1">
        <f>'[1]buses-marginal_price'!M57</f>
        <v>31.44285714285714</v>
      </c>
      <c r="S57" s="1">
        <f>'[1]buses-marginal_price'!N57</f>
        <v>31.342857142857142</v>
      </c>
      <c r="T57" s="1">
        <f>'[1]buses-marginal_price'!O57</f>
        <v>0</v>
      </c>
      <c r="U57" s="1">
        <f>'[1]buses-marginal_price'!P57</f>
        <v>31.44285714285714</v>
      </c>
      <c r="V57" s="40">
        <f t="shared" si="1"/>
        <v>31.44285714285714</v>
      </c>
    </row>
    <row r="58" spans="1:22">
      <c r="A58" s="1">
        <f>'[1]buses-marginal_price'!A58</f>
        <v>56</v>
      </c>
      <c r="B58" s="1">
        <f>'[1]buses-marginal_price'!B58</f>
        <v>22</v>
      </c>
      <c r="C58" s="1">
        <f>'[1]buses-marginal_price'!C58</f>
        <v>18.7</v>
      </c>
      <c r="D58" s="1">
        <f>'[1]buses-marginal_price'!D58</f>
        <v>31.44285714285714</v>
      </c>
      <c r="E58" s="1">
        <f>'[1]buses-marginal_price'!E58</f>
        <v>22</v>
      </c>
      <c r="F58" s="1">
        <f>'[1]buses-marginal_price'!F58</f>
        <v>22.01</v>
      </c>
      <c r="G58" s="40">
        <f t="shared" si="0"/>
        <v>21.9</v>
      </c>
      <c r="H58" s="1">
        <v>0.1</v>
      </c>
      <c r="I58" s="1">
        <v>22</v>
      </c>
      <c r="J58" s="1">
        <v>18.7</v>
      </c>
      <c r="K58" s="1">
        <v>14</v>
      </c>
      <c r="L58" s="1">
        <f>'[1]buses-marginal_price'!G58</f>
        <v>0</v>
      </c>
      <c r="M58" s="1">
        <f>'[1]buses-marginal_price'!H58</f>
        <v>8.4999999999999992E-2</v>
      </c>
      <c r="N58" s="1">
        <f>'[1]buses-marginal_price'!I58</f>
        <v>31.542857142857141</v>
      </c>
      <c r="O58" s="1">
        <f>'[1]buses-marginal_price'!J58</f>
        <v>0</v>
      </c>
      <c r="P58" s="1">
        <f>'[1]buses-marginal_price'!K58</f>
        <v>22.08</v>
      </c>
      <c r="Q58" s="1">
        <f>'[1]buses-marginal_price'!L58</f>
        <v>21.9</v>
      </c>
      <c r="R58" s="1">
        <f>'[1]buses-marginal_price'!M58</f>
        <v>31.44285714285714</v>
      </c>
      <c r="S58" s="1">
        <f>'[1]buses-marginal_price'!N58</f>
        <v>31.342857142857142</v>
      </c>
      <c r="T58" s="1">
        <f>'[1]buses-marginal_price'!O58</f>
        <v>0</v>
      </c>
      <c r="U58" s="1">
        <f>'[1]buses-marginal_price'!P58</f>
        <v>31.44285714285714</v>
      </c>
      <c r="V58" s="40">
        <f t="shared" si="1"/>
        <v>31.44285714285714</v>
      </c>
    </row>
    <row r="59" spans="1:22">
      <c r="A59" s="1">
        <f>'[1]buses-marginal_price'!A59</f>
        <v>57</v>
      </c>
      <c r="B59" s="1">
        <f>'[1]buses-marginal_price'!B59</f>
        <v>22</v>
      </c>
      <c r="C59" s="1">
        <f>'[1]buses-marginal_price'!C59</f>
        <v>18.7</v>
      </c>
      <c r="D59" s="1">
        <f>'[1]buses-marginal_price'!D59</f>
        <v>31.44285714285714</v>
      </c>
      <c r="E59" s="1">
        <f>'[1]buses-marginal_price'!E59</f>
        <v>22</v>
      </c>
      <c r="F59" s="1">
        <f>'[1]buses-marginal_price'!F59</f>
        <v>22.01</v>
      </c>
      <c r="G59" s="40">
        <f t="shared" si="0"/>
        <v>21.9</v>
      </c>
      <c r="H59" s="1">
        <v>0.1</v>
      </c>
      <c r="I59" s="1">
        <v>22</v>
      </c>
      <c r="J59" s="1">
        <v>18.7</v>
      </c>
      <c r="K59" s="1">
        <v>14</v>
      </c>
      <c r="L59" s="1">
        <f>'[1]buses-marginal_price'!G59</f>
        <v>0</v>
      </c>
      <c r="M59" s="1">
        <f>'[1]buses-marginal_price'!H59</f>
        <v>8.4999999999999992E-2</v>
      </c>
      <c r="N59" s="1">
        <f>'[1]buses-marginal_price'!I59</f>
        <v>31.542857142857141</v>
      </c>
      <c r="O59" s="1">
        <f>'[1]buses-marginal_price'!J59</f>
        <v>0</v>
      </c>
      <c r="P59" s="1">
        <f>'[1]buses-marginal_price'!K59</f>
        <v>22.08</v>
      </c>
      <c r="Q59" s="1">
        <f>'[1]buses-marginal_price'!L59</f>
        <v>21.9</v>
      </c>
      <c r="R59" s="1">
        <f>'[1]buses-marginal_price'!M59</f>
        <v>31.642857142857139</v>
      </c>
      <c r="S59" s="1">
        <f>'[1]buses-marginal_price'!N59</f>
        <v>31.542857142857141</v>
      </c>
      <c r="T59" s="1">
        <f>'[1]buses-marginal_price'!O59</f>
        <v>0</v>
      </c>
      <c r="U59" s="1">
        <f>'[1]buses-marginal_price'!P59</f>
        <v>31.44285714285714</v>
      </c>
      <c r="V59" s="40">
        <f t="shared" si="1"/>
        <v>31.642857142857139</v>
      </c>
    </row>
    <row r="60" spans="1:22">
      <c r="A60" s="1">
        <f>'[1]buses-marginal_price'!A60</f>
        <v>58</v>
      </c>
      <c r="B60" s="1">
        <f>'[1]buses-marginal_price'!B60</f>
        <v>14.025</v>
      </c>
      <c r="C60" s="1">
        <f>'[1]buses-marginal_price'!C60</f>
        <v>18.7</v>
      </c>
      <c r="D60" s="1">
        <f>'[1]buses-marginal_price'!D60</f>
        <v>20.05</v>
      </c>
      <c r="E60" s="1">
        <f>'[1]buses-marginal_price'!E60</f>
        <v>14.025</v>
      </c>
      <c r="F60" s="1">
        <f>'[1]buses-marginal_price'!F60</f>
        <v>14.035</v>
      </c>
      <c r="G60" s="40">
        <f t="shared" si="0"/>
        <v>18.7</v>
      </c>
      <c r="H60" s="1">
        <v>0.1</v>
      </c>
      <c r="I60" s="1">
        <v>22</v>
      </c>
      <c r="J60" s="1">
        <v>18.7</v>
      </c>
      <c r="K60" s="1">
        <v>14</v>
      </c>
      <c r="L60" s="1">
        <f>'[1]buses-marginal_price'!G60</f>
        <v>0</v>
      </c>
      <c r="M60" s="1">
        <f>'[1]buses-marginal_price'!H60</f>
        <v>8.4999999999999992E-2</v>
      </c>
      <c r="N60" s="1">
        <f>'[1]buses-marginal_price'!I60</f>
        <v>19.95</v>
      </c>
      <c r="O60" s="1">
        <f>'[1]buses-marginal_price'!J60</f>
        <v>0</v>
      </c>
      <c r="P60" s="1">
        <f>'[1]buses-marginal_price'!K60</f>
        <v>13.965</v>
      </c>
      <c r="Q60" s="1">
        <f>'[1]buses-marginal_price'!L60</f>
        <v>13.925000000000001</v>
      </c>
      <c r="R60" s="1">
        <f>'[1]buses-marginal_price'!M60</f>
        <v>20.25</v>
      </c>
      <c r="S60" s="1">
        <f>'[1]buses-marginal_price'!N60</f>
        <v>20.149999999999999</v>
      </c>
      <c r="T60" s="1">
        <f>'[1]buses-marginal_price'!O60</f>
        <v>0</v>
      </c>
      <c r="U60" s="1">
        <f>'[1]buses-marginal_price'!P60</f>
        <v>20.05</v>
      </c>
      <c r="V60" s="40">
        <f t="shared" si="1"/>
        <v>20.25</v>
      </c>
    </row>
    <row r="61" spans="1:22">
      <c r="A61" s="1">
        <f>'[1]buses-marginal_price'!A61</f>
        <v>59</v>
      </c>
      <c r="B61" s="1">
        <f>'[1]buses-marginal_price'!B61</f>
        <v>14.025</v>
      </c>
      <c r="C61" s="1">
        <f>'[1]buses-marginal_price'!C61</f>
        <v>18.7</v>
      </c>
      <c r="D61" s="1">
        <f>'[1]buses-marginal_price'!D61</f>
        <v>20.05</v>
      </c>
      <c r="E61" s="1">
        <f>'[1]buses-marginal_price'!E61</f>
        <v>14.025</v>
      </c>
      <c r="F61" s="1">
        <f>'[1]buses-marginal_price'!F61</f>
        <v>14.035</v>
      </c>
      <c r="G61" s="40">
        <f t="shared" si="0"/>
        <v>18.7</v>
      </c>
      <c r="H61" s="1">
        <v>0.1</v>
      </c>
      <c r="I61" s="1">
        <v>22</v>
      </c>
      <c r="J61" s="1">
        <v>18.7</v>
      </c>
      <c r="K61" s="1">
        <v>14</v>
      </c>
      <c r="L61" s="1">
        <f>'[1]buses-marginal_price'!G61</f>
        <v>0</v>
      </c>
      <c r="M61" s="1">
        <f>'[1]buses-marginal_price'!H61</f>
        <v>8.4999999999999992E-2</v>
      </c>
      <c r="N61" s="1">
        <f>'[1]buses-marginal_price'!I61</f>
        <v>19.95</v>
      </c>
      <c r="O61" s="1">
        <f>'[1]buses-marginal_price'!J61</f>
        <v>0</v>
      </c>
      <c r="P61" s="1">
        <f>'[1]buses-marginal_price'!K61</f>
        <v>13.965</v>
      </c>
      <c r="Q61" s="1">
        <f>'[1]buses-marginal_price'!L61</f>
        <v>13.925000000000001</v>
      </c>
      <c r="R61" s="1">
        <f>'[1]buses-marginal_price'!M61</f>
        <v>20.25</v>
      </c>
      <c r="S61" s="1">
        <f>'[1]buses-marginal_price'!N61</f>
        <v>20.149999999999999</v>
      </c>
      <c r="T61" s="1">
        <f>'[1]buses-marginal_price'!O61</f>
        <v>0</v>
      </c>
      <c r="U61" s="1">
        <f>'[1]buses-marginal_price'!P61</f>
        <v>20.05</v>
      </c>
      <c r="V61" s="40">
        <f t="shared" si="1"/>
        <v>20.25</v>
      </c>
    </row>
    <row r="62" spans="1:22">
      <c r="A62" s="1">
        <f>'[1]buses-marginal_price'!A62</f>
        <v>60</v>
      </c>
      <c r="B62" s="1">
        <f>'[1]buses-marginal_price'!B62</f>
        <v>14.025</v>
      </c>
      <c r="C62" s="1">
        <f>'[1]buses-marginal_price'!C62</f>
        <v>18.7</v>
      </c>
      <c r="D62" s="1">
        <f>'[1]buses-marginal_price'!D62</f>
        <v>20.05</v>
      </c>
      <c r="E62" s="1">
        <f>'[1]buses-marginal_price'!E62</f>
        <v>14.025</v>
      </c>
      <c r="F62" s="1">
        <f>'[1]buses-marginal_price'!F62</f>
        <v>14.035</v>
      </c>
      <c r="G62" s="40">
        <f t="shared" si="0"/>
        <v>18.7</v>
      </c>
      <c r="H62" s="1">
        <v>0.1</v>
      </c>
      <c r="I62" s="1">
        <v>22</v>
      </c>
      <c r="J62" s="1">
        <v>18.7</v>
      </c>
      <c r="K62" s="1">
        <v>14</v>
      </c>
      <c r="L62" s="1">
        <f>'[1]buses-marginal_price'!G62</f>
        <v>0</v>
      </c>
      <c r="M62" s="1">
        <f>'[1]buses-marginal_price'!H62</f>
        <v>8.4999999999999992E-2</v>
      </c>
      <c r="N62" s="1">
        <f>'[1]buses-marginal_price'!I62</f>
        <v>19.95</v>
      </c>
      <c r="O62" s="1">
        <f>'[1]buses-marginal_price'!J62</f>
        <v>0</v>
      </c>
      <c r="P62" s="1">
        <f>'[1]buses-marginal_price'!K62</f>
        <v>13.965</v>
      </c>
      <c r="Q62" s="1">
        <f>'[1]buses-marginal_price'!L62</f>
        <v>13.925000000000001</v>
      </c>
      <c r="R62" s="1">
        <f>'[1]buses-marginal_price'!M62</f>
        <v>20.25</v>
      </c>
      <c r="S62" s="1">
        <f>'[1]buses-marginal_price'!N62</f>
        <v>20.149999999999999</v>
      </c>
      <c r="T62" s="1">
        <f>'[1]buses-marginal_price'!O62</f>
        <v>20.05</v>
      </c>
      <c r="U62" s="1">
        <f>'[1]buses-marginal_price'!P62</f>
        <v>20.05</v>
      </c>
      <c r="V62" s="40">
        <f t="shared" si="1"/>
        <v>20.25</v>
      </c>
    </row>
    <row r="63" spans="1:22">
      <c r="A63" s="1">
        <f>'[1]buses-marginal_price'!A63</f>
        <v>61</v>
      </c>
      <c r="B63" s="1">
        <f>'[1]buses-marginal_price'!B63</f>
        <v>14.025</v>
      </c>
      <c r="C63" s="1">
        <f>'[1]buses-marginal_price'!C63</f>
        <v>18.7</v>
      </c>
      <c r="D63" s="1">
        <f>'[1]buses-marginal_price'!D63</f>
        <v>20.05</v>
      </c>
      <c r="E63" s="1">
        <f>'[1]buses-marginal_price'!E63</f>
        <v>14.025</v>
      </c>
      <c r="F63" s="1">
        <f>'[1]buses-marginal_price'!F63</f>
        <v>14.035</v>
      </c>
      <c r="G63" s="40">
        <f t="shared" si="0"/>
        <v>18.7</v>
      </c>
      <c r="H63" s="1">
        <v>0.1</v>
      </c>
      <c r="I63" s="1">
        <v>22</v>
      </c>
      <c r="J63" s="1">
        <v>18.7</v>
      </c>
      <c r="K63" s="1">
        <v>14</v>
      </c>
      <c r="L63" s="1">
        <f>'[1]buses-marginal_price'!G63</f>
        <v>0</v>
      </c>
      <c r="M63" s="1">
        <f>'[1]buses-marginal_price'!H63</f>
        <v>8.4999999999999992E-2</v>
      </c>
      <c r="N63" s="1">
        <f>'[1]buses-marginal_price'!I63</f>
        <v>0</v>
      </c>
      <c r="O63" s="1">
        <f>'[1]buses-marginal_price'!J63</f>
        <v>0</v>
      </c>
      <c r="P63" s="1">
        <f>'[1]buses-marginal_price'!K63</f>
        <v>0</v>
      </c>
      <c r="Q63" s="1">
        <f>'[1]buses-marginal_price'!L63</f>
        <v>13.925000000000001</v>
      </c>
      <c r="R63" s="1">
        <f>'[1]buses-marginal_price'!M63</f>
        <v>20.25</v>
      </c>
      <c r="S63" s="1">
        <f>'[1]buses-marginal_price'!N63</f>
        <v>20.149999999999999</v>
      </c>
      <c r="T63" s="1">
        <f>'[1]buses-marginal_price'!O63</f>
        <v>20.05</v>
      </c>
      <c r="U63" s="1">
        <f>'[1]buses-marginal_price'!P63</f>
        <v>20.05</v>
      </c>
      <c r="V63" s="40">
        <f t="shared" si="1"/>
        <v>20.25</v>
      </c>
    </row>
    <row r="64" spans="1:22">
      <c r="A64" s="1">
        <f>'[1]buses-marginal_price'!A64</f>
        <v>62</v>
      </c>
      <c r="B64" s="1">
        <f>'[1]buses-marginal_price'!B64</f>
        <v>14.025</v>
      </c>
      <c r="C64" s="1">
        <f>'[1]buses-marginal_price'!C64</f>
        <v>18.7</v>
      </c>
      <c r="D64" s="1">
        <f>'[1]buses-marginal_price'!D64</f>
        <v>20.05</v>
      </c>
      <c r="E64" s="1">
        <f>'[1]buses-marginal_price'!E64</f>
        <v>14.025</v>
      </c>
      <c r="F64" s="1">
        <f>'[1]buses-marginal_price'!F64</f>
        <v>14.035</v>
      </c>
      <c r="G64" s="40">
        <f t="shared" si="0"/>
        <v>18.7</v>
      </c>
      <c r="H64" s="1">
        <v>0.1</v>
      </c>
      <c r="I64" s="1">
        <v>22</v>
      </c>
      <c r="J64" s="1">
        <v>18.7</v>
      </c>
      <c r="K64" s="1">
        <v>14</v>
      </c>
      <c r="L64" s="1">
        <f>'[1]buses-marginal_price'!G64</f>
        <v>0</v>
      </c>
      <c r="M64" s="1">
        <f>'[1]buses-marginal_price'!H64</f>
        <v>8.4999999999999992E-2</v>
      </c>
      <c r="N64" s="1">
        <f>'[1]buses-marginal_price'!I64</f>
        <v>0</v>
      </c>
      <c r="O64" s="1">
        <f>'[1]buses-marginal_price'!J64</f>
        <v>0</v>
      </c>
      <c r="P64" s="1">
        <f>'[1]buses-marginal_price'!K64</f>
        <v>0</v>
      </c>
      <c r="Q64" s="1">
        <f>'[1]buses-marginal_price'!L64</f>
        <v>13.925000000000001</v>
      </c>
      <c r="R64" s="1">
        <f>'[1]buses-marginal_price'!M64</f>
        <v>20.25</v>
      </c>
      <c r="S64" s="1">
        <f>'[1]buses-marginal_price'!N64</f>
        <v>20.149999999999999</v>
      </c>
      <c r="T64" s="1">
        <f>'[1]buses-marginal_price'!O64</f>
        <v>20.05</v>
      </c>
      <c r="U64" s="1">
        <f>'[1]buses-marginal_price'!P64</f>
        <v>20.05</v>
      </c>
      <c r="V64" s="40">
        <f t="shared" si="1"/>
        <v>20.25</v>
      </c>
    </row>
    <row r="65" spans="1:22">
      <c r="A65" s="1">
        <f>'[1]buses-marginal_price'!A65</f>
        <v>63</v>
      </c>
      <c r="B65" s="1">
        <f>'[1]buses-marginal_price'!B65</f>
        <v>14.025</v>
      </c>
      <c r="C65" s="1">
        <f>'[1]buses-marginal_price'!C65</f>
        <v>18.7</v>
      </c>
      <c r="D65" s="1">
        <f>'[1]buses-marginal_price'!D65</f>
        <v>20.05</v>
      </c>
      <c r="E65" s="1">
        <f>'[1]buses-marginal_price'!E65</f>
        <v>14.025</v>
      </c>
      <c r="F65" s="1">
        <f>'[1]buses-marginal_price'!F65</f>
        <v>14.035</v>
      </c>
      <c r="G65" s="40">
        <f t="shared" si="0"/>
        <v>18.7</v>
      </c>
      <c r="H65" s="1">
        <v>0.1</v>
      </c>
      <c r="I65" s="1">
        <v>22</v>
      </c>
      <c r="J65" s="1">
        <v>18.7</v>
      </c>
      <c r="K65" s="1">
        <v>14</v>
      </c>
      <c r="L65" s="1">
        <f>'[1]buses-marginal_price'!G65</f>
        <v>0</v>
      </c>
      <c r="M65" s="1">
        <f>'[1]buses-marginal_price'!H65</f>
        <v>8.4999999999999992E-2</v>
      </c>
      <c r="N65" s="1">
        <f>'[1]buses-marginal_price'!I65</f>
        <v>19.95</v>
      </c>
      <c r="O65" s="1">
        <f>'[1]buses-marginal_price'!J65</f>
        <v>0</v>
      </c>
      <c r="P65" s="1">
        <f>'[1]buses-marginal_price'!K65</f>
        <v>13.965</v>
      </c>
      <c r="Q65" s="1">
        <f>'[1]buses-marginal_price'!L65</f>
        <v>13.925000000000001</v>
      </c>
      <c r="R65" s="1">
        <f>'[1]buses-marginal_price'!M65</f>
        <v>20.25</v>
      </c>
      <c r="S65" s="1">
        <f>'[1]buses-marginal_price'!N65</f>
        <v>20.149999999999999</v>
      </c>
      <c r="T65" s="1">
        <f>'[1]buses-marginal_price'!O65</f>
        <v>0</v>
      </c>
      <c r="U65" s="1">
        <f>'[1]buses-marginal_price'!P65</f>
        <v>20.05</v>
      </c>
      <c r="V65" s="40">
        <f t="shared" si="1"/>
        <v>20.25</v>
      </c>
    </row>
    <row r="66" spans="1:22">
      <c r="A66" s="1">
        <f>'[1]buses-marginal_price'!A66</f>
        <v>64</v>
      </c>
      <c r="B66" s="1">
        <f>'[1]buses-marginal_price'!B66</f>
        <v>14.025</v>
      </c>
      <c r="C66" s="1">
        <f>'[1]buses-marginal_price'!C66</f>
        <v>18.7</v>
      </c>
      <c r="D66" s="1">
        <f>'[1]buses-marginal_price'!D66</f>
        <v>20.05</v>
      </c>
      <c r="E66" s="1">
        <f>'[1]buses-marginal_price'!E66</f>
        <v>14.025</v>
      </c>
      <c r="F66" s="1">
        <f>'[1]buses-marginal_price'!F66</f>
        <v>14.035</v>
      </c>
      <c r="G66" s="40">
        <f t="shared" si="0"/>
        <v>18.7</v>
      </c>
      <c r="H66" s="1">
        <v>0.1</v>
      </c>
      <c r="I66" s="1">
        <v>22</v>
      </c>
      <c r="J66" s="1">
        <v>18.7</v>
      </c>
      <c r="K66" s="1">
        <v>14</v>
      </c>
      <c r="L66" s="1">
        <f>'[1]buses-marginal_price'!G66</f>
        <v>0</v>
      </c>
      <c r="M66" s="1">
        <f>'[1]buses-marginal_price'!H66</f>
        <v>8.4999999999999992E-2</v>
      </c>
      <c r="N66" s="1">
        <f>'[1]buses-marginal_price'!I66</f>
        <v>19.95</v>
      </c>
      <c r="O66" s="1">
        <f>'[1]buses-marginal_price'!J66</f>
        <v>0</v>
      </c>
      <c r="P66" s="1">
        <f>'[1]buses-marginal_price'!K66</f>
        <v>13.965</v>
      </c>
      <c r="Q66" s="1">
        <f>'[1]buses-marginal_price'!L66</f>
        <v>13.925000000000001</v>
      </c>
      <c r="R66" s="1">
        <f>'[1]buses-marginal_price'!M66</f>
        <v>20.25</v>
      </c>
      <c r="S66" s="1">
        <f>'[1]buses-marginal_price'!N66</f>
        <v>20.149999999999999</v>
      </c>
      <c r="T66" s="1">
        <f>'[1]buses-marginal_price'!O66</f>
        <v>0</v>
      </c>
      <c r="U66" s="1">
        <f>'[1]buses-marginal_price'!P66</f>
        <v>20.05</v>
      </c>
      <c r="V66" s="40">
        <f t="shared" si="1"/>
        <v>20.25</v>
      </c>
    </row>
    <row r="67" spans="1:22">
      <c r="A67" s="1">
        <f>'[1]buses-marginal_price'!A67</f>
        <v>65</v>
      </c>
      <c r="B67" s="1">
        <f>'[1]buses-marginal_price'!B67</f>
        <v>22</v>
      </c>
      <c r="C67" s="1">
        <f>'[1]buses-marginal_price'!C67</f>
        <v>18.7</v>
      </c>
      <c r="D67" s="1">
        <f>'[1]buses-marginal_price'!D67</f>
        <v>31.44285714285714</v>
      </c>
      <c r="E67" s="1">
        <f>'[1]buses-marginal_price'!E67</f>
        <v>22</v>
      </c>
      <c r="F67" s="1">
        <f>'[1]buses-marginal_price'!F67</f>
        <v>22.01</v>
      </c>
      <c r="G67" s="40">
        <f t="shared" ref="G67:G130" si="2">MAX(C67,L67,Q67)</f>
        <v>21.9</v>
      </c>
      <c r="H67" s="1">
        <v>0.1</v>
      </c>
      <c r="I67" s="1">
        <v>22</v>
      </c>
      <c r="J67" s="1">
        <v>18.7</v>
      </c>
      <c r="K67" s="1">
        <v>14</v>
      </c>
      <c r="L67" s="1">
        <f>'[1]buses-marginal_price'!G67</f>
        <v>0</v>
      </c>
      <c r="M67" s="1">
        <f>'[1]buses-marginal_price'!H67</f>
        <v>8.4999999999999992E-2</v>
      </c>
      <c r="N67" s="1">
        <f>'[1]buses-marginal_price'!I67</f>
        <v>31.542857142857141</v>
      </c>
      <c r="O67" s="1">
        <f>'[1]buses-marginal_price'!J67</f>
        <v>0</v>
      </c>
      <c r="P67" s="1">
        <f>'[1]buses-marginal_price'!K67</f>
        <v>22.08</v>
      </c>
      <c r="Q67" s="1">
        <f>'[1]buses-marginal_price'!L67</f>
        <v>21.9</v>
      </c>
      <c r="R67" s="1">
        <f>'[1]buses-marginal_price'!M67</f>
        <v>31.642857142857139</v>
      </c>
      <c r="S67" s="1">
        <f>'[1]buses-marginal_price'!N67</f>
        <v>31.542857142857141</v>
      </c>
      <c r="T67" s="1">
        <f>'[1]buses-marginal_price'!O67</f>
        <v>0</v>
      </c>
      <c r="U67" s="1">
        <f>'[1]buses-marginal_price'!P67</f>
        <v>31.44285714285714</v>
      </c>
      <c r="V67" s="40">
        <f t="shared" ref="V67:V130" si="3">MAX(D67,F67,P67,R67:U67)</f>
        <v>31.642857142857139</v>
      </c>
    </row>
    <row r="68" spans="1:22">
      <c r="A68" s="1">
        <f>'[1]buses-marginal_price'!A68</f>
        <v>66</v>
      </c>
      <c r="B68" s="1">
        <f>'[1]buses-marginal_price'!B68</f>
        <v>22</v>
      </c>
      <c r="C68" s="1">
        <f>'[1]buses-marginal_price'!C68</f>
        <v>18.7</v>
      </c>
      <c r="D68" s="1">
        <f>'[1]buses-marginal_price'!D68</f>
        <v>31.44285714285714</v>
      </c>
      <c r="E68" s="1">
        <f>'[1]buses-marginal_price'!E68</f>
        <v>22</v>
      </c>
      <c r="F68" s="1">
        <f>'[1]buses-marginal_price'!F68</f>
        <v>22.01</v>
      </c>
      <c r="G68" s="40">
        <f t="shared" si="2"/>
        <v>21.9</v>
      </c>
      <c r="H68" s="1">
        <v>0.1</v>
      </c>
      <c r="I68" s="1">
        <v>22</v>
      </c>
      <c r="J68" s="1">
        <v>18.7</v>
      </c>
      <c r="K68" s="1">
        <v>14</v>
      </c>
      <c r="L68" s="1">
        <f>'[1]buses-marginal_price'!G68</f>
        <v>9.9999999999999992E-2</v>
      </c>
      <c r="M68" s="1">
        <f>'[1]buses-marginal_price'!H68</f>
        <v>8.4999999999999992E-2</v>
      </c>
      <c r="N68" s="1">
        <f>'[1]buses-marginal_price'!I68</f>
        <v>31.542857142857141</v>
      </c>
      <c r="O68" s="1">
        <f>'[1]buses-marginal_price'!J68</f>
        <v>9.9999999999999992E-2</v>
      </c>
      <c r="P68" s="1">
        <f>'[1]buses-marginal_price'!K68</f>
        <v>22.08</v>
      </c>
      <c r="Q68" s="1">
        <f>'[1]buses-marginal_price'!L68</f>
        <v>21.9</v>
      </c>
      <c r="R68" s="1">
        <f>'[1]buses-marginal_price'!M68</f>
        <v>31.44285714285714</v>
      </c>
      <c r="S68" s="1">
        <f>'[1]buses-marginal_price'!N68</f>
        <v>31.342857142857142</v>
      </c>
      <c r="T68" s="1">
        <f>'[1]buses-marginal_price'!O68</f>
        <v>31.24285714285714</v>
      </c>
      <c r="U68" s="1">
        <f>'[1]buses-marginal_price'!P68</f>
        <v>31.44285714285714</v>
      </c>
      <c r="V68" s="40">
        <f t="shared" si="3"/>
        <v>31.44285714285714</v>
      </c>
    </row>
    <row r="69" spans="1:22">
      <c r="A69" s="1">
        <f>'[1]buses-marginal_price'!A69</f>
        <v>67</v>
      </c>
      <c r="B69" s="1">
        <f>'[1]buses-marginal_price'!B69</f>
        <v>22</v>
      </c>
      <c r="C69" s="1">
        <f>'[1]buses-marginal_price'!C69</f>
        <v>18.7</v>
      </c>
      <c r="D69" s="1">
        <f>'[1]buses-marginal_price'!D69</f>
        <v>31.44285714285714</v>
      </c>
      <c r="E69" s="1">
        <f>'[1]buses-marginal_price'!E69</f>
        <v>22</v>
      </c>
      <c r="F69" s="1">
        <f>'[1]buses-marginal_price'!F69</f>
        <v>22.01</v>
      </c>
      <c r="G69" s="40">
        <f t="shared" si="2"/>
        <v>21.9</v>
      </c>
      <c r="H69" s="1">
        <v>0.1</v>
      </c>
      <c r="I69" s="1">
        <v>22</v>
      </c>
      <c r="J69" s="1">
        <v>18.7</v>
      </c>
      <c r="K69" s="1">
        <v>14</v>
      </c>
      <c r="L69" s="1">
        <f>'[1]buses-marginal_price'!G69</f>
        <v>9.9999999999999992E-2</v>
      </c>
      <c r="M69" s="1">
        <f>'[1]buses-marginal_price'!H69</f>
        <v>8.4999999999999992E-2</v>
      </c>
      <c r="N69" s="1">
        <f>'[1]buses-marginal_price'!I69</f>
        <v>31.542857142857141</v>
      </c>
      <c r="O69" s="1">
        <f>'[1]buses-marginal_price'!J69</f>
        <v>9.9999999999999992E-2</v>
      </c>
      <c r="P69" s="1">
        <f>'[1]buses-marginal_price'!K69</f>
        <v>22.08</v>
      </c>
      <c r="Q69" s="1">
        <f>'[1]buses-marginal_price'!L69</f>
        <v>21.9</v>
      </c>
      <c r="R69" s="1">
        <f>'[1]buses-marginal_price'!M69</f>
        <v>31.44285714285714</v>
      </c>
      <c r="S69" s="1">
        <f>'[1]buses-marginal_price'!N69</f>
        <v>31.342857142857142</v>
      </c>
      <c r="T69" s="1">
        <f>'[1]buses-marginal_price'!O69</f>
        <v>31.24285714285714</v>
      </c>
      <c r="U69" s="1">
        <f>'[1]buses-marginal_price'!P69</f>
        <v>31.44285714285714</v>
      </c>
      <c r="V69" s="40">
        <f t="shared" si="3"/>
        <v>31.44285714285714</v>
      </c>
    </row>
    <row r="70" spans="1:22">
      <c r="A70" s="1">
        <f>'[1]buses-marginal_price'!A70</f>
        <v>68</v>
      </c>
      <c r="B70" s="1">
        <f>'[1]buses-marginal_price'!B70</f>
        <v>22</v>
      </c>
      <c r="C70" s="1">
        <f>'[1]buses-marginal_price'!C70</f>
        <v>18.7</v>
      </c>
      <c r="D70" s="1">
        <f>'[1]buses-marginal_price'!D70</f>
        <v>31.44285714285714</v>
      </c>
      <c r="E70" s="1">
        <f>'[1]buses-marginal_price'!E70</f>
        <v>22</v>
      </c>
      <c r="F70" s="1">
        <f>'[1]buses-marginal_price'!F70</f>
        <v>22.01</v>
      </c>
      <c r="G70" s="40">
        <f t="shared" si="2"/>
        <v>21.9</v>
      </c>
      <c r="H70" s="1">
        <v>0.1</v>
      </c>
      <c r="I70" s="1">
        <v>22</v>
      </c>
      <c r="J70" s="1">
        <v>18.7</v>
      </c>
      <c r="K70" s="1">
        <v>14</v>
      </c>
      <c r="L70" s="1">
        <f>'[1]buses-marginal_price'!G70</f>
        <v>9.9999999999999992E-2</v>
      </c>
      <c r="M70" s="1">
        <f>'[1]buses-marginal_price'!H70</f>
        <v>8.4999999999999992E-2</v>
      </c>
      <c r="N70" s="1">
        <f>'[1]buses-marginal_price'!I70</f>
        <v>31.542857142857141</v>
      </c>
      <c r="O70" s="1">
        <f>'[1]buses-marginal_price'!J70</f>
        <v>9.9999999999999992E-2</v>
      </c>
      <c r="P70" s="1">
        <f>'[1]buses-marginal_price'!K70</f>
        <v>22.08</v>
      </c>
      <c r="Q70" s="1">
        <f>'[1]buses-marginal_price'!L70</f>
        <v>21.9</v>
      </c>
      <c r="R70" s="1">
        <f>'[1]buses-marginal_price'!M70</f>
        <v>31.24285714285714</v>
      </c>
      <c r="S70" s="1">
        <f>'[1]buses-marginal_price'!N70</f>
        <v>31.342857142857142</v>
      </c>
      <c r="T70" s="1">
        <f>'[1]buses-marginal_price'!O70</f>
        <v>0</v>
      </c>
      <c r="U70" s="1">
        <f>'[1]buses-marginal_price'!P70</f>
        <v>31.44285714285714</v>
      </c>
      <c r="V70" s="40">
        <f t="shared" si="3"/>
        <v>31.44285714285714</v>
      </c>
    </row>
    <row r="71" spans="1:22">
      <c r="A71" s="1">
        <f>'[1]buses-marginal_price'!A71</f>
        <v>69</v>
      </c>
      <c r="B71" s="1">
        <f>'[1]buses-marginal_price'!B71</f>
        <v>22</v>
      </c>
      <c r="C71" s="1">
        <f>'[1]buses-marginal_price'!C71</f>
        <v>18.7</v>
      </c>
      <c r="D71" s="1">
        <f>'[1]buses-marginal_price'!D71</f>
        <v>31.44285714285714</v>
      </c>
      <c r="E71" s="1">
        <f>'[1]buses-marginal_price'!E71</f>
        <v>22</v>
      </c>
      <c r="F71" s="1">
        <f>'[1]buses-marginal_price'!F71</f>
        <v>22.01</v>
      </c>
      <c r="G71" s="40">
        <f t="shared" si="2"/>
        <v>21.9</v>
      </c>
      <c r="H71" s="1">
        <v>0.1</v>
      </c>
      <c r="I71" s="1">
        <v>22</v>
      </c>
      <c r="J71" s="1">
        <v>18.7</v>
      </c>
      <c r="K71" s="1">
        <v>14</v>
      </c>
      <c r="L71" s="1">
        <f>'[1]buses-marginal_price'!G71</f>
        <v>9.9999999999999992E-2</v>
      </c>
      <c r="M71" s="1">
        <f>'[1]buses-marginal_price'!H71</f>
        <v>8.4999999999999992E-2</v>
      </c>
      <c r="N71" s="1">
        <f>'[1]buses-marginal_price'!I71</f>
        <v>31.542857142857141</v>
      </c>
      <c r="O71" s="1">
        <f>'[1]buses-marginal_price'!J71</f>
        <v>9.9999999999999992E-2</v>
      </c>
      <c r="P71" s="1">
        <f>'[1]buses-marginal_price'!K71</f>
        <v>22.08</v>
      </c>
      <c r="Q71" s="1">
        <f>'[1]buses-marginal_price'!L71</f>
        <v>21.9</v>
      </c>
      <c r="R71" s="1">
        <f>'[1]buses-marginal_price'!M71</f>
        <v>31.24285714285714</v>
      </c>
      <c r="S71" s="1">
        <f>'[1]buses-marginal_price'!N71</f>
        <v>31.342857142857142</v>
      </c>
      <c r="T71" s="1">
        <f>'[1]buses-marginal_price'!O71</f>
        <v>0</v>
      </c>
      <c r="U71" s="1">
        <f>'[1]buses-marginal_price'!P71</f>
        <v>31.44285714285714</v>
      </c>
      <c r="V71" s="40">
        <f t="shared" si="3"/>
        <v>31.44285714285714</v>
      </c>
    </row>
    <row r="72" spans="1:22">
      <c r="A72" s="1">
        <f>'[1]buses-marginal_price'!A72</f>
        <v>70</v>
      </c>
      <c r="B72" s="1">
        <f>'[1]buses-marginal_price'!B72</f>
        <v>22</v>
      </c>
      <c r="C72" s="1">
        <f>'[1]buses-marginal_price'!C72</f>
        <v>18.7</v>
      </c>
      <c r="D72" s="1">
        <f>'[1]buses-marginal_price'!D72</f>
        <v>31.44285714285714</v>
      </c>
      <c r="E72" s="1">
        <f>'[1]buses-marginal_price'!E72</f>
        <v>22</v>
      </c>
      <c r="F72" s="1">
        <f>'[1]buses-marginal_price'!F72</f>
        <v>22.01</v>
      </c>
      <c r="G72" s="40">
        <f t="shared" si="2"/>
        <v>21.9</v>
      </c>
      <c r="H72" s="1">
        <v>0.1</v>
      </c>
      <c r="I72" s="1">
        <v>22</v>
      </c>
      <c r="J72" s="1">
        <v>18.7</v>
      </c>
      <c r="K72" s="1">
        <v>14</v>
      </c>
      <c r="L72" s="1">
        <f>'[1]buses-marginal_price'!G72</f>
        <v>9.9999999999999992E-2</v>
      </c>
      <c r="M72" s="1">
        <f>'[1]buses-marginal_price'!H72</f>
        <v>8.4999999999999992E-2</v>
      </c>
      <c r="N72" s="1">
        <f>'[1]buses-marginal_price'!I72</f>
        <v>31.542857142857141</v>
      </c>
      <c r="O72" s="1">
        <f>'[1]buses-marginal_price'!J72</f>
        <v>9.9999999999999992E-2</v>
      </c>
      <c r="P72" s="1">
        <f>'[1]buses-marginal_price'!K72</f>
        <v>22.08</v>
      </c>
      <c r="Q72" s="1">
        <f>'[1]buses-marginal_price'!L72</f>
        <v>21.9</v>
      </c>
      <c r="R72" s="1">
        <f>'[1]buses-marginal_price'!M72</f>
        <v>31.24285714285714</v>
      </c>
      <c r="S72" s="1">
        <f>'[1]buses-marginal_price'!N72</f>
        <v>31.342857142857142</v>
      </c>
      <c r="T72" s="1">
        <f>'[1]buses-marginal_price'!O72</f>
        <v>0</v>
      </c>
      <c r="U72" s="1">
        <f>'[1]buses-marginal_price'!P72</f>
        <v>31.44285714285714</v>
      </c>
      <c r="V72" s="40">
        <f t="shared" si="3"/>
        <v>31.44285714285714</v>
      </c>
    </row>
    <row r="73" spans="1:22">
      <c r="A73" s="1">
        <f>'[1]buses-marginal_price'!A73</f>
        <v>71</v>
      </c>
      <c r="B73" s="1">
        <f>'[1]buses-marginal_price'!B73</f>
        <v>22</v>
      </c>
      <c r="C73" s="1">
        <f>'[1]buses-marginal_price'!C73</f>
        <v>18.7</v>
      </c>
      <c r="D73" s="1">
        <f>'[1]buses-marginal_price'!D73</f>
        <v>31.44285714285714</v>
      </c>
      <c r="E73" s="1">
        <f>'[1]buses-marginal_price'!E73</f>
        <v>22</v>
      </c>
      <c r="F73" s="1">
        <f>'[1]buses-marginal_price'!F73</f>
        <v>22.01</v>
      </c>
      <c r="G73" s="40">
        <f t="shared" si="2"/>
        <v>21.9</v>
      </c>
      <c r="H73" s="1">
        <v>0.1</v>
      </c>
      <c r="I73" s="1">
        <v>22</v>
      </c>
      <c r="J73" s="1">
        <v>18.7</v>
      </c>
      <c r="K73" s="1">
        <v>14</v>
      </c>
      <c r="L73" s="1">
        <f>'[1]buses-marginal_price'!G73</f>
        <v>9.9999999999999992E-2</v>
      </c>
      <c r="M73" s="1">
        <f>'[1]buses-marginal_price'!H73</f>
        <v>8.4999999999999992E-2</v>
      </c>
      <c r="N73" s="1">
        <f>'[1]buses-marginal_price'!I73</f>
        <v>31.542857142857141</v>
      </c>
      <c r="O73" s="1">
        <f>'[1]buses-marginal_price'!J73</f>
        <v>9.9999999999999992E-2</v>
      </c>
      <c r="P73" s="1">
        <f>'[1]buses-marginal_price'!K73</f>
        <v>22.08</v>
      </c>
      <c r="Q73" s="1">
        <f>'[1]buses-marginal_price'!L73</f>
        <v>21.9</v>
      </c>
      <c r="R73" s="1">
        <f>'[1]buses-marginal_price'!M73</f>
        <v>31.24285714285714</v>
      </c>
      <c r="S73" s="1">
        <f>'[1]buses-marginal_price'!N73</f>
        <v>31.342857142857142</v>
      </c>
      <c r="T73" s="1">
        <f>'[1]buses-marginal_price'!O73</f>
        <v>0</v>
      </c>
      <c r="U73" s="1">
        <f>'[1]buses-marginal_price'!P73</f>
        <v>31.44285714285714</v>
      </c>
      <c r="V73" s="40">
        <f t="shared" si="3"/>
        <v>31.44285714285714</v>
      </c>
    </row>
    <row r="74" spans="1:22">
      <c r="A74" s="1">
        <f>'[1]buses-marginal_price'!A74</f>
        <v>72</v>
      </c>
      <c r="B74" s="1">
        <f>'[1]buses-marginal_price'!B74</f>
        <v>22</v>
      </c>
      <c r="C74" s="1">
        <f>'[1]buses-marginal_price'!C74</f>
        <v>18.7</v>
      </c>
      <c r="D74" s="1">
        <f>'[1]buses-marginal_price'!D74</f>
        <v>31.44285714285714</v>
      </c>
      <c r="E74" s="1">
        <f>'[1]buses-marginal_price'!E74</f>
        <v>22</v>
      </c>
      <c r="F74" s="1">
        <f>'[1]buses-marginal_price'!F74</f>
        <v>22.01</v>
      </c>
      <c r="G74" s="40">
        <f t="shared" si="2"/>
        <v>21.9</v>
      </c>
      <c r="H74" s="1">
        <v>0.1</v>
      </c>
      <c r="I74" s="1">
        <v>22</v>
      </c>
      <c r="J74" s="1">
        <v>18.7</v>
      </c>
      <c r="K74" s="1">
        <v>14</v>
      </c>
      <c r="L74" s="1">
        <f>'[1]buses-marginal_price'!G74</f>
        <v>6.3749999999999987E-2</v>
      </c>
      <c r="M74" s="1">
        <f>'[1]buses-marginal_price'!H74</f>
        <v>8.4999999999999992E-2</v>
      </c>
      <c r="N74" s="1">
        <f>'[1]buses-marginal_price'!I74</f>
        <v>31.542857142857141</v>
      </c>
      <c r="O74" s="1">
        <f>'[1]buses-marginal_price'!J74</f>
        <v>6.3749999999999987E-2</v>
      </c>
      <c r="P74" s="1">
        <f>'[1]buses-marginal_price'!K74</f>
        <v>22.08</v>
      </c>
      <c r="Q74" s="1">
        <f>'[1]buses-marginal_price'!L74</f>
        <v>21.9</v>
      </c>
      <c r="R74" s="1">
        <f>'[1]buses-marginal_price'!M74</f>
        <v>31.24285714285714</v>
      </c>
      <c r="S74" s="1">
        <f>'[1]buses-marginal_price'!N74</f>
        <v>31.342857142857142</v>
      </c>
      <c r="T74" s="1">
        <f>'[1]buses-marginal_price'!O74</f>
        <v>0</v>
      </c>
      <c r="U74" s="1">
        <f>'[1]buses-marginal_price'!P74</f>
        <v>31.44285714285714</v>
      </c>
      <c r="V74" s="40">
        <f t="shared" si="3"/>
        <v>31.44285714285714</v>
      </c>
    </row>
    <row r="75" spans="1:22">
      <c r="A75" s="1">
        <f>'[1]buses-marginal_price'!A75</f>
        <v>73</v>
      </c>
      <c r="B75" s="1">
        <f>'[1]buses-marginal_price'!B75</f>
        <v>22</v>
      </c>
      <c r="C75" s="1">
        <f>'[1]buses-marginal_price'!C75</f>
        <v>18.7</v>
      </c>
      <c r="D75" s="1">
        <f>'[1]buses-marginal_price'!D75</f>
        <v>31.44285714285714</v>
      </c>
      <c r="E75" s="1">
        <f>'[1]buses-marginal_price'!E75</f>
        <v>22</v>
      </c>
      <c r="F75" s="1">
        <f>'[1]buses-marginal_price'!F75</f>
        <v>22.01</v>
      </c>
      <c r="G75" s="40">
        <f t="shared" si="2"/>
        <v>21.9</v>
      </c>
      <c r="H75" s="1">
        <v>0.1</v>
      </c>
      <c r="I75" s="1">
        <v>22</v>
      </c>
      <c r="J75" s="1">
        <v>18.7</v>
      </c>
      <c r="K75" s="1">
        <v>14</v>
      </c>
      <c r="L75" s="1">
        <f>'[1]buses-marginal_price'!G75</f>
        <v>6.3749999999999987E-2</v>
      </c>
      <c r="M75" s="1">
        <f>'[1]buses-marginal_price'!H75</f>
        <v>8.4999999999999992E-2</v>
      </c>
      <c r="N75" s="1">
        <f>'[1]buses-marginal_price'!I75</f>
        <v>31.542857142857141</v>
      </c>
      <c r="O75" s="1">
        <f>'[1]buses-marginal_price'!J75</f>
        <v>6.3749999999999987E-2</v>
      </c>
      <c r="P75" s="1">
        <f>'[1]buses-marginal_price'!K75</f>
        <v>22.08</v>
      </c>
      <c r="Q75" s="1">
        <f>'[1]buses-marginal_price'!L75</f>
        <v>21.9</v>
      </c>
      <c r="R75" s="1">
        <f>'[1]buses-marginal_price'!M75</f>
        <v>31.24285714285714</v>
      </c>
      <c r="S75" s="1">
        <f>'[1]buses-marginal_price'!N75</f>
        <v>31.342857142857142</v>
      </c>
      <c r="T75" s="1">
        <f>'[1]buses-marginal_price'!O75</f>
        <v>0</v>
      </c>
      <c r="U75" s="1">
        <f>'[1]buses-marginal_price'!P75</f>
        <v>31.44285714285714</v>
      </c>
      <c r="V75" s="40">
        <f t="shared" si="3"/>
        <v>31.44285714285714</v>
      </c>
    </row>
    <row r="76" spans="1:22">
      <c r="A76" s="1">
        <f>'[1]buses-marginal_price'!A76</f>
        <v>74</v>
      </c>
      <c r="B76" s="1">
        <f>'[1]buses-marginal_price'!B76</f>
        <v>22</v>
      </c>
      <c r="C76" s="1">
        <f>'[1]buses-marginal_price'!C76</f>
        <v>18.7</v>
      </c>
      <c r="D76" s="1">
        <f>'[1]buses-marginal_price'!D76</f>
        <v>31.44285714285714</v>
      </c>
      <c r="E76" s="1">
        <f>'[1]buses-marginal_price'!E76</f>
        <v>22</v>
      </c>
      <c r="F76" s="1">
        <f>'[1]buses-marginal_price'!F76</f>
        <v>22.01</v>
      </c>
      <c r="G76" s="40">
        <f t="shared" si="2"/>
        <v>21.9</v>
      </c>
      <c r="H76" s="1">
        <v>0.1</v>
      </c>
      <c r="I76" s="1">
        <v>22</v>
      </c>
      <c r="J76" s="1">
        <v>18.7</v>
      </c>
      <c r="K76" s="1">
        <v>14</v>
      </c>
      <c r="L76" s="1">
        <f>'[1]buses-marginal_price'!G76</f>
        <v>6.3749999999999987E-2</v>
      </c>
      <c r="M76" s="1">
        <f>'[1]buses-marginal_price'!H76</f>
        <v>8.4999999999999992E-2</v>
      </c>
      <c r="N76" s="1">
        <f>'[1]buses-marginal_price'!I76</f>
        <v>31.542857142857141</v>
      </c>
      <c r="O76" s="1">
        <f>'[1]buses-marginal_price'!J76</f>
        <v>6.3749999999999987E-2</v>
      </c>
      <c r="P76" s="1">
        <f>'[1]buses-marginal_price'!K76</f>
        <v>22.08</v>
      </c>
      <c r="Q76" s="1">
        <f>'[1]buses-marginal_price'!L76</f>
        <v>21.9</v>
      </c>
      <c r="R76" s="1">
        <f>'[1]buses-marginal_price'!M76</f>
        <v>31.24285714285714</v>
      </c>
      <c r="S76" s="1">
        <f>'[1]buses-marginal_price'!N76</f>
        <v>31.342857142857142</v>
      </c>
      <c r="T76" s="1">
        <f>'[1]buses-marginal_price'!O76</f>
        <v>0</v>
      </c>
      <c r="U76" s="1">
        <f>'[1]buses-marginal_price'!P76</f>
        <v>31.44285714285714</v>
      </c>
      <c r="V76" s="40">
        <f t="shared" si="3"/>
        <v>31.44285714285714</v>
      </c>
    </row>
    <row r="77" spans="1:22">
      <c r="A77" s="1">
        <f>'[1]buses-marginal_price'!A77</f>
        <v>75</v>
      </c>
      <c r="B77" s="1">
        <f>'[1]buses-marginal_price'!B77</f>
        <v>22</v>
      </c>
      <c r="C77" s="1">
        <f>'[1]buses-marginal_price'!C77</f>
        <v>18.7</v>
      </c>
      <c r="D77" s="1">
        <f>'[1]buses-marginal_price'!D77</f>
        <v>31.44285714285714</v>
      </c>
      <c r="E77" s="1">
        <f>'[1]buses-marginal_price'!E77</f>
        <v>22</v>
      </c>
      <c r="F77" s="1">
        <f>'[1]buses-marginal_price'!F77</f>
        <v>22.01</v>
      </c>
      <c r="G77" s="40">
        <f t="shared" si="2"/>
        <v>21.9</v>
      </c>
      <c r="H77" s="1">
        <v>0.1</v>
      </c>
      <c r="I77" s="1">
        <v>22</v>
      </c>
      <c r="J77" s="1">
        <v>18.7</v>
      </c>
      <c r="K77" s="1">
        <v>14</v>
      </c>
      <c r="L77" s="1">
        <f>'[1]buses-marginal_price'!G77</f>
        <v>6.3749999999999987E-2</v>
      </c>
      <c r="M77" s="1">
        <f>'[1]buses-marginal_price'!H77</f>
        <v>8.4999999999999992E-2</v>
      </c>
      <c r="N77" s="1">
        <f>'[1]buses-marginal_price'!I77</f>
        <v>31.542857142857141</v>
      </c>
      <c r="O77" s="1">
        <f>'[1]buses-marginal_price'!J77</f>
        <v>6.3749999999999987E-2</v>
      </c>
      <c r="P77" s="1">
        <f>'[1]buses-marginal_price'!K77</f>
        <v>22.08</v>
      </c>
      <c r="Q77" s="1">
        <f>'[1]buses-marginal_price'!L77</f>
        <v>21.9</v>
      </c>
      <c r="R77" s="1">
        <f>'[1]buses-marginal_price'!M77</f>
        <v>31.24285714285714</v>
      </c>
      <c r="S77" s="1">
        <f>'[1]buses-marginal_price'!N77</f>
        <v>31.342857142857142</v>
      </c>
      <c r="T77" s="1">
        <f>'[1]buses-marginal_price'!O77</f>
        <v>0</v>
      </c>
      <c r="U77" s="1">
        <f>'[1]buses-marginal_price'!P77</f>
        <v>31.44285714285714</v>
      </c>
      <c r="V77" s="40">
        <f t="shared" si="3"/>
        <v>31.44285714285714</v>
      </c>
    </row>
    <row r="78" spans="1:22">
      <c r="A78" s="1">
        <f>'[1]buses-marginal_price'!A78</f>
        <v>76</v>
      </c>
      <c r="B78" s="1">
        <f>'[1]buses-marginal_price'!B78</f>
        <v>22</v>
      </c>
      <c r="C78" s="1">
        <f>'[1]buses-marginal_price'!C78</f>
        <v>18.7</v>
      </c>
      <c r="D78" s="1">
        <f>'[1]buses-marginal_price'!D78</f>
        <v>31.44285714285714</v>
      </c>
      <c r="E78" s="1">
        <f>'[1]buses-marginal_price'!E78</f>
        <v>22</v>
      </c>
      <c r="F78" s="1">
        <f>'[1]buses-marginal_price'!F78</f>
        <v>22.01</v>
      </c>
      <c r="G78" s="40">
        <f t="shared" si="2"/>
        <v>21.9</v>
      </c>
      <c r="H78" s="1">
        <v>0.1</v>
      </c>
      <c r="I78" s="1">
        <v>22</v>
      </c>
      <c r="J78" s="1">
        <v>18.7</v>
      </c>
      <c r="K78" s="1">
        <v>14</v>
      </c>
      <c r="L78" s="1">
        <f>'[1]buses-marginal_price'!G78</f>
        <v>6.3749999999999987E-2</v>
      </c>
      <c r="M78" s="1">
        <f>'[1]buses-marginal_price'!H78</f>
        <v>8.4999999999999992E-2</v>
      </c>
      <c r="N78" s="1">
        <f>'[1]buses-marginal_price'!I78</f>
        <v>31.542857142857141</v>
      </c>
      <c r="O78" s="1">
        <f>'[1]buses-marginal_price'!J78</f>
        <v>6.3749999999999987E-2</v>
      </c>
      <c r="P78" s="1">
        <f>'[1]buses-marginal_price'!K78</f>
        <v>22.08</v>
      </c>
      <c r="Q78" s="1">
        <f>'[1]buses-marginal_price'!L78</f>
        <v>21.9</v>
      </c>
      <c r="R78" s="1">
        <f>'[1]buses-marginal_price'!M78</f>
        <v>31.24285714285714</v>
      </c>
      <c r="S78" s="1">
        <f>'[1]buses-marginal_price'!N78</f>
        <v>31.342857142857142</v>
      </c>
      <c r="T78" s="1">
        <f>'[1]buses-marginal_price'!O78</f>
        <v>0</v>
      </c>
      <c r="U78" s="1">
        <f>'[1]buses-marginal_price'!P78</f>
        <v>31.44285714285714</v>
      </c>
      <c r="V78" s="40">
        <f t="shared" si="3"/>
        <v>31.44285714285714</v>
      </c>
    </row>
    <row r="79" spans="1:22">
      <c r="A79" s="1">
        <f>'[1]buses-marginal_price'!A79</f>
        <v>77</v>
      </c>
      <c r="B79" s="1">
        <f>'[1]buses-marginal_price'!B79</f>
        <v>22</v>
      </c>
      <c r="C79" s="1">
        <f>'[1]buses-marginal_price'!C79</f>
        <v>18.7</v>
      </c>
      <c r="D79" s="1">
        <f>'[1]buses-marginal_price'!D79</f>
        <v>31.44285714285714</v>
      </c>
      <c r="E79" s="1">
        <f>'[1]buses-marginal_price'!E79</f>
        <v>22</v>
      </c>
      <c r="F79" s="1">
        <f>'[1]buses-marginal_price'!F79</f>
        <v>22.01</v>
      </c>
      <c r="G79" s="40">
        <f t="shared" si="2"/>
        <v>21.9</v>
      </c>
      <c r="H79" s="1">
        <v>0.1</v>
      </c>
      <c r="I79" s="1">
        <v>22</v>
      </c>
      <c r="J79" s="1">
        <v>18.7</v>
      </c>
      <c r="K79" s="1">
        <v>14</v>
      </c>
      <c r="L79" s="1">
        <f>'[1]buses-marginal_price'!G79</f>
        <v>6.3749999999999987E-2</v>
      </c>
      <c r="M79" s="1">
        <f>'[1]buses-marginal_price'!H79</f>
        <v>8.4999999999999992E-2</v>
      </c>
      <c r="N79" s="1">
        <f>'[1]buses-marginal_price'!I79</f>
        <v>31.542857142857141</v>
      </c>
      <c r="O79" s="1">
        <f>'[1]buses-marginal_price'!J79</f>
        <v>6.3749999999999987E-2</v>
      </c>
      <c r="P79" s="1">
        <f>'[1]buses-marginal_price'!K79</f>
        <v>22.08</v>
      </c>
      <c r="Q79" s="1">
        <f>'[1]buses-marginal_price'!L79</f>
        <v>21.9</v>
      </c>
      <c r="R79" s="1">
        <f>'[1]buses-marginal_price'!M79</f>
        <v>31.24285714285714</v>
      </c>
      <c r="S79" s="1">
        <f>'[1]buses-marginal_price'!N79</f>
        <v>31.342857142857142</v>
      </c>
      <c r="T79" s="1">
        <f>'[1]buses-marginal_price'!O79</f>
        <v>0</v>
      </c>
      <c r="U79" s="1">
        <f>'[1]buses-marginal_price'!P79</f>
        <v>31.44285714285714</v>
      </c>
      <c r="V79" s="40">
        <f t="shared" si="3"/>
        <v>31.44285714285714</v>
      </c>
    </row>
    <row r="80" spans="1:22">
      <c r="A80" s="1">
        <f>'[1]buses-marginal_price'!A80</f>
        <v>78</v>
      </c>
      <c r="B80" s="1">
        <f>'[1]buses-marginal_price'!B80</f>
        <v>22</v>
      </c>
      <c r="C80" s="1">
        <f>'[1]buses-marginal_price'!C80</f>
        <v>18.7</v>
      </c>
      <c r="D80" s="1">
        <f>'[1]buses-marginal_price'!D80</f>
        <v>31.44285714285714</v>
      </c>
      <c r="E80" s="1">
        <f>'[1]buses-marginal_price'!E80</f>
        <v>22</v>
      </c>
      <c r="F80" s="1">
        <f>'[1]buses-marginal_price'!F80</f>
        <v>22.01</v>
      </c>
      <c r="G80" s="40">
        <f t="shared" si="2"/>
        <v>21.9</v>
      </c>
      <c r="H80" s="1">
        <v>0.1</v>
      </c>
      <c r="I80" s="1">
        <v>22</v>
      </c>
      <c r="J80" s="1">
        <v>18.7</v>
      </c>
      <c r="K80" s="1">
        <v>14</v>
      </c>
      <c r="L80" s="1">
        <f>'[1]buses-marginal_price'!G80</f>
        <v>6.3749999999999987E-2</v>
      </c>
      <c r="M80" s="1">
        <f>'[1]buses-marginal_price'!H80</f>
        <v>8.4999999999999992E-2</v>
      </c>
      <c r="N80" s="1">
        <f>'[1]buses-marginal_price'!I80</f>
        <v>31.542857142857141</v>
      </c>
      <c r="O80" s="1">
        <f>'[1]buses-marginal_price'!J80</f>
        <v>6.3749999999999987E-2</v>
      </c>
      <c r="P80" s="1">
        <f>'[1]buses-marginal_price'!K80</f>
        <v>22.08</v>
      </c>
      <c r="Q80" s="1">
        <f>'[1]buses-marginal_price'!L80</f>
        <v>21.9</v>
      </c>
      <c r="R80" s="1">
        <f>'[1]buses-marginal_price'!M80</f>
        <v>31.44285714285714</v>
      </c>
      <c r="S80" s="1">
        <f>'[1]buses-marginal_price'!N80</f>
        <v>31.342857142857142</v>
      </c>
      <c r="T80" s="1">
        <f>'[1]buses-marginal_price'!O80</f>
        <v>0</v>
      </c>
      <c r="U80" s="1">
        <f>'[1]buses-marginal_price'!P80</f>
        <v>31.44285714285714</v>
      </c>
      <c r="V80" s="40">
        <f t="shared" si="3"/>
        <v>31.44285714285714</v>
      </c>
    </row>
    <row r="81" spans="1:22">
      <c r="A81" s="1">
        <f>'[1]buses-marginal_price'!A81</f>
        <v>79</v>
      </c>
      <c r="B81" s="1">
        <f>'[1]buses-marginal_price'!B81</f>
        <v>22</v>
      </c>
      <c r="C81" s="1">
        <f>'[1]buses-marginal_price'!C81</f>
        <v>18.7</v>
      </c>
      <c r="D81" s="1">
        <f>'[1]buses-marginal_price'!D81</f>
        <v>31.44285714285714</v>
      </c>
      <c r="E81" s="1">
        <f>'[1]buses-marginal_price'!E81</f>
        <v>22</v>
      </c>
      <c r="F81" s="1">
        <f>'[1]buses-marginal_price'!F81</f>
        <v>22.01</v>
      </c>
      <c r="G81" s="40">
        <f t="shared" si="2"/>
        <v>21.9</v>
      </c>
      <c r="H81" s="1">
        <v>0.1</v>
      </c>
      <c r="I81" s="1">
        <v>22</v>
      </c>
      <c r="J81" s="1">
        <v>18.7</v>
      </c>
      <c r="K81" s="1">
        <v>14</v>
      </c>
      <c r="L81" s="1">
        <f>'[1]buses-marginal_price'!G81</f>
        <v>9.9999999999999992E-2</v>
      </c>
      <c r="M81" s="1">
        <f>'[1]buses-marginal_price'!H81</f>
        <v>8.4999999999999992E-2</v>
      </c>
      <c r="N81" s="1">
        <f>'[1]buses-marginal_price'!I81</f>
        <v>31.542857142857141</v>
      </c>
      <c r="O81" s="1">
        <f>'[1]buses-marginal_price'!J81</f>
        <v>9.9999999999999992E-2</v>
      </c>
      <c r="P81" s="1">
        <f>'[1]buses-marginal_price'!K81</f>
        <v>22.08</v>
      </c>
      <c r="Q81" s="1">
        <f>'[1]buses-marginal_price'!L81</f>
        <v>21.9</v>
      </c>
      <c r="R81" s="1">
        <f>'[1]buses-marginal_price'!M81</f>
        <v>31.44285714285714</v>
      </c>
      <c r="S81" s="1">
        <f>'[1]buses-marginal_price'!N81</f>
        <v>31.342857142857142</v>
      </c>
      <c r="T81" s="1">
        <f>'[1]buses-marginal_price'!O81</f>
        <v>0</v>
      </c>
      <c r="U81" s="1">
        <f>'[1]buses-marginal_price'!P81</f>
        <v>31.44285714285714</v>
      </c>
      <c r="V81" s="40">
        <f t="shared" si="3"/>
        <v>31.44285714285714</v>
      </c>
    </row>
    <row r="82" spans="1:22">
      <c r="A82" s="1">
        <f>'[1]buses-marginal_price'!A82</f>
        <v>80</v>
      </c>
      <c r="B82" s="1">
        <f>'[1]buses-marginal_price'!B82</f>
        <v>22</v>
      </c>
      <c r="C82" s="1">
        <f>'[1]buses-marginal_price'!C82</f>
        <v>18.7</v>
      </c>
      <c r="D82" s="1">
        <f>'[1]buses-marginal_price'!D82</f>
        <v>31.44285714285714</v>
      </c>
      <c r="E82" s="1">
        <f>'[1]buses-marginal_price'!E82</f>
        <v>22</v>
      </c>
      <c r="F82" s="1">
        <f>'[1]buses-marginal_price'!F82</f>
        <v>22.01</v>
      </c>
      <c r="G82" s="40">
        <f t="shared" si="2"/>
        <v>21.9</v>
      </c>
      <c r="H82" s="1">
        <v>0.1</v>
      </c>
      <c r="I82" s="1">
        <v>22</v>
      </c>
      <c r="J82" s="1">
        <v>18.7</v>
      </c>
      <c r="K82" s="1">
        <v>14</v>
      </c>
      <c r="L82" s="1">
        <f>'[1]buses-marginal_price'!G82</f>
        <v>9.9999999999999992E-2</v>
      </c>
      <c r="M82" s="1">
        <f>'[1]buses-marginal_price'!H82</f>
        <v>8.4999999999999992E-2</v>
      </c>
      <c r="N82" s="1">
        <f>'[1]buses-marginal_price'!I82</f>
        <v>31.542857142857141</v>
      </c>
      <c r="O82" s="1">
        <f>'[1]buses-marginal_price'!J82</f>
        <v>9.9999999999999992E-2</v>
      </c>
      <c r="P82" s="1">
        <f>'[1]buses-marginal_price'!K82</f>
        <v>22.08</v>
      </c>
      <c r="Q82" s="1">
        <f>'[1]buses-marginal_price'!L82</f>
        <v>21.9</v>
      </c>
      <c r="R82" s="1">
        <f>'[1]buses-marginal_price'!M82</f>
        <v>31.642857142857139</v>
      </c>
      <c r="S82" s="1">
        <f>'[1]buses-marginal_price'!N82</f>
        <v>31.542857142857141</v>
      </c>
      <c r="T82" s="1">
        <f>'[1]buses-marginal_price'!O82</f>
        <v>0</v>
      </c>
      <c r="U82" s="1">
        <f>'[1]buses-marginal_price'!P82</f>
        <v>31.44285714285714</v>
      </c>
      <c r="V82" s="40">
        <f t="shared" si="3"/>
        <v>31.642857142857139</v>
      </c>
    </row>
    <row r="83" spans="1:22">
      <c r="A83" s="1">
        <f>'[1]buses-marginal_price'!A83</f>
        <v>81</v>
      </c>
      <c r="B83" s="1">
        <f>'[1]buses-marginal_price'!B83</f>
        <v>22</v>
      </c>
      <c r="C83" s="1">
        <f>'[1]buses-marginal_price'!C83</f>
        <v>18.7</v>
      </c>
      <c r="D83" s="1">
        <f>'[1]buses-marginal_price'!D83</f>
        <v>31.44285714285714</v>
      </c>
      <c r="E83" s="1">
        <f>'[1]buses-marginal_price'!E83</f>
        <v>22</v>
      </c>
      <c r="F83" s="1">
        <f>'[1]buses-marginal_price'!F83</f>
        <v>22.01</v>
      </c>
      <c r="G83" s="40">
        <f t="shared" si="2"/>
        <v>21.9</v>
      </c>
      <c r="H83" s="1">
        <v>0.1</v>
      </c>
      <c r="I83" s="1">
        <v>22</v>
      </c>
      <c r="J83" s="1">
        <v>18.7</v>
      </c>
      <c r="K83" s="1">
        <v>14</v>
      </c>
      <c r="L83" s="1">
        <f>'[1]buses-marginal_price'!G83</f>
        <v>6.3749999999999987E-2</v>
      </c>
      <c r="M83" s="1">
        <f>'[1]buses-marginal_price'!H83</f>
        <v>8.4999999999999992E-2</v>
      </c>
      <c r="N83" s="1">
        <f>'[1]buses-marginal_price'!I83</f>
        <v>31.542857142857141</v>
      </c>
      <c r="O83" s="1">
        <f>'[1]buses-marginal_price'!J83</f>
        <v>6.3749999999999987E-2</v>
      </c>
      <c r="P83" s="1">
        <f>'[1]buses-marginal_price'!K83</f>
        <v>22.08</v>
      </c>
      <c r="Q83" s="1">
        <f>'[1]buses-marginal_price'!L83</f>
        <v>21.9</v>
      </c>
      <c r="R83" s="1">
        <f>'[1]buses-marginal_price'!M83</f>
        <v>31.642857142857139</v>
      </c>
      <c r="S83" s="1">
        <f>'[1]buses-marginal_price'!N83</f>
        <v>31.542857142857141</v>
      </c>
      <c r="T83" s="1">
        <f>'[1]buses-marginal_price'!O83</f>
        <v>0</v>
      </c>
      <c r="U83" s="1">
        <f>'[1]buses-marginal_price'!P83</f>
        <v>31.44285714285714</v>
      </c>
      <c r="V83" s="40">
        <f t="shared" si="3"/>
        <v>31.642857142857139</v>
      </c>
    </row>
    <row r="84" spans="1:22">
      <c r="A84" s="1">
        <f>'[1]buses-marginal_price'!A84</f>
        <v>82</v>
      </c>
      <c r="B84" s="1">
        <f>'[1]buses-marginal_price'!B84</f>
        <v>17.60452076568405</v>
      </c>
      <c r="C84" s="1">
        <f>'[1]buses-marginal_price'!C84</f>
        <v>18.7</v>
      </c>
      <c r="D84" s="1">
        <f>'[1]buses-marginal_price'!D84</f>
        <v>25.163601093834369</v>
      </c>
      <c r="E84" s="1">
        <f>'[1]buses-marginal_price'!E84</f>
        <v>17.60452076568405</v>
      </c>
      <c r="F84" s="1">
        <f>'[1]buses-marginal_price'!F84</f>
        <v>17.614520765684059</v>
      </c>
      <c r="G84" s="40">
        <f t="shared" si="2"/>
        <v>18.7</v>
      </c>
      <c r="H84" s="1">
        <v>0.1</v>
      </c>
      <c r="I84" s="1">
        <v>22</v>
      </c>
      <c r="J84" s="1">
        <v>18.7</v>
      </c>
      <c r="K84" s="1">
        <v>14</v>
      </c>
      <c r="L84" s="1">
        <f>'[1]buses-marginal_price'!G84</f>
        <v>0</v>
      </c>
      <c r="M84" s="1">
        <f>'[1]buses-marginal_price'!H84</f>
        <v>8.4999999999999992E-2</v>
      </c>
      <c r="N84" s="1">
        <f>'[1]buses-marginal_price'!I84</f>
        <v>25.063601093834361</v>
      </c>
      <c r="O84" s="1">
        <f>'[1]buses-marginal_price'!J84</f>
        <v>0</v>
      </c>
      <c r="P84" s="1">
        <f>'[1]buses-marginal_price'!K84</f>
        <v>17.544520765684052</v>
      </c>
      <c r="Q84" s="1">
        <f>'[1]buses-marginal_price'!L84</f>
        <v>17.50452076568406</v>
      </c>
      <c r="R84" s="1">
        <f>'[1]buses-marginal_price'!M84</f>
        <v>25.363601093834369</v>
      </c>
      <c r="S84" s="1">
        <f>'[1]buses-marginal_price'!N84</f>
        <v>25.26360109383436</v>
      </c>
      <c r="T84" s="1">
        <f>'[1]buses-marginal_price'!O84</f>
        <v>0</v>
      </c>
      <c r="U84" s="1">
        <f>'[1]buses-marginal_price'!P84</f>
        <v>25.163601093834369</v>
      </c>
      <c r="V84" s="40">
        <f t="shared" si="3"/>
        <v>25.363601093834369</v>
      </c>
    </row>
    <row r="85" spans="1:22">
      <c r="A85" s="1">
        <f>'[1]buses-marginal_price'!A85</f>
        <v>83</v>
      </c>
      <c r="B85" s="1">
        <f>'[1]buses-marginal_price'!B85</f>
        <v>17.60452076568405</v>
      </c>
      <c r="C85" s="1">
        <f>'[1]buses-marginal_price'!C85</f>
        <v>18.7</v>
      </c>
      <c r="D85" s="1">
        <f>'[1]buses-marginal_price'!D85</f>
        <v>25.163601093834369</v>
      </c>
      <c r="E85" s="1">
        <f>'[1]buses-marginal_price'!E85</f>
        <v>17.60452076568405</v>
      </c>
      <c r="F85" s="1">
        <f>'[1]buses-marginal_price'!F85</f>
        <v>17.614520765684059</v>
      </c>
      <c r="G85" s="40">
        <f t="shared" si="2"/>
        <v>18.7</v>
      </c>
      <c r="H85" s="1">
        <v>0.1</v>
      </c>
      <c r="I85" s="1">
        <v>22</v>
      </c>
      <c r="J85" s="1">
        <v>18.7</v>
      </c>
      <c r="K85" s="1">
        <v>14</v>
      </c>
      <c r="L85" s="1">
        <f>'[1]buses-marginal_price'!G85</f>
        <v>0</v>
      </c>
      <c r="M85" s="1">
        <f>'[1]buses-marginal_price'!H85</f>
        <v>8.4999999999999992E-2</v>
      </c>
      <c r="N85" s="1">
        <f>'[1]buses-marginal_price'!I85</f>
        <v>25.063601093834361</v>
      </c>
      <c r="O85" s="1">
        <f>'[1]buses-marginal_price'!J85</f>
        <v>0</v>
      </c>
      <c r="P85" s="1">
        <f>'[1]buses-marginal_price'!K85</f>
        <v>17.544520765684052</v>
      </c>
      <c r="Q85" s="1">
        <f>'[1]buses-marginal_price'!L85</f>
        <v>17.50452076568406</v>
      </c>
      <c r="R85" s="1">
        <f>'[1]buses-marginal_price'!M85</f>
        <v>25.363601093834369</v>
      </c>
      <c r="S85" s="1">
        <f>'[1]buses-marginal_price'!N85</f>
        <v>25.26360109383436</v>
      </c>
      <c r="T85" s="1">
        <f>'[1]buses-marginal_price'!O85</f>
        <v>0</v>
      </c>
      <c r="U85" s="1">
        <f>'[1]buses-marginal_price'!P85</f>
        <v>25.163601093834369</v>
      </c>
      <c r="V85" s="40">
        <f t="shared" si="3"/>
        <v>25.363601093834369</v>
      </c>
    </row>
    <row r="86" spans="1:22">
      <c r="A86" s="1">
        <f>'[1]buses-marginal_price'!A86</f>
        <v>84</v>
      </c>
      <c r="B86" s="1">
        <f>'[1]buses-marginal_price'!B86</f>
        <v>17.60452076568405</v>
      </c>
      <c r="C86" s="1">
        <f>'[1]buses-marginal_price'!C86</f>
        <v>18.7</v>
      </c>
      <c r="D86" s="1">
        <f>'[1]buses-marginal_price'!D86</f>
        <v>25.163601093834369</v>
      </c>
      <c r="E86" s="1">
        <f>'[1]buses-marginal_price'!E86</f>
        <v>17.60452076568405</v>
      </c>
      <c r="F86" s="1">
        <f>'[1]buses-marginal_price'!F86</f>
        <v>17.614520765684059</v>
      </c>
      <c r="G86" s="40">
        <f t="shared" si="2"/>
        <v>18.7</v>
      </c>
      <c r="H86" s="1">
        <v>0.1</v>
      </c>
      <c r="I86" s="1">
        <v>22</v>
      </c>
      <c r="J86" s="1">
        <v>18.7</v>
      </c>
      <c r="K86" s="1">
        <v>14</v>
      </c>
      <c r="L86" s="1">
        <f>'[1]buses-marginal_price'!G86</f>
        <v>0</v>
      </c>
      <c r="M86" s="1">
        <f>'[1]buses-marginal_price'!H86</f>
        <v>8.4999999999999992E-2</v>
      </c>
      <c r="N86" s="1">
        <f>'[1]buses-marginal_price'!I86</f>
        <v>25.063601093834361</v>
      </c>
      <c r="O86" s="1">
        <f>'[1]buses-marginal_price'!J86</f>
        <v>0</v>
      </c>
      <c r="P86" s="1">
        <f>'[1]buses-marginal_price'!K86</f>
        <v>17.544520765684052</v>
      </c>
      <c r="Q86" s="1">
        <f>'[1]buses-marginal_price'!L86</f>
        <v>17.50452076568406</v>
      </c>
      <c r="R86" s="1">
        <f>'[1]buses-marginal_price'!M86</f>
        <v>25.363601093834369</v>
      </c>
      <c r="S86" s="1">
        <f>'[1]buses-marginal_price'!N86</f>
        <v>25.26360109383436</v>
      </c>
      <c r="T86" s="1">
        <f>'[1]buses-marginal_price'!O86</f>
        <v>25.163601093834369</v>
      </c>
      <c r="U86" s="1">
        <f>'[1]buses-marginal_price'!P86</f>
        <v>25.163601093834369</v>
      </c>
      <c r="V86" s="40">
        <f t="shared" si="3"/>
        <v>25.363601093834369</v>
      </c>
    </row>
    <row r="87" spans="1:22">
      <c r="A87" s="1">
        <f>'[1]buses-marginal_price'!A87</f>
        <v>85</v>
      </c>
      <c r="B87" s="1">
        <f>'[1]buses-marginal_price'!B87</f>
        <v>17.60452076568405</v>
      </c>
      <c r="C87" s="1">
        <f>'[1]buses-marginal_price'!C87</f>
        <v>18.7</v>
      </c>
      <c r="D87" s="1">
        <f>'[1]buses-marginal_price'!D87</f>
        <v>25.163601093834369</v>
      </c>
      <c r="E87" s="1">
        <f>'[1]buses-marginal_price'!E87</f>
        <v>17.60452076568405</v>
      </c>
      <c r="F87" s="1">
        <f>'[1]buses-marginal_price'!F87</f>
        <v>17.614520765684059</v>
      </c>
      <c r="G87" s="40">
        <f t="shared" si="2"/>
        <v>18.7</v>
      </c>
      <c r="H87" s="1">
        <v>0.1</v>
      </c>
      <c r="I87" s="1">
        <v>22</v>
      </c>
      <c r="J87" s="1">
        <v>18.7</v>
      </c>
      <c r="K87" s="1">
        <v>14</v>
      </c>
      <c r="L87" s="1">
        <f>'[1]buses-marginal_price'!G87</f>
        <v>0</v>
      </c>
      <c r="M87" s="1">
        <f>'[1]buses-marginal_price'!H87</f>
        <v>8.4999999999999992E-2</v>
      </c>
      <c r="N87" s="1">
        <f>'[1]buses-marginal_price'!I87</f>
        <v>25.063601093834361</v>
      </c>
      <c r="O87" s="1">
        <f>'[1]buses-marginal_price'!J87</f>
        <v>0</v>
      </c>
      <c r="P87" s="1">
        <f>'[1]buses-marginal_price'!K87</f>
        <v>17.544520765684052</v>
      </c>
      <c r="Q87" s="1">
        <f>'[1]buses-marginal_price'!L87</f>
        <v>17.50452076568406</v>
      </c>
      <c r="R87" s="1">
        <f>'[1]buses-marginal_price'!M87</f>
        <v>25.363601093834369</v>
      </c>
      <c r="S87" s="1">
        <f>'[1]buses-marginal_price'!N87</f>
        <v>25.26360109383436</v>
      </c>
      <c r="T87" s="1">
        <f>'[1]buses-marginal_price'!O87</f>
        <v>25.163601093834369</v>
      </c>
      <c r="U87" s="1">
        <f>'[1]buses-marginal_price'!P87</f>
        <v>25.163601093834369</v>
      </c>
      <c r="V87" s="40">
        <f t="shared" si="3"/>
        <v>25.363601093834369</v>
      </c>
    </row>
    <row r="88" spans="1:22">
      <c r="A88" s="1">
        <f>'[1]buses-marginal_price'!A88</f>
        <v>86</v>
      </c>
      <c r="B88" s="1">
        <f>'[1]buses-marginal_price'!B88</f>
        <v>17.60452076568405</v>
      </c>
      <c r="C88" s="1">
        <f>'[1]buses-marginal_price'!C88</f>
        <v>18.7</v>
      </c>
      <c r="D88" s="1">
        <f>'[1]buses-marginal_price'!D88</f>
        <v>25.163601093834369</v>
      </c>
      <c r="E88" s="1">
        <f>'[1]buses-marginal_price'!E88</f>
        <v>17.60452076568405</v>
      </c>
      <c r="F88" s="1">
        <f>'[1]buses-marginal_price'!F88</f>
        <v>17.614520765684059</v>
      </c>
      <c r="G88" s="40">
        <f t="shared" si="2"/>
        <v>18.7</v>
      </c>
      <c r="H88" s="1">
        <v>0.1</v>
      </c>
      <c r="I88" s="1">
        <v>22</v>
      </c>
      <c r="J88" s="1">
        <v>18.7</v>
      </c>
      <c r="K88" s="1">
        <v>14</v>
      </c>
      <c r="L88" s="1">
        <f>'[1]buses-marginal_price'!G88</f>
        <v>0</v>
      </c>
      <c r="M88" s="1">
        <f>'[1]buses-marginal_price'!H88</f>
        <v>8.4999999999999992E-2</v>
      </c>
      <c r="N88" s="1">
        <f>'[1]buses-marginal_price'!I88</f>
        <v>25.063601093834361</v>
      </c>
      <c r="O88" s="1">
        <f>'[1]buses-marginal_price'!J88</f>
        <v>0</v>
      </c>
      <c r="P88" s="1">
        <f>'[1]buses-marginal_price'!K88</f>
        <v>17.544520765684052</v>
      </c>
      <c r="Q88" s="1">
        <f>'[1]buses-marginal_price'!L88</f>
        <v>17.50452076568406</v>
      </c>
      <c r="R88" s="1">
        <f>'[1]buses-marginal_price'!M88</f>
        <v>25.363601093834369</v>
      </c>
      <c r="S88" s="1">
        <f>'[1]buses-marginal_price'!N88</f>
        <v>25.26360109383436</v>
      </c>
      <c r="T88" s="1">
        <f>'[1]buses-marginal_price'!O88</f>
        <v>25.163601093834369</v>
      </c>
      <c r="U88" s="1">
        <f>'[1]buses-marginal_price'!P88</f>
        <v>25.163601093834369</v>
      </c>
      <c r="V88" s="40">
        <f t="shared" si="3"/>
        <v>25.363601093834369</v>
      </c>
    </row>
    <row r="89" spans="1:22">
      <c r="A89" s="1">
        <f>'[1]buses-marginal_price'!A89</f>
        <v>87</v>
      </c>
      <c r="B89" s="1">
        <f>'[1]buses-marginal_price'!B89</f>
        <v>17.60452076568405</v>
      </c>
      <c r="C89" s="1">
        <f>'[1]buses-marginal_price'!C89</f>
        <v>18.7</v>
      </c>
      <c r="D89" s="1">
        <f>'[1]buses-marginal_price'!D89</f>
        <v>25.163601093834369</v>
      </c>
      <c r="E89" s="1">
        <f>'[1]buses-marginal_price'!E89</f>
        <v>17.60452076568405</v>
      </c>
      <c r="F89" s="1">
        <f>'[1]buses-marginal_price'!F89</f>
        <v>17.614520765684059</v>
      </c>
      <c r="G89" s="40">
        <f t="shared" si="2"/>
        <v>18.7</v>
      </c>
      <c r="H89" s="1">
        <v>0.1</v>
      </c>
      <c r="I89" s="1">
        <v>22</v>
      </c>
      <c r="J89" s="1">
        <v>18.7</v>
      </c>
      <c r="K89" s="1">
        <v>14</v>
      </c>
      <c r="L89" s="1">
        <f>'[1]buses-marginal_price'!G89</f>
        <v>0</v>
      </c>
      <c r="M89" s="1">
        <f>'[1]buses-marginal_price'!H89</f>
        <v>8.4999999999999992E-2</v>
      </c>
      <c r="N89" s="1">
        <f>'[1]buses-marginal_price'!I89</f>
        <v>25.063601093834361</v>
      </c>
      <c r="O89" s="1">
        <f>'[1]buses-marginal_price'!J89</f>
        <v>0</v>
      </c>
      <c r="P89" s="1">
        <f>'[1]buses-marginal_price'!K89</f>
        <v>17.544520765684052</v>
      </c>
      <c r="Q89" s="1">
        <f>'[1]buses-marginal_price'!L89</f>
        <v>17.50452076568406</v>
      </c>
      <c r="R89" s="1">
        <f>'[1]buses-marginal_price'!M89</f>
        <v>25.363601093834369</v>
      </c>
      <c r="S89" s="1">
        <f>'[1]buses-marginal_price'!N89</f>
        <v>25.26360109383436</v>
      </c>
      <c r="T89" s="1">
        <f>'[1]buses-marginal_price'!O89</f>
        <v>25.163601093834369</v>
      </c>
      <c r="U89" s="1">
        <f>'[1]buses-marginal_price'!P89</f>
        <v>25.163601093834369</v>
      </c>
      <c r="V89" s="40">
        <f t="shared" si="3"/>
        <v>25.363601093834369</v>
      </c>
    </row>
    <row r="90" spans="1:22">
      <c r="A90" s="1">
        <f>'[1]buses-marginal_price'!A90</f>
        <v>88</v>
      </c>
      <c r="B90" s="1">
        <f>'[1]buses-marginal_price'!B90</f>
        <v>17.60452076568405</v>
      </c>
      <c r="C90" s="1">
        <f>'[1]buses-marginal_price'!C90</f>
        <v>18.7</v>
      </c>
      <c r="D90" s="1">
        <f>'[1]buses-marginal_price'!D90</f>
        <v>25.163601093834369</v>
      </c>
      <c r="E90" s="1">
        <f>'[1]buses-marginal_price'!E90</f>
        <v>17.60452076568405</v>
      </c>
      <c r="F90" s="1">
        <f>'[1]buses-marginal_price'!F90</f>
        <v>17.614520765684059</v>
      </c>
      <c r="G90" s="40">
        <f t="shared" si="2"/>
        <v>18.7</v>
      </c>
      <c r="H90" s="1">
        <v>0.1</v>
      </c>
      <c r="I90" s="1">
        <v>22</v>
      </c>
      <c r="J90" s="1">
        <v>18.7</v>
      </c>
      <c r="K90" s="1">
        <v>14</v>
      </c>
      <c r="L90" s="1">
        <f>'[1]buses-marginal_price'!G90</f>
        <v>0</v>
      </c>
      <c r="M90" s="1">
        <f>'[1]buses-marginal_price'!H90</f>
        <v>8.4999999999999992E-2</v>
      </c>
      <c r="N90" s="1">
        <f>'[1]buses-marginal_price'!I90</f>
        <v>25.063601093834361</v>
      </c>
      <c r="O90" s="1">
        <f>'[1]buses-marginal_price'!J90</f>
        <v>0</v>
      </c>
      <c r="P90" s="1">
        <f>'[1]buses-marginal_price'!K90</f>
        <v>17.544520765684052</v>
      </c>
      <c r="Q90" s="1">
        <f>'[1]buses-marginal_price'!L90</f>
        <v>17.50452076568406</v>
      </c>
      <c r="R90" s="1">
        <f>'[1]buses-marginal_price'!M90</f>
        <v>25.363601093834369</v>
      </c>
      <c r="S90" s="1">
        <f>'[1]buses-marginal_price'!N90</f>
        <v>25.26360109383436</v>
      </c>
      <c r="T90" s="1">
        <f>'[1]buses-marginal_price'!O90</f>
        <v>0</v>
      </c>
      <c r="U90" s="1">
        <f>'[1]buses-marginal_price'!P90</f>
        <v>25.163601093834369</v>
      </c>
      <c r="V90" s="40">
        <f t="shared" si="3"/>
        <v>25.363601093834369</v>
      </c>
    </row>
    <row r="91" spans="1:22">
      <c r="A91" s="1">
        <f>'[1]buses-marginal_price'!A91</f>
        <v>89</v>
      </c>
      <c r="B91" s="1">
        <f>'[1]buses-marginal_price'!B91</f>
        <v>22</v>
      </c>
      <c r="C91" s="1">
        <f>'[1]buses-marginal_price'!C91</f>
        <v>18.7</v>
      </c>
      <c r="D91" s="1">
        <f>'[1]buses-marginal_price'!D91</f>
        <v>31.44285714285714</v>
      </c>
      <c r="E91" s="1">
        <f>'[1]buses-marginal_price'!E91</f>
        <v>22</v>
      </c>
      <c r="F91" s="1">
        <f>'[1]buses-marginal_price'!F91</f>
        <v>22.01</v>
      </c>
      <c r="G91" s="40">
        <f t="shared" si="2"/>
        <v>21.9</v>
      </c>
      <c r="H91" s="1">
        <v>0.1</v>
      </c>
      <c r="I91" s="1">
        <v>22</v>
      </c>
      <c r="J91" s="1">
        <v>18.7</v>
      </c>
      <c r="K91" s="1">
        <v>14</v>
      </c>
      <c r="L91" s="1">
        <f>'[1]buses-marginal_price'!G91</f>
        <v>6.3749999999999987E-2</v>
      </c>
      <c r="M91" s="1">
        <f>'[1]buses-marginal_price'!H91</f>
        <v>8.4999999999999992E-2</v>
      </c>
      <c r="N91" s="1">
        <f>'[1]buses-marginal_price'!I91</f>
        <v>31.342857142857142</v>
      </c>
      <c r="O91" s="1">
        <f>'[1]buses-marginal_price'!J91</f>
        <v>6.3749999999999987E-2</v>
      </c>
      <c r="P91" s="1">
        <f>'[1]buses-marginal_price'!K91</f>
        <v>21.939999999999991</v>
      </c>
      <c r="Q91" s="1">
        <f>'[1]buses-marginal_price'!L91</f>
        <v>21.9</v>
      </c>
      <c r="R91" s="1">
        <f>'[1]buses-marginal_price'!M91</f>
        <v>31.642857142857139</v>
      </c>
      <c r="S91" s="1">
        <f>'[1]buses-marginal_price'!N91</f>
        <v>31.542857142857141</v>
      </c>
      <c r="T91" s="1">
        <f>'[1]buses-marginal_price'!O91</f>
        <v>0</v>
      </c>
      <c r="U91" s="1">
        <f>'[1]buses-marginal_price'!P91</f>
        <v>31.44285714285714</v>
      </c>
      <c r="V91" s="40">
        <f t="shared" si="3"/>
        <v>31.642857142857139</v>
      </c>
    </row>
    <row r="92" spans="1:22">
      <c r="A92" s="1">
        <f>'[1]buses-marginal_price'!A92</f>
        <v>90</v>
      </c>
      <c r="B92" s="1">
        <f>'[1]buses-marginal_price'!B92</f>
        <v>22</v>
      </c>
      <c r="C92" s="1">
        <f>'[1]buses-marginal_price'!C92</f>
        <v>18.7</v>
      </c>
      <c r="D92" s="1">
        <f>'[1]buses-marginal_price'!D92</f>
        <v>31.44285714285714</v>
      </c>
      <c r="E92" s="1">
        <f>'[1]buses-marginal_price'!E92</f>
        <v>22</v>
      </c>
      <c r="F92" s="1">
        <f>'[1]buses-marginal_price'!F92</f>
        <v>22.01</v>
      </c>
      <c r="G92" s="40">
        <f t="shared" si="2"/>
        <v>21.9</v>
      </c>
      <c r="H92" s="1">
        <v>0.1</v>
      </c>
      <c r="I92" s="1">
        <v>22</v>
      </c>
      <c r="J92" s="1">
        <v>18.7</v>
      </c>
      <c r="K92" s="1">
        <v>14</v>
      </c>
      <c r="L92" s="1">
        <f>'[1]buses-marginal_price'!G92</f>
        <v>9.9999999999999992E-2</v>
      </c>
      <c r="M92" s="1">
        <f>'[1]buses-marginal_price'!H92</f>
        <v>8.4999999999999992E-2</v>
      </c>
      <c r="N92" s="1">
        <f>'[1]buses-marginal_price'!I92</f>
        <v>31.542857142857141</v>
      </c>
      <c r="O92" s="1">
        <f>'[1]buses-marginal_price'!J92</f>
        <v>9.9999999999999992E-2</v>
      </c>
      <c r="P92" s="1">
        <f>'[1]buses-marginal_price'!K92</f>
        <v>22.08</v>
      </c>
      <c r="Q92" s="1">
        <f>'[1]buses-marginal_price'!L92</f>
        <v>21.9</v>
      </c>
      <c r="R92" s="1">
        <f>'[1]buses-marginal_price'!M92</f>
        <v>31.642857142857139</v>
      </c>
      <c r="S92" s="1">
        <f>'[1]buses-marginal_price'!N92</f>
        <v>31.542857142857141</v>
      </c>
      <c r="T92" s="1">
        <f>'[1]buses-marginal_price'!O92</f>
        <v>0</v>
      </c>
      <c r="U92" s="1">
        <f>'[1]buses-marginal_price'!P92</f>
        <v>31.44285714285714</v>
      </c>
      <c r="V92" s="40">
        <f t="shared" si="3"/>
        <v>31.642857142857139</v>
      </c>
    </row>
    <row r="93" spans="1:22">
      <c r="A93" s="1">
        <f>'[1]buses-marginal_price'!A93</f>
        <v>91</v>
      </c>
      <c r="B93" s="1">
        <f>'[1]buses-marginal_price'!B93</f>
        <v>22</v>
      </c>
      <c r="C93" s="1">
        <f>'[1]buses-marginal_price'!C93</f>
        <v>18.7</v>
      </c>
      <c r="D93" s="1">
        <f>'[1]buses-marginal_price'!D93</f>
        <v>31.44285714285714</v>
      </c>
      <c r="E93" s="1">
        <f>'[1]buses-marginal_price'!E93</f>
        <v>22</v>
      </c>
      <c r="F93" s="1">
        <f>'[1]buses-marginal_price'!F93</f>
        <v>22.01</v>
      </c>
      <c r="G93" s="40">
        <f t="shared" si="2"/>
        <v>21.9</v>
      </c>
      <c r="H93" s="1">
        <v>0.1</v>
      </c>
      <c r="I93" s="1">
        <v>22</v>
      </c>
      <c r="J93" s="1">
        <v>18.7</v>
      </c>
      <c r="K93" s="1">
        <v>14</v>
      </c>
      <c r="L93" s="1">
        <f>'[1]buses-marginal_price'!G93</f>
        <v>9.9999999999999992E-2</v>
      </c>
      <c r="M93" s="1">
        <f>'[1]buses-marginal_price'!H93</f>
        <v>8.4999999999999992E-2</v>
      </c>
      <c r="N93" s="1">
        <f>'[1]buses-marginal_price'!I93</f>
        <v>31.342857142857142</v>
      </c>
      <c r="O93" s="1">
        <f>'[1]buses-marginal_price'!J93</f>
        <v>9.9999999999999992E-2</v>
      </c>
      <c r="P93" s="1">
        <f>'[1]buses-marginal_price'!K93</f>
        <v>21.939999999999991</v>
      </c>
      <c r="Q93" s="1">
        <f>'[1]buses-marginal_price'!L93</f>
        <v>21.9</v>
      </c>
      <c r="R93" s="1">
        <f>'[1]buses-marginal_price'!M93</f>
        <v>31.642857142857139</v>
      </c>
      <c r="S93" s="1">
        <f>'[1]buses-marginal_price'!N93</f>
        <v>31.542857142857141</v>
      </c>
      <c r="T93" s="1">
        <f>'[1]buses-marginal_price'!O93</f>
        <v>0</v>
      </c>
      <c r="U93" s="1">
        <f>'[1]buses-marginal_price'!P93</f>
        <v>31.44285714285714</v>
      </c>
      <c r="V93" s="40">
        <f t="shared" si="3"/>
        <v>31.642857142857139</v>
      </c>
    </row>
    <row r="94" spans="1:22">
      <c r="A94" s="1">
        <f>'[1]buses-marginal_price'!A94</f>
        <v>92</v>
      </c>
      <c r="B94" s="1">
        <f>'[1]buses-marginal_price'!B94</f>
        <v>22</v>
      </c>
      <c r="C94" s="1">
        <f>'[1]buses-marginal_price'!C94</f>
        <v>18.7</v>
      </c>
      <c r="D94" s="1">
        <f>'[1]buses-marginal_price'!D94</f>
        <v>31.44285714285714</v>
      </c>
      <c r="E94" s="1">
        <f>'[1]buses-marginal_price'!E94</f>
        <v>22</v>
      </c>
      <c r="F94" s="1">
        <f>'[1]buses-marginal_price'!F94</f>
        <v>22.01</v>
      </c>
      <c r="G94" s="40">
        <f t="shared" si="2"/>
        <v>21.9</v>
      </c>
      <c r="H94" s="1">
        <v>0.1</v>
      </c>
      <c r="I94" s="1">
        <v>22</v>
      </c>
      <c r="J94" s="1">
        <v>18.7</v>
      </c>
      <c r="K94" s="1">
        <v>14</v>
      </c>
      <c r="L94" s="1">
        <f>'[1]buses-marginal_price'!G94</f>
        <v>9.9999999999999992E-2</v>
      </c>
      <c r="M94" s="1">
        <f>'[1]buses-marginal_price'!H94</f>
        <v>8.4999999999999992E-2</v>
      </c>
      <c r="N94" s="1">
        <f>'[1]buses-marginal_price'!I94</f>
        <v>31.342857142857142</v>
      </c>
      <c r="O94" s="1">
        <f>'[1]buses-marginal_price'!J94</f>
        <v>9.9999999999999992E-2</v>
      </c>
      <c r="P94" s="1">
        <f>'[1]buses-marginal_price'!K94</f>
        <v>21.939999999999991</v>
      </c>
      <c r="Q94" s="1">
        <f>'[1]buses-marginal_price'!L94</f>
        <v>21.9</v>
      </c>
      <c r="R94" s="1">
        <f>'[1]buses-marginal_price'!M94</f>
        <v>31.642857142857139</v>
      </c>
      <c r="S94" s="1">
        <f>'[1]buses-marginal_price'!N94</f>
        <v>31.542857142857141</v>
      </c>
      <c r="T94" s="1">
        <f>'[1]buses-marginal_price'!O94</f>
        <v>0</v>
      </c>
      <c r="U94" s="1">
        <f>'[1]buses-marginal_price'!P94</f>
        <v>31.44285714285714</v>
      </c>
      <c r="V94" s="40">
        <f t="shared" si="3"/>
        <v>31.642857142857139</v>
      </c>
    </row>
    <row r="95" spans="1:22">
      <c r="A95" s="1">
        <f>'[1]buses-marginal_price'!A95</f>
        <v>93</v>
      </c>
      <c r="B95" s="1">
        <f>'[1]buses-marginal_price'!B95</f>
        <v>22</v>
      </c>
      <c r="C95" s="1">
        <f>'[1]buses-marginal_price'!C95</f>
        <v>18.7</v>
      </c>
      <c r="D95" s="1">
        <f>'[1]buses-marginal_price'!D95</f>
        <v>31.44285714285714</v>
      </c>
      <c r="E95" s="1">
        <f>'[1]buses-marginal_price'!E95</f>
        <v>22</v>
      </c>
      <c r="F95" s="1">
        <f>'[1]buses-marginal_price'!F95</f>
        <v>22.01</v>
      </c>
      <c r="G95" s="40">
        <f t="shared" si="2"/>
        <v>21.9</v>
      </c>
      <c r="H95" s="1">
        <v>0.1</v>
      </c>
      <c r="I95" s="1">
        <v>22</v>
      </c>
      <c r="J95" s="1">
        <v>18.7</v>
      </c>
      <c r="K95" s="1">
        <v>14</v>
      </c>
      <c r="L95" s="1">
        <f>'[1]buses-marginal_price'!G95</f>
        <v>9.9999999999999992E-2</v>
      </c>
      <c r="M95" s="1">
        <f>'[1]buses-marginal_price'!H95</f>
        <v>8.4999999999999992E-2</v>
      </c>
      <c r="N95" s="1">
        <f>'[1]buses-marginal_price'!I95</f>
        <v>31.342857142857142</v>
      </c>
      <c r="O95" s="1">
        <f>'[1]buses-marginal_price'!J95</f>
        <v>9.9999999999999992E-2</v>
      </c>
      <c r="P95" s="1">
        <f>'[1]buses-marginal_price'!K95</f>
        <v>21.939999999999991</v>
      </c>
      <c r="Q95" s="1">
        <f>'[1]buses-marginal_price'!L95</f>
        <v>21.9</v>
      </c>
      <c r="R95" s="1">
        <f>'[1]buses-marginal_price'!M95</f>
        <v>31.642857142857139</v>
      </c>
      <c r="S95" s="1">
        <f>'[1]buses-marginal_price'!N95</f>
        <v>31.542857142857141</v>
      </c>
      <c r="T95" s="1">
        <f>'[1]buses-marginal_price'!O95</f>
        <v>0</v>
      </c>
      <c r="U95" s="1">
        <f>'[1]buses-marginal_price'!P95</f>
        <v>31.44285714285714</v>
      </c>
      <c r="V95" s="40">
        <f t="shared" si="3"/>
        <v>31.642857142857139</v>
      </c>
    </row>
    <row r="96" spans="1:22">
      <c r="A96" s="1">
        <f>'[1]buses-marginal_price'!A96</f>
        <v>94</v>
      </c>
      <c r="B96" s="1">
        <f>'[1]buses-marginal_price'!B96</f>
        <v>22</v>
      </c>
      <c r="C96" s="1">
        <f>'[1]buses-marginal_price'!C96</f>
        <v>18.7</v>
      </c>
      <c r="D96" s="1">
        <f>'[1]buses-marginal_price'!D96</f>
        <v>31.44285714285714</v>
      </c>
      <c r="E96" s="1">
        <f>'[1]buses-marginal_price'!E96</f>
        <v>22</v>
      </c>
      <c r="F96" s="1">
        <f>'[1]buses-marginal_price'!F96</f>
        <v>22.01</v>
      </c>
      <c r="G96" s="40">
        <f t="shared" si="2"/>
        <v>21.9</v>
      </c>
      <c r="H96" s="1">
        <v>0.1</v>
      </c>
      <c r="I96" s="1">
        <v>22</v>
      </c>
      <c r="J96" s="1">
        <v>18.7</v>
      </c>
      <c r="K96" s="1">
        <v>14</v>
      </c>
      <c r="L96" s="1">
        <f>'[1]buses-marginal_price'!G96</f>
        <v>9.9999999999999992E-2</v>
      </c>
      <c r="M96" s="1">
        <f>'[1]buses-marginal_price'!H96</f>
        <v>8.4999999999999992E-2</v>
      </c>
      <c r="N96" s="1">
        <f>'[1]buses-marginal_price'!I96</f>
        <v>31.342857142857142</v>
      </c>
      <c r="O96" s="1">
        <f>'[1]buses-marginal_price'!J96</f>
        <v>9.9999999999999992E-2</v>
      </c>
      <c r="P96" s="1">
        <f>'[1]buses-marginal_price'!K96</f>
        <v>21.939999999999991</v>
      </c>
      <c r="Q96" s="1">
        <f>'[1]buses-marginal_price'!L96</f>
        <v>21.9</v>
      </c>
      <c r="R96" s="1">
        <f>'[1]buses-marginal_price'!M96</f>
        <v>31.642857142857139</v>
      </c>
      <c r="S96" s="1">
        <f>'[1]buses-marginal_price'!N96</f>
        <v>31.542857142857141</v>
      </c>
      <c r="T96" s="1">
        <f>'[1]buses-marginal_price'!O96</f>
        <v>0</v>
      </c>
      <c r="U96" s="1">
        <f>'[1]buses-marginal_price'!P96</f>
        <v>31.44285714285714</v>
      </c>
      <c r="V96" s="40">
        <f t="shared" si="3"/>
        <v>31.642857142857139</v>
      </c>
    </row>
    <row r="97" spans="1:22">
      <c r="A97" s="1">
        <f>'[1]buses-marginal_price'!A97</f>
        <v>95</v>
      </c>
      <c r="B97" s="1">
        <f>'[1]buses-marginal_price'!B97</f>
        <v>22</v>
      </c>
      <c r="C97" s="1">
        <f>'[1]buses-marginal_price'!C97</f>
        <v>18.7</v>
      </c>
      <c r="D97" s="1">
        <f>'[1]buses-marginal_price'!D97</f>
        <v>31.44285714285714</v>
      </c>
      <c r="E97" s="1">
        <f>'[1]buses-marginal_price'!E97</f>
        <v>22</v>
      </c>
      <c r="F97" s="1">
        <f>'[1]buses-marginal_price'!F97</f>
        <v>22.01</v>
      </c>
      <c r="G97" s="40">
        <f t="shared" si="2"/>
        <v>21.9</v>
      </c>
      <c r="H97" s="1">
        <v>0.1</v>
      </c>
      <c r="I97" s="1">
        <v>22</v>
      </c>
      <c r="J97" s="1">
        <v>18.7</v>
      </c>
      <c r="K97" s="1">
        <v>14</v>
      </c>
      <c r="L97" s="1">
        <f>'[1]buses-marginal_price'!G97</f>
        <v>9.9999999999999992E-2</v>
      </c>
      <c r="M97" s="1">
        <f>'[1]buses-marginal_price'!H97</f>
        <v>8.4999999999999992E-2</v>
      </c>
      <c r="N97" s="1">
        <f>'[1]buses-marginal_price'!I97</f>
        <v>31.342857142857142</v>
      </c>
      <c r="O97" s="1">
        <f>'[1]buses-marginal_price'!J97</f>
        <v>9.9999999999999992E-2</v>
      </c>
      <c r="P97" s="1">
        <f>'[1]buses-marginal_price'!K97</f>
        <v>21.939999999999991</v>
      </c>
      <c r="Q97" s="1">
        <f>'[1]buses-marginal_price'!L97</f>
        <v>21.9</v>
      </c>
      <c r="R97" s="1">
        <f>'[1]buses-marginal_price'!M97</f>
        <v>31.642857142857139</v>
      </c>
      <c r="S97" s="1">
        <f>'[1]buses-marginal_price'!N97</f>
        <v>31.542857142857141</v>
      </c>
      <c r="T97" s="1">
        <f>'[1]buses-marginal_price'!O97</f>
        <v>31.44285714285714</v>
      </c>
      <c r="U97" s="1">
        <f>'[1]buses-marginal_price'!P97</f>
        <v>31.44285714285714</v>
      </c>
      <c r="V97" s="40">
        <f t="shared" si="3"/>
        <v>31.642857142857139</v>
      </c>
    </row>
    <row r="98" spans="1:22">
      <c r="A98" s="1">
        <f>'[1]buses-marginal_price'!A98</f>
        <v>96</v>
      </c>
      <c r="B98" s="1">
        <f>'[1]buses-marginal_price'!B98</f>
        <v>22</v>
      </c>
      <c r="C98" s="1">
        <f>'[1]buses-marginal_price'!C98</f>
        <v>18.7</v>
      </c>
      <c r="D98" s="1">
        <f>'[1]buses-marginal_price'!D98</f>
        <v>31.44285714285714</v>
      </c>
      <c r="E98" s="1">
        <f>'[1]buses-marginal_price'!E98</f>
        <v>22</v>
      </c>
      <c r="F98" s="1">
        <f>'[1]buses-marginal_price'!F98</f>
        <v>22.01</v>
      </c>
      <c r="G98" s="40">
        <f t="shared" si="2"/>
        <v>21.9</v>
      </c>
      <c r="H98" s="1">
        <v>0.1</v>
      </c>
      <c r="I98" s="1">
        <v>22</v>
      </c>
      <c r="J98" s="1">
        <v>18.7</v>
      </c>
      <c r="K98" s="1">
        <v>14</v>
      </c>
      <c r="L98" s="1">
        <f>'[1]buses-marginal_price'!G98</f>
        <v>0.1</v>
      </c>
      <c r="M98" s="1">
        <f>'[1]buses-marginal_price'!H98</f>
        <v>8.4999999999999992E-2</v>
      </c>
      <c r="N98" s="1">
        <f>'[1]buses-marginal_price'!I98</f>
        <v>31.342857142857142</v>
      </c>
      <c r="O98" s="1">
        <f>'[1]buses-marginal_price'!J98</f>
        <v>0.1</v>
      </c>
      <c r="P98" s="1">
        <f>'[1]buses-marginal_price'!K98</f>
        <v>21.939999999999991</v>
      </c>
      <c r="Q98" s="1">
        <f>'[1]buses-marginal_price'!L98</f>
        <v>21.9</v>
      </c>
      <c r="R98" s="1">
        <f>'[1]buses-marginal_price'!M98</f>
        <v>31.642857142857139</v>
      </c>
      <c r="S98" s="1">
        <f>'[1]buses-marginal_price'!N98</f>
        <v>31.542857142857141</v>
      </c>
      <c r="T98" s="1">
        <f>'[1]buses-marginal_price'!O98</f>
        <v>31.44285714285714</v>
      </c>
      <c r="U98" s="1">
        <f>'[1]buses-marginal_price'!P98</f>
        <v>31.44285714285714</v>
      </c>
      <c r="V98" s="40">
        <f t="shared" si="3"/>
        <v>31.642857142857139</v>
      </c>
    </row>
    <row r="99" spans="1:22">
      <c r="A99" s="1">
        <f>'[1]buses-marginal_price'!A99</f>
        <v>97</v>
      </c>
      <c r="B99" s="1">
        <f>'[1]buses-marginal_price'!B99</f>
        <v>22</v>
      </c>
      <c r="C99" s="1">
        <f>'[1]buses-marginal_price'!C99</f>
        <v>18.7</v>
      </c>
      <c r="D99" s="1">
        <f>'[1]buses-marginal_price'!D99</f>
        <v>31.44285714285714</v>
      </c>
      <c r="E99" s="1">
        <f>'[1]buses-marginal_price'!E99</f>
        <v>22</v>
      </c>
      <c r="F99" s="1">
        <f>'[1]buses-marginal_price'!F99</f>
        <v>22.01</v>
      </c>
      <c r="G99" s="40">
        <f t="shared" si="2"/>
        <v>22.1</v>
      </c>
      <c r="H99" s="1">
        <v>0.1</v>
      </c>
      <c r="I99" s="1">
        <v>22</v>
      </c>
      <c r="J99" s="1">
        <v>18.7</v>
      </c>
      <c r="K99" s="1">
        <v>14</v>
      </c>
      <c r="L99" s="1">
        <f>'[1]buses-marginal_price'!G99</f>
        <v>0.1</v>
      </c>
      <c r="M99" s="1">
        <f>'[1]buses-marginal_price'!H99</f>
        <v>8.4999999999999992E-2</v>
      </c>
      <c r="N99" s="1">
        <f>'[1]buses-marginal_price'!I99</f>
        <v>31.342857142857142</v>
      </c>
      <c r="O99" s="1">
        <f>'[1]buses-marginal_price'!J99</f>
        <v>0.1</v>
      </c>
      <c r="P99" s="1">
        <f>'[1]buses-marginal_price'!K99</f>
        <v>21.939999999999991</v>
      </c>
      <c r="Q99" s="1">
        <f>'[1]buses-marginal_price'!L99</f>
        <v>22.1</v>
      </c>
      <c r="R99" s="1">
        <f>'[1]buses-marginal_price'!M99</f>
        <v>31.642857142857139</v>
      </c>
      <c r="S99" s="1">
        <f>'[1]buses-marginal_price'!N99</f>
        <v>31.542857142857141</v>
      </c>
      <c r="T99" s="1">
        <f>'[1]buses-marginal_price'!O99</f>
        <v>31.44285714285714</v>
      </c>
      <c r="U99" s="1">
        <f>'[1]buses-marginal_price'!P99</f>
        <v>31.44285714285714</v>
      </c>
      <c r="V99" s="40">
        <f t="shared" si="3"/>
        <v>31.642857142857139</v>
      </c>
    </row>
    <row r="100" spans="1:22">
      <c r="A100" s="1">
        <f>'[1]buses-marginal_price'!A100</f>
        <v>98</v>
      </c>
      <c r="B100" s="1">
        <f>'[1]buses-marginal_price'!B100</f>
        <v>22</v>
      </c>
      <c r="C100" s="1">
        <f>'[1]buses-marginal_price'!C100</f>
        <v>18.7</v>
      </c>
      <c r="D100" s="1">
        <f>'[1]buses-marginal_price'!D100</f>
        <v>31.44285714285714</v>
      </c>
      <c r="E100" s="1">
        <f>'[1]buses-marginal_price'!E100</f>
        <v>22</v>
      </c>
      <c r="F100" s="1">
        <f>'[1]buses-marginal_price'!F100</f>
        <v>22.01</v>
      </c>
      <c r="G100" s="40">
        <f t="shared" si="2"/>
        <v>22.1</v>
      </c>
      <c r="H100" s="1">
        <v>0.1</v>
      </c>
      <c r="I100" s="1">
        <v>22</v>
      </c>
      <c r="J100" s="1">
        <v>18.7</v>
      </c>
      <c r="K100" s="1">
        <v>14</v>
      </c>
      <c r="L100" s="1">
        <f>'[1]buses-marginal_price'!G100</f>
        <v>0.1</v>
      </c>
      <c r="M100" s="1">
        <f>'[1]buses-marginal_price'!H100</f>
        <v>8.4999999999999992E-2</v>
      </c>
      <c r="N100" s="1">
        <f>'[1]buses-marginal_price'!I100</f>
        <v>31.342857142857142</v>
      </c>
      <c r="O100" s="1">
        <f>'[1]buses-marginal_price'!J100</f>
        <v>0.1</v>
      </c>
      <c r="P100" s="1">
        <f>'[1]buses-marginal_price'!K100</f>
        <v>21.939999999999991</v>
      </c>
      <c r="Q100" s="1">
        <f>'[1]buses-marginal_price'!L100</f>
        <v>22.1</v>
      </c>
      <c r="R100" s="1">
        <f>'[1]buses-marginal_price'!M100</f>
        <v>31.642857142857139</v>
      </c>
      <c r="S100" s="1">
        <f>'[1]buses-marginal_price'!N100</f>
        <v>31.542857142857141</v>
      </c>
      <c r="T100" s="1">
        <f>'[1]buses-marginal_price'!O100</f>
        <v>31.44285714285714</v>
      </c>
      <c r="U100" s="1">
        <f>'[1]buses-marginal_price'!P100</f>
        <v>31.44285714285714</v>
      </c>
      <c r="V100" s="40">
        <f t="shared" si="3"/>
        <v>31.642857142857139</v>
      </c>
    </row>
    <row r="101" spans="1:22">
      <c r="A101" s="1">
        <f>'[1]buses-marginal_price'!A101</f>
        <v>99</v>
      </c>
      <c r="B101" s="1">
        <f>'[1]buses-marginal_price'!B101</f>
        <v>22</v>
      </c>
      <c r="C101" s="1">
        <f>'[1]buses-marginal_price'!C101</f>
        <v>18.7</v>
      </c>
      <c r="D101" s="1">
        <f>'[1]buses-marginal_price'!D101</f>
        <v>31.44285714285714</v>
      </c>
      <c r="E101" s="1">
        <f>'[1]buses-marginal_price'!E101</f>
        <v>22</v>
      </c>
      <c r="F101" s="1">
        <f>'[1]buses-marginal_price'!F101</f>
        <v>22.01</v>
      </c>
      <c r="G101" s="40">
        <f t="shared" si="2"/>
        <v>21.9</v>
      </c>
      <c r="H101" s="1">
        <v>0.1</v>
      </c>
      <c r="I101" s="1">
        <v>22</v>
      </c>
      <c r="J101" s="1">
        <v>18.7</v>
      </c>
      <c r="K101" s="1">
        <v>14</v>
      </c>
      <c r="L101" s="1">
        <f>'[1]buses-marginal_price'!G101</f>
        <v>0.1</v>
      </c>
      <c r="M101" s="1">
        <f>'[1]buses-marginal_price'!H101</f>
        <v>8.4999999999999992E-2</v>
      </c>
      <c r="N101" s="1">
        <f>'[1]buses-marginal_price'!I101</f>
        <v>31.342857142857142</v>
      </c>
      <c r="O101" s="1">
        <f>'[1]buses-marginal_price'!J101</f>
        <v>0.1</v>
      </c>
      <c r="P101" s="1">
        <f>'[1]buses-marginal_price'!K101</f>
        <v>21.939999999999991</v>
      </c>
      <c r="Q101" s="1">
        <f>'[1]buses-marginal_price'!L101</f>
        <v>21.9</v>
      </c>
      <c r="R101" s="1">
        <f>'[1]buses-marginal_price'!M101</f>
        <v>31.642857142857139</v>
      </c>
      <c r="S101" s="1">
        <f>'[1]buses-marginal_price'!N101</f>
        <v>31.542857142857141</v>
      </c>
      <c r="T101" s="1">
        <f>'[1]buses-marginal_price'!O101</f>
        <v>31.44285714285714</v>
      </c>
      <c r="U101" s="1">
        <f>'[1]buses-marginal_price'!P101</f>
        <v>31.44285714285714</v>
      </c>
      <c r="V101" s="40">
        <f t="shared" si="3"/>
        <v>31.642857142857139</v>
      </c>
    </row>
    <row r="102" spans="1:22">
      <c r="A102" s="1">
        <f>'[1]buses-marginal_price'!A102</f>
        <v>100</v>
      </c>
      <c r="B102" s="1">
        <f>'[1]buses-marginal_price'!B102</f>
        <v>22</v>
      </c>
      <c r="C102" s="1">
        <f>'[1]buses-marginal_price'!C102</f>
        <v>18.7</v>
      </c>
      <c r="D102" s="1">
        <f>'[1]buses-marginal_price'!D102</f>
        <v>31.44285714285714</v>
      </c>
      <c r="E102" s="1">
        <f>'[1]buses-marginal_price'!E102</f>
        <v>22</v>
      </c>
      <c r="F102" s="1">
        <f>'[1]buses-marginal_price'!F102</f>
        <v>22.01</v>
      </c>
      <c r="G102" s="40">
        <f t="shared" si="2"/>
        <v>21.9</v>
      </c>
      <c r="H102" s="1">
        <v>0.1</v>
      </c>
      <c r="I102" s="1">
        <v>22</v>
      </c>
      <c r="J102" s="1">
        <v>18.7</v>
      </c>
      <c r="K102" s="1">
        <v>14</v>
      </c>
      <c r="L102" s="1">
        <f>'[1]buses-marginal_price'!G102</f>
        <v>0.1</v>
      </c>
      <c r="M102" s="1">
        <f>'[1]buses-marginal_price'!H102</f>
        <v>8.4999999999999992E-2</v>
      </c>
      <c r="N102" s="1">
        <f>'[1]buses-marginal_price'!I102</f>
        <v>31.342857142857142</v>
      </c>
      <c r="O102" s="1">
        <f>'[1]buses-marginal_price'!J102</f>
        <v>0.1</v>
      </c>
      <c r="P102" s="1">
        <f>'[1]buses-marginal_price'!K102</f>
        <v>21.939999999999991</v>
      </c>
      <c r="Q102" s="1">
        <f>'[1]buses-marginal_price'!L102</f>
        <v>21.9</v>
      </c>
      <c r="R102" s="1">
        <f>'[1]buses-marginal_price'!M102</f>
        <v>31.642857142857139</v>
      </c>
      <c r="S102" s="1">
        <f>'[1]buses-marginal_price'!N102</f>
        <v>31.542857142857141</v>
      </c>
      <c r="T102" s="1">
        <f>'[1]buses-marginal_price'!O102</f>
        <v>31.44285714285714</v>
      </c>
      <c r="U102" s="1">
        <f>'[1]buses-marginal_price'!P102</f>
        <v>31.44285714285714</v>
      </c>
      <c r="V102" s="40">
        <f t="shared" si="3"/>
        <v>31.642857142857139</v>
      </c>
    </row>
    <row r="103" spans="1:22">
      <c r="A103" s="1">
        <f>'[1]buses-marginal_price'!A103</f>
        <v>101</v>
      </c>
      <c r="B103" s="1">
        <f>'[1]buses-marginal_price'!B103</f>
        <v>22</v>
      </c>
      <c r="C103" s="1">
        <f>'[1]buses-marginal_price'!C103</f>
        <v>18.7</v>
      </c>
      <c r="D103" s="1">
        <f>'[1]buses-marginal_price'!D103</f>
        <v>31.44285714285714</v>
      </c>
      <c r="E103" s="1">
        <f>'[1]buses-marginal_price'!E103</f>
        <v>22</v>
      </c>
      <c r="F103" s="1">
        <f>'[1]buses-marginal_price'!F103</f>
        <v>22.01</v>
      </c>
      <c r="G103" s="40">
        <f t="shared" si="2"/>
        <v>22.1</v>
      </c>
      <c r="H103" s="1">
        <v>0.1</v>
      </c>
      <c r="I103" s="1">
        <v>22</v>
      </c>
      <c r="J103" s="1">
        <v>18.7</v>
      </c>
      <c r="K103" s="1">
        <v>14</v>
      </c>
      <c r="L103" s="1">
        <f>'[1]buses-marginal_price'!G103</f>
        <v>0.1</v>
      </c>
      <c r="M103" s="1">
        <f>'[1]buses-marginal_price'!H103</f>
        <v>8.4999999999999992E-2</v>
      </c>
      <c r="N103" s="1">
        <f>'[1]buses-marginal_price'!I103</f>
        <v>31.342857142857142</v>
      </c>
      <c r="O103" s="1">
        <f>'[1]buses-marginal_price'!J103</f>
        <v>0.1</v>
      </c>
      <c r="P103" s="1">
        <f>'[1]buses-marginal_price'!K103</f>
        <v>21.939999999999991</v>
      </c>
      <c r="Q103" s="1">
        <f>'[1]buses-marginal_price'!L103</f>
        <v>22.1</v>
      </c>
      <c r="R103" s="1">
        <f>'[1]buses-marginal_price'!M103</f>
        <v>31.642857142857139</v>
      </c>
      <c r="S103" s="1">
        <f>'[1]buses-marginal_price'!N103</f>
        <v>31.542857142857141</v>
      </c>
      <c r="T103" s="1">
        <f>'[1]buses-marginal_price'!O103</f>
        <v>31.44285714285714</v>
      </c>
      <c r="U103" s="1">
        <f>'[1]buses-marginal_price'!P103</f>
        <v>31.44285714285714</v>
      </c>
      <c r="V103" s="40">
        <f t="shared" si="3"/>
        <v>31.642857142857139</v>
      </c>
    </row>
    <row r="104" spans="1:22">
      <c r="A104" s="1">
        <f>'[1]buses-marginal_price'!A104</f>
        <v>102</v>
      </c>
      <c r="B104" s="1">
        <f>'[1]buses-marginal_price'!B104</f>
        <v>22</v>
      </c>
      <c r="C104" s="1">
        <f>'[1]buses-marginal_price'!C104</f>
        <v>18.7</v>
      </c>
      <c r="D104" s="1">
        <f>'[1]buses-marginal_price'!D104</f>
        <v>31.44285714285714</v>
      </c>
      <c r="E104" s="1">
        <f>'[1]buses-marginal_price'!E104</f>
        <v>22</v>
      </c>
      <c r="F104" s="1">
        <f>'[1]buses-marginal_price'!F104</f>
        <v>22.01</v>
      </c>
      <c r="G104" s="40">
        <f t="shared" si="2"/>
        <v>22.1</v>
      </c>
      <c r="H104" s="1">
        <v>0.1</v>
      </c>
      <c r="I104" s="1">
        <v>22</v>
      </c>
      <c r="J104" s="1">
        <v>18.7</v>
      </c>
      <c r="K104" s="1">
        <v>14</v>
      </c>
      <c r="L104" s="1">
        <f>'[1]buses-marginal_price'!G104</f>
        <v>0.1</v>
      </c>
      <c r="M104" s="1">
        <f>'[1]buses-marginal_price'!H104</f>
        <v>8.4999999999999992E-2</v>
      </c>
      <c r="N104" s="1">
        <f>'[1]buses-marginal_price'!I104</f>
        <v>31.342857142857142</v>
      </c>
      <c r="O104" s="1">
        <f>'[1]buses-marginal_price'!J104</f>
        <v>0.1</v>
      </c>
      <c r="P104" s="1">
        <f>'[1]buses-marginal_price'!K104</f>
        <v>21.939999999999991</v>
      </c>
      <c r="Q104" s="1">
        <f>'[1]buses-marginal_price'!L104</f>
        <v>22.1</v>
      </c>
      <c r="R104" s="1">
        <f>'[1]buses-marginal_price'!M104</f>
        <v>31.642857142857139</v>
      </c>
      <c r="S104" s="1">
        <f>'[1]buses-marginal_price'!N104</f>
        <v>31.542857142857141</v>
      </c>
      <c r="T104" s="1">
        <f>'[1]buses-marginal_price'!O104</f>
        <v>31.44285714285714</v>
      </c>
      <c r="U104" s="1">
        <f>'[1]buses-marginal_price'!P104</f>
        <v>31.44285714285714</v>
      </c>
      <c r="V104" s="40">
        <f t="shared" si="3"/>
        <v>31.642857142857139</v>
      </c>
    </row>
    <row r="105" spans="1:22">
      <c r="A105" s="1">
        <f>'[1]buses-marginal_price'!A105</f>
        <v>103</v>
      </c>
      <c r="B105" s="1">
        <f>'[1]buses-marginal_price'!B105</f>
        <v>22</v>
      </c>
      <c r="C105" s="1">
        <f>'[1]buses-marginal_price'!C105</f>
        <v>18.7</v>
      </c>
      <c r="D105" s="1">
        <f>'[1]buses-marginal_price'!D105</f>
        <v>31.44285714285714</v>
      </c>
      <c r="E105" s="1">
        <f>'[1]buses-marginal_price'!E105</f>
        <v>22</v>
      </c>
      <c r="F105" s="1">
        <f>'[1]buses-marginal_price'!F105</f>
        <v>22.01</v>
      </c>
      <c r="G105" s="40">
        <f t="shared" si="2"/>
        <v>22.1</v>
      </c>
      <c r="H105" s="1">
        <v>0.1</v>
      </c>
      <c r="I105" s="1">
        <v>22</v>
      </c>
      <c r="J105" s="1">
        <v>18.7</v>
      </c>
      <c r="K105" s="1">
        <v>14</v>
      </c>
      <c r="L105" s="1">
        <f>'[1]buses-marginal_price'!G105</f>
        <v>0.1</v>
      </c>
      <c r="M105" s="1">
        <f>'[1]buses-marginal_price'!H105</f>
        <v>8.4999999999999992E-2</v>
      </c>
      <c r="N105" s="1">
        <f>'[1]buses-marginal_price'!I105</f>
        <v>31.342857142857142</v>
      </c>
      <c r="O105" s="1">
        <f>'[1]buses-marginal_price'!J105</f>
        <v>0.1</v>
      </c>
      <c r="P105" s="1">
        <f>'[1]buses-marginal_price'!K105</f>
        <v>21.939999999999991</v>
      </c>
      <c r="Q105" s="1">
        <f>'[1]buses-marginal_price'!L105</f>
        <v>22.1</v>
      </c>
      <c r="R105" s="1">
        <f>'[1]buses-marginal_price'!M105</f>
        <v>31.642857142857139</v>
      </c>
      <c r="S105" s="1">
        <f>'[1]buses-marginal_price'!N105</f>
        <v>31.542857142857141</v>
      </c>
      <c r="T105" s="1">
        <f>'[1]buses-marginal_price'!O105</f>
        <v>31.44285714285714</v>
      </c>
      <c r="U105" s="1">
        <f>'[1]buses-marginal_price'!P105</f>
        <v>31.44285714285714</v>
      </c>
      <c r="V105" s="40">
        <f t="shared" si="3"/>
        <v>31.642857142857139</v>
      </c>
    </row>
    <row r="106" spans="1:22">
      <c r="A106" s="1">
        <f>'[1]buses-marginal_price'!A106</f>
        <v>104</v>
      </c>
      <c r="B106" s="1">
        <f>'[1]buses-marginal_price'!B106</f>
        <v>22</v>
      </c>
      <c r="C106" s="1">
        <f>'[1]buses-marginal_price'!C106</f>
        <v>18.7</v>
      </c>
      <c r="D106" s="1">
        <f>'[1]buses-marginal_price'!D106</f>
        <v>31.44285714285714</v>
      </c>
      <c r="E106" s="1">
        <f>'[1]buses-marginal_price'!E106</f>
        <v>22</v>
      </c>
      <c r="F106" s="1">
        <f>'[1]buses-marginal_price'!F106</f>
        <v>22.01</v>
      </c>
      <c r="G106" s="40">
        <f t="shared" si="2"/>
        <v>22.1</v>
      </c>
      <c r="H106" s="1">
        <v>0.1</v>
      </c>
      <c r="I106" s="1">
        <v>22</v>
      </c>
      <c r="J106" s="1">
        <v>18.7</v>
      </c>
      <c r="K106" s="1">
        <v>14</v>
      </c>
      <c r="L106" s="1">
        <f>'[1]buses-marginal_price'!G106</f>
        <v>0.1</v>
      </c>
      <c r="M106" s="1">
        <f>'[1]buses-marginal_price'!H106</f>
        <v>8.4999999999999992E-2</v>
      </c>
      <c r="N106" s="1">
        <f>'[1]buses-marginal_price'!I106</f>
        <v>31.342857142857142</v>
      </c>
      <c r="O106" s="1">
        <f>'[1]buses-marginal_price'!J106</f>
        <v>0.1</v>
      </c>
      <c r="P106" s="1">
        <f>'[1]buses-marginal_price'!K106</f>
        <v>21.939999999999991</v>
      </c>
      <c r="Q106" s="1">
        <f>'[1]buses-marginal_price'!L106</f>
        <v>22.1</v>
      </c>
      <c r="R106" s="1">
        <f>'[1]buses-marginal_price'!M106</f>
        <v>31.642857142857139</v>
      </c>
      <c r="S106" s="1">
        <f>'[1]buses-marginal_price'!N106</f>
        <v>31.542857142857141</v>
      </c>
      <c r="T106" s="1">
        <f>'[1]buses-marginal_price'!O106</f>
        <v>31.44285714285714</v>
      </c>
      <c r="U106" s="1">
        <f>'[1]buses-marginal_price'!P106</f>
        <v>31.44285714285714</v>
      </c>
      <c r="V106" s="40">
        <f t="shared" si="3"/>
        <v>31.642857142857139</v>
      </c>
    </row>
    <row r="107" spans="1:22">
      <c r="A107" s="1">
        <f>'[1]buses-marginal_price'!A107</f>
        <v>105</v>
      </c>
      <c r="B107" s="1">
        <f>'[1]buses-marginal_price'!B107</f>
        <v>14.025</v>
      </c>
      <c r="C107" s="1">
        <f>'[1]buses-marginal_price'!C107</f>
        <v>18.7</v>
      </c>
      <c r="D107" s="1">
        <f>'[1]buses-marginal_price'!D107</f>
        <v>20.05</v>
      </c>
      <c r="E107" s="1">
        <f>'[1]buses-marginal_price'!E107</f>
        <v>14.025</v>
      </c>
      <c r="F107" s="1">
        <f>'[1]buses-marginal_price'!F107</f>
        <v>14.035</v>
      </c>
      <c r="G107" s="40">
        <f t="shared" si="2"/>
        <v>18.7</v>
      </c>
      <c r="H107" s="1">
        <v>0.1</v>
      </c>
      <c r="I107" s="1">
        <v>22</v>
      </c>
      <c r="J107" s="1">
        <v>18.7</v>
      </c>
      <c r="K107" s="1">
        <v>14</v>
      </c>
      <c r="L107" s="1">
        <f>'[1]buses-marginal_price'!G107</f>
        <v>0.1</v>
      </c>
      <c r="M107" s="1">
        <f>'[1]buses-marginal_price'!H107</f>
        <v>8.4999999999999992E-2</v>
      </c>
      <c r="N107" s="1">
        <f>'[1]buses-marginal_price'!I107</f>
        <v>19.95</v>
      </c>
      <c r="O107" s="1">
        <f>'[1]buses-marginal_price'!J107</f>
        <v>0.1</v>
      </c>
      <c r="P107" s="1">
        <f>'[1]buses-marginal_price'!K107</f>
        <v>13.965</v>
      </c>
      <c r="Q107" s="1">
        <f>'[1]buses-marginal_price'!L107</f>
        <v>14.125</v>
      </c>
      <c r="R107" s="1">
        <f>'[1]buses-marginal_price'!M107</f>
        <v>20.25</v>
      </c>
      <c r="S107" s="1">
        <f>'[1]buses-marginal_price'!N107</f>
        <v>20.149999999999999</v>
      </c>
      <c r="T107" s="1">
        <f>'[1]buses-marginal_price'!O107</f>
        <v>20.149999999999999</v>
      </c>
      <c r="U107" s="1">
        <f>'[1]buses-marginal_price'!P107</f>
        <v>20.05</v>
      </c>
      <c r="V107" s="40">
        <f t="shared" si="3"/>
        <v>20.25</v>
      </c>
    </row>
    <row r="108" spans="1:22">
      <c r="A108" s="1">
        <f>'[1]buses-marginal_price'!A108</f>
        <v>106</v>
      </c>
      <c r="B108" s="1">
        <f>'[1]buses-marginal_price'!B108</f>
        <v>0</v>
      </c>
      <c r="C108" s="1">
        <f>'[1]buses-marginal_price'!C108</f>
        <v>18.7</v>
      </c>
      <c r="D108" s="1">
        <f>'[1]buses-marginal_price'!D108</f>
        <v>1.428571428571429E-2</v>
      </c>
      <c r="E108" s="1">
        <f>'[1]buses-marginal_price'!E108</f>
        <v>0</v>
      </c>
      <c r="F108" s="1">
        <f>'[1]buses-marginal_price'!F108</f>
        <v>0.01</v>
      </c>
      <c r="G108" s="40">
        <f t="shared" si="2"/>
        <v>18.7</v>
      </c>
      <c r="H108" s="1">
        <v>0.1</v>
      </c>
      <c r="I108" s="1">
        <v>22</v>
      </c>
      <c r="J108" s="1">
        <v>18.7</v>
      </c>
      <c r="K108" s="1">
        <v>14</v>
      </c>
      <c r="L108" s="1">
        <f>'[1]buses-marginal_price'!G108</f>
        <v>0</v>
      </c>
      <c r="M108" s="1">
        <f>'[1]buses-marginal_price'!H108</f>
        <v>8.4999999999999992E-2</v>
      </c>
      <c r="N108" s="1">
        <f>'[1]buses-marginal_price'!I108</f>
        <v>0</v>
      </c>
      <c r="O108" s="1">
        <f>'[1]buses-marginal_price'!J108</f>
        <v>0</v>
      </c>
      <c r="P108" s="1">
        <f>'[1]buses-marginal_price'!K108</f>
        <v>0</v>
      </c>
      <c r="Q108" s="1">
        <f>'[1]buses-marginal_price'!L108</f>
        <v>0.1</v>
      </c>
      <c r="R108" s="1">
        <f>'[1]buses-marginal_price'!M108</f>
        <v>0.2142857142857143</v>
      </c>
      <c r="S108" s="1">
        <f>'[1]buses-marginal_price'!N108</f>
        <v>0.1142857142857143</v>
      </c>
      <c r="T108" s="1">
        <f>'[1]buses-marginal_price'!O108</f>
        <v>0.1142857142857143</v>
      </c>
      <c r="U108" s="1">
        <f>'[1]buses-marginal_price'!P108</f>
        <v>1.428571428571429E-2</v>
      </c>
      <c r="V108" s="40">
        <f t="shared" si="3"/>
        <v>0.2142857142857143</v>
      </c>
    </row>
    <row r="109" spans="1:22">
      <c r="A109" s="1">
        <f>'[1]buses-marginal_price'!A109</f>
        <v>107</v>
      </c>
      <c r="B109" s="1">
        <f>'[1]buses-marginal_price'!B109</f>
        <v>0</v>
      </c>
      <c r="C109" s="1">
        <f>'[1]buses-marginal_price'!C109</f>
        <v>18.7</v>
      </c>
      <c r="D109" s="1">
        <f>'[1]buses-marginal_price'!D109</f>
        <v>1.428571428571429E-2</v>
      </c>
      <c r="E109" s="1">
        <f>'[1]buses-marginal_price'!E109</f>
        <v>0</v>
      </c>
      <c r="F109" s="1">
        <f>'[1]buses-marginal_price'!F109</f>
        <v>0.01</v>
      </c>
      <c r="G109" s="40">
        <f t="shared" si="2"/>
        <v>18.7</v>
      </c>
      <c r="H109" s="1">
        <v>0.1</v>
      </c>
      <c r="I109" s="1">
        <v>22</v>
      </c>
      <c r="J109" s="1">
        <v>18.7</v>
      </c>
      <c r="K109" s="1">
        <v>14</v>
      </c>
      <c r="L109" s="1">
        <f>'[1]buses-marginal_price'!G109</f>
        <v>0</v>
      </c>
      <c r="M109" s="1">
        <f>'[1]buses-marginal_price'!H109</f>
        <v>8.4999999999999992E-2</v>
      </c>
      <c r="N109" s="1">
        <f>'[1]buses-marginal_price'!I109</f>
        <v>0</v>
      </c>
      <c r="O109" s="1">
        <f>'[1]buses-marginal_price'!J109</f>
        <v>0</v>
      </c>
      <c r="P109" s="1">
        <f>'[1]buses-marginal_price'!K109</f>
        <v>0</v>
      </c>
      <c r="Q109" s="1">
        <f>'[1]buses-marginal_price'!L109</f>
        <v>0.1</v>
      </c>
      <c r="R109" s="1">
        <f>'[1]buses-marginal_price'!M109</f>
        <v>0.2142857142857143</v>
      </c>
      <c r="S109" s="1">
        <f>'[1]buses-marginal_price'!N109</f>
        <v>0.1142857142857143</v>
      </c>
      <c r="T109" s="1">
        <f>'[1]buses-marginal_price'!O109</f>
        <v>0.1142857142857143</v>
      </c>
      <c r="U109" s="1">
        <f>'[1]buses-marginal_price'!P109</f>
        <v>1.428571428571429E-2</v>
      </c>
      <c r="V109" s="40">
        <f t="shared" si="3"/>
        <v>0.2142857142857143</v>
      </c>
    </row>
    <row r="110" spans="1:22">
      <c r="A110" s="1">
        <f>'[1]buses-marginal_price'!A110</f>
        <v>108</v>
      </c>
      <c r="B110" s="1">
        <f>'[1]buses-marginal_price'!B110</f>
        <v>0</v>
      </c>
      <c r="C110" s="1">
        <f>'[1]buses-marginal_price'!C110</f>
        <v>18.7</v>
      </c>
      <c r="D110" s="1">
        <f>'[1]buses-marginal_price'!D110</f>
        <v>1.428571428571429E-2</v>
      </c>
      <c r="E110" s="1">
        <f>'[1]buses-marginal_price'!E110</f>
        <v>0</v>
      </c>
      <c r="F110" s="1">
        <f>'[1]buses-marginal_price'!F110</f>
        <v>0.01</v>
      </c>
      <c r="G110" s="40">
        <f t="shared" si="2"/>
        <v>18.7</v>
      </c>
      <c r="H110" s="1">
        <v>0.1</v>
      </c>
      <c r="I110" s="1">
        <v>22</v>
      </c>
      <c r="J110" s="1">
        <v>18.7</v>
      </c>
      <c r="K110" s="1">
        <v>14</v>
      </c>
      <c r="L110" s="1">
        <f>'[1]buses-marginal_price'!G110</f>
        <v>0</v>
      </c>
      <c r="M110" s="1">
        <f>'[1]buses-marginal_price'!H110</f>
        <v>8.4999999999999992E-2</v>
      </c>
      <c r="N110" s="1">
        <f>'[1]buses-marginal_price'!I110</f>
        <v>0</v>
      </c>
      <c r="O110" s="1">
        <f>'[1]buses-marginal_price'!J110</f>
        <v>0</v>
      </c>
      <c r="P110" s="1">
        <f>'[1]buses-marginal_price'!K110</f>
        <v>0</v>
      </c>
      <c r="Q110" s="1">
        <f>'[1]buses-marginal_price'!L110</f>
        <v>0.1</v>
      </c>
      <c r="R110" s="1">
        <f>'[1]buses-marginal_price'!M110</f>
        <v>0.2142857142857143</v>
      </c>
      <c r="S110" s="1">
        <f>'[1]buses-marginal_price'!N110</f>
        <v>0.1142857142857143</v>
      </c>
      <c r="T110" s="1">
        <f>'[1]buses-marginal_price'!O110</f>
        <v>0.1142857142857143</v>
      </c>
      <c r="U110" s="1">
        <f>'[1]buses-marginal_price'!P110</f>
        <v>1.428571428571429E-2</v>
      </c>
      <c r="V110" s="40">
        <f t="shared" si="3"/>
        <v>0.2142857142857143</v>
      </c>
    </row>
    <row r="111" spans="1:22">
      <c r="A111" s="1">
        <f>'[1]buses-marginal_price'!A111</f>
        <v>109</v>
      </c>
      <c r="B111" s="1">
        <f>'[1]buses-marginal_price'!B111</f>
        <v>0</v>
      </c>
      <c r="C111" s="1">
        <f>'[1]buses-marginal_price'!C111</f>
        <v>18.7</v>
      </c>
      <c r="D111" s="1">
        <f>'[1]buses-marginal_price'!D111</f>
        <v>1.428571428571429E-2</v>
      </c>
      <c r="E111" s="1">
        <f>'[1]buses-marginal_price'!E111</f>
        <v>0</v>
      </c>
      <c r="F111" s="1">
        <f>'[1]buses-marginal_price'!F111</f>
        <v>0.01</v>
      </c>
      <c r="G111" s="40">
        <f t="shared" si="2"/>
        <v>18.7</v>
      </c>
      <c r="H111" s="1">
        <v>0.1</v>
      </c>
      <c r="I111" s="1">
        <v>22</v>
      </c>
      <c r="J111" s="1">
        <v>18.7</v>
      </c>
      <c r="K111" s="1">
        <v>14</v>
      </c>
      <c r="L111" s="1">
        <f>'[1]buses-marginal_price'!G111</f>
        <v>0</v>
      </c>
      <c r="M111" s="1">
        <f>'[1]buses-marginal_price'!H111</f>
        <v>8.4999999999999992E-2</v>
      </c>
      <c r="N111" s="1">
        <f>'[1]buses-marginal_price'!I111</f>
        <v>0</v>
      </c>
      <c r="O111" s="1">
        <f>'[1]buses-marginal_price'!J111</f>
        <v>0</v>
      </c>
      <c r="P111" s="1">
        <f>'[1]buses-marginal_price'!K111</f>
        <v>0</v>
      </c>
      <c r="Q111" s="1">
        <f>'[1]buses-marginal_price'!L111</f>
        <v>0.1</v>
      </c>
      <c r="R111" s="1">
        <f>'[1]buses-marginal_price'!M111</f>
        <v>0.2142857142857143</v>
      </c>
      <c r="S111" s="1">
        <f>'[1]buses-marginal_price'!N111</f>
        <v>0.1142857142857143</v>
      </c>
      <c r="T111" s="1">
        <f>'[1]buses-marginal_price'!O111</f>
        <v>0.1142857142857143</v>
      </c>
      <c r="U111" s="1">
        <f>'[1]buses-marginal_price'!P111</f>
        <v>1.428571428571429E-2</v>
      </c>
      <c r="V111" s="40">
        <f t="shared" si="3"/>
        <v>0.2142857142857143</v>
      </c>
    </row>
    <row r="112" spans="1:22">
      <c r="A112" s="1">
        <f>'[1]buses-marginal_price'!A112</f>
        <v>110</v>
      </c>
      <c r="B112" s="1">
        <f>'[1]buses-marginal_price'!B112</f>
        <v>0</v>
      </c>
      <c r="C112" s="1">
        <f>'[1]buses-marginal_price'!C112</f>
        <v>18.7</v>
      </c>
      <c r="D112" s="1">
        <f>'[1]buses-marginal_price'!D112</f>
        <v>1.428571428571429E-2</v>
      </c>
      <c r="E112" s="1">
        <f>'[1]buses-marginal_price'!E112</f>
        <v>0</v>
      </c>
      <c r="F112" s="1">
        <f>'[1]buses-marginal_price'!F112</f>
        <v>0.01</v>
      </c>
      <c r="G112" s="40">
        <f t="shared" si="2"/>
        <v>18.7</v>
      </c>
      <c r="H112" s="1">
        <v>0.1</v>
      </c>
      <c r="I112" s="1">
        <v>22</v>
      </c>
      <c r="J112" s="1">
        <v>18.7</v>
      </c>
      <c r="K112" s="1">
        <v>14</v>
      </c>
      <c r="L112" s="1">
        <f>'[1]buses-marginal_price'!G112</f>
        <v>0</v>
      </c>
      <c r="M112" s="1">
        <f>'[1]buses-marginal_price'!H112</f>
        <v>8.4999999999999992E-2</v>
      </c>
      <c r="N112" s="1">
        <f>'[1]buses-marginal_price'!I112</f>
        <v>0</v>
      </c>
      <c r="O112" s="1">
        <f>'[1]buses-marginal_price'!J112</f>
        <v>0</v>
      </c>
      <c r="P112" s="1">
        <f>'[1]buses-marginal_price'!K112</f>
        <v>0</v>
      </c>
      <c r="Q112" s="1">
        <f>'[1]buses-marginal_price'!L112</f>
        <v>0.1</v>
      </c>
      <c r="R112" s="1">
        <f>'[1]buses-marginal_price'!M112</f>
        <v>0.2142857142857143</v>
      </c>
      <c r="S112" s="1">
        <f>'[1]buses-marginal_price'!N112</f>
        <v>0.1142857142857143</v>
      </c>
      <c r="T112" s="1">
        <f>'[1]buses-marginal_price'!O112</f>
        <v>0.1142857142857143</v>
      </c>
      <c r="U112" s="1">
        <f>'[1]buses-marginal_price'!P112</f>
        <v>1.428571428571429E-2</v>
      </c>
      <c r="V112" s="40">
        <f t="shared" si="3"/>
        <v>0.2142857142857143</v>
      </c>
    </row>
    <row r="113" spans="1:22">
      <c r="A113" s="1">
        <f>'[1]buses-marginal_price'!A113</f>
        <v>111</v>
      </c>
      <c r="B113" s="1">
        <f>'[1]buses-marginal_price'!B113</f>
        <v>0</v>
      </c>
      <c r="C113" s="1">
        <f>'[1]buses-marginal_price'!C113</f>
        <v>18.7</v>
      </c>
      <c r="D113" s="1">
        <f>'[1]buses-marginal_price'!D113</f>
        <v>1.428571428571429E-2</v>
      </c>
      <c r="E113" s="1">
        <f>'[1]buses-marginal_price'!E113</f>
        <v>0</v>
      </c>
      <c r="F113" s="1">
        <f>'[1]buses-marginal_price'!F113</f>
        <v>0.01</v>
      </c>
      <c r="G113" s="40">
        <f t="shared" si="2"/>
        <v>18.7</v>
      </c>
      <c r="H113" s="1">
        <v>0.1</v>
      </c>
      <c r="I113" s="1">
        <v>22</v>
      </c>
      <c r="J113" s="1">
        <v>18.7</v>
      </c>
      <c r="K113" s="1">
        <v>14</v>
      </c>
      <c r="L113" s="1">
        <f>'[1]buses-marginal_price'!G113</f>
        <v>0</v>
      </c>
      <c r="M113" s="1">
        <f>'[1]buses-marginal_price'!H113</f>
        <v>8.4999999999999992E-2</v>
      </c>
      <c r="N113" s="1">
        <f>'[1]buses-marginal_price'!I113</f>
        <v>0</v>
      </c>
      <c r="O113" s="1">
        <f>'[1]buses-marginal_price'!J113</f>
        <v>0</v>
      </c>
      <c r="P113" s="1">
        <f>'[1]buses-marginal_price'!K113</f>
        <v>0</v>
      </c>
      <c r="Q113" s="1">
        <f>'[1]buses-marginal_price'!L113</f>
        <v>0.1</v>
      </c>
      <c r="R113" s="1">
        <f>'[1]buses-marginal_price'!M113</f>
        <v>0.2142857142857143</v>
      </c>
      <c r="S113" s="1">
        <f>'[1]buses-marginal_price'!N113</f>
        <v>0.1142857142857143</v>
      </c>
      <c r="T113" s="1">
        <f>'[1]buses-marginal_price'!O113</f>
        <v>0.1142857142857143</v>
      </c>
      <c r="U113" s="1">
        <f>'[1]buses-marginal_price'!P113</f>
        <v>1.428571428571429E-2</v>
      </c>
      <c r="V113" s="40">
        <f t="shared" si="3"/>
        <v>0.2142857142857143</v>
      </c>
    </row>
    <row r="114" spans="1:22">
      <c r="A114" s="1">
        <f>'[1]buses-marginal_price'!A114</f>
        <v>112</v>
      </c>
      <c r="B114" s="1">
        <f>'[1]buses-marginal_price'!B114</f>
        <v>0</v>
      </c>
      <c r="C114" s="1">
        <f>'[1]buses-marginal_price'!C114</f>
        <v>18.7</v>
      </c>
      <c r="D114" s="1">
        <f>'[1]buses-marginal_price'!D114</f>
        <v>1.428571428571429E-2</v>
      </c>
      <c r="E114" s="1">
        <f>'[1]buses-marginal_price'!E114</f>
        <v>0</v>
      </c>
      <c r="F114" s="1">
        <f>'[1]buses-marginal_price'!F114</f>
        <v>0.01</v>
      </c>
      <c r="G114" s="40">
        <f t="shared" si="2"/>
        <v>18.7</v>
      </c>
      <c r="H114" s="1">
        <v>0.1</v>
      </c>
      <c r="I114" s="1">
        <v>22</v>
      </c>
      <c r="J114" s="1">
        <v>18.7</v>
      </c>
      <c r="K114" s="1">
        <v>14</v>
      </c>
      <c r="L114" s="1">
        <f>'[1]buses-marginal_price'!G114</f>
        <v>0</v>
      </c>
      <c r="M114" s="1">
        <f>'[1]buses-marginal_price'!H114</f>
        <v>8.4999999999999992E-2</v>
      </c>
      <c r="N114" s="1">
        <f>'[1]buses-marginal_price'!I114</f>
        <v>0</v>
      </c>
      <c r="O114" s="1">
        <f>'[1]buses-marginal_price'!J114</f>
        <v>0</v>
      </c>
      <c r="P114" s="1">
        <f>'[1]buses-marginal_price'!K114</f>
        <v>0</v>
      </c>
      <c r="Q114" s="1">
        <f>'[1]buses-marginal_price'!L114</f>
        <v>0.1</v>
      </c>
      <c r="R114" s="1">
        <f>'[1]buses-marginal_price'!M114</f>
        <v>0.2142857142857143</v>
      </c>
      <c r="S114" s="1">
        <f>'[1]buses-marginal_price'!N114</f>
        <v>0.1142857142857143</v>
      </c>
      <c r="T114" s="1">
        <f>'[1]buses-marginal_price'!O114</f>
        <v>0.1142857142857143</v>
      </c>
      <c r="U114" s="1">
        <f>'[1]buses-marginal_price'!P114</f>
        <v>1.428571428571429E-2</v>
      </c>
      <c r="V114" s="40">
        <f t="shared" si="3"/>
        <v>0.2142857142857143</v>
      </c>
    </row>
    <row r="115" spans="1:22">
      <c r="A115" s="1">
        <f>'[1]buses-marginal_price'!A115</f>
        <v>113</v>
      </c>
      <c r="B115" s="1">
        <f>'[1]buses-marginal_price'!B115</f>
        <v>14.025</v>
      </c>
      <c r="C115" s="1">
        <f>'[1]buses-marginal_price'!C115</f>
        <v>18.7</v>
      </c>
      <c r="D115" s="1">
        <f>'[1]buses-marginal_price'!D115</f>
        <v>20.05</v>
      </c>
      <c r="E115" s="1">
        <f>'[1]buses-marginal_price'!E115</f>
        <v>14.025</v>
      </c>
      <c r="F115" s="1">
        <f>'[1]buses-marginal_price'!F115</f>
        <v>14.035</v>
      </c>
      <c r="G115" s="40">
        <f t="shared" si="2"/>
        <v>18.7</v>
      </c>
      <c r="H115" s="1">
        <v>0.1</v>
      </c>
      <c r="I115" s="1">
        <v>22</v>
      </c>
      <c r="J115" s="1">
        <v>18.7</v>
      </c>
      <c r="K115" s="1">
        <v>14</v>
      </c>
      <c r="L115" s="1">
        <f>'[1]buses-marginal_price'!G115</f>
        <v>6.3749999999999987E-2</v>
      </c>
      <c r="M115" s="1">
        <f>'[1]buses-marginal_price'!H115</f>
        <v>8.4999999999999992E-2</v>
      </c>
      <c r="N115" s="1">
        <f>'[1]buses-marginal_price'!I115</f>
        <v>19.95</v>
      </c>
      <c r="O115" s="1">
        <f>'[1]buses-marginal_price'!J115</f>
        <v>6.3749999999999987E-2</v>
      </c>
      <c r="P115" s="1">
        <f>'[1]buses-marginal_price'!K115</f>
        <v>13.965</v>
      </c>
      <c r="Q115" s="1">
        <f>'[1]buses-marginal_price'!L115</f>
        <v>14.125</v>
      </c>
      <c r="R115" s="1">
        <f>'[1]buses-marginal_price'!M115</f>
        <v>20.25</v>
      </c>
      <c r="S115" s="1">
        <f>'[1]buses-marginal_price'!N115</f>
        <v>20.149999999999999</v>
      </c>
      <c r="T115" s="1">
        <f>'[1]buses-marginal_price'!O115</f>
        <v>20.05</v>
      </c>
      <c r="U115" s="1">
        <f>'[1]buses-marginal_price'!P115</f>
        <v>20.05</v>
      </c>
      <c r="V115" s="40">
        <f t="shared" si="3"/>
        <v>20.25</v>
      </c>
    </row>
    <row r="116" spans="1:22">
      <c r="A116" s="1">
        <f>'[1]buses-marginal_price'!A116</f>
        <v>114</v>
      </c>
      <c r="B116" s="1">
        <f>'[1]buses-marginal_price'!B116</f>
        <v>14.025</v>
      </c>
      <c r="C116" s="1">
        <f>'[1]buses-marginal_price'!C116</f>
        <v>18.7</v>
      </c>
      <c r="D116" s="1">
        <f>'[1]buses-marginal_price'!D116</f>
        <v>28.856944285714281</v>
      </c>
      <c r="E116" s="1">
        <f>'[1]buses-marginal_price'!E116</f>
        <v>14.025</v>
      </c>
      <c r="F116" s="1">
        <f>'[1]buses-marginal_price'!F116</f>
        <v>20.199860999999999</v>
      </c>
      <c r="G116" s="40">
        <f t="shared" si="2"/>
        <v>18.7</v>
      </c>
      <c r="H116" s="1">
        <v>0.1</v>
      </c>
      <c r="I116" s="1">
        <v>22</v>
      </c>
      <c r="J116" s="1">
        <v>18.7</v>
      </c>
      <c r="K116" s="1">
        <v>14</v>
      </c>
      <c r="L116" s="1">
        <f>'[1]buses-marginal_price'!G116</f>
        <v>13.925000000000001</v>
      </c>
      <c r="M116" s="1">
        <f>'[1]buses-marginal_price'!H116</f>
        <v>8.4999999999999992E-2</v>
      </c>
      <c r="N116" s="1">
        <f>'[1]buses-marginal_price'!I116</f>
        <v>28.95694428571429</v>
      </c>
      <c r="O116" s="1">
        <f>'[1]buses-marginal_price'!J116</f>
        <v>13.925000000000001</v>
      </c>
      <c r="P116" s="1">
        <f>'[1]buses-marginal_price'!K116</f>
        <v>20.269860999999999</v>
      </c>
      <c r="Q116" s="1">
        <f>'[1]buses-marginal_price'!L116</f>
        <v>14.125</v>
      </c>
      <c r="R116" s="1">
        <f>'[1]buses-marginal_price'!M116</f>
        <v>29.056944285714291</v>
      </c>
      <c r="S116" s="1">
        <f>'[1]buses-marginal_price'!N116</f>
        <v>28.95694428571429</v>
      </c>
      <c r="T116" s="1">
        <f>'[1]buses-marginal_price'!O116</f>
        <v>28.856944285714281</v>
      </c>
      <c r="U116" s="1">
        <f>'[1]buses-marginal_price'!P116</f>
        <v>28.856944285714281</v>
      </c>
      <c r="V116" s="40">
        <f t="shared" si="3"/>
        <v>29.056944285714291</v>
      </c>
    </row>
    <row r="117" spans="1:22">
      <c r="A117" s="1">
        <f>'[1]buses-marginal_price'!A117</f>
        <v>115</v>
      </c>
      <c r="B117" s="1">
        <f>'[1]buses-marginal_price'!B117</f>
        <v>14.025</v>
      </c>
      <c r="C117" s="1">
        <f>'[1]buses-marginal_price'!C117</f>
        <v>18.7</v>
      </c>
      <c r="D117" s="1">
        <f>'[1]buses-marginal_price'!D117</f>
        <v>28.856944285714281</v>
      </c>
      <c r="E117" s="1">
        <f>'[1]buses-marginal_price'!E117</f>
        <v>14.025</v>
      </c>
      <c r="F117" s="1">
        <f>'[1]buses-marginal_price'!F117</f>
        <v>20.199860999999999</v>
      </c>
      <c r="G117" s="40">
        <f t="shared" si="2"/>
        <v>18.7</v>
      </c>
      <c r="H117" s="1">
        <v>0.1</v>
      </c>
      <c r="I117" s="1">
        <v>22</v>
      </c>
      <c r="J117" s="1">
        <v>18.7</v>
      </c>
      <c r="K117" s="1">
        <v>14</v>
      </c>
      <c r="L117" s="1">
        <f>'[1]buses-marginal_price'!G117</f>
        <v>13.925000000000001</v>
      </c>
      <c r="M117" s="1">
        <f>'[1]buses-marginal_price'!H117</f>
        <v>8.4999999999999992E-2</v>
      </c>
      <c r="N117" s="1">
        <f>'[1]buses-marginal_price'!I117</f>
        <v>28.95694428571429</v>
      </c>
      <c r="O117" s="1">
        <f>'[1]buses-marginal_price'!J117</f>
        <v>13.925000000000001</v>
      </c>
      <c r="P117" s="1">
        <f>'[1]buses-marginal_price'!K117</f>
        <v>20.269860999999999</v>
      </c>
      <c r="Q117" s="1">
        <f>'[1]buses-marginal_price'!L117</f>
        <v>14.125</v>
      </c>
      <c r="R117" s="1">
        <f>'[1]buses-marginal_price'!M117</f>
        <v>29.056944285714291</v>
      </c>
      <c r="S117" s="1">
        <f>'[1]buses-marginal_price'!N117</f>
        <v>28.95694428571429</v>
      </c>
      <c r="T117" s="1">
        <f>'[1]buses-marginal_price'!O117</f>
        <v>28.856944285714281</v>
      </c>
      <c r="U117" s="1">
        <f>'[1]buses-marginal_price'!P117</f>
        <v>28.856944285714281</v>
      </c>
      <c r="V117" s="40">
        <f t="shared" si="3"/>
        <v>29.056944285714291</v>
      </c>
    </row>
    <row r="118" spans="1:22">
      <c r="A118" s="1">
        <f>'[1]buses-marginal_price'!A118</f>
        <v>116</v>
      </c>
      <c r="B118" s="1">
        <f>'[1]buses-marginal_price'!B118</f>
        <v>14.025</v>
      </c>
      <c r="C118" s="1">
        <f>'[1]buses-marginal_price'!C118</f>
        <v>18.7</v>
      </c>
      <c r="D118" s="1">
        <f>'[1]buses-marginal_price'!D118</f>
        <v>28.856944285714281</v>
      </c>
      <c r="E118" s="1">
        <f>'[1]buses-marginal_price'!E118</f>
        <v>14.025</v>
      </c>
      <c r="F118" s="1">
        <f>'[1]buses-marginal_price'!F118</f>
        <v>20.199860999999999</v>
      </c>
      <c r="G118" s="40">
        <f t="shared" si="2"/>
        <v>18.7</v>
      </c>
      <c r="H118" s="1">
        <v>0.1</v>
      </c>
      <c r="I118" s="1">
        <v>22</v>
      </c>
      <c r="J118" s="1">
        <v>18.7</v>
      </c>
      <c r="K118" s="1">
        <v>14</v>
      </c>
      <c r="L118" s="1">
        <f>'[1]buses-marginal_price'!G118</f>
        <v>13.925000000000001</v>
      </c>
      <c r="M118" s="1">
        <f>'[1]buses-marginal_price'!H118</f>
        <v>8.4999999999999992E-2</v>
      </c>
      <c r="N118" s="1">
        <f>'[1]buses-marginal_price'!I118</f>
        <v>28.95694428571429</v>
      </c>
      <c r="O118" s="1">
        <f>'[1]buses-marginal_price'!J118</f>
        <v>13.925000000000001</v>
      </c>
      <c r="P118" s="1">
        <f>'[1]buses-marginal_price'!K118</f>
        <v>20.269860999999999</v>
      </c>
      <c r="Q118" s="1">
        <f>'[1]buses-marginal_price'!L118</f>
        <v>14.125</v>
      </c>
      <c r="R118" s="1">
        <f>'[1]buses-marginal_price'!M118</f>
        <v>29.056944285714291</v>
      </c>
      <c r="S118" s="1">
        <f>'[1]buses-marginal_price'!N118</f>
        <v>28.95694428571429</v>
      </c>
      <c r="T118" s="1">
        <f>'[1]buses-marginal_price'!O118</f>
        <v>28.856944285714281</v>
      </c>
      <c r="U118" s="1">
        <f>'[1]buses-marginal_price'!P118</f>
        <v>28.856944285714281</v>
      </c>
      <c r="V118" s="40">
        <f t="shared" si="3"/>
        <v>29.056944285714291</v>
      </c>
    </row>
    <row r="119" spans="1:22">
      <c r="A119" s="1">
        <f>'[1]buses-marginal_price'!A119</f>
        <v>117</v>
      </c>
      <c r="B119" s="1">
        <f>'[1]buses-marginal_price'!B119</f>
        <v>14.025</v>
      </c>
      <c r="C119" s="1">
        <f>'[1]buses-marginal_price'!C119</f>
        <v>18.7</v>
      </c>
      <c r="D119" s="1">
        <f>'[1]buses-marginal_price'!D119</f>
        <v>28.856944285714281</v>
      </c>
      <c r="E119" s="1">
        <f>'[1]buses-marginal_price'!E119</f>
        <v>14.025</v>
      </c>
      <c r="F119" s="1">
        <f>'[1]buses-marginal_price'!F119</f>
        <v>20.199860999999999</v>
      </c>
      <c r="G119" s="40">
        <f t="shared" si="2"/>
        <v>18.7</v>
      </c>
      <c r="H119" s="1">
        <v>0.1</v>
      </c>
      <c r="I119" s="1">
        <v>22</v>
      </c>
      <c r="J119" s="1">
        <v>18.7</v>
      </c>
      <c r="K119" s="1">
        <v>14</v>
      </c>
      <c r="L119" s="1">
        <f>'[1]buses-marginal_price'!G119</f>
        <v>13.925000000000001</v>
      </c>
      <c r="M119" s="1">
        <f>'[1]buses-marginal_price'!H119</f>
        <v>8.4999999999999992E-2</v>
      </c>
      <c r="N119" s="1">
        <f>'[1]buses-marginal_price'!I119</f>
        <v>28.95694428571429</v>
      </c>
      <c r="O119" s="1">
        <f>'[1]buses-marginal_price'!J119</f>
        <v>13.925000000000001</v>
      </c>
      <c r="P119" s="1">
        <f>'[1]buses-marginal_price'!K119</f>
        <v>20.269860999999999</v>
      </c>
      <c r="Q119" s="1">
        <f>'[1]buses-marginal_price'!L119</f>
        <v>13.925000000000001</v>
      </c>
      <c r="R119" s="1">
        <f>'[1]buses-marginal_price'!M119</f>
        <v>29.056944285714291</v>
      </c>
      <c r="S119" s="1">
        <f>'[1]buses-marginal_price'!N119</f>
        <v>28.95694428571429</v>
      </c>
      <c r="T119" s="1">
        <f>'[1]buses-marginal_price'!O119</f>
        <v>28.856944285714281</v>
      </c>
      <c r="U119" s="1">
        <f>'[1]buses-marginal_price'!P119</f>
        <v>28.856944285714281</v>
      </c>
      <c r="V119" s="40">
        <f t="shared" si="3"/>
        <v>29.056944285714291</v>
      </c>
    </row>
    <row r="120" spans="1:22">
      <c r="A120" s="1">
        <f>'[1]buses-marginal_price'!A120</f>
        <v>118</v>
      </c>
      <c r="B120" s="1">
        <f>'[1]buses-marginal_price'!B120</f>
        <v>14.025</v>
      </c>
      <c r="C120" s="1">
        <f>'[1]buses-marginal_price'!C120</f>
        <v>18.7</v>
      </c>
      <c r="D120" s="1">
        <f>'[1]buses-marginal_price'!D120</f>
        <v>28.856944285714281</v>
      </c>
      <c r="E120" s="1">
        <f>'[1]buses-marginal_price'!E120</f>
        <v>14.025</v>
      </c>
      <c r="F120" s="1">
        <f>'[1]buses-marginal_price'!F120</f>
        <v>20.199860999999999</v>
      </c>
      <c r="G120" s="40">
        <f t="shared" si="2"/>
        <v>18.7</v>
      </c>
      <c r="H120" s="1">
        <v>0.1</v>
      </c>
      <c r="I120" s="1">
        <v>22</v>
      </c>
      <c r="J120" s="1">
        <v>18.7</v>
      </c>
      <c r="K120" s="1">
        <v>14</v>
      </c>
      <c r="L120" s="1">
        <f>'[1]buses-marginal_price'!G120</f>
        <v>13.925000000000001</v>
      </c>
      <c r="M120" s="1">
        <f>'[1]buses-marginal_price'!H120</f>
        <v>8.4999999999999992E-2</v>
      </c>
      <c r="N120" s="1">
        <f>'[1]buses-marginal_price'!I120</f>
        <v>28.95694428571429</v>
      </c>
      <c r="O120" s="1">
        <f>'[1]buses-marginal_price'!J120</f>
        <v>13.925000000000001</v>
      </c>
      <c r="P120" s="1">
        <f>'[1]buses-marginal_price'!K120</f>
        <v>20.269860999999999</v>
      </c>
      <c r="Q120" s="1">
        <f>'[1]buses-marginal_price'!L120</f>
        <v>14.125</v>
      </c>
      <c r="R120" s="1">
        <f>'[1]buses-marginal_price'!M120</f>
        <v>29.056944285714291</v>
      </c>
      <c r="S120" s="1">
        <f>'[1]buses-marginal_price'!N120</f>
        <v>28.95694428571429</v>
      </c>
      <c r="T120" s="1">
        <f>'[1]buses-marginal_price'!O120</f>
        <v>28.856944285714281</v>
      </c>
      <c r="U120" s="1">
        <f>'[1]buses-marginal_price'!P120</f>
        <v>28.856944285714281</v>
      </c>
      <c r="V120" s="40">
        <f t="shared" si="3"/>
        <v>29.056944285714291</v>
      </c>
    </row>
    <row r="121" spans="1:22">
      <c r="A121" s="1">
        <f>'[1]buses-marginal_price'!A121</f>
        <v>119</v>
      </c>
      <c r="B121" s="1">
        <f>'[1]buses-marginal_price'!B121</f>
        <v>14.025</v>
      </c>
      <c r="C121" s="1">
        <f>'[1]buses-marginal_price'!C121</f>
        <v>18.7</v>
      </c>
      <c r="D121" s="1">
        <f>'[1]buses-marginal_price'!D121</f>
        <v>28.856944285714281</v>
      </c>
      <c r="E121" s="1">
        <f>'[1]buses-marginal_price'!E121</f>
        <v>14.025</v>
      </c>
      <c r="F121" s="1">
        <f>'[1]buses-marginal_price'!F121</f>
        <v>20.199860999999999</v>
      </c>
      <c r="G121" s="40">
        <f t="shared" si="2"/>
        <v>18.7</v>
      </c>
      <c r="H121" s="1">
        <v>0.1</v>
      </c>
      <c r="I121" s="1">
        <v>22</v>
      </c>
      <c r="J121" s="1">
        <v>18.7</v>
      </c>
      <c r="K121" s="1">
        <v>14</v>
      </c>
      <c r="L121" s="1">
        <f>'[1]buses-marginal_price'!G121</f>
        <v>13.925000000000001</v>
      </c>
      <c r="M121" s="1">
        <f>'[1]buses-marginal_price'!H121</f>
        <v>8.4999999999999992E-2</v>
      </c>
      <c r="N121" s="1">
        <f>'[1]buses-marginal_price'!I121</f>
        <v>28.95694428571429</v>
      </c>
      <c r="O121" s="1">
        <f>'[1]buses-marginal_price'!J121</f>
        <v>13.925000000000001</v>
      </c>
      <c r="P121" s="1">
        <f>'[1]buses-marginal_price'!K121</f>
        <v>20.269860999999999</v>
      </c>
      <c r="Q121" s="1">
        <f>'[1]buses-marginal_price'!L121</f>
        <v>14.125</v>
      </c>
      <c r="R121" s="1">
        <f>'[1]buses-marginal_price'!M121</f>
        <v>29.056944285714291</v>
      </c>
      <c r="S121" s="1">
        <f>'[1]buses-marginal_price'!N121</f>
        <v>28.95694428571429</v>
      </c>
      <c r="T121" s="1">
        <f>'[1]buses-marginal_price'!O121</f>
        <v>28.856944285714281</v>
      </c>
      <c r="U121" s="1">
        <f>'[1]buses-marginal_price'!P121</f>
        <v>28.856944285714281</v>
      </c>
      <c r="V121" s="40">
        <f t="shared" si="3"/>
        <v>29.056944285714291</v>
      </c>
    </row>
    <row r="122" spans="1:22">
      <c r="A122" s="1">
        <f>'[1]buses-marginal_price'!A122</f>
        <v>120</v>
      </c>
      <c r="B122" s="1">
        <f>'[1]buses-marginal_price'!B122</f>
        <v>14.025</v>
      </c>
      <c r="C122" s="1">
        <f>'[1]buses-marginal_price'!C122</f>
        <v>18.7</v>
      </c>
      <c r="D122" s="1">
        <f>'[1]buses-marginal_price'!D122</f>
        <v>31.44285714285714</v>
      </c>
      <c r="E122" s="1">
        <f>'[1]buses-marginal_price'!E122</f>
        <v>14.025</v>
      </c>
      <c r="F122" s="1">
        <f>'[1]buses-marginal_price'!F122</f>
        <v>22.01</v>
      </c>
      <c r="G122" s="40">
        <f t="shared" si="2"/>
        <v>18.7</v>
      </c>
      <c r="H122" s="1">
        <v>0.1</v>
      </c>
      <c r="I122" s="1">
        <v>22</v>
      </c>
      <c r="J122" s="1">
        <v>18.7</v>
      </c>
      <c r="K122" s="1">
        <v>14</v>
      </c>
      <c r="L122" s="1">
        <f>'[1]buses-marginal_price'!G122</f>
        <v>13.925000000000001</v>
      </c>
      <c r="M122" s="1">
        <f>'[1]buses-marginal_price'!H122</f>
        <v>8.4999999999999992E-2</v>
      </c>
      <c r="N122" s="1">
        <f>'[1]buses-marginal_price'!I122</f>
        <v>31.542857142857141</v>
      </c>
      <c r="O122" s="1">
        <f>'[1]buses-marginal_price'!J122</f>
        <v>13.925000000000001</v>
      </c>
      <c r="P122" s="1">
        <f>'[1]buses-marginal_price'!K122</f>
        <v>22.08</v>
      </c>
      <c r="Q122" s="1">
        <f>'[1]buses-marginal_price'!L122</f>
        <v>14.125</v>
      </c>
      <c r="R122" s="1">
        <f>'[1]buses-marginal_price'!M122</f>
        <v>31.642857142857139</v>
      </c>
      <c r="S122" s="1">
        <f>'[1]buses-marginal_price'!N122</f>
        <v>31.542857142857141</v>
      </c>
      <c r="T122" s="1">
        <f>'[1]buses-marginal_price'!O122</f>
        <v>31.542857142857141</v>
      </c>
      <c r="U122" s="1">
        <f>'[1]buses-marginal_price'!P122</f>
        <v>31.44285714285714</v>
      </c>
      <c r="V122" s="40">
        <f t="shared" si="3"/>
        <v>31.642857142857139</v>
      </c>
    </row>
    <row r="123" spans="1:22">
      <c r="A123" s="1">
        <f>'[1]buses-marginal_price'!A123</f>
        <v>121</v>
      </c>
      <c r="B123" s="1">
        <f>'[1]buses-marginal_price'!B123</f>
        <v>14.025</v>
      </c>
      <c r="C123" s="1">
        <f>'[1]buses-marginal_price'!C123</f>
        <v>18.7</v>
      </c>
      <c r="D123" s="1">
        <f>'[1]buses-marginal_price'!D123</f>
        <v>73.7</v>
      </c>
      <c r="E123" s="1">
        <f>'[1]buses-marginal_price'!E123</f>
        <v>14.025</v>
      </c>
      <c r="F123" s="1">
        <f>'[1]buses-marginal_price'!F123</f>
        <v>51.59</v>
      </c>
      <c r="G123" s="40">
        <f t="shared" si="2"/>
        <v>18.7</v>
      </c>
      <c r="H123" s="1">
        <v>0.1</v>
      </c>
      <c r="I123" s="1">
        <v>22</v>
      </c>
      <c r="J123" s="1">
        <v>18.7</v>
      </c>
      <c r="K123" s="1">
        <v>14</v>
      </c>
      <c r="L123" s="1">
        <f>'[1]buses-marginal_price'!G123</f>
        <v>13.925000000000001</v>
      </c>
      <c r="M123" s="1">
        <f>'[1]buses-marginal_price'!H123</f>
        <v>8.4999999999999992E-2</v>
      </c>
      <c r="N123" s="1">
        <f>'[1]buses-marginal_price'!I123</f>
        <v>73.800000000000011</v>
      </c>
      <c r="O123" s="1">
        <f>'[1]buses-marginal_price'!J123</f>
        <v>13.925000000000001</v>
      </c>
      <c r="P123" s="1">
        <f>'[1]buses-marginal_price'!K123</f>
        <v>51.66</v>
      </c>
      <c r="Q123" s="1">
        <f>'[1]buses-marginal_price'!L123</f>
        <v>14.125</v>
      </c>
      <c r="R123" s="1">
        <f>'[1]buses-marginal_price'!M123</f>
        <v>73.900000000000006</v>
      </c>
      <c r="S123" s="1">
        <f>'[1]buses-marginal_price'!N123</f>
        <v>73.800000000000011</v>
      </c>
      <c r="T123" s="1">
        <f>'[1]buses-marginal_price'!O123</f>
        <v>73.800000000000011</v>
      </c>
      <c r="U123" s="1">
        <f>'[1]buses-marginal_price'!P123</f>
        <v>73.7</v>
      </c>
      <c r="V123" s="40">
        <f t="shared" si="3"/>
        <v>73.900000000000006</v>
      </c>
    </row>
    <row r="124" spans="1:22">
      <c r="A124" s="1">
        <f>'[1]buses-marginal_price'!A124</f>
        <v>122</v>
      </c>
      <c r="B124" s="1">
        <f>'[1]buses-marginal_price'!B124</f>
        <v>14.025</v>
      </c>
      <c r="C124" s="1">
        <f>'[1]buses-marginal_price'!C124</f>
        <v>18.7</v>
      </c>
      <c r="D124" s="1">
        <f>'[1]buses-marginal_price'!D124</f>
        <v>31.44285714285714</v>
      </c>
      <c r="E124" s="1">
        <f>'[1]buses-marginal_price'!E124</f>
        <v>14.025</v>
      </c>
      <c r="F124" s="1">
        <f>'[1]buses-marginal_price'!F124</f>
        <v>22.01</v>
      </c>
      <c r="G124" s="40">
        <f t="shared" si="2"/>
        <v>18.7</v>
      </c>
      <c r="H124" s="1">
        <v>0.1</v>
      </c>
      <c r="I124" s="1">
        <v>22</v>
      </c>
      <c r="J124" s="1">
        <v>18.7</v>
      </c>
      <c r="K124" s="1">
        <v>14</v>
      </c>
      <c r="L124" s="1">
        <f>'[1]buses-marginal_price'!G124</f>
        <v>13.925000000000001</v>
      </c>
      <c r="M124" s="1">
        <f>'[1]buses-marginal_price'!H124</f>
        <v>8.4999999999999992E-2</v>
      </c>
      <c r="N124" s="1">
        <f>'[1]buses-marginal_price'!I124</f>
        <v>31.542857142857141</v>
      </c>
      <c r="O124" s="1">
        <f>'[1]buses-marginal_price'!J124</f>
        <v>13.925000000000001</v>
      </c>
      <c r="P124" s="1">
        <f>'[1]buses-marginal_price'!K124</f>
        <v>22.08</v>
      </c>
      <c r="Q124" s="1">
        <f>'[1]buses-marginal_price'!L124</f>
        <v>14.125</v>
      </c>
      <c r="R124" s="1">
        <f>'[1]buses-marginal_price'!M124</f>
        <v>31.642857142857139</v>
      </c>
      <c r="S124" s="1">
        <f>'[1]buses-marginal_price'!N124</f>
        <v>31.542857142857141</v>
      </c>
      <c r="T124" s="1">
        <f>'[1]buses-marginal_price'!O124</f>
        <v>31.44285714285714</v>
      </c>
      <c r="U124" s="1">
        <f>'[1]buses-marginal_price'!P124</f>
        <v>31.44285714285714</v>
      </c>
      <c r="V124" s="40">
        <f t="shared" si="3"/>
        <v>31.642857142857139</v>
      </c>
    </row>
    <row r="125" spans="1:22">
      <c r="A125" s="1">
        <f>'[1]buses-marginal_price'!A125</f>
        <v>123</v>
      </c>
      <c r="B125" s="1">
        <f>'[1]buses-marginal_price'!B125</f>
        <v>14.025</v>
      </c>
      <c r="C125" s="1">
        <f>'[1]buses-marginal_price'!C125</f>
        <v>18.7</v>
      </c>
      <c r="D125" s="1">
        <f>'[1]buses-marginal_price'!D125</f>
        <v>73.7</v>
      </c>
      <c r="E125" s="1">
        <f>'[1]buses-marginal_price'!E125</f>
        <v>14.025</v>
      </c>
      <c r="F125" s="1">
        <f>'[1]buses-marginal_price'!F125</f>
        <v>51.59</v>
      </c>
      <c r="G125" s="40">
        <f t="shared" si="2"/>
        <v>18.7</v>
      </c>
      <c r="H125" s="1">
        <v>0.1</v>
      </c>
      <c r="I125" s="1">
        <v>22</v>
      </c>
      <c r="J125" s="1">
        <v>18.7</v>
      </c>
      <c r="K125" s="1">
        <v>14</v>
      </c>
      <c r="L125" s="1">
        <f>'[1]buses-marginal_price'!G125</f>
        <v>13.925000000000001</v>
      </c>
      <c r="M125" s="1">
        <f>'[1]buses-marginal_price'!H125</f>
        <v>8.4999999999999992E-2</v>
      </c>
      <c r="N125" s="1">
        <f>'[1]buses-marginal_price'!I125</f>
        <v>73.800000000000011</v>
      </c>
      <c r="O125" s="1">
        <f>'[1]buses-marginal_price'!J125</f>
        <v>13.925000000000001</v>
      </c>
      <c r="P125" s="1">
        <f>'[1]buses-marginal_price'!K125</f>
        <v>51.66</v>
      </c>
      <c r="Q125" s="1">
        <f>'[1]buses-marginal_price'!L125</f>
        <v>14.125</v>
      </c>
      <c r="R125" s="1">
        <f>'[1]buses-marginal_price'!M125</f>
        <v>73.900000000000006</v>
      </c>
      <c r="S125" s="1">
        <f>'[1]buses-marginal_price'!N125</f>
        <v>73.800000000000011</v>
      </c>
      <c r="T125" s="1">
        <f>'[1]buses-marginal_price'!O125</f>
        <v>73.800000000000011</v>
      </c>
      <c r="U125" s="1">
        <f>'[1]buses-marginal_price'!P125</f>
        <v>73.7</v>
      </c>
      <c r="V125" s="40">
        <f t="shared" si="3"/>
        <v>73.900000000000006</v>
      </c>
    </row>
    <row r="126" spans="1:22">
      <c r="A126" s="1">
        <f>'[1]buses-marginal_price'!A126</f>
        <v>124</v>
      </c>
      <c r="B126" s="1">
        <f>'[1]buses-marginal_price'!B126</f>
        <v>14.025</v>
      </c>
      <c r="C126" s="1">
        <f>'[1]buses-marginal_price'!C126</f>
        <v>18.7</v>
      </c>
      <c r="D126" s="1">
        <f>'[1]buses-marginal_price'!D126</f>
        <v>73.7</v>
      </c>
      <c r="E126" s="1">
        <f>'[1]buses-marginal_price'!E126</f>
        <v>14.025</v>
      </c>
      <c r="F126" s="1">
        <f>'[1]buses-marginal_price'!F126</f>
        <v>51.59</v>
      </c>
      <c r="G126" s="40">
        <f t="shared" si="2"/>
        <v>18.7</v>
      </c>
      <c r="H126" s="1">
        <v>0.1</v>
      </c>
      <c r="I126" s="1">
        <v>22</v>
      </c>
      <c r="J126" s="1">
        <v>18.7</v>
      </c>
      <c r="K126" s="1">
        <v>14</v>
      </c>
      <c r="L126" s="1">
        <f>'[1]buses-marginal_price'!G126</f>
        <v>13.925000000000001</v>
      </c>
      <c r="M126" s="1">
        <f>'[1]buses-marginal_price'!H126</f>
        <v>8.4999999999999992E-2</v>
      </c>
      <c r="N126" s="1">
        <f>'[1]buses-marginal_price'!I126</f>
        <v>73.800000000000011</v>
      </c>
      <c r="O126" s="1">
        <f>'[1]buses-marginal_price'!J126</f>
        <v>13.925000000000001</v>
      </c>
      <c r="P126" s="1">
        <f>'[1]buses-marginal_price'!K126</f>
        <v>51.66</v>
      </c>
      <c r="Q126" s="1">
        <f>'[1]buses-marginal_price'!L126</f>
        <v>14.125</v>
      </c>
      <c r="R126" s="1">
        <f>'[1]buses-marginal_price'!M126</f>
        <v>73.900000000000006</v>
      </c>
      <c r="S126" s="1">
        <f>'[1]buses-marginal_price'!N126</f>
        <v>73.800000000000011</v>
      </c>
      <c r="T126" s="1">
        <f>'[1]buses-marginal_price'!O126</f>
        <v>73.800000000000011</v>
      </c>
      <c r="U126" s="1">
        <f>'[1]buses-marginal_price'!P126</f>
        <v>73.7</v>
      </c>
      <c r="V126" s="40">
        <f t="shared" si="3"/>
        <v>73.900000000000006</v>
      </c>
    </row>
    <row r="127" spans="1:22">
      <c r="A127" s="1">
        <f>'[1]buses-marginal_price'!A127</f>
        <v>125</v>
      </c>
      <c r="B127" s="1">
        <f>'[1]buses-marginal_price'!B127</f>
        <v>14.025</v>
      </c>
      <c r="C127" s="1">
        <f>'[1]buses-marginal_price'!C127</f>
        <v>18.7</v>
      </c>
      <c r="D127" s="1">
        <f>'[1]buses-marginal_price'!D127</f>
        <v>31.44285714285714</v>
      </c>
      <c r="E127" s="1">
        <f>'[1]buses-marginal_price'!E127</f>
        <v>14.025</v>
      </c>
      <c r="F127" s="1">
        <f>'[1]buses-marginal_price'!F127</f>
        <v>22.01</v>
      </c>
      <c r="G127" s="40">
        <f t="shared" si="2"/>
        <v>18.7</v>
      </c>
      <c r="H127" s="1">
        <v>0.1</v>
      </c>
      <c r="I127" s="1">
        <v>22</v>
      </c>
      <c r="J127" s="1">
        <v>18.7</v>
      </c>
      <c r="K127" s="1">
        <v>14</v>
      </c>
      <c r="L127" s="1">
        <f>'[1]buses-marginal_price'!G127</f>
        <v>13.925000000000001</v>
      </c>
      <c r="M127" s="1">
        <f>'[1]buses-marginal_price'!H127</f>
        <v>8.4999999999999992E-2</v>
      </c>
      <c r="N127" s="1">
        <f>'[1]buses-marginal_price'!I127</f>
        <v>31.542857142857141</v>
      </c>
      <c r="O127" s="1">
        <f>'[1]buses-marginal_price'!J127</f>
        <v>13.925000000000001</v>
      </c>
      <c r="P127" s="1">
        <f>'[1]buses-marginal_price'!K127</f>
        <v>22.08</v>
      </c>
      <c r="Q127" s="1">
        <f>'[1]buses-marginal_price'!L127</f>
        <v>14.125</v>
      </c>
      <c r="R127" s="1">
        <f>'[1]buses-marginal_price'!M127</f>
        <v>31.642857142857139</v>
      </c>
      <c r="S127" s="1">
        <f>'[1]buses-marginal_price'!N127</f>
        <v>31.542857142857141</v>
      </c>
      <c r="T127" s="1">
        <f>'[1]buses-marginal_price'!O127</f>
        <v>31.542857142857141</v>
      </c>
      <c r="U127" s="1">
        <f>'[1]buses-marginal_price'!P127</f>
        <v>31.44285714285714</v>
      </c>
      <c r="V127" s="40">
        <f t="shared" si="3"/>
        <v>31.642857142857139</v>
      </c>
    </row>
    <row r="128" spans="1:22">
      <c r="A128" s="1">
        <f>'[1]buses-marginal_price'!A128</f>
        <v>126</v>
      </c>
      <c r="B128" s="1">
        <f>'[1]buses-marginal_price'!B128</f>
        <v>14.025</v>
      </c>
      <c r="C128" s="1">
        <f>'[1]buses-marginal_price'!C128</f>
        <v>18.7</v>
      </c>
      <c r="D128" s="1">
        <f>'[1]buses-marginal_price'!D128</f>
        <v>73.7</v>
      </c>
      <c r="E128" s="1">
        <f>'[1]buses-marginal_price'!E128</f>
        <v>14.025</v>
      </c>
      <c r="F128" s="1">
        <f>'[1]buses-marginal_price'!F128</f>
        <v>51.59</v>
      </c>
      <c r="G128" s="40">
        <f t="shared" si="2"/>
        <v>18.7</v>
      </c>
      <c r="H128" s="1">
        <v>0.1</v>
      </c>
      <c r="I128" s="1">
        <v>22</v>
      </c>
      <c r="J128" s="1">
        <v>18.7</v>
      </c>
      <c r="K128" s="1">
        <v>14</v>
      </c>
      <c r="L128" s="1">
        <f>'[1]buses-marginal_price'!G128</f>
        <v>13.925000000000001</v>
      </c>
      <c r="M128" s="1">
        <f>'[1]buses-marginal_price'!H128</f>
        <v>8.4999999999999992E-2</v>
      </c>
      <c r="N128" s="1">
        <f>'[1]buses-marginal_price'!I128</f>
        <v>73.800000000000011</v>
      </c>
      <c r="O128" s="1">
        <f>'[1]buses-marginal_price'!J128</f>
        <v>13.925000000000001</v>
      </c>
      <c r="P128" s="1">
        <f>'[1]buses-marginal_price'!K128</f>
        <v>51.66</v>
      </c>
      <c r="Q128" s="1">
        <f>'[1]buses-marginal_price'!L128</f>
        <v>14.125</v>
      </c>
      <c r="R128" s="1">
        <f>'[1]buses-marginal_price'!M128</f>
        <v>73.900000000000006</v>
      </c>
      <c r="S128" s="1">
        <f>'[1]buses-marginal_price'!N128</f>
        <v>73.800000000000011</v>
      </c>
      <c r="T128" s="1">
        <f>'[1]buses-marginal_price'!O128</f>
        <v>73.800000000000011</v>
      </c>
      <c r="U128" s="1">
        <f>'[1]buses-marginal_price'!P128</f>
        <v>73.7</v>
      </c>
      <c r="V128" s="40">
        <f t="shared" si="3"/>
        <v>73.900000000000006</v>
      </c>
    </row>
    <row r="129" spans="1:22">
      <c r="A129" s="1">
        <f>'[1]buses-marginal_price'!A129</f>
        <v>127</v>
      </c>
      <c r="B129" s="1">
        <f>'[1]buses-marginal_price'!B129</f>
        <v>14.025</v>
      </c>
      <c r="C129" s="1">
        <f>'[1]buses-marginal_price'!C129</f>
        <v>18.7</v>
      </c>
      <c r="D129" s="1">
        <f>'[1]buses-marginal_price'!D129</f>
        <v>73.7</v>
      </c>
      <c r="E129" s="1">
        <f>'[1]buses-marginal_price'!E129</f>
        <v>14.025</v>
      </c>
      <c r="F129" s="1">
        <f>'[1]buses-marginal_price'!F129</f>
        <v>51.59</v>
      </c>
      <c r="G129" s="40">
        <f t="shared" si="2"/>
        <v>18.7</v>
      </c>
      <c r="H129" s="1">
        <v>0.1</v>
      </c>
      <c r="I129" s="1">
        <v>22</v>
      </c>
      <c r="J129" s="1">
        <v>18.7</v>
      </c>
      <c r="K129" s="1">
        <v>14</v>
      </c>
      <c r="L129" s="1">
        <f>'[1]buses-marginal_price'!G129</f>
        <v>13.925000000000001</v>
      </c>
      <c r="M129" s="1">
        <f>'[1]buses-marginal_price'!H129</f>
        <v>8.4999999999999992E-2</v>
      </c>
      <c r="N129" s="1">
        <f>'[1]buses-marginal_price'!I129</f>
        <v>73.800000000000011</v>
      </c>
      <c r="O129" s="1">
        <f>'[1]buses-marginal_price'!J129</f>
        <v>13.925000000000001</v>
      </c>
      <c r="P129" s="1">
        <f>'[1]buses-marginal_price'!K129</f>
        <v>51.66</v>
      </c>
      <c r="Q129" s="1">
        <f>'[1]buses-marginal_price'!L129</f>
        <v>14.125</v>
      </c>
      <c r="R129" s="1">
        <f>'[1]buses-marginal_price'!M129</f>
        <v>73.900000000000006</v>
      </c>
      <c r="S129" s="1">
        <f>'[1]buses-marginal_price'!N129</f>
        <v>73.800000000000011</v>
      </c>
      <c r="T129" s="1">
        <f>'[1]buses-marginal_price'!O129</f>
        <v>73.7</v>
      </c>
      <c r="U129" s="1">
        <f>'[1]buses-marginal_price'!P129</f>
        <v>73.7</v>
      </c>
      <c r="V129" s="40">
        <f t="shared" si="3"/>
        <v>73.900000000000006</v>
      </c>
    </row>
    <row r="130" spans="1:22">
      <c r="A130" s="1">
        <f>'[1]buses-marginal_price'!A130</f>
        <v>128</v>
      </c>
      <c r="B130" s="1">
        <f>'[1]buses-marginal_price'!B130</f>
        <v>14.025</v>
      </c>
      <c r="C130" s="1">
        <f>'[1]buses-marginal_price'!C130</f>
        <v>18.7</v>
      </c>
      <c r="D130" s="1">
        <f>'[1]buses-marginal_price'!D130</f>
        <v>73.7</v>
      </c>
      <c r="E130" s="1">
        <f>'[1]buses-marginal_price'!E130</f>
        <v>14.025</v>
      </c>
      <c r="F130" s="1">
        <f>'[1]buses-marginal_price'!F130</f>
        <v>51.59</v>
      </c>
      <c r="G130" s="40">
        <f t="shared" si="2"/>
        <v>18.7</v>
      </c>
      <c r="H130" s="1">
        <v>0.1</v>
      </c>
      <c r="I130" s="1">
        <v>22</v>
      </c>
      <c r="J130" s="1">
        <v>18.7</v>
      </c>
      <c r="K130" s="1">
        <v>14</v>
      </c>
      <c r="L130" s="1">
        <f>'[1]buses-marginal_price'!G130</f>
        <v>13.925000000000001</v>
      </c>
      <c r="M130" s="1">
        <f>'[1]buses-marginal_price'!H130</f>
        <v>8.4999999999999992E-2</v>
      </c>
      <c r="N130" s="1">
        <f>'[1]buses-marginal_price'!I130</f>
        <v>73.800000000000011</v>
      </c>
      <c r="O130" s="1">
        <f>'[1]buses-marginal_price'!J130</f>
        <v>13.925000000000001</v>
      </c>
      <c r="P130" s="1">
        <f>'[1]buses-marginal_price'!K130</f>
        <v>51.66</v>
      </c>
      <c r="Q130" s="1">
        <f>'[1]buses-marginal_price'!L130</f>
        <v>14.125</v>
      </c>
      <c r="R130" s="1">
        <f>'[1]buses-marginal_price'!M130</f>
        <v>73.900000000000006</v>
      </c>
      <c r="S130" s="1">
        <f>'[1]buses-marginal_price'!N130</f>
        <v>73.800000000000011</v>
      </c>
      <c r="T130" s="1">
        <f>'[1]buses-marginal_price'!O130</f>
        <v>73.7</v>
      </c>
      <c r="U130" s="1">
        <f>'[1]buses-marginal_price'!P130</f>
        <v>73.7</v>
      </c>
      <c r="V130" s="40">
        <f t="shared" si="3"/>
        <v>73.900000000000006</v>
      </c>
    </row>
    <row r="131" spans="1:22">
      <c r="A131" s="1">
        <f>'[1]buses-marginal_price'!A131</f>
        <v>129</v>
      </c>
      <c r="B131" s="1">
        <f>'[1]buses-marginal_price'!B131</f>
        <v>0</v>
      </c>
      <c r="C131" s="1">
        <f>'[1]buses-marginal_price'!C131</f>
        <v>18.7</v>
      </c>
      <c r="D131" s="1">
        <f>'[1]buses-marginal_price'!D131</f>
        <v>28.856944285714281</v>
      </c>
      <c r="E131" s="1">
        <f>'[1]buses-marginal_price'!E131</f>
        <v>0</v>
      </c>
      <c r="F131" s="1">
        <f>'[1]buses-marginal_price'!F131</f>
        <v>20.199860999999999</v>
      </c>
      <c r="G131" s="40">
        <f t="shared" ref="G131:G169" si="4">MAX(C131,L131,Q131)</f>
        <v>18.7</v>
      </c>
      <c r="H131" s="1">
        <v>0.1</v>
      </c>
      <c r="I131" s="1">
        <v>22</v>
      </c>
      <c r="J131" s="1">
        <v>18.7</v>
      </c>
      <c r="K131" s="1">
        <v>14</v>
      </c>
      <c r="L131" s="1">
        <f>'[1]buses-marginal_price'!G131</f>
        <v>6.3749999999999987E-2</v>
      </c>
      <c r="M131" s="1">
        <f>'[1]buses-marginal_price'!H131</f>
        <v>8.4999999999999992E-2</v>
      </c>
      <c r="N131" s="1">
        <f>'[1]buses-marginal_price'!I131</f>
        <v>28.95694428571429</v>
      </c>
      <c r="O131" s="1">
        <f>'[1]buses-marginal_price'!J131</f>
        <v>6.3749999999999987E-2</v>
      </c>
      <c r="P131" s="1">
        <f>'[1]buses-marginal_price'!K131</f>
        <v>20.269860999999999</v>
      </c>
      <c r="Q131" s="1">
        <f>'[1]buses-marginal_price'!L131</f>
        <v>0.1</v>
      </c>
      <c r="R131" s="1">
        <f>'[1]buses-marginal_price'!M131</f>
        <v>29.056944285714291</v>
      </c>
      <c r="S131" s="1">
        <f>'[1]buses-marginal_price'!N131</f>
        <v>28.95694428571429</v>
      </c>
      <c r="T131" s="1">
        <f>'[1]buses-marginal_price'!O131</f>
        <v>28.95694428571429</v>
      </c>
      <c r="U131" s="1">
        <f>'[1]buses-marginal_price'!P131</f>
        <v>28.856944285714281</v>
      </c>
      <c r="V131" s="40">
        <f t="shared" ref="V131:V169" si="5">MAX(D131,F131,P131,R131:U131)</f>
        <v>29.056944285714291</v>
      </c>
    </row>
    <row r="132" spans="1:22">
      <c r="A132" s="1">
        <f>'[1]buses-marginal_price'!A132</f>
        <v>130</v>
      </c>
      <c r="B132" s="1">
        <f>'[1]buses-marginal_price'!B132</f>
        <v>0</v>
      </c>
      <c r="C132" s="1">
        <f>'[1]buses-marginal_price'!C132</f>
        <v>18.7</v>
      </c>
      <c r="D132" s="1">
        <f>'[1]buses-marginal_price'!D132</f>
        <v>1.428571428571429E-2</v>
      </c>
      <c r="E132" s="1">
        <f>'[1]buses-marginal_price'!E132</f>
        <v>0</v>
      </c>
      <c r="F132" s="1">
        <f>'[1]buses-marginal_price'!F132</f>
        <v>0.01</v>
      </c>
      <c r="G132" s="40">
        <f t="shared" si="4"/>
        <v>18.7</v>
      </c>
      <c r="H132" s="1">
        <v>0.1</v>
      </c>
      <c r="I132" s="1">
        <v>22</v>
      </c>
      <c r="J132" s="1">
        <v>18.7</v>
      </c>
      <c r="K132" s="1">
        <v>14</v>
      </c>
      <c r="L132" s="1">
        <f>'[1]buses-marginal_price'!G132</f>
        <v>0</v>
      </c>
      <c r="M132" s="1">
        <f>'[1]buses-marginal_price'!H132</f>
        <v>8.4999999999999992E-2</v>
      </c>
      <c r="N132" s="1">
        <f>'[1]buses-marginal_price'!I132</f>
        <v>0</v>
      </c>
      <c r="O132" s="1">
        <f>'[1]buses-marginal_price'!J132</f>
        <v>0</v>
      </c>
      <c r="P132" s="1">
        <f>'[1]buses-marginal_price'!K132</f>
        <v>0</v>
      </c>
      <c r="Q132" s="1">
        <f>'[1]buses-marginal_price'!L132</f>
        <v>0.1</v>
      </c>
      <c r="R132" s="1">
        <f>'[1]buses-marginal_price'!M132</f>
        <v>0.2142857142857143</v>
      </c>
      <c r="S132" s="1">
        <f>'[1]buses-marginal_price'!N132</f>
        <v>0.1142857142857143</v>
      </c>
      <c r="T132" s="1">
        <f>'[1]buses-marginal_price'!O132</f>
        <v>0.1142857142857143</v>
      </c>
      <c r="U132" s="1">
        <f>'[1]buses-marginal_price'!P132</f>
        <v>1.428571428571429E-2</v>
      </c>
      <c r="V132" s="40">
        <f t="shared" si="5"/>
        <v>0.2142857142857143</v>
      </c>
    </row>
    <row r="133" spans="1:22">
      <c r="A133" s="1">
        <f>'[1]buses-marginal_price'!A133</f>
        <v>131</v>
      </c>
      <c r="B133" s="1">
        <f>'[1]buses-marginal_price'!B133</f>
        <v>0</v>
      </c>
      <c r="C133" s="1">
        <f>'[1]buses-marginal_price'!C133</f>
        <v>18.7</v>
      </c>
      <c r="D133" s="1">
        <f>'[1]buses-marginal_price'!D133</f>
        <v>1.428571428571429E-2</v>
      </c>
      <c r="E133" s="1">
        <f>'[1]buses-marginal_price'!E133</f>
        <v>0</v>
      </c>
      <c r="F133" s="1">
        <f>'[1]buses-marginal_price'!F133</f>
        <v>0.01</v>
      </c>
      <c r="G133" s="40">
        <f t="shared" si="4"/>
        <v>18.7</v>
      </c>
      <c r="H133" s="1">
        <v>0.1</v>
      </c>
      <c r="I133" s="1">
        <v>22</v>
      </c>
      <c r="J133" s="1">
        <v>18.7</v>
      </c>
      <c r="K133" s="1">
        <v>14</v>
      </c>
      <c r="L133" s="1">
        <f>'[1]buses-marginal_price'!G133</f>
        <v>0</v>
      </c>
      <c r="M133" s="1">
        <f>'[1]buses-marginal_price'!H133</f>
        <v>8.4999999999999992E-2</v>
      </c>
      <c r="N133" s="1">
        <f>'[1]buses-marginal_price'!I133</f>
        <v>0</v>
      </c>
      <c r="O133" s="1">
        <f>'[1]buses-marginal_price'!J133</f>
        <v>0</v>
      </c>
      <c r="P133" s="1">
        <f>'[1]buses-marginal_price'!K133</f>
        <v>0</v>
      </c>
      <c r="Q133" s="1">
        <f>'[1]buses-marginal_price'!L133</f>
        <v>0.1</v>
      </c>
      <c r="R133" s="1">
        <f>'[1]buses-marginal_price'!M133</f>
        <v>0.2142857142857143</v>
      </c>
      <c r="S133" s="1">
        <f>'[1]buses-marginal_price'!N133</f>
        <v>0.1142857142857143</v>
      </c>
      <c r="T133" s="1">
        <f>'[1]buses-marginal_price'!O133</f>
        <v>0.1142857142857143</v>
      </c>
      <c r="U133" s="1">
        <f>'[1]buses-marginal_price'!P133</f>
        <v>1.428571428571429E-2</v>
      </c>
      <c r="V133" s="40">
        <f t="shared" si="5"/>
        <v>0.2142857142857143</v>
      </c>
    </row>
    <row r="134" spans="1:22">
      <c r="A134" s="1">
        <f>'[1]buses-marginal_price'!A134</f>
        <v>132</v>
      </c>
      <c r="B134" s="1">
        <f>'[1]buses-marginal_price'!B134</f>
        <v>0</v>
      </c>
      <c r="C134" s="1">
        <f>'[1]buses-marginal_price'!C134</f>
        <v>18.7</v>
      </c>
      <c r="D134" s="1">
        <f>'[1]buses-marginal_price'!D134</f>
        <v>1.428571428571429E-2</v>
      </c>
      <c r="E134" s="1">
        <f>'[1]buses-marginal_price'!E134</f>
        <v>0</v>
      </c>
      <c r="F134" s="1">
        <f>'[1]buses-marginal_price'!F134</f>
        <v>0.01</v>
      </c>
      <c r="G134" s="40">
        <f t="shared" si="4"/>
        <v>18.7</v>
      </c>
      <c r="H134" s="1">
        <v>0.1</v>
      </c>
      <c r="I134" s="1">
        <v>22</v>
      </c>
      <c r="J134" s="1">
        <v>18.7</v>
      </c>
      <c r="K134" s="1">
        <v>14</v>
      </c>
      <c r="L134" s="1">
        <f>'[1]buses-marginal_price'!G134</f>
        <v>0</v>
      </c>
      <c r="M134" s="1">
        <f>'[1]buses-marginal_price'!H134</f>
        <v>8.4999999999999992E-2</v>
      </c>
      <c r="N134" s="1">
        <f>'[1]buses-marginal_price'!I134</f>
        <v>0</v>
      </c>
      <c r="O134" s="1">
        <f>'[1]buses-marginal_price'!J134</f>
        <v>0</v>
      </c>
      <c r="P134" s="1">
        <f>'[1]buses-marginal_price'!K134</f>
        <v>0</v>
      </c>
      <c r="Q134" s="1">
        <f>'[1]buses-marginal_price'!L134</f>
        <v>0.1</v>
      </c>
      <c r="R134" s="1">
        <f>'[1]buses-marginal_price'!M134</f>
        <v>0.2142857142857143</v>
      </c>
      <c r="S134" s="1">
        <f>'[1]buses-marginal_price'!N134</f>
        <v>0.1142857142857143</v>
      </c>
      <c r="T134" s="1">
        <f>'[1]buses-marginal_price'!O134</f>
        <v>0.1142857142857143</v>
      </c>
      <c r="U134" s="1">
        <f>'[1]buses-marginal_price'!P134</f>
        <v>1.428571428571429E-2</v>
      </c>
      <c r="V134" s="40">
        <f t="shared" si="5"/>
        <v>0.2142857142857143</v>
      </c>
    </row>
    <row r="135" spans="1:22">
      <c r="A135" s="1">
        <f>'[1]buses-marginal_price'!A135</f>
        <v>133</v>
      </c>
      <c r="B135" s="1">
        <f>'[1]buses-marginal_price'!B135</f>
        <v>0</v>
      </c>
      <c r="C135" s="1">
        <f>'[1]buses-marginal_price'!C135</f>
        <v>18.7</v>
      </c>
      <c r="D135" s="1">
        <f>'[1]buses-marginal_price'!D135</f>
        <v>1.428571428571429E-2</v>
      </c>
      <c r="E135" s="1">
        <f>'[1]buses-marginal_price'!E135</f>
        <v>0</v>
      </c>
      <c r="F135" s="1">
        <f>'[1]buses-marginal_price'!F135</f>
        <v>0.01</v>
      </c>
      <c r="G135" s="40">
        <f t="shared" si="4"/>
        <v>18.7</v>
      </c>
      <c r="H135" s="1">
        <v>0.1</v>
      </c>
      <c r="I135" s="1">
        <v>22</v>
      </c>
      <c r="J135" s="1">
        <v>18.7</v>
      </c>
      <c r="K135" s="1">
        <v>14</v>
      </c>
      <c r="L135" s="1">
        <f>'[1]buses-marginal_price'!G135</f>
        <v>0</v>
      </c>
      <c r="M135" s="1">
        <f>'[1]buses-marginal_price'!H135</f>
        <v>8.4999999999999992E-2</v>
      </c>
      <c r="N135" s="1">
        <f>'[1]buses-marginal_price'!I135</f>
        <v>0</v>
      </c>
      <c r="O135" s="1">
        <f>'[1]buses-marginal_price'!J135</f>
        <v>0</v>
      </c>
      <c r="P135" s="1">
        <f>'[1]buses-marginal_price'!K135</f>
        <v>0</v>
      </c>
      <c r="Q135" s="1">
        <f>'[1]buses-marginal_price'!L135</f>
        <v>0.1</v>
      </c>
      <c r="R135" s="1">
        <f>'[1]buses-marginal_price'!M135</f>
        <v>0.2142857142857143</v>
      </c>
      <c r="S135" s="1">
        <f>'[1]buses-marginal_price'!N135</f>
        <v>0.1142857142857143</v>
      </c>
      <c r="T135" s="1">
        <f>'[1]buses-marginal_price'!O135</f>
        <v>0.1142857142857143</v>
      </c>
      <c r="U135" s="1">
        <f>'[1]buses-marginal_price'!P135</f>
        <v>1.428571428571429E-2</v>
      </c>
      <c r="V135" s="40">
        <f t="shared" si="5"/>
        <v>0.2142857142857143</v>
      </c>
    </row>
    <row r="136" spans="1:22">
      <c r="A136" s="1">
        <f>'[1]buses-marginal_price'!A136</f>
        <v>134</v>
      </c>
      <c r="B136" s="1">
        <f>'[1]buses-marginal_price'!B136</f>
        <v>0</v>
      </c>
      <c r="C136" s="1">
        <f>'[1]buses-marginal_price'!C136</f>
        <v>18.7</v>
      </c>
      <c r="D136" s="1">
        <f>'[1]buses-marginal_price'!D136</f>
        <v>1.428571428571429E-2</v>
      </c>
      <c r="E136" s="1">
        <f>'[1]buses-marginal_price'!E136</f>
        <v>0</v>
      </c>
      <c r="F136" s="1">
        <f>'[1]buses-marginal_price'!F136</f>
        <v>0.01</v>
      </c>
      <c r="G136" s="40">
        <f t="shared" si="4"/>
        <v>18.7</v>
      </c>
      <c r="H136" s="1">
        <v>0.1</v>
      </c>
      <c r="I136" s="1">
        <v>22</v>
      </c>
      <c r="J136" s="1">
        <v>18.7</v>
      </c>
      <c r="K136" s="1">
        <v>14</v>
      </c>
      <c r="L136" s="1">
        <f>'[1]buses-marginal_price'!G136</f>
        <v>0</v>
      </c>
      <c r="M136" s="1">
        <f>'[1]buses-marginal_price'!H136</f>
        <v>8.4999999999999992E-2</v>
      </c>
      <c r="N136" s="1">
        <f>'[1]buses-marginal_price'!I136</f>
        <v>0</v>
      </c>
      <c r="O136" s="1">
        <f>'[1]buses-marginal_price'!J136</f>
        <v>0</v>
      </c>
      <c r="P136" s="1">
        <f>'[1]buses-marginal_price'!K136</f>
        <v>0</v>
      </c>
      <c r="Q136" s="1">
        <f>'[1]buses-marginal_price'!L136</f>
        <v>0.1</v>
      </c>
      <c r="R136" s="1">
        <f>'[1]buses-marginal_price'!M136</f>
        <v>0.2142857142857143</v>
      </c>
      <c r="S136" s="1">
        <f>'[1]buses-marginal_price'!N136</f>
        <v>0.1142857142857143</v>
      </c>
      <c r="T136" s="1">
        <f>'[1]buses-marginal_price'!O136</f>
        <v>0.1142857142857143</v>
      </c>
      <c r="U136" s="1">
        <f>'[1]buses-marginal_price'!P136</f>
        <v>1.428571428571429E-2</v>
      </c>
      <c r="V136" s="40">
        <f t="shared" si="5"/>
        <v>0.2142857142857143</v>
      </c>
    </row>
    <row r="137" spans="1:22">
      <c r="A137" s="1">
        <f>'[1]buses-marginal_price'!A137</f>
        <v>135</v>
      </c>
      <c r="B137" s="1">
        <f>'[1]buses-marginal_price'!B137</f>
        <v>0</v>
      </c>
      <c r="C137" s="1">
        <f>'[1]buses-marginal_price'!C137</f>
        <v>18.7</v>
      </c>
      <c r="D137" s="1">
        <f>'[1]buses-marginal_price'!D137</f>
        <v>1.428571428571429E-2</v>
      </c>
      <c r="E137" s="1">
        <f>'[1]buses-marginal_price'!E137</f>
        <v>0</v>
      </c>
      <c r="F137" s="1">
        <f>'[1]buses-marginal_price'!F137</f>
        <v>0.01</v>
      </c>
      <c r="G137" s="40">
        <f t="shared" si="4"/>
        <v>18.7</v>
      </c>
      <c r="H137" s="1">
        <v>0.1</v>
      </c>
      <c r="I137" s="1">
        <v>22</v>
      </c>
      <c r="J137" s="1">
        <v>18.7</v>
      </c>
      <c r="K137" s="1">
        <v>14</v>
      </c>
      <c r="L137" s="1">
        <f>'[1]buses-marginal_price'!G137</f>
        <v>0</v>
      </c>
      <c r="M137" s="1">
        <f>'[1]buses-marginal_price'!H137</f>
        <v>8.4999999999999992E-2</v>
      </c>
      <c r="N137" s="1">
        <f>'[1]buses-marginal_price'!I137</f>
        <v>0</v>
      </c>
      <c r="O137" s="1">
        <f>'[1]buses-marginal_price'!J137</f>
        <v>0</v>
      </c>
      <c r="P137" s="1">
        <f>'[1]buses-marginal_price'!K137</f>
        <v>0</v>
      </c>
      <c r="Q137" s="1">
        <f>'[1]buses-marginal_price'!L137</f>
        <v>0.1</v>
      </c>
      <c r="R137" s="1">
        <f>'[1]buses-marginal_price'!M137</f>
        <v>0.2142857142857143</v>
      </c>
      <c r="S137" s="1">
        <f>'[1]buses-marginal_price'!N137</f>
        <v>0.1142857142857143</v>
      </c>
      <c r="T137" s="1">
        <f>'[1]buses-marginal_price'!O137</f>
        <v>0.1142857142857143</v>
      </c>
      <c r="U137" s="1">
        <f>'[1]buses-marginal_price'!P137</f>
        <v>1.428571428571429E-2</v>
      </c>
      <c r="V137" s="40">
        <f t="shared" si="5"/>
        <v>0.2142857142857143</v>
      </c>
    </row>
    <row r="138" spans="1:22">
      <c r="A138" s="1">
        <f>'[1]buses-marginal_price'!A138</f>
        <v>136</v>
      </c>
      <c r="B138" s="1">
        <f>'[1]buses-marginal_price'!B138</f>
        <v>0</v>
      </c>
      <c r="C138" s="1">
        <f>'[1]buses-marginal_price'!C138</f>
        <v>18.7</v>
      </c>
      <c r="D138" s="1">
        <f>'[1]buses-marginal_price'!D138</f>
        <v>1.428571428571429E-2</v>
      </c>
      <c r="E138" s="1">
        <f>'[1]buses-marginal_price'!E138</f>
        <v>0</v>
      </c>
      <c r="F138" s="1">
        <f>'[1]buses-marginal_price'!F138</f>
        <v>0.01</v>
      </c>
      <c r="G138" s="40">
        <f t="shared" si="4"/>
        <v>18.7</v>
      </c>
      <c r="H138" s="1">
        <v>0.1</v>
      </c>
      <c r="I138" s="1">
        <v>22</v>
      </c>
      <c r="J138" s="1">
        <v>18.7</v>
      </c>
      <c r="K138" s="1">
        <v>14</v>
      </c>
      <c r="L138" s="1">
        <f>'[1]buses-marginal_price'!G138</f>
        <v>0</v>
      </c>
      <c r="M138" s="1">
        <f>'[1]buses-marginal_price'!H138</f>
        <v>8.4999999999999992E-2</v>
      </c>
      <c r="N138" s="1">
        <f>'[1]buses-marginal_price'!I138</f>
        <v>0</v>
      </c>
      <c r="O138" s="1">
        <f>'[1]buses-marginal_price'!J138</f>
        <v>0</v>
      </c>
      <c r="P138" s="1">
        <f>'[1]buses-marginal_price'!K138</f>
        <v>0</v>
      </c>
      <c r="Q138" s="1">
        <f>'[1]buses-marginal_price'!L138</f>
        <v>0.1</v>
      </c>
      <c r="R138" s="1">
        <f>'[1]buses-marginal_price'!M138</f>
        <v>0.2142857142857143</v>
      </c>
      <c r="S138" s="1">
        <f>'[1]buses-marginal_price'!N138</f>
        <v>0.1142857142857143</v>
      </c>
      <c r="T138" s="1">
        <f>'[1]buses-marginal_price'!O138</f>
        <v>0.1142857142857143</v>
      </c>
      <c r="U138" s="1">
        <f>'[1]buses-marginal_price'!P138</f>
        <v>1.428571428571429E-2</v>
      </c>
      <c r="V138" s="40">
        <f t="shared" si="5"/>
        <v>0.2142857142857143</v>
      </c>
    </row>
    <row r="139" spans="1:22">
      <c r="A139" s="1">
        <f>'[1]buses-marginal_price'!A139</f>
        <v>137</v>
      </c>
      <c r="B139" s="1">
        <f>'[1]buses-marginal_price'!B139</f>
        <v>14.025</v>
      </c>
      <c r="C139" s="1">
        <f>'[1]buses-marginal_price'!C139</f>
        <v>18.7</v>
      </c>
      <c r="D139" s="1">
        <f>'[1]buses-marginal_price'!D139</f>
        <v>28.856944285714281</v>
      </c>
      <c r="E139" s="1">
        <f>'[1]buses-marginal_price'!E139</f>
        <v>14.025</v>
      </c>
      <c r="F139" s="1">
        <f>'[1]buses-marginal_price'!F139</f>
        <v>20.199860999999999</v>
      </c>
      <c r="G139" s="40">
        <f t="shared" si="4"/>
        <v>18.7</v>
      </c>
      <c r="H139" s="1">
        <v>0.1</v>
      </c>
      <c r="I139" s="1">
        <v>22</v>
      </c>
      <c r="J139" s="1">
        <v>18.7</v>
      </c>
      <c r="K139" s="1">
        <v>14</v>
      </c>
      <c r="L139" s="1">
        <f>'[1]buses-marginal_price'!G139</f>
        <v>9.9999999999999992E-2</v>
      </c>
      <c r="M139" s="1">
        <f>'[1]buses-marginal_price'!H139</f>
        <v>8.4999999999999992E-2</v>
      </c>
      <c r="N139" s="1">
        <f>'[1]buses-marginal_price'!I139</f>
        <v>28.75694428571428</v>
      </c>
      <c r="O139" s="1">
        <f>'[1]buses-marginal_price'!J139</f>
        <v>9.9999999999999992E-2</v>
      </c>
      <c r="P139" s="1">
        <f>'[1]buses-marginal_price'!K139</f>
        <v>20.129860999999991</v>
      </c>
      <c r="Q139" s="1">
        <f>'[1]buses-marginal_price'!L139</f>
        <v>14.125</v>
      </c>
      <c r="R139" s="1">
        <f>'[1]buses-marginal_price'!M139</f>
        <v>29.056944285714291</v>
      </c>
      <c r="S139" s="1">
        <f>'[1]buses-marginal_price'!N139</f>
        <v>28.95694428571429</v>
      </c>
      <c r="T139" s="1">
        <f>'[1]buses-marginal_price'!O139</f>
        <v>28.856944285714281</v>
      </c>
      <c r="U139" s="1">
        <f>'[1]buses-marginal_price'!P139</f>
        <v>28.856944285714281</v>
      </c>
      <c r="V139" s="40">
        <f t="shared" si="5"/>
        <v>29.056944285714291</v>
      </c>
    </row>
    <row r="140" spans="1:22">
      <c r="A140" s="1">
        <f>'[1]buses-marginal_price'!A140</f>
        <v>138</v>
      </c>
      <c r="B140" s="1">
        <f>'[1]buses-marginal_price'!B140</f>
        <v>14.025</v>
      </c>
      <c r="C140" s="1">
        <f>'[1]buses-marginal_price'!C140</f>
        <v>18.7</v>
      </c>
      <c r="D140" s="1">
        <f>'[1]buses-marginal_price'!D140</f>
        <v>73.7</v>
      </c>
      <c r="E140" s="1">
        <f>'[1]buses-marginal_price'!E140</f>
        <v>14.025</v>
      </c>
      <c r="F140" s="1">
        <f>'[1]buses-marginal_price'!F140</f>
        <v>51.59</v>
      </c>
      <c r="G140" s="40">
        <f t="shared" si="4"/>
        <v>18.7</v>
      </c>
      <c r="H140" s="1">
        <v>0.1</v>
      </c>
      <c r="I140" s="1">
        <v>22</v>
      </c>
      <c r="J140" s="1">
        <v>18.7</v>
      </c>
      <c r="K140" s="1">
        <v>14</v>
      </c>
      <c r="L140" s="1">
        <f>'[1]buses-marginal_price'!G140</f>
        <v>13.925000000000001</v>
      </c>
      <c r="M140" s="1">
        <f>'[1]buses-marginal_price'!H140</f>
        <v>8.4999999999999992E-2</v>
      </c>
      <c r="N140" s="1">
        <f>'[1]buses-marginal_price'!I140</f>
        <v>73.800000000000011</v>
      </c>
      <c r="O140" s="1">
        <f>'[1]buses-marginal_price'!J140</f>
        <v>13.925000000000001</v>
      </c>
      <c r="P140" s="1">
        <f>'[1]buses-marginal_price'!K140</f>
        <v>51.66</v>
      </c>
      <c r="Q140" s="1">
        <f>'[1]buses-marginal_price'!L140</f>
        <v>14.125</v>
      </c>
      <c r="R140" s="1">
        <f>'[1]buses-marginal_price'!M140</f>
        <v>73.900000000000006</v>
      </c>
      <c r="S140" s="1">
        <f>'[1]buses-marginal_price'!N140</f>
        <v>73.800000000000011</v>
      </c>
      <c r="T140" s="1">
        <f>'[1]buses-marginal_price'!O140</f>
        <v>73.800000000000011</v>
      </c>
      <c r="U140" s="1">
        <f>'[1]buses-marginal_price'!P140</f>
        <v>73.7</v>
      </c>
      <c r="V140" s="40">
        <f t="shared" si="5"/>
        <v>73.900000000000006</v>
      </c>
    </row>
    <row r="141" spans="1:22">
      <c r="A141" s="1">
        <f>'[1]buses-marginal_price'!A141</f>
        <v>139</v>
      </c>
      <c r="B141" s="1">
        <f>'[1]buses-marginal_price'!B141</f>
        <v>14.025</v>
      </c>
      <c r="C141" s="1">
        <f>'[1]buses-marginal_price'!C141</f>
        <v>18.7</v>
      </c>
      <c r="D141" s="1">
        <f>'[1]buses-marginal_price'!D141</f>
        <v>31.44285714285714</v>
      </c>
      <c r="E141" s="1">
        <f>'[1]buses-marginal_price'!E141</f>
        <v>14.025</v>
      </c>
      <c r="F141" s="1">
        <f>'[1]buses-marginal_price'!F141</f>
        <v>22.01</v>
      </c>
      <c r="G141" s="40">
        <f t="shared" si="4"/>
        <v>18.7</v>
      </c>
      <c r="H141" s="1">
        <v>0.1</v>
      </c>
      <c r="I141" s="1">
        <v>22</v>
      </c>
      <c r="J141" s="1">
        <v>18.7</v>
      </c>
      <c r="K141" s="1">
        <v>14</v>
      </c>
      <c r="L141" s="1">
        <f>'[1]buses-marginal_price'!G141</f>
        <v>13.925000000000001</v>
      </c>
      <c r="M141" s="1">
        <f>'[1]buses-marginal_price'!H141</f>
        <v>8.4999999999999992E-2</v>
      </c>
      <c r="N141" s="1">
        <f>'[1]buses-marginal_price'!I141</f>
        <v>31.342857142857142</v>
      </c>
      <c r="O141" s="1">
        <f>'[1]buses-marginal_price'!J141</f>
        <v>13.925000000000001</v>
      </c>
      <c r="P141" s="1">
        <f>'[1]buses-marginal_price'!K141</f>
        <v>21.939999999999991</v>
      </c>
      <c r="Q141" s="1">
        <f>'[1]buses-marginal_price'!L141</f>
        <v>14.125</v>
      </c>
      <c r="R141" s="1">
        <f>'[1]buses-marginal_price'!M141</f>
        <v>31.642857142857139</v>
      </c>
      <c r="S141" s="1">
        <f>'[1]buses-marginal_price'!N141</f>
        <v>31.542857142857141</v>
      </c>
      <c r="T141" s="1">
        <f>'[1]buses-marginal_price'!O141</f>
        <v>31.44285714285714</v>
      </c>
      <c r="U141" s="1">
        <f>'[1]buses-marginal_price'!P141</f>
        <v>31.44285714285714</v>
      </c>
      <c r="V141" s="40">
        <f t="shared" si="5"/>
        <v>31.642857142857139</v>
      </c>
    </row>
    <row r="142" spans="1:22">
      <c r="A142" s="1">
        <f>'[1]buses-marginal_price'!A142</f>
        <v>140</v>
      </c>
      <c r="B142" s="1">
        <f>'[1]buses-marginal_price'!B142</f>
        <v>14.025</v>
      </c>
      <c r="C142" s="1">
        <f>'[1]buses-marginal_price'!C142</f>
        <v>18.7</v>
      </c>
      <c r="D142" s="1">
        <f>'[1]buses-marginal_price'!D142</f>
        <v>31.44285714285714</v>
      </c>
      <c r="E142" s="1">
        <f>'[1]buses-marginal_price'!E142</f>
        <v>14.025</v>
      </c>
      <c r="F142" s="1">
        <f>'[1]buses-marginal_price'!F142</f>
        <v>22.01</v>
      </c>
      <c r="G142" s="40">
        <f t="shared" si="4"/>
        <v>18.7</v>
      </c>
      <c r="H142" s="1">
        <v>0.1</v>
      </c>
      <c r="I142" s="1">
        <v>22</v>
      </c>
      <c r="J142" s="1">
        <v>18.7</v>
      </c>
      <c r="K142" s="1">
        <v>14</v>
      </c>
      <c r="L142" s="1">
        <f>'[1]buses-marginal_price'!G142</f>
        <v>13.925000000000001</v>
      </c>
      <c r="M142" s="1">
        <f>'[1]buses-marginal_price'!H142</f>
        <v>8.4999999999999992E-2</v>
      </c>
      <c r="N142" s="1">
        <f>'[1]buses-marginal_price'!I142</f>
        <v>31.342857142857142</v>
      </c>
      <c r="O142" s="1">
        <f>'[1]buses-marginal_price'!J142</f>
        <v>13.925000000000001</v>
      </c>
      <c r="P142" s="1">
        <f>'[1]buses-marginal_price'!K142</f>
        <v>21.939999999999991</v>
      </c>
      <c r="Q142" s="1">
        <f>'[1]buses-marginal_price'!L142</f>
        <v>14.125</v>
      </c>
      <c r="R142" s="1">
        <f>'[1]buses-marginal_price'!M142</f>
        <v>31.642857142857139</v>
      </c>
      <c r="S142" s="1">
        <f>'[1]buses-marginal_price'!N142</f>
        <v>31.542857142857141</v>
      </c>
      <c r="T142" s="1">
        <f>'[1]buses-marginal_price'!O142</f>
        <v>31.542857142857141</v>
      </c>
      <c r="U142" s="1">
        <f>'[1]buses-marginal_price'!P142</f>
        <v>31.44285714285714</v>
      </c>
      <c r="V142" s="40">
        <f t="shared" si="5"/>
        <v>31.642857142857139</v>
      </c>
    </row>
    <row r="143" spans="1:22">
      <c r="A143" s="1">
        <f>'[1]buses-marginal_price'!A143</f>
        <v>141</v>
      </c>
      <c r="B143" s="1">
        <f>'[1]buses-marginal_price'!B143</f>
        <v>14.025</v>
      </c>
      <c r="C143" s="1">
        <f>'[1]buses-marginal_price'!C143</f>
        <v>18.7</v>
      </c>
      <c r="D143" s="1">
        <f>'[1]buses-marginal_price'!D143</f>
        <v>31.44285714285714</v>
      </c>
      <c r="E143" s="1">
        <f>'[1]buses-marginal_price'!E143</f>
        <v>14.025</v>
      </c>
      <c r="F143" s="1">
        <f>'[1]buses-marginal_price'!F143</f>
        <v>22.01</v>
      </c>
      <c r="G143" s="40">
        <f t="shared" si="4"/>
        <v>18.7</v>
      </c>
      <c r="H143" s="1">
        <v>0.1</v>
      </c>
      <c r="I143" s="1">
        <v>22</v>
      </c>
      <c r="J143" s="1">
        <v>18.7</v>
      </c>
      <c r="K143" s="1">
        <v>14</v>
      </c>
      <c r="L143" s="1">
        <f>'[1]buses-marginal_price'!G143</f>
        <v>13.925000000000001</v>
      </c>
      <c r="M143" s="1">
        <f>'[1]buses-marginal_price'!H143</f>
        <v>8.4999999999999992E-2</v>
      </c>
      <c r="N143" s="1">
        <f>'[1]buses-marginal_price'!I143</f>
        <v>31.342857142857142</v>
      </c>
      <c r="O143" s="1">
        <f>'[1]buses-marginal_price'!J143</f>
        <v>13.925000000000001</v>
      </c>
      <c r="P143" s="1">
        <f>'[1]buses-marginal_price'!K143</f>
        <v>21.939999999999991</v>
      </c>
      <c r="Q143" s="1">
        <f>'[1]buses-marginal_price'!L143</f>
        <v>14.125</v>
      </c>
      <c r="R143" s="1">
        <f>'[1]buses-marginal_price'!M143</f>
        <v>31.642857142857139</v>
      </c>
      <c r="S143" s="1">
        <f>'[1]buses-marginal_price'!N143</f>
        <v>31.542857142857141</v>
      </c>
      <c r="T143" s="1">
        <f>'[1]buses-marginal_price'!O143</f>
        <v>31.44285714285714</v>
      </c>
      <c r="U143" s="1">
        <f>'[1]buses-marginal_price'!P143</f>
        <v>31.44285714285714</v>
      </c>
      <c r="V143" s="40">
        <f t="shared" si="5"/>
        <v>31.642857142857139</v>
      </c>
    </row>
    <row r="144" spans="1:22">
      <c r="A144" s="1">
        <f>'[1]buses-marginal_price'!A144</f>
        <v>142</v>
      </c>
      <c r="B144" s="1">
        <f>'[1]buses-marginal_price'!B144</f>
        <v>14.025</v>
      </c>
      <c r="C144" s="1">
        <f>'[1]buses-marginal_price'!C144</f>
        <v>18.7</v>
      </c>
      <c r="D144" s="1">
        <f>'[1]buses-marginal_price'!D144</f>
        <v>28.856944285714281</v>
      </c>
      <c r="E144" s="1">
        <f>'[1]buses-marginal_price'!E144</f>
        <v>14.025</v>
      </c>
      <c r="F144" s="1">
        <f>'[1]buses-marginal_price'!F144</f>
        <v>20.199860999999999</v>
      </c>
      <c r="G144" s="40">
        <f t="shared" si="4"/>
        <v>18.7</v>
      </c>
      <c r="H144" s="1">
        <v>0.1</v>
      </c>
      <c r="I144" s="1">
        <v>22</v>
      </c>
      <c r="J144" s="1">
        <v>18.7</v>
      </c>
      <c r="K144" s="1">
        <v>14</v>
      </c>
      <c r="L144" s="1">
        <f>'[1]buses-marginal_price'!G144</f>
        <v>13.925000000000001</v>
      </c>
      <c r="M144" s="1">
        <f>'[1]buses-marginal_price'!H144</f>
        <v>8.4999999999999992E-2</v>
      </c>
      <c r="N144" s="1">
        <f>'[1]buses-marginal_price'!I144</f>
        <v>28.75694428571428</v>
      </c>
      <c r="O144" s="1">
        <f>'[1]buses-marginal_price'!J144</f>
        <v>13.925000000000001</v>
      </c>
      <c r="P144" s="1">
        <f>'[1]buses-marginal_price'!K144</f>
        <v>20.129860999999991</v>
      </c>
      <c r="Q144" s="1">
        <f>'[1]buses-marginal_price'!L144</f>
        <v>14.125</v>
      </c>
      <c r="R144" s="1">
        <f>'[1]buses-marginal_price'!M144</f>
        <v>29.056944285714291</v>
      </c>
      <c r="S144" s="1">
        <f>'[1]buses-marginal_price'!N144</f>
        <v>28.95694428571429</v>
      </c>
      <c r="T144" s="1">
        <f>'[1]buses-marginal_price'!O144</f>
        <v>28.95694428571429</v>
      </c>
      <c r="U144" s="1">
        <f>'[1]buses-marginal_price'!P144</f>
        <v>28.856944285714281</v>
      </c>
      <c r="V144" s="40">
        <f t="shared" si="5"/>
        <v>29.056944285714291</v>
      </c>
    </row>
    <row r="145" spans="1:22">
      <c r="A145" s="1">
        <f>'[1]buses-marginal_price'!A145</f>
        <v>143</v>
      </c>
      <c r="B145" s="1">
        <f>'[1]buses-marginal_price'!B145</f>
        <v>14.025</v>
      </c>
      <c r="C145" s="1">
        <f>'[1]buses-marginal_price'!C145</f>
        <v>18.7</v>
      </c>
      <c r="D145" s="1">
        <f>'[1]buses-marginal_price'!D145</f>
        <v>28.856944285714281</v>
      </c>
      <c r="E145" s="1">
        <f>'[1]buses-marginal_price'!E145</f>
        <v>14.025</v>
      </c>
      <c r="F145" s="1">
        <f>'[1]buses-marginal_price'!F145</f>
        <v>20.199860999999999</v>
      </c>
      <c r="G145" s="40">
        <f t="shared" si="4"/>
        <v>18.7</v>
      </c>
      <c r="H145" s="1">
        <v>0.1</v>
      </c>
      <c r="I145" s="1">
        <v>22</v>
      </c>
      <c r="J145" s="1">
        <v>18.7</v>
      </c>
      <c r="K145" s="1">
        <v>14</v>
      </c>
      <c r="L145" s="1">
        <f>'[1]buses-marginal_price'!G145</f>
        <v>13.925000000000001</v>
      </c>
      <c r="M145" s="1">
        <f>'[1]buses-marginal_price'!H145</f>
        <v>8.4999999999999992E-2</v>
      </c>
      <c r="N145" s="1">
        <f>'[1]buses-marginal_price'!I145</f>
        <v>28.75694428571428</v>
      </c>
      <c r="O145" s="1">
        <f>'[1]buses-marginal_price'!J145</f>
        <v>13.925000000000001</v>
      </c>
      <c r="P145" s="1">
        <f>'[1]buses-marginal_price'!K145</f>
        <v>20.129860999999991</v>
      </c>
      <c r="Q145" s="1">
        <f>'[1]buses-marginal_price'!L145</f>
        <v>14.125</v>
      </c>
      <c r="R145" s="1">
        <f>'[1]buses-marginal_price'!M145</f>
        <v>29.056944285714291</v>
      </c>
      <c r="S145" s="1">
        <f>'[1]buses-marginal_price'!N145</f>
        <v>28.95694428571429</v>
      </c>
      <c r="T145" s="1">
        <f>'[1]buses-marginal_price'!O145</f>
        <v>28.856944285714281</v>
      </c>
      <c r="U145" s="1">
        <f>'[1]buses-marginal_price'!P145</f>
        <v>28.856944285714281</v>
      </c>
      <c r="V145" s="40">
        <f t="shared" si="5"/>
        <v>29.056944285714291</v>
      </c>
    </row>
    <row r="146" spans="1:22">
      <c r="A146" s="1">
        <f>'[1]buses-marginal_price'!A146</f>
        <v>144</v>
      </c>
      <c r="B146" s="1">
        <f>'[1]buses-marginal_price'!B146</f>
        <v>14.025</v>
      </c>
      <c r="C146" s="1">
        <f>'[1]buses-marginal_price'!C146</f>
        <v>18.7</v>
      </c>
      <c r="D146" s="1">
        <f>'[1]buses-marginal_price'!D146</f>
        <v>28.856944285714281</v>
      </c>
      <c r="E146" s="1">
        <f>'[1]buses-marginal_price'!E146</f>
        <v>14.025</v>
      </c>
      <c r="F146" s="1">
        <f>'[1]buses-marginal_price'!F146</f>
        <v>20.199860999999999</v>
      </c>
      <c r="G146" s="40">
        <f t="shared" si="4"/>
        <v>18.7</v>
      </c>
      <c r="H146" s="1">
        <v>0.1</v>
      </c>
      <c r="I146" s="1">
        <v>22</v>
      </c>
      <c r="J146" s="1">
        <v>18.7</v>
      </c>
      <c r="K146" s="1">
        <v>14</v>
      </c>
      <c r="L146" s="1">
        <f>'[1]buses-marginal_price'!G146</f>
        <v>13.925000000000001</v>
      </c>
      <c r="M146" s="1">
        <f>'[1]buses-marginal_price'!H146</f>
        <v>8.4999999999999992E-2</v>
      </c>
      <c r="N146" s="1">
        <f>'[1]buses-marginal_price'!I146</f>
        <v>28.75694428571428</v>
      </c>
      <c r="O146" s="1">
        <f>'[1]buses-marginal_price'!J146</f>
        <v>13.925000000000001</v>
      </c>
      <c r="P146" s="1">
        <f>'[1]buses-marginal_price'!K146</f>
        <v>20.129860999999991</v>
      </c>
      <c r="Q146" s="1">
        <f>'[1]buses-marginal_price'!L146</f>
        <v>14.125</v>
      </c>
      <c r="R146" s="1">
        <f>'[1]buses-marginal_price'!M146</f>
        <v>29.056944285714291</v>
      </c>
      <c r="S146" s="1">
        <f>'[1]buses-marginal_price'!N146</f>
        <v>28.95694428571429</v>
      </c>
      <c r="T146" s="1">
        <f>'[1]buses-marginal_price'!O146</f>
        <v>28.95694428571429</v>
      </c>
      <c r="U146" s="1">
        <f>'[1]buses-marginal_price'!P146</f>
        <v>28.856944285714281</v>
      </c>
      <c r="V146" s="40">
        <f t="shared" si="5"/>
        <v>29.056944285714291</v>
      </c>
    </row>
    <row r="147" spans="1:22">
      <c r="A147" s="1">
        <f>'[1]buses-marginal_price'!A147</f>
        <v>145</v>
      </c>
      <c r="B147" s="1">
        <f>'[1]buses-marginal_price'!B147</f>
        <v>14.025</v>
      </c>
      <c r="C147" s="1">
        <f>'[1]buses-marginal_price'!C147</f>
        <v>18.7</v>
      </c>
      <c r="D147" s="1">
        <f>'[1]buses-marginal_price'!D147</f>
        <v>28.856944285714281</v>
      </c>
      <c r="E147" s="1">
        <f>'[1]buses-marginal_price'!E147</f>
        <v>14.025</v>
      </c>
      <c r="F147" s="1">
        <f>'[1]buses-marginal_price'!F147</f>
        <v>20.199860999999999</v>
      </c>
      <c r="G147" s="40">
        <f t="shared" si="4"/>
        <v>18.7</v>
      </c>
      <c r="H147" s="1">
        <v>0.1</v>
      </c>
      <c r="I147" s="1">
        <v>22</v>
      </c>
      <c r="J147" s="1">
        <v>18.7</v>
      </c>
      <c r="K147" s="1">
        <v>14</v>
      </c>
      <c r="L147" s="1">
        <f>'[1]buses-marginal_price'!G147</f>
        <v>13.925000000000001</v>
      </c>
      <c r="M147" s="1">
        <f>'[1]buses-marginal_price'!H147</f>
        <v>8.4999999999999992E-2</v>
      </c>
      <c r="N147" s="1">
        <f>'[1]buses-marginal_price'!I147</f>
        <v>28.75694428571428</v>
      </c>
      <c r="O147" s="1">
        <f>'[1]buses-marginal_price'!J147</f>
        <v>13.925000000000001</v>
      </c>
      <c r="P147" s="1">
        <f>'[1]buses-marginal_price'!K147</f>
        <v>20.129860999999991</v>
      </c>
      <c r="Q147" s="1">
        <f>'[1]buses-marginal_price'!L147</f>
        <v>14.125</v>
      </c>
      <c r="R147" s="1">
        <f>'[1]buses-marginal_price'!M147</f>
        <v>29.056944285714291</v>
      </c>
      <c r="S147" s="1">
        <f>'[1]buses-marginal_price'!N147</f>
        <v>28.95694428571429</v>
      </c>
      <c r="T147" s="1">
        <f>'[1]buses-marginal_price'!O147</f>
        <v>28.95694428571429</v>
      </c>
      <c r="U147" s="1">
        <f>'[1]buses-marginal_price'!P147</f>
        <v>28.856944285714281</v>
      </c>
      <c r="V147" s="40">
        <f t="shared" si="5"/>
        <v>29.056944285714291</v>
      </c>
    </row>
    <row r="148" spans="1:22">
      <c r="A148" s="1">
        <f>'[1]buses-marginal_price'!A148</f>
        <v>146</v>
      </c>
      <c r="B148" s="1">
        <f>'[1]buses-marginal_price'!B148</f>
        <v>14.025</v>
      </c>
      <c r="C148" s="1">
        <f>'[1]buses-marginal_price'!C148</f>
        <v>18.7</v>
      </c>
      <c r="D148" s="1">
        <f>'[1]buses-marginal_price'!D148</f>
        <v>20.05</v>
      </c>
      <c r="E148" s="1">
        <f>'[1]buses-marginal_price'!E148</f>
        <v>14.025</v>
      </c>
      <c r="F148" s="1">
        <f>'[1]buses-marginal_price'!F148</f>
        <v>14.035</v>
      </c>
      <c r="G148" s="40">
        <f t="shared" si="4"/>
        <v>18.7</v>
      </c>
      <c r="H148" s="1">
        <v>0.1</v>
      </c>
      <c r="I148" s="1">
        <v>22</v>
      </c>
      <c r="J148" s="1">
        <v>18.7</v>
      </c>
      <c r="K148" s="1">
        <v>14</v>
      </c>
      <c r="L148" s="1">
        <f>'[1]buses-marginal_price'!G148</f>
        <v>13.925000000000001</v>
      </c>
      <c r="M148" s="1">
        <f>'[1]buses-marginal_price'!H148</f>
        <v>8.4999999999999992E-2</v>
      </c>
      <c r="N148" s="1">
        <f>'[1]buses-marginal_price'!I148</f>
        <v>19.95</v>
      </c>
      <c r="O148" s="1">
        <f>'[1]buses-marginal_price'!J148</f>
        <v>13.925000000000001</v>
      </c>
      <c r="P148" s="1">
        <f>'[1]buses-marginal_price'!K148</f>
        <v>13.965</v>
      </c>
      <c r="Q148" s="1">
        <f>'[1]buses-marginal_price'!L148</f>
        <v>14.125</v>
      </c>
      <c r="R148" s="1">
        <f>'[1]buses-marginal_price'!M148</f>
        <v>20.25</v>
      </c>
      <c r="S148" s="1">
        <f>'[1]buses-marginal_price'!N148</f>
        <v>20.149999999999999</v>
      </c>
      <c r="T148" s="1">
        <f>'[1]buses-marginal_price'!O148</f>
        <v>20.149999999999999</v>
      </c>
      <c r="U148" s="1">
        <f>'[1]buses-marginal_price'!P148</f>
        <v>20.05</v>
      </c>
      <c r="V148" s="40">
        <f t="shared" si="5"/>
        <v>20.25</v>
      </c>
    </row>
    <row r="149" spans="1:22">
      <c r="A149" s="1">
        <f>'[1]buses-marginal_price'!A149</f>
        <v>147</v>
      </c>
      <c r="B149" s="1">
        <f>'[1]buses-marginal_price'!B149</f>
        <v>14.025</v>
      </c>
      <c r="C149" s="1">
        <f>'[1]buses-marginal_price'!C149</f>
        <v>18.7</v>
      </c>
      <c r="D149" s="1">
        <f>'[1]buses-marginal_price'!D149</f>
        <v>20.05</v>
      </c>
      <c r="E149" s="1">
        <f>'[1]buses-marginal_price'!E149</f>
        <v>14.025</v>
      </c>
      <c r="F149" s="1">
        <f>'[1]buses-marginal_price'!F149</f>
        <v>14.035</v>
      </c>
      <c r="G149" s="40">
        <f t="shared" si="4"/>
        <v>18.7</v>
      </c>
      <c r="H149" s="1">
        <v>0.1</v>
      </c>
      <c r="I149" s="1">
        <v>22</v>
      </c>
      <c r="J149" s="1">
        <v>18.7</v>
      </c>
      <c r="K149" s="1">
        <v>14</v>
      </c>
      <c r="L149" s="1">
        <f>'[1]buses-marginal_price'!G149</f>
        <v>13.925000000000001</v>
      </c>
      <c r="M149" s="1">
        <f>'[1]buses-marginal_price'!H149</f>
        <v>8.4999999999999992E-2</v>
      </c>
      <c r="N149" s="1">
        <f>'[1]buses-marginal_price'!I149</f>
        <v>19.95</v>
      </c>
      <c r="O149" s="1">
        <f>'[1]buses-marginal_price'!J149</f>
        <v>13.925000000000001</v>
      </c>
      <c r="P149" s="1">
        <f>'[1]buses-marginal_price'!K149</f>
        <v>13.965</v>
      </c>
      <c r="Q149" s="1">
        <f>'[1]buses-marginal_price'!L149</f>
        <v>14.125</v>
      </c>
      <c r="R149" s="1">
        <f>'[1]buses-marginal_price'!M149</f>
        <v>20.25</v>
      </c>
      <c r="S149" s="1">
        <f>'[1]buses-marginal_price'!N149</f>
        <v>20.149999999999999</v>
      </c>
      <c r="T149" s="1">
        <f>'[1]buses-marginal_price'!O149</f>
        <v>20.149999999999999</v>
      </c>
      <c r="U149" s="1">
        <f>'[1]buses-marginal_price'!P149</f>
        <v>20.05</v>
      </c>
      <c r="V149" s="40">
        <f t="shared" si="5"/>
        <v>20.25</v>
      </c>
    </row>
    <row r="150" spans="1:22">
      <c r="A150" s="1">
        <f>'[1]buses-marginal_price'!A150</f>
        <v>148</v>
      </c>
      <c r="B150" s="1">
        <f>'[1]buses-marginal_price'!B150</f>
        <v>11.60148</v>
      </c>
      <c r="C150" s="1">
        <f>'[1]buses-marginal_price'!C150</f>
        <v>18.7</v>
      </c>
      <c r="D150" s="1">
        <f>'[1]buses-marginal_price'!D150</f>
        <v>16.587828571428581</v>
      </c>
      <c r="E150" s="1">
        <f>'[1]buses-marginal_price'!E150</f>
        <v>11.60148</v>
      </c>
      <c r="F150" s="1">
        <f>'[1]buses-marginal_price'!F150</f>
        <v>11.61148</v>
      </c>
      <c r="G150" s="40">
        <f t="shared" si="4"/>
        <v>18.7</v>
      </c>
      <c r="H150" s="1">
        <v>0.1</v>
      </c>
      <c r="I150" s="1">
        <v>22</v>
      </c>
      <c r="J150" s="1">
        <v>18.7</v>
      </c>
      <c r="K150" s="1">
        <v>14</v>
      </c>
      <c r="L150" s="1">
        <f>'[1]buses-marginal_price'!G150</f>
        <v>11.70148</v>
      </c>
      <c r="M150" s="1">
        <f>'[1]buses-marginal_price'!H150</f>
        <v>8.4999999999999992E-2</v>
      </c>
      <c r="N150" s="1">
        <f>'[1]buses-marginal_price'!I150</f>
        <v>16.487828571428579</v>
      </c>
      <c r="O150" s="1">
        <f>'[1]buses-marginal_price'!J150</f>
        <v>11.70148</v>
      </c>
      <c r="P150" s="1">
        <f>'[1]buses-marginal_price'!K150</f>
        <v>11.54148</v>
      </c>
      <c r="Q150" s="1">
        <f>'[1]buses-marginal_price'!L150</f>
        <v>11.70148</v>
      </c>
      <c r="R150" s="1">
        <f>'[1]buses-marginal_price'!M150</f>
        <v>16.78782857142857</v>
      </c>
      <c r="S150" s="1">
        <f>'[1]buses-marginal_price'!N150</f>
        <v>16.687828571428579</v>
      </c>
      <c r="T150" s="1">
        <f>'[1]buses-marginal_price'!O150</f>
        <v>16.687828571428579</v>
      </c>
      <c r="U150" s="1">
        <f>'[1]buses-marginal_price'!P150</f>
        <v>16.587828571428581</v>
      </c>
      <c r="V150" s="40">
        <f t="shared" si="5"/>
        <v>16.78782857142857</v>
      </c>
    </row>
    <row r="151" spans="1:22">
      <c r="A151" s="1">
        <f>'[1]buses-marginal_price'!A151</f>
        <v>149</v>
      </c>
      <c r="B151" s="1">
        <f>'[1]buses-marginal_price'!B151</f>
        <v>11.193742085029699</v>
      </c>
      <c r="C151" s="1">
        <f>'[1]buses-marginal_price'!C151</f>
        <v>18.7</v>
      </c>
      <c r="D151" s="1">
        <f>'[1]buses-marginal_price'!D151</f>
        <v>16.005345835756721</v>
      </c>
      <c r="E151" s="1">
        <f>'[1]buses-marginal_price'!E151</f>
        <v>11.193742085029699</v>
      </c>
      <c r="F151" s="1">
        <f>'[1]buses-marginal_price'!F151</f>
        <v>11.203742085029701</v>
      </c>
      <c r="G151" s="40">
        <f t="shared" si="4"/>
        <v>18.7</v>
      </c>
      <c r="H151" s="1">
        <v>0.1</v>
      </c>
      <c r="I151" s="1">
        <v>22</v>
      </c>
      <c r="J151" s="1">
        <v>18.7</v>
      </c>
      <c r="K151" s="1">
        <v>14</v>
      </c>
      <c r="L151" s="1">
        <f>'[1]buses-marginal_price'!G151</f>
        <v>11.70148</v>
      </c>
      <c r="M151" s="1">
        <f>'[1]buses-marginal_price'!H151</f>
        <v>8.4999999999999992E-2</v>
      </c>
      <c r="N151" s="1">
        <f>'[1]buses-marginal_price'!I151</f>
        <v>15.905345835756719</v>
      </c>
      <c r="O151" s="1">
        <f>'[1]buses-marginal_price'!J151</f>
        <v>11.70148</v>
      </c>
      <c r="P151" s="1">
        <f>'[1]buses-marginal_price'!K151</f>
        <v>11.1337420850297</v>
      </c>
      <c r="Q151" s="1">
        <f>'[1]buses-marginal_price'!L151</f>
        <v>11.293742085029701</v>
      </c>
      <c r="R151" s="1">
        <f>'[1]buses-marginal_price'!M151</f>
        <v>16.20534583575672</v>
      </c>
      <c r="S151" s="1">
        <f>'[1]buses-marginal_price'!N151</f>
        <v>16.105345835756719</v>
      </c>
      <c r="T151" s="1">
        <f>'[1]buses-marginal_price'!O151</f>
        <v>16.105345835756719</v>
      </c>
      <c r="U151" s="1">
        <f>'[1]buses-marginal_price'!P151</f>
        <v>16.005345835756721</v>
      </c>
      <c r="V151" s="40">
        <f t="shared" si="5"/>
        <v>16.20534583575672</v>
      </c>
    </row>
    <row r="152" spans="1:22">
      <c r="A152" s="1">
        <f>'[1]buses-marginal_price'!A152</f>
        <v>150</v>
      </c>
      <c r="B152" s="1">
        <f>'[1]buses-marginal_price'!B152</f>
        <v>11.60148</v>
      </c>
      <c r="C152" s="1">
        <f>'[1]buses-marginal_price'!C152</f>
        <v>18.7</v>
      </c>
      <c r="D152" s="1">
        <f>'[1]buses-marginal_price'!D152</f>
        <v>16.587828571428581</v>
      </c>
      <c r="E152" s="1">
        <f>'[1]buses-marginal_price'!E152</f>
        <v>11.60148</v>
      </c>
      <c r="F152" s="1">
        <f>'[1]buses-marginal_price'!F152</f>
        <v>11.61148</v>
      </c>
      <c r="G152" s="40">
        <f t="shared" si="4"/>
        <v>18.7</v>
      </c>
      <c r="H152" s="1">
        <v>0.1</v>
      </c>
      <c r="I152" s="1">
        <v>22</v>
      </c>
      <c r="J152" s="1">
        <v>18.7</v>
      </c>
      <c r="K152" s="1">
        <v>14</v>
      </c>
      <c r="L152" s="1">
        <f>'[1]buses-marginal_price'!G152</f>
        <v>11.70148</v>
      </c>
      <c r="M152" s="1">
        <f>'[1]buses-marginal_price'!H152</f>
        <v>8.4999999999999992E-2</v>
      </c>
      <c r="N152" s="1">
        <f>'[1]buses-marginal_price'!I152</f>
        <v>16.487828571428579</v>
      </c>
      <c r="O152" s="1">
        <f>'[1]buses-marginal_price'!J152</f>
        <v>11.70148</v>
      </c>
      <c r="P152" s="1">
        <f>'[1]buses-marginal_price'!K152</f>
        <v>11.54148</v>
      </c>
      <c r="Q152" s="1">
        <f>'[1]buses-marginal_price'!L152</f>
        <v>11.70148</v>
      </c>
      <c r="R152" s="1">
        <f>'[1]buses-marginal_price'!M152</f>
        <v>16.78782857142857</v>
      </c>
      <c r="S152" s="1">
        <f>'[1]buses-marginal_price'!N152</f>
        <v>16.687828571428579</v>
      </c>
      <c r="T152" s="1">
        <f>'[1]buses-marginal_price'!O152</f>
        <v>16.687828571428579</v>
      </c>
      <c r="U152" s="1">
        <f>'[1]buses-marginal_price'!P152</f>
        <v>16.587828571428581</v>
      </c>
      <c r="V152" s="40">
        <f t="shared" si="5"/>
        <v>16.78782857142857</v>
      </c>
    </row>
    <row r="153" spans="1:22">
      <c r="A153" s="1">
        <f>'[1]buses-marginal_price'!A153</f>
        <v>151</v>
      </c>
      <c r="B153" s="1">
        <f>'[1]buses-marginal_price'!B153</f>
        <v>14.025</v>
      </c>
      <c r="C153" s="1">
        <f>'[1]buses-marginal_price'!C153</f>
        <v>18.7</v>
      </c>
      <c r="D153" s="1">
        <f>'[1]buses-marginal_price'!D153</f>
        <v>20.05</v>
      </c>
      <c r="E153" s="1">
        <f>'[1]buses-marginal_price'!E153</f>
        <v>14.025</v>
      </c>
      <c r="F153" s="1">
        <f>'[1]buses-marginal_price'!F153</f>
        <v>14.035</v>
      </c>
      <c r="G153" s="40">
        <f t="shared" si="4"/>
        <v>18.7</v>
      </c>
      <c r="H153" s="1">
        <v>0.1</v>
      </c>
      <c r="I153" s="1">
        <v>22</v>
      </c>
      <c r="J153" s="1">
        <v>18.7</v>
      </c>
      <c r="K153" s="1">
        <v>14</v>
      </c>
      <c r="L153" s="1">
        <f>'[1]buses-marginal_price'!G153</f>
        <v>13.925000000000001</v>
      </c>
      <c r="M153" s="1">
        <f>'[1]buses-marginal_price'!H153</f>
        <v>8.4999999999999992E-2</v>
      </c>
      <c r="N153" s="1">
        <f>'[1]buses-marginal_price'!I153</f>
        <v>19.95</v>
      </c>
      <c r="O153" s="1">
        <f>'[1]buses-marginal_price'!J153</f>
        <v>13.925000000000001</v>
      </c>
      <c r="P153" s="1">
        <f>'[1]buses-marginal_price'!K153</f>
        <v>13.965</v>
      </c>
      <c r="Q153" s="1">
        <f>'[1]buses-marginal_price'!L153</f>
        <v>14.125</v>
      </c>
      <c r="R153" s="1">
        <f>'[1]buses-marginal_price'!M153</f>
        <v>20.25</v>
      </c>
      <c r="S153" s="1">
        <f>'[1]buses-marginal_price'!N153</f>
        <v>20.149999999999999</v>
      </c>
      <c r="T153" s="1">
        <f>'[1]buses-marginal_price'!O153</f>
        <v>20.149999999999999</v>
      </c>
      <c r="U153" s="1">
        <f>'[1]buses-marginal_price'!P153</f>
        <v>20.05</v>
      </c>
      <c r="V153" s="40">
        <f t="shared" si="5"/>
        <v>20.25</v>
      </c>
    </row>
    <row r="154" spans="1:22">
      <c r="A154" s="1">
        <f>'[1]buses-marginal_price'!A154</f>
        <v>152</v>
      </c>
      <c r="B154" s="1">
        <f>'[1]buses-marginal_price'!B154</f>
        <v>14.025</v>
      </c>
      <c r="C154" s="1">
        <f>'[1]buses-marginal_price'!C154</f>
        <v>18.7</v>
      </c>
      <c r="D154" s="1">
        <f>'[1]buses-marginal_price'!D154</f>
        <v>20.05</v>
      </c>
      <c r="E154" s="1">
        <f>'[1]buses-marginal_price'!E154</f>
        <v>14.025</v>
      </c>
      <c r="F154" s="1">
        <f>'[1]buses-marginal_price'!F154</f>
        <v>14.035</v>
      </c>
      <c r="G154" s="40">
        <f t="shared" si="4"/>
        <v>18.7</v>
      </c>
      <c r="H154" s="1">
        <v>0.1</v>
      </c>
      <c r="I154" s="1">
        <v>22</v>
      </c>
      <c r="J154" s="1">
        <v>18.7</v>
      </c>
      <c r="K154" s="1">
        <v>14</v>
      </c>
      <c r="L154" s="1">
        <f>'[1]buses-marginal_price'!G154</f>
        <v>13.925000000000001</v>
      </c>
      <c r="M154" s="1">
        <f>'[1]buses-marginal_price'!H154</f>
        <v>8.4999999999999992E-2</v>
      </c>
      <c r="N154" s="1">
        <f>'[1]buses-marginal_price'!I154</f>
        <v>19.95</v>
      </c>
      <c r="O154" s="1">
        <f>'[1]buses-marginal_price'!J154</f>
        <v>13.925000000000001</v>
      </c>
      <c r="P154" s="1">
        <f>'[1]buses-marginal_price'!K154</f>
        <v>13.965</v>
      </c>
      <c r="Q154" s="1">
        <f>'[1]buses-marginal_price'!L154</f>
        <v>14.125</v>
      </c>
      <c r="R154" s="1">
        <f>'[1]buses-marginal_price'!M154</f>
        <v>20.25</v>
      </c>
      <c r="S154" s="1">
        <f>'[1]buses-marginal_price'!N154</f>
        <v>20.149999999999999</v>
      </c>
      <c r="T154" s="1">
        <f>'[1]buses-marginal_price'!O154</f>
        <v>20.149999999999999</v>
      </c>
      <c r="U154" s="1">
        <f>'[1]buses-marginal_price'!P154</f>
        <v>20.05</v>
      </c>
      <c r="V154" s="40">
        <f t="shared" si="5"/>
        <v>20.25</v>
      </c>
    </row>
    <row r="155" spans="1:22">
      <c r="A155" s="1">
        <f>'[1]buses-marginal_price'!A155</f>
        <v>153</v>
      </c>
      <c r="B155" s="1">
        <f>'[1]buses-marginal_price'!B155</f>
        <v>14.025</v>
      </c>
      <c r="C155" s="1">
        <f>'[1]buses-marginal_price'!C155</f>
        <v>18.7</v>
      </c>
      <c r="D155" s="1">
        <f>'[1]buses-marginal_price'!D155</f>
        <v>20.05</v>
      </c>
      <c r="E155" s="1">
        <f>'[1]buses-marginal_price'!E155</f>
        <v>14.025</v>
      </c>
      <c r="F155" s="1">
        <f>'[1]buses-marginal_price'!F155</f>
        <v>14.035</v>
      </c>
      <c r="G155" s="40">
        <f t="shared" si="4"/>
        <v>18.7</v>
      </c>
      <c r="H155" s="1">
        <v>0.1</v>
      </c>
      <c r="I155" s="1">
        <v>22</v>
      </c>
      <c r="J155" s="1">
        <v>18.7</v>
      </c>
      <c r="K155" s="1">
        <v>14</v>
      </c>
      <c r="L155" s="1">
        <f>'[1]buses-marginal_price'!G155</f>
        <v>13.925000000000001</v>
      </c>
      <c r="M155" s="1">
        <f>'[1]buses-marginal_price'!H155</f>
        <v>8.4999999999999992E-2</v>
      </c>
      <c r="N155" s="1">
        <f>'[1]buses-marginal_price'!I155</f>
        <v>19.95</v>
      </c>
      <c r="O155" s="1">
        <f>'[1]buses-marginal_price'!J155</f>
        <v>13.925000000000001</v>
      </c>
      <c r="P155" s="1">
        <f>'[1]buses-marginal_price'!K155</f>
        <v>13.965</v>
      </c>
      <c r="Q155" s="1">
        <f>'[1]buses-marginal_price'!L155</f>
        <v>14.125</v>
      </c>
      <c r="R155" s="1">
        <f>'[1]buses-marginal_price'!M155</f>
        <v>20.25</v>
      </c>
      <c r="S155" s="1">
        <f>'[1]buses-marginal_price'!N155</f>
        <v>20.149999999999999</v>
      </c>
      <c r="T155" s="1">
        <f>'[1]buses-marginal_price'!O155</f>
        <v>20.149999999999999</v>
      </c>
      <c r="U155" s="1">
        <f>'[1]buses-marginal_price'!P155</f>
        <v>20.05</v>
      </c>
      <c r="V155" s="40">
        <f t="shared" si="5"/>
        <v>20.25</v>
      </c>
    </row>
    <row r="156" spans="1:22">
      <c r="A156" s="1">
        <f>'[1]buses-marginal_price'!A156</f>
        <v>154</v>
      </c>
      <c r="B156" s="1">
        <f>'[1]buses-marginal_price'!B156</f>
        <v>0</v>
      </c>
      <c r="C156" s="1">
        <f>'[1]buses-marginal_price'!C156</f>
        <v>18.7</v>
      </c>
      <c r="D156" s="1">
        <f>'[1]buses-marginal_price'!D156</f>
        <v>1.428571428571429E-2</v>
      </c>
      <c r="E156" s="1">
        <f>'[1]buses-marginal_price'!E156</f>
        <v>0</v>
      </c>
      <c r="F156" s="1">
        <f>'[1]buses-marginal_price'!F156</f>
        <v>0.01</v>
      </c>
      <c r="G156" s="40">
        <f t="shared" si="4"/>
        <v>18.7</v>
      </c>
      <c r="H156" s="1">
        <v>0.1</v>
      </c>
      <c r="I156" s="1">
        <v>22</v>
      </c>
      <c r="J156" s="1">
        <v>18.7</v>
      </c>
      <c r="K156" s="1">
        <v>14</v>
      </c>
      <c r="L156" s="1">
        <f>'[1]buses-marginal_price'!G156</f>
        <v>6.3749999999999987E-2</v>
      </c>
      <c r="M156" s="1">
        <f>'[1]buses-marginal_price'!H156</f>
        <v>8.4999999999999992E-2</v>
      </c>
      <c r="N156" s="1">
        <f>'[1]buses-marginal_price'!I156</f>
        <v>0</v>
      </c>
      <c r="O156" s="1">
        <f>'[1]buses-marginal_price'!J156</f>
        <v>6.3749999999999987E-2</v>
      </c>
      <c r="P156" s="1">
        <f>'[1]buses-marginal_price'!K156</f>
        <v>0</v>
      </c>
      <c r="Q156" s="1">
        <f>'[1]buses-marginal_price'!L156</f>
        <v>0.1</v>
      </c>
      <c r="R156" s="1">
        <f>'[1]buses-marginal_price'!M156</f>
        <v>0.2142857142857143</v>
      </c>
      <c r="S156" s="1">
        <f>'[1]buses-marginal_price'!N156</f>
        <v>0.1142857142857143</v>
      </c>
      <c r="T156" s="1">
        <f>'[1]buses-marginal_price'!O156</f>
        <v>0.1142857142857143</v>
      </c>
      <c r="U156" s="1">
        <f>'[1]buses-marginal_price'!P156</f>
        <v>1.428571428571429E-2</v>
      </c>
      <c r="V156" s="40">
        <f t="shared" si="5"/>
        <v>0.2142857142857143</v>
      </c>
    </row>
    <row r="157" spans="1:22">
      <c r="A157" s="1">
        <f>'[1]buses-marginal_price'!A157</f>
        <v>155</v>
      </c>
      <c r="B157" s="1">
        <f>'[1]buses-marginal_price'!B157</f>
        <v>0</v>
      </c>
      <c r="C157" s="1">
        <f>'[1]buses-marginal_price'!C157</f>
        <v>18.7</v>
      </c>
      <c r="D157" s="1">
        <f>'[1]buses-marginal_price'!D157</f>
        <v>1.428571428571429E-2</v>
      </c>
      <c r="E157" s="1">
        <f>'[1]buses-marginal_price'!E157</f>
        <v>0</v>
      </c>
      <c r="F157" s="1">
        <f>'[1]buses-marginal_price'!F157</f>
        <v>0.01</v>
      </c>
      <c r="G157" s="40">
        <f t="shared" si="4"/>
        <v>18.7</v>
      </c>
      <c r="H157" s="1">
        <v>0.1</v>
      </c>
      <c r="I157" s="1">
        <v>22</v>
      </c>
      <c r="J157" s="1">
        <v>18.7</v>
      </c>
      <c r="K157" s="1">
        <v>14</v>
      </c>
      <c r="L157" s="1">
        <f>'[1]buses-marginal_price'!G157</f>
        <v>0</v>
      </c>
      <c r="M157" s="1">
        <f>'[1]buses-marginal_price'!H157</f>
        <v>8.4999999999999992E-2</v>
      </c>
      <c r="N157" s="1">
        <f>'[1]buses-marginal_price'!I157</f>
        <v>0</v>
      </c>
      <c r="O157" s="1">
        <f>'[1]buses-marginal_price'!J157</f>
        <v>0</v>
      </c>
      <c r="P157" s="1">
        <f>'[1]buses-marginal_price'!K157</f>
        <v>0</v>
      </c>
      <c r="Q157" s="1">
        <f>'[1]buses-marginal_price'!L157</f>
        <v>0.1</v>
      </c>
      <c r="R157" s="1">
        <f>'[1]buses-marginal_price'!M157</f>
        <v>0.2142857142857143</v>
      </c>
      <c r="S157" s="1">
        <f>'[1]buses-marginal_price'!N157</f>
        <v>0.1142857142857143</v>
      </c>
      <c r="T157" s="1">
        <f>'[1]buses-marginal_price'!O157</f>
        <v>0.1142857142857143</v>
      </c>
      <c r="U157" s="1">
        <f>'[1]buses-marginal_price'!P157</f>
        <v>1.428571428571429E-2</v>
      </c>
      <c r="V157" s="40">
        <f t="shared" si="5"/>
        <v>0.2142857142857143</v>
      </c>
    </row>
    <row r="158" spans="1:22">
      <c r="A158" s="1">
        <f>'[1]buses-marginal_price'!A158</f>
        <v>156</v>
      </c>
      <c r="B158" s="1">
        <f>'[1]buses-marginal_price'!B158</f>
        <v>0</v>
      </c>
      <c r="C158" s="1">
        <f>'[1]buses-marginal_price'!C158</f>
        <v>18.7</v>
      </c>
      <c r="D158" s="1">
        <f>'[1]buses-marginal_price'!D158</f>
        <v>1.428571428571429E-2</v>
      </c>
      <c r="E158" s="1">
        <f>'[1]buses-marginal_price'!E158</f>
        <v>0</v>
      </c>
      <c r="F158" s="1">
        <f>'[1]buses-marginal_price'!F158</f>
        <v>0.01</v>
      </c>
      <c r="G158" s="40">
        <f t="shared" si="4"/>
        <v>18.7</v>
      </c>
      <c r="H158" s="1">
        <v>0.1</v>
      </c>
      <c r="I158" s="1">
        <v>22</v>
      </c>
      <c r="J158" s="1">
        <v>18.7</v>
      </c>
      <c r="K158" s="1">
        <v>14</v>
      </c>
      <c r="L158" s="1">
        <f>'[1]buses-marginal_price'!G158</f>
        <v>0</v>
      </c>
      <c r="M158" s="1">
        <f>'[1]buses-marginal_price'!H158</f>
        <v>8.4999999999999992E-2</v>
      </c>
      <c r="N158" s="1">
        <f>'[1]buses-marginal_price'!I158</f>
        <v>0</v>
      </c>
      <c r="O158" s="1">
        <f>'[1]buses-marginal_price'!J158</f>
        <v>0</v>
      </c>
      <c r="P158" s="1">
        <f>'[1]buses-marginal_price'!K158</f>
        <v>0</v>
      </c>
      <c r="Q158" s="1">
        <f>'[1]buses-marginal_price'!L158</f>
        <v>0.1</v>
      </c>
      <c r="R158" s="1">
        <f>'[1]buses-marginal_price'!M158</f>
        <v>0.2142857142857143</v>
      </c>
      <c r="S158" s="1">
        <f>'[1]buses-marginal_price'!N158</f>
        <v>0.1142857142857143</v>
      </c>
      <c r="T158" s="1">
        <f>'[1]buses-marginal_price'!O158</f>
        <v>0.1142857142857143</v>
      </c>
      <c r="U158" s="1">
        <f>'[1]buses-marginal_price'!P158</f>
        <v>1.428571428571429E-2</v>
      </c>
      <c r="V158" s="40">
        <f t="shared" si="5"/>
        <v>0.2142857142857143</v>
      </c>
    </row>
    <row r="159" spans="1:22">
      <c r="A159" s="1">
        <f>'[1]buses-marginal_price'!A159</f>
        <v>157</v>
      </c>
      <c r="B159" s="1">
        <f>'[1]buses-marginal_price'!B159</f>
        <v>0</v>
      </c>
      <c r="C159" s="1">
        <f>'[1]buses-marginal_price'!C159</f>
        <v>18.7</v>
      </c>
      <c r="D159" s="1">
        <f>'[1]buses-marginal_price'!D159</f>
        <v>1.428571428571429E-2</v>
      </c>
      <c r="E159" s="1">
        <f>'[1]buses-marginal_price'!E159</f>
        <v>0</v>
      </c>
      <c r="F159" s="1">
        <f>'[1]buses-marginal_price'!F159</f>
        <v>0.01</v>
      </c>
      <c r="G159" s="40">
        <f t="shared" si="4"/>
        <v>18.7</v>
      </c>
      <c r="H159" s="1">
        <v>0.1</v>
      </c>
      <c r="I159" s="1">
        <v>22</v>
      </c>
      <c r="J159" s="1">
        <v>18.7</v>
      </c>
      <c r="K159" s="1">
        <v>14</v>
      </c>
      <c r="L159" s="1">
        <f>'[1]buses-marginal_price'!G159</f>
        <v>0</v>
      </c>
      <c r="M159" s="1">
        <f>'[1]buses-marginal_price'!H159</f>
        <v>8.4999999999999992E-2</v>
      </c>
      <c r="N159" s="1">
        <f>'[1]buses-marginal_price'!I159</f>
        <v>0</v>
      </c>
      <c r="O159" s="1">
        <f>'[1]buses-marginal_price'!J159</f>
        <v>0</v>
      </c>
      <c r="P159" s="1">
        <f>'[1]buses-marginal_price'!K159</f>
        <v>0</v>
      </c>
      <c r="Q159" s="1">
        <f>'[1]buses-marginal_price'!L159</f>
        <v>0.1</v>
      </c>
      <c r="R159" s="1">
        <f>'[1]buses-marginal_price'!M159</f>
        <v>0.2142857142857143</v>
      </c>
      <c r="S159" s="1">
        <f>'[1]buses-marginal_price'!N159</f>
        <v>0.1142857142857143</v>
      </c>
      <c r="T159" s="1">
        <f>'[1]buses-marginal_price'!O159</f>
        <v>0.1142857142857143</v>
      </c>
      <c r="U159" s="1">
        <f>'[1]buses-marginal_price'!P159</f>
        <v>1.428571428571429E-2</v>
      </c>
      <c r="V159" s="40">
        <f t="shared" si="5"/>
        <v>0.2142857142857143</v>
      </c>
    </row>
    <row r="160" spans="1:22">
      <c r="A160" s="1">
        <f>'[1]buses-marginal_price'!A160</f>
        <v>158</v>
      </c>
      <c r="B160" s="1">
        <f>'[1]buses-marginal_price'!B160</f>
        <v>0</v>
      </c>
      <c r="C160" s="1">
        <f>'[1]buses-marginal_price'!C160</f>
        <v>18.7</v>
      </c>
      <c r="D160" s="1">
        <f>'[1]buses-marginal_price'!D160</f>
        <v>1.428571428571429E-2</v>
      </c>
      <c r="E160" s="1">
        <f>'[1]buses-marginal_price'!E160</f>
        <v>0</v>
      </c>
      <c r="F160" s="1">
        <f>'[1]buses-marginal_price'!F160</f>
        <v>0.01</v>
      </c>
      <c r="G160" s="40">
        <f t="shared" si="4"/>
        <v>18.7</v>
      </c>
      <c r="H160" s="1">
        <v>0.1</v>
      </c>
      <c r="I160" s="1">
        <v>22</v>
      </c>
      <c r="J160" s="1">
        <v>18.7</v>
      </c>
      <c r="K160" s="1">
        <v>14</v>
      </c>
      <c r="L160" s="1">
        <f>'[1]buses-marginal_price'!G160</f>
        <v>0</v>
      </c>
      <c r="M160" s="1">
        <f>'[1]buses-marginal_price'!H160</f>
        <v>8.4999999999999992E-2</v>
      </c>
      <c r="N160" s="1">
        <f>'[1]buses-marginal_price'!I160</f>
        <v>0</v>
      </c>
      <c r="O160" s="1">
        <f>'[1]buses-marginal_price'!J160</f>
        <v>0</v>
      </c>
      <c r="P160" s="1">
        <f>'[1]buses-marginal_price'!K160</f>
        <v>0</v>
      </c>
      <c r="Q160" s="1">
        <f>'[1]buses-marginal_price'!L160</f>
        <v>0.1</v>
      </c>
      <c r="R160" s="1">
        <f>'[1]buses-marginal_price'!M160</f>
        <v>0.2142857142857143</v>
      </c>
      <c r="S160" s="1">
        <f>'[1]buses-marginal_price'!N160</f>
        <v>0.1142857142857143</v>
      </c>
      <c r="T160" s="1">
        <f>'[1]buses-marginal_price'!O160</f>
        <v>0.1142857142857143</v>
      </c>
      <c r="U160" s="1">
        <f>'[1]buses-marginal_price'!P160</f>
        <v>1.428571428571429E-2</v>
      </c>
      <c r="V160" s="40">
        <f t="shared" si="5"/>
        <v>0.2142857142857143</v>
      </c>
    </row>
    <row r="161" spans="1:22">
      <c r="A161" s="1">
        <f>'[1]buses-marginal_price'!A161</f>
        <v>159</v>
      </c>
      <c r="B161" s="1">
        <f>'[1]buses-marginal_price'!B161</f>
        <v>0</v>
      </c>
      <c r="C161" s="1">
        <f>'[1]buses-marginal_price'!C161</f>
        <v>18.7</v>
      </c>
      <c r="D161" s="1">
        <f>'[1]buses-marginal_price'!D161</f>
        <v>1.428571428571429E-2</v>
      </c>
      <c r="E161" s="1">
        <f>'[1]buses-marginal_price'!E161</f>
        <v>0</v>
      </c>
      <c r="F161" s="1">
        <f>'[1]buses-marginal_price'!F161</f>
        <v>0.01</v>
      </c>
      <c r="G161" s="40">
        <f t="shared" si="4"/>
        <v>18.7</v>
      </c>
      <c r="H161" s="1">
        <v>0.1</v>
      </c>
      <c r="I161" s="1">
        <v>22</v>
      </c>
      <c r="J161" s="1">
        <v>18.7</v>
      </c>
      <c r="K161" s="1">
        <v>14</v>
      </c>
      <c r="L161" s="1">
        <f>'[1]buses-marginal_price'!G161</f>
        <v>0</v>
      </c>
      <c r="M161" s="1">
        <f>'[1]buses-marginal_price'!H161</f>
        <v>8.4999999999999992E-2</v>
      </c>
      <c r="N161" s="1">
        <f>'[1]buses-marginal_price'!I161</f>
        <v>0</v>
      </c>
      <c r="O161" s="1">
        <f>'[1]buses-marginal_price'!J161</f>
        <v>0</v>
      </c>
      <c r="P161" s="1">
        <f>'[1]buses-marginal_price'!K161</f>
        <v>0</v>
      </c>
      <c r="Q161" s="1">
        <f>'[1]buses-marginal_price'!L161</f>
        <v>0.1</v>
      </c>
      <c r="R161" s="1">
        <f>'[1]buses-marginal_price'!M161</f>
        <v>0.2142857142857143</v>
      </c>
      <c r="S161" s="1">
        <f>'[1]buses-marginal_price'!N161</f>
        <v>0.1142857142857143</v>
      </c>
      <c r="T161" s="1">
        <f>'[1]buses-marginal_price'!O161</f>
        <v>0.1142857142857143</v>
      </c>
      <c r="U161" s="1">
        <f>'[1]buses-marginal_price'!P161</f>
        <v>1.428571428571429E-2</v>
      </c>
      <c r="V161" s="40">
        <f t="shared" si="5"/>
        <v>0.2142857142857143</v>
      </c>
    </row>
    <row r="162" spans="1:22">
      <c r="A162" s="1">
        <f>'[1]buses-marginal_price'!A162</f>
        <v>160</v>
      </c>
      <c r="B162" s="1">
        <f>'[1]buses-marginal_price'!B162</f>
        <v>0</v>
      </c>
      <c r="C162" s="1">
        <f>'[1]buses-marginal_price'!C162</f>
        <v>18.7</v>
      </c>
      <c r="D162" s="1">
        <f>'[1]buses-marginal_price'!D162</f>
        <v>1.428571428571429E-2</v>
      </c>
      <c r="E162" s="1">
        <f>'[1]buses-marginal_price'!E162</f>
        <v>0</v>
      </c>
      <c r="F162" s="1">
        <f>'[1]buses-marginal_price'!F162</f>
        <v>0.01</v>
      </c>
      <c r="G162" s="40">
        <f t="shared" si="4"/>
        <v>18.7</v>
      </c>
      <c r="H162" s="1">
        <v>0.1</v>
      </c>
      <c r="I162" s="1">
        <v>22</v>
      </c>
      <c r="J162" s="1">
        <v>18.7</v>
      </c>
      <c r="K162" s="1">
        <v>14</v>
      </c>
      <c r="L162" s="1">
        <f>'[1]buses-marginal_price'!G162</f>
        <v>0</v>
      </c>
      <c r="M162" s="1">
        <f>'[1]buses-marginal_price'!H162</f>
        <v>8.4999999999999992E-2</v>
      </c>
      <c r="N162" s="1">
        <f>'[1]buses-marginal_price'!I162</f>
        <v>0</v>
      </c>
      <c r="O162" s="1">
        <f>'[1]buses-marginal_price'!J162</f>
        <v>0</v>
      </c>
      <c r="P162" s="1">
        <f>'[1]buses-marginal_price'!K162</f>
        <v>0</v>
      </c>
      <c r="Q162" s="1">
        <f>'[1]buses-marginal_price'!L162</f>
        <v>0.1</v>
      </c>
      <c r="R162" s="1">
        <f>'[1]buses-marginal_price'!M162</f>
        <v>0.2142857142857143</v>
      </c>
      <c r="S162" s="1">
        <f>'[1]buses-marginal_price'!N162</f>
        <v>0.1142857142857143</v>
      </c>
      <c r="T162" s="1">
        <f>'[1]buses-marginal_price'!O162</f>
        <v>0.1142857142857143</v>
      </c>
      <c r="U162" s="1">
        <f>'[1]buses-marginal_price'!P162</f>
        <v>1.428571428571429E-2</v>
      </c>
      <c r="V162" s="40">
        <f t="shared" si="5"/>
        <v>0.2142857142857143</v>
      </c>
    </row>
    <row r="163" spans="1:22">
      <c r="A163" s="1">
        <f>'[1]buses-marginal_price'!A163</f>
        <v>161</v>
      </c>
      <c r="B163" s="1">
        <f>'[1]buses-marginal_price'!B163</f>
        <v>0</v>
      </c>
      <c r="C163" s="1">
        <f>'[1]buses-marginal_price'!C163</f>
        <v>18.7</v>
      </c>
      <c r="D163" s="1">
        <f>'[1]buses-marginal_price'!D163</f>
        <v>1.428571428571429E-2</v>
      </c>
      <c r="E163" s="1">
        <f>'[1]buses-marginal_price'!E163</f>
        <v>0</v>
      </c>
      <c r="F163" s="1">
        <f>'[1]buses-marginal_price'!F163</f>
        <v>0.01</v>
      </c>
      <c r="G163" s="40">
        <f t="shared" si="4"/>
        <v>18.7</v>
      </c>
      <c r="H163" s="1">
        <v>0.1</v>
      </c>
      <c r="I163" s="1">
        <v>22</v>
      </c>
      <c r="J163" s="1">
        <v>18.7</v>
      </c>
      <c r="K163" s="1">
        <v>14</v>
      </c>
      <c r="L163" s="1">
        <f>'[1]buses-marginal_price'!G163</f>
        <v>6.3749999999999987E-2</v>
      </c>
      <c r="M163" s="1">
        <f>'[1]buses-marginal_price'!H163</f>
        <v>8.4999999999999992E-2</v>
      </c>
      <c r="N163" s="1">
        <f>'[1]buses-marginal_price'!I163</f>
        <v>0.1142857142857143</v>
      </c>
      <c r="O163" s="1">
        <f>'[1]buses-marginal_price'!J163</f>
        <v>6.3749999999999987E-2</v>
      </c>
      <c r="P163" s="1">
        <f>'[1]buses-marginal_price'!K163</f>
        <v>0.08</v>
      </c>
      <c r="Q163" s="1">
        <f>'[1]buses-marginal_price'!L163</f>
        <v>0.1</v>
      </c>
      <c r="R163" s="1">
        <f>'[1]buses-marginal_price'!M163</f>
        <v>0.2142857142857143</v>
      </c>
      <c r="S163" s="1">
        <f>'[1]buses-marginal_price'!N163</f>
        <v>0.1142857142857143</v>
      </c>
      <c r="T163" s="1">
        <f>'[1]buses-marginal_price'!O163</f>
        <v>0.1142857142857143</v>
      </c>
      <c r="U163" s="1">
        <f>'[1]buses-marginal_price'!P163</f>
        <v>1.428571428571429E-2</v>
      </c>
      <c r="V163" s="40">
        <f t="shared" si="5"/>
        <v>0.2142857142857143</v>
      </c>
    </row>
    <row r="164" spans="1:22">
      <c r="A164" s="1">
        <f>'[1]buses-marginal_price'!A164</f>
        <v>162</v>
      </c>
      <c r="B164" s="1">
        <f>'[1]buses-marginal_price'!B164</f>
        <v>0.1</v>
      </c>
      <c r="C164" s="1">
        <f>'[1]buses-marginal_price'!C164</f>
        <v>18.7</v>
      </c>
      <c r="D164" s="1">
        <f>'[1]buses-marginal_price'!D164</f>
        <v>28.856944285714281</v>
      </c>
      <c r="E164" s="1">
        <f>'[1]buses-marginal_price'!E164</f>
        <v>0.1</v>
      </c>
      <c r="F164" s="1">
        <f>'[1]buses-marginal_price'!F164</f>
        <v>20.199860999999999</v>
      </c>
      <c r="G164" s="40">
        <f t="shared" si="4"/>
        <v>18.7</v>
      </c>
      <c r="H164" s="1">
        <v>0.1</v>
      </c>
      <c r="I164" s="1">
        <v>22</v>
      </c>
      <c r="J164" s="1">
        <v>18.7</v>
      </c>
      <c r="K164" s="1">
        <v>14</v>
      </c>
      <c r="L164" s="1">
        <f>'[1]buses-marginal_price'!G164</f>
        <v>0.1</v>
      </c>
      <c r="M164" s="1">
        <f>'[1]buses-marginal_price'!H164</f>
        <v>8.4999999999999992E-2</v>
      </c>
      <c r="N164" s="1">
        <f>'[1]buses-marginal_price'!I164</f>
        <v>28.95694428571429</v>
      </c>
      <c r="O164" s="1">
        <f>'[1]buses-marginal_price'!J164</f>
        <v>0.1</v>
      </c>
      <c r="P164" s="1">
        <f>'[1]buses-marginal_price'!K164</f>
        <v>20.269860999999999</v>
      </c>
      <c r="Q164" s="1">
        <f>'[1]buses-marginal_price'!L164</f>
        <v>0.2</v>
      </c>
      <c r="R164" s="1">
        <f>'[1]buses-marginal_price'!M164</f>
        <v>29.056944285714291</v>
      </c>
      <c r="S164" s="1">
        <f>'[1]buses-marginal_price'!N164</f>
        <v>28.95694428571429</v>
      </c>
      <c r="T164" s="1">
        <f>'[1]buses-marginal_price'!O164</f>
        <v>28.95694428571429</v>
      </c>
      <c r="U164" s="1">
        <f>'[1]buses-marginal_price'!P164</f>
        <v>28.856944285714281</v>
      </c>
      <c r="V164" s="40">
        <f t="shared" si="5"/>
        <v>29.056944285714291</v>
      </c>
    </row>
    <row r="165" spans="1:22">
      <c r="A165" s="1">
        <f>'[1]buses-marginal_price'!A165</f>
        <v>163</v>
      </c>
      <c r="B165" s="1">
        <f>'[1]buses-marginal_price'!B165</f>
        <v>0.1</v>
      </c>
      <c r="C165" s="1">
        <f>'[1]buses-marginal_price'!C165</f>
        <v>18.7</v>
      </c>
      <c r="D165" s="1">
        <f>'[1]buses-marginal_price'!D165</f>
        <v>28.856944285714281</v>
      </c>
      <c r="E165" s="1">
        <f>'[1]buses-marginal_price'!E165</f>
        <v>0.1</v>
      </c>
      <c r="F165" s="1">
        <f>'[1]buses-marginal_price'!F165</f>
        <v>20.199860999999999</v>
      </c>
      <c r="G165" s="40">
        <f t="shared" si="4"/>
        <v>18.7</v>
      </c>
      <c r="H165" s="1">
        <v>0.1</v>
      </c>
      <c r="I165" s="1">
        <v>22</v>
      </c>
      <c r="J165" s="1">
        <v>18.7</v>
      </c>
      <c r="K165" s="1">
        <v>14</v>
      </c>
      <c r="L165" s="1">
        <f>'[1]buses-marginal_price'!G165</f>
        <v>0.1</v>
      </c>
      <c r="M165" s="1">
        <f>'[1]buses-marginal_price'!H165</f>
        <v>8.4999999999999992E-2</v>
      </c>
      <c r="N165" s="1">
        <f>'[1]buses-marginal_price'!I165</f>
        <v>28.95694428571429</v>
      </c>
      <c r="O165" s="1">
        <f>'[1]buses-marginal_price'!J165</f>
        <v>0.1</v>
      </c>
      <c r="P165" s="1">
        <f>'[1]buses-marginal_price'!K165</f>
        <v>20.269860999999999</v>
      </c>
      <c r="Q165" s="1">
        <f>'[1]buses-marginal_price'!L165</f>
        <v>0.2</v>
      </c>
      <c r="R165" s="1">
        <f>'[1]buses-marginal_price'!M165</f>
        <v>29.056944285714291</v>
      </c>
      <c r="S165" s="1">
        <f>'[1]buses-marginal_price'!N165</f>
        <v>28.95694428571429</v>
      </c>
      <c r="T165" s="1">
        <f>'[1]buses-marginal_price'!O165</f>
        <v>28.95694428571429</v>
      </c>
      <c r="U165" s="1">
        <f>'[1]buses-marginal_price'!P165</f>
        <v>28.856944285714281</v>
      </c>
      <c r="V165" s="40">
        <f t="shared" si="5"/>
        <v>29.056944285714291</v>
      </c>
    </row>
    <row r="166" spans="1:22">
      <c r="A166" s="1">
        <f>'[1]buses-marginal_price'!A166</f>
        <v>164</v>
      </c>
      <c r="B166" s="1">
        <f>'[1]buses-marginal_price'!B166</f>
        <v>0.1</v>
      </c>
      <c r="C166" s="1">
        <f>'[1]buses-marginal_price'!C166</f>
        <v>18.7</v>
      </c>
      <c r="D166" s="1">
        <f>'[1]buses-marginal_price'!D166</f>
        <v>28.856944285714281</v>
      </c>
      <c r="E166" s="1">
        <f>'[1]buses-marginal_price'!E166</f>
        <v>0.1</v>
      </c>
      <c r="F166" s="1">
        <f>'[1]buses-marginal_price'!F166</f>
        <v>20.199860999999999</v>
      </c>
      <c r="G166" s="40">
        <f t="shared" si="4"/>
        <v>18.7</v>
      </c>
      <c r="H166" s="1">
        <v>0.1</v>
      </c>
      <c r="I166" s="1">
        <v>22</v>
      </c>
      <c r="J166" s="1">
        <v>18.7</v>
      </c>
      <c r="K166" s="1">
        <v>14</v>
      </c>
      <c r="L166" s="1">
        <f>'[1]buses-marginal_price'!G166</f>
        <v>0.1</v>
      </c>
      <c r="M166" s="1">
        <f>'[1]buses-marginal_price'!H166</f>
        <v>8.4999999999999992E-2</v>
      </c>
      <c r="N166" s="1">
        <f>'[1]buses-marginal_price'!I166</f>
        <v>28.95694428571429</v>
      </c>
      <c r="O166" s="1">
        <f>'[1]buses-marginal_price'!J166</f>
        <v>0.1</v>
      </c>
      <c r="P166" s="1">
        <f>'[1]buses-marginal_price'!K166</f>
        <v>20.269860999999999</v>
      </c>
      <c r="Q166" s="1">
        <f>'[1]buses-marginal_price'!L166</f>
        <v>0.2</v>
      </c>
      <c r="R166" s="1">
        <f>'[1]buses-marginal_price'!M166</f>
        <v>29.056944285714291</v>
      </c>
      <c r="S166" s="1">
        <f>'[1]buses-marginal_price'!N166</f>
        <v>28.95694428571429</v>
      </c>
      <c r="T166" s="1">
        <f>'[1]buses-marginal_price'!O166</f>
        <v>28.95694428571429</v>
      </c>
      <c r="U166" s="1">
        <f>'[1]buses-marginal_price'!P166</f>
        <v>28.856944285714281</v>
      </c>
      <c r="V166" s="40">
        <f t="shared" si="5"/>
        <v>29.056944285714291</v>
      </c>
    </row>
    <row r="167" spans="1:22">
      <c r="A167" s="1">
        <f>'[1]buses-marginal_price'!A167</f>
        <v>165</v>
      </c>
      <c r="B167" s="1">
        <f>'[1]buses-marginal_price'!B167</f>
        <v>0.1</v>
      </c>
      <c r="C167" s="1">
        <f>'[1]buses-marginal_price'!C167</f>
        <v>18.7</v>
      </c>
      <c r="D167" s="1">
        <f>'[1]buses-marginal_price'!D167</f>
        <v>28.856944285714281</v>
      </c>
      <c r="E167" s="1">
        <f>'[1]buses-marginal_price'!E167</f>
        <v>0.1</v>
      </c>
      <c r="F167" s="1">
        <f>'[1]buses-marginal_price'!F167</f>
        <v>20.199860999999999</v>
      </c>
      <c r="G167" s="40">
        <f t="shared" si="4"/>
        <v>18.7</v>
      </c>
      <c r="H167" s="1">
        <v>0.1</v>
      </c>
      <c r="I167" s="1">
        <v>22</v>
      </c>
      <c r="J167" s="1">
        <v>18.7</v>
      </c>
      <c r="K167" s="1">
        <v>14</v>
      </c>
      <c r="L167" s="1">
        <f>'[1]buses-marginal_price'!G167</f>
        <v>0.1</v>
      </c>
      <c r="M167" s="1">
        <f>'[1]buses-marginal_price'!H167</f>
        <v>8.4999999999999992E-2</v>
      </c>
      <c r="N167" s="1">
        <f>'[1]buses-marginal_price'!I167</f>
        <v>28.95694428571429</v>
      </c>
      <c r="O167" s="1">
        <f>'[1]buses-marginal_price'!J167</f>
        <v>0.1</v>
      </c>
      <c r="P167" s="1">
        <f>'[1]buses-marginal_price'!K167</f>
        <v>20.269860999999999</v>
      </c>
      <c r="Q167" s="1">
        <f>'[1]buses-marginal_price'!L167</f>
        <v>0.2</v>
      </c>
      <c r="R167" s="1">
        <f>'[1]buses-marginal_price'!M167</f>
        <v>29.056944285714291</v>
      </c>
      <c r="S167" s="1">
        <f>'[1]buses-marginal_price'!N167</f>
        <v>28.95694428571429</v>
      </c>
      <c r="T167" s="1">
        <f>'[1]buses-marginal_price'!O167</f>
        <v>28.95694428571429</v>
      </c>
      <c r="U167" s="1">
        <f>'[1]buses-marginal_price'!P167</f>
        <v>28.856944285714281</v>
      </c>
      <c r="V167" s="40">
        <f t="shared" si="5"/>
        <v>29.056944285714291</v>
      </c>
    </row>
    <row r="168" spans="1:22">
      <c r="A168" s="1">
        <f>'[1]buses-marginal_price'!A168</f>
        <v>166</v>
      </c>
      <c r="B168" s="1">
        <f>'[1]buses-marginal_price'!B168</f>
        <v>0.1</v>
      </c>
      <c r="C168" s="1">
        <f>'[1]buses-marginal_price'!C168</f>
        <v>18.7</v>
      </c>
      <c r="D168" s="1">
        <f>'[1]buses-marginal_price'!D168</f>
        <v>28.856944285714281</v>
      </c>
      <c r="E168" s="1">
        <f>'[1]buses-marginal_price'!E168</f>
        <v>0.1</v>
      </c>
      <c r="F168" s="1">
        <f>'[1]buses-marginal_price'!F168</f>
        <v>20.199860999999999</v>
      </c>
      <c r="G168" s="40">
        <f t="shared" si="4"/>
        <v>18.7</v>
      </c>
      <c r="H168" s="1">
        <v>0.1</v>
      </c>
      <c r="I168" s="1">
        <v>22</v>
      </c>
      <c r="J168" s="1">
        <v>18.7</v>
      </c>
      <c r="K168" s="1">
        <v>14</v>
      </c>
      <c r="L168" s="1">
        <f>'[1]buses-marginal_price'!G168</f>
        <v>0.1</v>
      </c>
      <c r="M168" s="1">
        <f>'[1]buses-marginal_price'!H168</f>
        <v>8.4999999999999992E-2</v>
      </c>
      <c r="N168" s="1">
        <f>'[1]buses-marginal_price'!I168</f>
        <v>28.95694428571429</v>
      </c>
      <c r="O168" s="1">
        <f>'[1]buses-marginal_price'!J168</f>
        <v>0.1</v>
      </c>
      <c r="P168" s="1">
        <f>'[1]buses-marginal_price'!K168</f>
        <v>20.269860999999999</v>
      </c>
      <c r="Q168" s="1">
        <f>'[1]buses-marginal_price'!L168</f>
        <v>0.2</v>
      </c>
      <c r="R168" s="1">
        <f>'[1]buses-marginal_price'!M168</f>
        <v>29.056944285714291</v>
      </c>
      <c r="S168" s="1">
        <f>'[1]buses-marginal_price'!N168</f>
        <v>28.95694428571429</v>
      </c>
      <c r="T168" s="1">
        <f>'[1]buses-marginal_price'!O168</f>
        <v>28.95694428571429</v>
      </c>
      <c r="U168" s="1">
        <f>'[1]buses-marginal_price'!P168</f>
        <v>28.856944285714281</v>
      </c>
      <c r="V168" s="40">
        <f t="shared" si="5"/>
        <v>29.056944285714291</v>
      </c>
    </row>
    <row r="169" spans="1:22">
      <c r="A169" s="1">
        <f>'[1]buses-marginal_price'!A169</f>
        <v>167</v>
      </c>
      <c r="B169" s="1">
        <f>'[1]buses-marginal_price'!B169</f>
        <v>0</v>
      </c>
      <c r="C169" s="1">
        <f>'[1]buses-marginal_price'!C169</f>
        <v>18.7</v>
      </c>
      <c r="D169" s="1">
        <f>'[1]buses-marginal_price'!D169</f>
        <v>28.856944285714281</v>
      </c>
      <c r="E169" s="1">
        <f>'[1]buses-marginal_price'!E169</f>
        <v>0</v>
      </c>
      <c r="F169" s="1">
        <f>'[1]buses-marginal_price'!F169</f>
        <v>20.199860999999999</v>
      </c>
      <c r="G169" s="40">
        <f t="shared" si="4"/>
        <v>18.7</v>
      </c>
      <c r="H169" s="1">
        <v>0.1</v>
      </c>
      <c r="I169" s="1">
        <v>22</v>
      </c>
      <c r="J169" s="1">
        <v>18.7</v>
      </c>
      <c r="K169" s="1">
        <v>14</v>
      </c>
      <c r="L169" s="1">
        <f>'[1]buses-marginal_price'!G169</f>
        <v>0.1</v>
      </c>
      <c r="M169" s="1">
        <f>'[1]buses-marginal_price'!H169</f>
        <v>8.4999999999999992E-2</v>
      </c>
      <c r="N169" s="1">
        <f>'[1]buses-marginal_price'!I169</f>
        <v>28.95694428571429</v>
      </c>
      <c r="O169" s="1">
        <f>'[1]buses-marginal_price'!J169</f>
        <v>0.1</v>
      </c>
      <c r="P169" s="1">
        <f>'[1]buses-marginal_price'!K169</f>
        <v>20.269860999999999</v>
      </c>
      <c r="Q169" s="1">
        <f>'[1]buses-marginal_price'!L169</f>
        <v>0.1</v>
      </c>
      <c r="R169" s="1">
        <f>'[1]buses-marginal_price'!M169</f>
        <v>29.056944285714291</v>
      </c>
      <c r="S169" s="1">
        <f>'[1]buses-marginal_price'!N169</f>
        <v>28.95694428571429</v>
      </c>
      <c r="T169" s="1">
        <f>'[1]buses-marginal_price'!O169</f>
        <v>28.95694428571429</v>
      </c>
      <c r="U169" s="1">
        <f>'[1]buses-marginal_price'!P169</f>
        <v>28.856944285714281</v>
      </c>
      <c r="V169" s="40">
        <f t="shared" si="5"/>
        <v>29.056944285714291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B80B-5710-4A15-B7C0-CCB1DC83695E}">
  <dimension ref="A1:X169"/>
  <sheetViews>
    <sheetView topLeftCell="G13" workbookViewId="0">
      <selection activeCell="Q4" sqref="Q4"/>
    </sheetView>
  </sheetViews>
  <sheetFormatPr baseColWidth="10" defaultRowHeight="14"/>
  <cols>
    <col min="1" max="1" width="37.36328125" style="1" customWidth="1"/>
    <col min="2" max="2" width="14.36328125" style="1" bestFit="1" customWidth="1"/>
    <col min="3" max="8" width="10.90625" style="1"/>
    <col min="9" max="9" width="24.08984375" style="1" bestFit="1" customWidth="1"/>
    <col min="10" max="12" width="12.90625" style="1" bestFit="1" customWidth="1"/>
    <col min="13" max="13" width="10.90625" style="1"/>
    <col min="14" max="14" width="20.26953125" style="1" bestFit="1" customWidth="1"/>
    <col min="15" max="17" width="20.26953125" style="1" customWidth="1"/>
    <col min="18" max="18" width="30.6328125" style="1" bestFit="1" customWidth="1"/>
    <col min="19" max="20" width="9.26953125" style="1" bestFit="1" customWidth="1"/>
    <col min="21" max="16384" width="10.90625" style="1"/>
  </cols>
  <sheetData>
    <row r="1" spans="1:24">
      <c r="A1" s="1" t="s">
        <v>75</v>
      </c>
      <c r="I1" s="3" t="str">
        <f>'[1]buses-marginal_price'!B1</f>
        <v>ES_electricity_market_bus</v>
      </c>
      <c r="J1" s="3" t="str">
        <f>'[1]generators-p'!B1</f>
        <v>ES_solar</v>
      </c>
      <c r="K1" s="3" t="str">
        <f>'[1]generators-p'!C1</f>
        <v>ES_wind</v>
      </c>
      <c r="L1" s="3" t="str">
        <f>'[1]generators-p'!D1</f>
        <v>ES_biomass</v>
      </c>
      <c r="M1" s="3" t="str">
        <f>'[1]generators-p'!E1</f>
        <v>ES_water</v>
      </c>
      <c r="N1" s="3" t="str">
        <f>'[1]generators-p'!F1</f>
        <v>ES_SRES_excedentes</v>
      </c>
      <c r="O1" s="3" t="str">
        <f>'[1]links-p0'!B1</f>
        <v>ES_turbina</v>
      </c>
      <c r="P1" s="3" t="str">
        <f>'[1]links-p0'!C1</f>
        <v>ES_pump</v>
      </c>
      <c r="Q1" s="3" t="str">
        <f>'[1]links-p0'!D1</f>
        <v>ES_electrolyzer</v>
      </c>
      <c r="R1" s="3" t="str">
        <f>'[1]links-p0'!L1</f>
        <v>PT_ES_interconexion_electricidad</v>
      </c>
      <c r="S1" s="3" t="str">
        <f>'[1]generators-p'!H1</f>
        <v>PT_solar</v>
      </c>
      <c r="T1" s="3" t="str">
        <f>'[1]generators-p'!I1</f>
        <v>PT_wind</v>
      </c>
      <c r="U1" s="3" t="str">
        <f>'[1]generators-p'!J1</f>
        <v>PT_water</v>
      </c>
      <c r="V1" s="3" t="str">
        <f>'[1]links-p0'!G1</f>
        <v>PT_turbina</v>
      </c>
      <c r="W1" s="3" t="str">
        <f>'[1]links-p0'!H1</f>
        <v>PT_pump</v>
      </c>
      <c r="X1" s="3" t="str">
        <f>'[1]links-p0'!O1</f>
        <v>FR_ES_interconexion_electricidad</v>
      </c>
    </row>
    <row r="2" spans="1:24">
      <c r="A2" s="50" t="s">
        <v>76</v>
      </c>
      <c r="B2" s="1" t="s">
        <v>80</v>
      </c>
      <c r="C2" s="1" t="s">
        <v>7</v>
      </c>
      <c r="D2" s="1" t="s">
        <v>88</v>
      </c>
      <c r="I2" s="20">
        <f>'[1]buses-marginal_price'!B2</f>
        <v>22</v>
      </c>
      <c r="J2" s="20">
        <f>'[1]generators-p'!B2</f>
        <v>0</v>
      </c>
      <c r="K2" s="20">
        <f>'[1]generators-p'!C2</f>
        <v>25257.631676891091</v>
      </c>
      <c r="L2" s="20">
        <f>'[1]generators-p'!D2</f>
        <v>0</v>
      </c>
      <c r="M2" s="20">
        <f>'[1]generators-p'!E2</f>
        <v>794.87977565351252</v>
      </c>
      <c r="N2" s="20">
        <f>'[1]generators-p'!F2</f>
        <v>0</v>
      </c>
      <c r="O2" s="20">
        <f>'[1]links-p0'!B2</f>
        <v>15707.52826457718</v>
      </c>
      <c r="P2" s="20">
        <f>'[1]links-p0'!C2</f>
        <v>0</v>
      </c>
      <c r="Q2" s="20">
        <f>'[1]links-p0'!D2</f>
        <v>15500</v>
      </c>
      <c r="R2" s="1">
        <f>'[1]links-p0'!L2</f>
        <v>2837.788522564801</v>
      </c>
      <c r="S2" s="20">
        <f>'[1]generators-p'!H2</f>
        <v>0</v>
      </c>
      <c r="T2" s="20">
        <f>'[1]generators-p'!I2</f>
        <v>4914.8145225648004</v>
      </c>
      <c r="U2" s="1">
        <f>'[1]generators-p'!J2</f>
        <v>367.01</v>
      </c>
      <c r="V2" s="65">
        <f>'[1]links-p0'!G2</f>
        <v>3135</v>
      </c>
      <c r="W2" s="65">
        <f>'[1]links-p0'!H2</f>
        <v>0</v>
      </c>
      <c r="X2" s="65">
        <f>'[1]links-p0'!O2</f>
        <v>5000</v>
      </c>
    </row>
    <row r="3" spans="1:24">
      <c r="A3" s="1" t="s">
        <v>77</v>
      </c>
      <c r="B3" s="1">
        <v>0</v>
      </c>
      <c r="C3" s="1">
        <f>1</f>
        <v>1</v>
      </c>
      <c r="D3" s="1">
        <f>B3/C3</f>
        <v>0</v>
      </c>
      <c r="I3" s="51">
        <f>'[1]buses-marginal_price'!B3</f>
        <v>14.025</v>
      </c>
      <c r="J3" s="51">
        <f>'[1]generators-p'!B3</f>
        <v>0</v>
      </c>
      <c r="K3" s="51">
        <f>'[1]generators-p'!C3</f>
        <v>27028.785791072009</v>
      </c>
      <c r="L3" s="51">
        <f>'[1]generators-p'!D3</f>
        <v>0</v>
      </c>
      <c r="M3" s="51">
        <f>'[1]generators-p'!E3</f>
        <v>794.87977565351252</v>
      </c>
      <c r="N3" s="51">
        <f>'[1]generators-p'!F3</f>
        <v>0</v>
      </c>
      <c r="O3" s="51">
        <f>'[1]links-p0'!B3</f>
        <v>0</v>
      </c>
      <c r="P3" s="51">
        <f>'[1]links-p0'!C3</f>
        <v>0</v>
      </c>
      <c r="Q3" s="51">
        <f>'[1]links-p0'!D3</f>
        <v>15500</v>
      </c>
      <c r="R3" s="52">
        <f>'[1]links-p0'!L3</f>
        <v>3500</v>
      </c>
      <c r="S3" s="51">
        <f>'[1]generators-p'!H3</f>
        <v>0</v>
      </c>
      <c r="T3" s="51">
        <f>'[1]generators-p'!I3</f>
        <v>5189.2120493388002</v>
      </c>
      <c r="U3" s="56">
        <f>'[1]generators-p'!J3</f>
        <v>367.01</v>
      </c>
      <c r="V3" s="57">
        <f>'[1]links-p0'!G3</f>
        <v>0</v>
      </c>
      <c r="W3" s="57">
        <f>'[1]links-p0'!H3</f>
        <v>0</v>
      </c>
      <c r="X3" s="1">
        <f>'[1]links-p0'!O3</f>
        <v>5000</v>
      </c>
    </row>
    <row r="4" spans="1:24">
      <c r="A4" s="1" t="s">
        <v>78</v>
      </c>
      <c r="B4" s="1">
        <v>0</v>
      </c>
      <c r="C4" s="1">
        <v>1</v>
      </c>
      <c r="D4" s="1">
        <f t="shared" ref="D4:D14" si="0">B4/C4</f>
        <v>0</v>
      </c>
      <c r="I4" s="53">
        <f>'[1]buses-marginal_price'!B4</f>
        <v>14.025</v>
      </c>
      <c r="J4" s="53">
        <f>'[1]generators-p'!B4</f>
        <v>0</v>
      </c>
      <c r="K4" s="53">
        <f>'[1]generators-p'!C4</f>
        <v>27489.942333941199</v>
      </c>
      <c r="L4" s="53">
        <f>'[1]generators-p'!D4</f>
        <v>0</v>
      </c>
      <c r="M4" s="53">
        <f>'[1]generators-p'!E4</f>
        <v>794.87977565351252</v>
      </c>
      <c r="N4" s="53">
        <f>'[1]generators-p'!F4</f>
        <v>0</v>
      </c>
      <c r="O4" s="53">
        <f>'[1]links-p0'!B4</f>
        <v>0</v>
      </c>
      <c r="P4" s="53">
        <f>'[1]links-p0'!C4</f>
        <v>0</v>
      </c>
      <c r="Q4" s="53">
        <f>'[1]links-p0'!D4</f>
        <v>15500</v>
      </c>
      <c r="R4" s="54">
        <f>'[1]links-p0'!L4</f>
        <v>3500</v>
      </c>
      <c r="S4" s="53">
        <f>'[1]generators-p'!H4</f>
        <v>0</v>
      </c>
      <c r="T4" s="53">
        <f>'[1]generators-p'!I4</f>
        <v>5175.2723176728005</v>
      </c>
      <c r="U4" s="57">
        <f>'[1]generators-p'!J4</f>
        <v>367.01</v>
      </c>
      <c r="V4" s="57">
        <f>'[1]links-p0'!G4</f>
        <v>0</v>
      </c>
      <c r="W4" s="57">
        <f>'[1]links-p0'!H4</f>
        <v>0</v>
      </c>
      <c r="X4" s="1">
        <f>'[1]links-p0'!O4</f>
        <v>5000</v>
      </c>
    </row>
    <row r="5" spans="1:24">
      <c r="A5" s="1" t="s">
        <v>68</v>
      </c>
      <c r="B5" s="1">
        <v>22</v>
      </c>
      <c r="C5" s="1">
        <v>1</v>
      </c>
      <c r="D5" s="1">
        <f t="shared" si="0"/>
        <v>22</v>
      </c>
      <c r="I5" s="53">
        <f>'[1]buses-marginal_price'!B5</f>
        <v>14.025</v>
      </c>
      <c r="J5" s="53">
        <f>'[1]generators-p'!B5</f>
        <v>0</v>
      </c>
      <c r="K5" s="53">
        <f>'[1]generators-p'!C5</f>
        <v>28179.896186332571</v>
      </c>
      <c r="L5" s="53">
        <f>'[1]generators-p'!D5</f>
        <v>0</v>
      </c>
      <c r="M5" s="53">
        <f>'[1]generators-p'!E5</f>
        <v>794.87977565351252</v>
      </c>
      <c r="N5" s="53">
        <f>'[1]generators-p'!F5</f>
        <v>0</v>
      </c>
      <c r="O5" s="53">
        <f>'[1]links-p0'!B5</f>
        <v>0</v>
      </c>
      <c r="P5" s="53">
        <f>'[1]links-p0'!C5</f>
        <v>7241.9776929587479</v>
      </c>
      <c r="Q5" s="53">
        <f>'[1]links-p0'!D5</f>
        <v>15500</v>
      </c>
      <c r="R5" s="54">
        <f>'[1]links-p0'!L5</f>
        <v>3500</v>
      </c>
      <c r="S5" s="53">
        <f>'[1]generators-p'!H5</f>
        <v>0</v>
      </c>
      <c r="T5" s="53">
        <f>'[1]generators-p'!I5</f>
        <v>4527.0867872160006</v>
      </c>
      <c r="U5" s="57">
        <f>'[1]generators-p'!J5</f>
        <v>367.01</v>
      </c>
      <c r="V5" s="57">
        <f>'[1]links-p0'!G5</f>
        <v>0</v>
      </c>
      <c r="W5" s="57">
        <f>'[1]links-p0'!H5</f>
        <v>0</v>
      </c>
      <c r="X5" s="1">
        <f>'[1]links-p0'!O5</f>
        <v>5000</v>
      </c>
    </row>
    <row r="6" spans="1:24">
      <c r="A6" s="1" t="s">
        <v>8</v>
      </c>
      <c r="B6" s="1">
        <v>0</v>
      </c>
      <c r="C6" s="1">
        <v>0.85</v>
      </c>
      <c r="D6" s="1">
        <f t="shared" si="0"/>
        <v>0</v>
      </c>
      <c r="I6" s="53">
        <f>'[1]buses-marginal_price'!B6</f>
        <v>14.025</v>
      </c>
      <c r="J6" s="53">
        <f>'[1]generators-p'!B6</f>
        <v>0</v>
      </c>
      <c r="K6" s="53">
        <f>'[1]generators-p'!C6</f>
        <v>29542.429586616421</v>
      </c>
      <c r="L6" s="53">
        <f>'[1]generators-p'!D6</f>
        <v>0</v>
      </c>
      <c r="M6" s="53">
        <f>'[1]generators-p'!E6</f>
        <v>794.87977565351252</v>
      </c>
      <c r="N6" s="53">
        <f>'[1]generators-p'!F6</f>
        <v>0</v>
      </c>
      <c r="O6" s="53">
        <f>'[1]links-p0'!B6</f>
        <v>0</v>
      </c>
      <c r="P6" s="53">
        <f>'[1]links-p0'!C6</f>
        <v>13320.750632965201</v>
      </c>
      <c r="Q6" s="53">
        <f>'[1]links-p0'!D6</f>
        <v>15500</v>
      </c>
      <c r="R6" s="54">
        <f>'[1]links-p0'!L6</f>
        <v>3500</v>
      </c>
      <c r="S6" s="53">
        <f>'[1]generators-p'!H6</f>
        <v>0</v>
      </c>
      <c r="T6" s="53">
        <f>'[1]generators-p'!I6</f>
        <v>4260.0744067896003</v>
      </c>
      <c r="U6" s="57">
        <f>'[1]generators-p'!J6</f>
        <v>367.01</v>
      </c>
      <c r="V6" s="57">
        <f>'[1]links-p0'!G6</f>
        <v>0</v>
      </c>
      <c r="W6" s="57">
        <f>'[1]links-p0'!H6</f>
        <v>0</v>
      </c>
      <c r="X6" s="1">
        <f>'[1]links-p0'!O6</f>
        <v>5000</v>
      </c>
    </row>
    <row r="7" spans="1:24">
      <c r="A7" s="1" t="s">
        <v>79</v>
      </c>
      <c r="B7" s="1">
        <v>146.19</v>
      </c>
      <c r="C7" s="1">
        <v>0.57999999999999996</v>
      </c>
      <c r="D7" s="1">
        <f t="shared" si="0"/>
        <v>252.05172413793105</v>
      </c>
      <c r="I7" s="53">
        <f>'[1]buses-marginal_price'!B7</f>
        <v>14.025</v>
      </c>
      <c r="J7" s="53">
        <f>'[1]generators-p'!B7</f>
        <v>0</v>
      </c>
      <c r="K7" s="53">
        <f>'[1]generators-p'!C7</f>
        <v>29719.55508683193</v>
      </c>
      <c r="L7" s="53">
        <f>'[1]generators-p'!D7</f>
        <v>0</v>
      </c>
      <c r="M7" s="53">
        <f>'[1]generators-p'!E7</f>
        <v>794.87977565351252</v>
      </c>
      <c r="N7" s="53">
        <f>'[1]generators-p'!F7</f>
        <v>0</v>
      </c>
      <c r="O7" s="53">
        <f>'[1]links-p0'!B7</f>
        <v>0</v>
      </c>
      <c r="P7" s="53">
        <f>'[1]links-p0'!C7</f>
        <v>0</v>
      </c>
      <c r="Q7" s="53">
        <f>'[1]links-p0'!D7</f>
        <v>15500</v>
      </c>
      <c r="R7" s="54">
        <f>'[1]links-p0'!L7</f>
        <v>3500</v>
      </c>
      <c r="S7" s="53">
        <f>'[1]generators-p'!H7</f>
        <v>0</v>
      </c>
      <c r="T7" s="53">
        <f>'[1]generators-p'!I7</f>
        <v>4441.8692542140006</v>
      </c>
      <c r="U7" s="57">
        <f>'[1]generators-p'!J7</f>
        <v>367.01</v>
      </c>
      <c r="V7" s="57">
        <f>'[1]links-p0'!G7</f>
        <v>0</v>
      </c>
      <c r="W7" s="57">
        <f>'[1]links-p0'!H7</f>
        <v>0</v>
      </c>
      <c r="X7" s="1">
        <f>'[1]links-p0'!O7</f>
        <v>5000</v>
      </c>
    </row>
    <row r="8" spans="1:24">
      <c r="A8" s="1" t="s">
        <v>83</v>
      </c>
      <c r="B8" s="1">
        <v>0</v>
      </c>
      <c r="C8" s="1">
        <v>1</v>
      </c>
      <c r="D8" s="1">
        <f t="shared" si="0"/>
        <v>0</v>
      </c>
      <c r="I8" s="53">
        <f>'[1]buses-marginal_price'!B8</f>
        <v>14.025</v>
      </c>
      <c r="J8" s="53">
        <f>'[1]generators-p'!B8</f>
        <v>0</v>
      </c>
      <c r="K8" s="53">
        <f>'[1]generators-p'!C8</f>
        <v>27790.974239529911</v>
      </c>
      <c r="L8" s="53">
        <f>'[1]generators-p'!D8</f>
        <v>0</v>
      </c>
      <c r="M8" s="53">
        <f>'[1]generators-p'!E8</f>
        <v>794.87977565351252</v>
      </c>
      <c r="N8" s="53">
        <f>'[1]generators-p'!F8</f>
        <v>0</v>
      </c>
      <c r="O8" s="53">
        <f>'[1]links-p0'!B8</f>
        <v>0</v>
      </c>
      <c r="P8" s="53">
        <f>'[1]links-p0'!C8</f>
        <v>0</v>
      </c>
      <c r="Q8" s="53">
        <f>'[1]links-p0'!D8</f>
        <v>15500</v>
      </c>
      <c r="R8" s="54">
        <f>'[1]links-p0'!L8</f>
        <v>3500</v>
      </c>
      <c r="S8" s="53">
        <f>'[1]generators-p'!H8</f>
        <v>0</v>
      </c>
      <c r="T8" s="53">
        <f>'[1]generators-p'!I8</f>
        <v>4593.7901829204011</v>
      </c>
      <c r="U8" s="57">
        <f>'[1]generators-p'!J8</f>
        <v>367.01</v>
      </c>
      <c r="V8" s="57">
        <f>'[1]links-p0'!G8</f>
        <v>0</v>
      </c>
      <c r="W8" s="57">
        <f>'[1]links-p0'!H8</f>
        <v>0</v>
      </c>
      <c r="X8" s="1">
        <f>'[1]links-p0'!O8</f>
        <v>5000</v>
      </c>
    </row>
    <row r="9" spans="1:24">
      <c r="A9" s="1" t="s">
        <v>81</v>
      </c>
      <c r="B9" s="1">
        <f>0.1+0</f>
        <v>0.1</v>
      </c>
      <c r="C9" s="1">
        <v>1</v>
      </c>
      <c r="D9" s="1">
        <f t="shared" si="0"/>
        <v>0.1</v>
      </c>
      <c r="I9" s="53">
        <f>'[1]buses-marginal_price'!B9</f>
        <v>14.025</v>
      </c>
      <c r="J9" s="53">
        <f>'[1]generators-p'!B9</f>
        <v>0</v>
      </c>
      <c r="K9" s="53">
        <f>'[1]generators-p'!C9</f>
        <v>22521.545412595991</v>
      </c>
      <c r="L9" s="53">
        <f>'[1]generators-p'!D9</f>
        <v>0</v>
      </c>
      <c r="M9" s="53">
        <f>'[1]generators-p'!E9</f>
        <v>794.87977565351252</v>
      </c>
      <c r="N9" s="53">
        <f>'[1]generators-p'!F9</f>
        <v>0</v>
      </c>
      <c r="O9" s="53">
        <f>'[1]links-p0'!B9</f>
        <v>0</v>
      </c>
      <c r="P9" s="53">
        <f>'[1]links-p0'!C9</f>
        <v>0</v>
      </c>
      <c r="Q9" s="53">
        <f>'[1]links-p0'!D9</f>
        <v>15500</v>
      </c>
      <c r="R9" s="54">
        <f>'[1]links-p0'!L9</f>
        <v>3500</v>
      </c>
      <c r="S9" s="53">
        <f>'[1]generators-p'!H9</f>
        <v>0</v>
      </c>
      <c r="T9" s="53">
        <f>'[1]generators-p'!I9</f>
        <v>4986.632591136</v>
      </c>
      <c r="U9" s="57">
        <f>'[1]generators-p'!J9</f>
        <v>367.01</v>
      </c>
      <c r="V9" s="57">
        <f>'[1]links-p0'!G9</f>
        <v>441.56193428777618</v>
      </c>
      <c r="W9" s="57">
        <f>'[1]links-p0'!H9</f>
        <v>0</v>
      </c>
      <c r="X9" s="1">
        <f>'[1]links-p0'!O9</f>
        <v>5000</v>
      </c>
    </row>
    <row r="10" spans="1:24">
      <c r="A10" s="1" t="s">
        <v>82</v>
      </c>
      <c r="B10" s="1">
        <f>0.1+0</f>
        <v>0.1</v>
      </c>
      <c r="C10" s="1">
        <v>1</v>
      </c>
      <c r="D10" s="1">
        <f t="shared" si="0"/>
        <v>0.1</v>
      </c>
      <c r="I10" s="53">
        <f>'[1]buses-marginal_price'!B10</f>
        <v>14.025</v>
      </c>
      <c r="J10" s="53">
        <f>'[1]generators-p'!B10</f>
        <v>1117.7385522</v>
      </c>
      <c r="K10" s="53">
        <f>'[1]generators-p'!C10</f>
        <v>17575.587941208789</v>
      </c>
      <c r="L10" s="53">
        <f>'[1]generators-p'!D10</f>
        <v>0</v>
      </c>
      <c r="M10" s="53">
        <f>'[1]generators-p'!E10</f>
        <v>794.87977565351252</v>
      </c>
      <c r="N10" s="53">
        <f>'[1]generators-p'!F10</f>
        <v>0</v>
      </c>
      <c r="O10" s="53">
        <f>'[1]links-p0'!B10</f>
        <v>0</v>
      </c>
      <c r="P10" s="53">
        <f>'[1]links-p0'!C10</f>
        <v>0</v>
      </c>
      <c r="Q10" s="53">
        <f>'[1]links-p0'!D10</f>
        <v>15500</v>
      </c>
      <c r="R10" s="54">
        <f>'[1]links-p0'!L10</f>
        <v>3500</v>
      </c>
      <c r="S10" s="53">
        <f>'[1]generators-p'!H10</f>
        <v>1.2348220000000001</v>
      </c>
      <c r="T10" s="53">
        <f>'[1]generators-p'!I10</f>
        <v>5309.1583859412003</v>
      </c>
      <c r="U10" s="57">
        <f>'[1]generators-p'!J10</f>
        <v>367.01</v>
      </c>
      <c r="V10" s="57">
        <f>'[1]links-p0'!G10</f>
        <v>2983.092696539763</v>
      </c>
      <c r="W10" s="57">
        <f>'[1]links-p0'!H10</f>
        <v>0</v>
      </c>
      <c r="X10" s="1">
        <f>'[1]links-p0'!O10</f>
        <v>5000</v>
      </c>
    </row>
    <row r="11" spans="1:24">
      <c r="A11" s="1" t="s">
        <v>84</v>
      </c>
      <c r="B11" s="1">
        <f>0.1+22</f>
        <v>22.1</v>
      </c>
      <c r="C11" s="1">
        <v>1</v>
      </c>
      <c r="D11" s="1">
        <f t="shared" si="0"/>
        <v>22.1</v>
      </c>
      <c r="I11" s="22">
        <f>'[1]buses-marginal_price'!B11</f>
        <v>14.025</v>
      </c>
      <c r="J11" s="22">
        <f>'[1]generators-p'!B11</f>
        <v>29843.77107658</v>
      </c>
      <c r="K11" s="22">
        <f>'[1]generators-p'!C11</f>
        <v>15116.88366045464</v>
      </c>
      <c r="L11" s="22">
        <f>'[1]generators-p'!D11</f>
        <v>0</v>
      </c>
      <c r="M11" s="22">
        <f>'[1]generators-p'!E11</f>
        <v>794.87977565351252</v>
      </c>
      <c r="N11" s="22">
        <f>'[1]generators-p'!F11</f>
        <v>0</v>
      </c>
      <c r="O11" s="22">
        <f>'[1]links-p0'!B11</f>
        <v>0</v>
      </c>
      <c r="P11" s="22">
        <f>'[1]links-p0'!C11</f>
        <v>3396.1015126881571</v>
      </c>
      <c r="Q11" s="22">
        <f>'[1]links-p0'!D11</f>
        <v>15500</v>
      </c>
      <c r="R11" s="55">
        <f>'[1]links-p0'!L11</f>
        <v>3500</v>
      </c>
      <c r="S11" s="22">
        <f>'[1]generators-p'!H11</f>
        <v>6862.3009970399999</v>
      </c>
      <c r="T11" s="22">
        <f>'[1]generators-p'!I11</f>
        <v>4851.5065551792004</v>
      </c>
      <c r="U11" s="3">
        <f>'[1]generators-p'!J11</f>
        <v>367.01</v>
      </c>
      <c r="V11" s="57">
        <f>'[1]links-p0'!G11</f>
        <v>0</v>
      </c>
      <c r="W11" s="57">
        <f>'[1]links-p0'!H11</f>
        <v>3669.5085522191989</v>
      </c>
      <c r="X11" s="1">
        <f>'[1]links-p0'!O11</f>
        <v>5000</v>
      </c>
    </row>
    <row r="12" spans="1:24">
      <c r="A12" s="1" t="s">
        <v>85</v>
      </c>
      <c r="B12" s="1">
        <f>0.1+0</f>
        <v>0.1</v>
      </c>
      <c r="C12" s="1">
        <v>0.85</v>
      </c>
      <c r="D12" s="1">
        <f t="shared" si="0"/>
        <v>0.11764705882352942</v>
      </c>
      <c r="I12" s="51">
        <f>'[1]buses-marginal_price'!B12</f>
        <v>0</v>
      </c>
      <c r="J12" s="58">
        <f>'[1]generators-p'!B12</f>
        <v>44579.735522057017</v>
      </c>
      <c r="K12" s="58">
        <f>'[1]generators-p'!C12</f>
        <v>14278.077359344319</v>
      </c>
      <c r="L12" s="51">
        <f>'[1]generators-p'!D12</f>
        <v>0</v>
      </c>
      <c r="M12" s="58">
        <f>'[1]generators-p'!E12</f>
        <v>794.87977565351252</v>
      </c>
      <c r="N12" s="51">
        <f>'[1]generators-p'!F12</f>
        <v>0</v>
      </c>
      <c r="O12" s="51">
        <f>'[1]links-p0'!B12</f>
        <v>0</v>
      </c>
      <c r="P12" s="51">
        <f>'[1]links-p0'!C12</f>
        <v>13320.750632965201</v>
      </c>
      <c r="Q12" s="51">
        <f>'[1]links-p0'!D12</f>
        <v>9981.9090151396431</v>
      </c>
      <c r="R12" s="56">
        <f>'[1]links-p0'!L12</f>
        <v>0</v>
      </c>
      <c r="S12" s="51">
        <f>'[1]generators-p'!H12</f>
        <v>8870.2819999999992</v>
      </c>
      <c r="T12" s="51">
        <f>'[1]generators-p'!I12</f>
        <v>0</v>
      </c>
      <c r="U12" s="51">
        <f>'[1]generators-p'!J12</f>
        <v>0</v>
      </c>
      <c r="V12" s="56">
        <f>'[1]links-p0'!G12</f>
        <v>0</v>
      </c>
      <c r="W12" s="56">
        <f>'[1]links-p0'!H12</f>
        <v>3837</v>
      </c>
      <c r="X12" s="56">
        <f>'[1]links-p0'!O12</f>
        <v>0</v>
      </c>
    </row>
    <row r="13" spans="1:24">
      <c r="A13" s="1" t="s">
        <v>86</v>
      </c>
      <c r="B13" s="1">
        <f>0.1+146.19</f>
        <v>146.29</v>
      </c>
      <c r="C13" s="1">
        <v>0.57999999999999996</v>
      </c>
      <c r="D13" s="1">
        <f t="shared" si="0"/>
        <v>252.22413793103448</v>
      </c>
      <c r="I13" s="53">
        <f>'[1]buses-marginal_price'!B13</f>
        <v>0</v>
      </c>
      <c r="J13" s="59">
        <f>'[1]generators-p'!B13</f>
        <v>80036.737910990312</v>
      </c>
      <c r="K13" s="59">
        <f>'[1]generators-p'!C13</f>
        <v>15129.93079804206</v>
      </c>
      <c r="L13" s="53">
        <f>'[1]generators-p'!D13</f>
        <v>0</v>
      </c>
      <c r="M13" s="59">
        <f>'[1]generators-p'!E13</f>
        <v>794.87977565351252</v>
      </c>
      <c r="N13" s="53">
        <f>'[1]generators-p'!F13</f>
        <v>2423.8350507326591</v>
      </c>
      <c r="O13" s="53">
        <f>'[1]links-p0'!B13</f>
        <v>0</v>
      </c>
      <c r="P13" s="53">
        <f>'[1]links-p0'!C13</f>
        <v>13320.750632965201</v>
      </c>
      <c r="Q13" s="53">
        <f>'[1]links-p0'!D13</f>
        <v>10747.549760600001</v>
      </c>
      <c r="R13" s="57">
        <f>'[1]links-p0'!L13</f>
        <v>0</v>
      </c>
      <c r="S13" s="53">
        <f>'[1]generators-p'!H13</f>
        <v>9078.0720000000001</v>
      </c>
      <c r="T13" s="53">
        <f>'[1]generators-p'!I13</f>
        <v>0</v>
      </c>
      <c r="U13" s="53">
        <f>'[1]generators-p'!J13</f>
        <v>0</v>
      </c>
      <c r="V13" s="57">
        <f>'[1]links-p0'!G13</f>
        <v>0</v>
      </c>
      <c r="W13" s="57">
        <f>'[1]links-p0'!H13</f>
        <v>3837</v>
      </c>
      <c r="X13" s="57">
        <f>'[1]links-p0'!O13</f>
        <v>0</v>
      </c>
    </row>
    <row r="14" spans="1:24">
      <c r="A14" s="1" t="s">
        <v>87</v>
      </c>
      <c r="B14" s="1">
        <v>0.1</v>
      </c>
      <c r="C14" s="1">
        <v>1</v>
      </c>
      <c r="D14" s="1">
        <f t="shared" si="0"/>
        <v>0.1</v>
      </c>
      <c r="I14" s="53">
        <f>'[1]buses-marginal_price'!B14</f>
        <v>0</v>
      </c>
      <c r="J14" s="59">
        <f>'[1]generators-p'!B14</f>
        <v>102204.8432862223</v>
      </c>
      <c r="K14" s="59">
        <f>'[1]generators-p'!C14</f>
        <v>17438.534795471169</v>
      </c>
      <c r="L14" s="53">
        <f>'[1]generators-p'!D14</f>
        <v>0</v>
      </c>
      <c r="M14" s="59">
        <f>'[1]generators-p'!E14</f>
        <v>794.87977565351252</v>
      </c>
      <c r="N14" s="53">
        <f>'[1]generators-p'!F14</f>
        <v>4420.1988477753712</v>
      </c>
      <c r="O14" s="53">
        <f>'[1]links-p0'!B14</f>
        <v>0</v>
      </c>
      <c r="P14" s="53">
        <f>'[1]links-p0'!C14</f>
        <v>13320.750632965201</v>
      </c>
      <c r="Q14" s="53">
        <f>'[1]links-p0'!D14</f>
        <v>11667.30707215714</v>
      </c>
      <c r="R14" s="57">
        <f>'[1]links-p0'!L14</f>
        <v>0</v>
      </c>
      <c r="S14" s="53">
        <f>'[1]generators-p'!H14</f>
        <v>9409.7849999999999</v>
      </c>
      <c r="T14" s="53">
        <f>'[1]generators-p'!I14</f>
        <v>0</v>
      </c>
      <c r="U14" s="53">
        <f>'[1]generators-p'!J14</f>
        <v>0</v>
      </c>
      <c r="V14" s="57">
        <f>'[1]links-p0'!G14</f>
        <v>0</v>
      </c>
      <c r="W14" s="57">
        <f>'[1]links-p0'!H14</f>
        <v>3837</v>
      </c>
      <c r="X14" s="57">
        <f>'[1]links-p0'!O14</f>
        <v>0</v>
      </c>
    </row>
    <row r="15" spans="1:24">
      <c r="I15" s="53">
        <f>'[1]buses-marginal_price'!B15</f>
        <v>0</v>
      </c>
      <c r="J15" s="59">
        <f>'[1]generators-p'!B15</f>
        <v>99922.022606105384</v>
      </c>
      <c r="K15" s="59">
        <f>'[1]generators-p'!C15</f>
        <v>19014.972457422769</v>
      </c>
      <c r="L15" s="53">
        <f>'[1]generators-p'!D15</f>
        <v>0</v>
      </c>
      <c r="M15" s="59">
        <f>'[1]generators-p'!E15</f>
        <v>794.87977565351252</v>
      </c>
      <c r="N15" s="53">
        <f>'[1]generators-p'!F15</f>
        <v>4745.1035914549602</v>
      </c>
      <c r="O15" s="53">
        <f>'[1]links-p0'!B15</f>
        <v>0</v>
      </c>
      <c r="P15" s="53">
        <f>'[1]links-p0'!C15</f>
        <v>13320.750632965201</v>
      </c>
      <c r="Q15" s="53">
        <f>'[1]links-p0'!D15</f>
        <v>10945.050797671431</v>
      </c>
      <c r="R15" s="57">
        <f>'[1]links-p0'!L15</f>
        <v>0</v>
      </c>
      <c r="S15" s="53">
        <f>'[1]generators-p'!H15</f>
        <v>17211.844694747611</v>
      </c>
      <c r="T15" s="53">
        <f>'[1]generators-p'!I15</f>
        <v>0</v>
      </c>
      <c r="U15" s="53">
        <f>'[1]generators-p'!J15</f>
        <v>0</v>
      </c>
      <c r="V15" s="57">
        <f>'[1]links-p0'!G15</f>
        <v>0</v>
      </c>
      <c r="W15" s="57">
        <f>'[1]links-p0'!H15</f>
        <v>3837</v>
      </c>
      <c r="X15" s="57">
        <f>'[1]links-p0'!O15</f>
        <v>0</v>
      </c>
    </row>
    <row r="16" spans="1:24">
      <c r="I16" s="53">
        <f>'[1]buses-marginal_price'!B16</f>
        <v>0</v>
      </c>
      <c r="J16" s="59">
        <f>'[1]generators-p'!B16</f>
        <v>97704.157857550003</v>
      </c>
      <c r="K16" s="59">
        <f>'[1]generators-p'!C16</f>
        <v>19653.986236669109</v>
      </c>
      <c r="L16" s="53">
        <f>'[1]generators-p'!D16</f>
        <v>0</v>
      </c>
      <c r="M16" s="59">
        <f>'[1]generators-p'!E16</f>
        <v>794.87977565351252</v>
      </c>
      <c r="N16" s="53">
        <f>'[1]generators-p'!F16</f>
        <v>3525.498890236348</v>
      </c>
      <c r="O16" s="53">
        <f>'[1]links-p0'!B16</f>
        <v>0</v>
      </c>
      <c r="P16" s="53">
        <f>'[1]links-p0'!C16</f>
        <v>13320.750632965201</v>
      </c>
      <c r="Q16" s="53">
        <f>'[1]links-p0'!D16</f>
        <v>10747.549760600001</v>
      </c>
      <c r="R16" s="57">
        <f>'[1]links-p0'!L16</f>
        <v>0</v>
      </c>
      <c r="S16" s="53">
        <f>'[1]generators-p'!H16</f>
        <v>20839.355</v>
      </c>
      <c r="T16" s="53">
        <f>'[1]generators-p'!I16</f>
        <v>0</v>
      </c>
      <c r="U16" s="53">
        <f>'[1]generators-p'!J16</f>
        <v>0</v>
      </c>
      <c r="V16" s="57">
        <f>'[1]links-p0'!G16</f>
        <v>0</v>
      </c>
      <c r="W16" s="57">
        <f>'[1]links-p0'!H16</f>
        <v>3837</v>
      </c>
      <c r="X16" s="57">
        <f>'[1]links-p0'!O16</f>
        <v>0</v>
      </c>
    </row>
    <row r="17" spans="9:24">
      <c r="I17" s="53">
        <f>'[1]buses-marginal_price'!B17</f>
        <v>0</v>
      </c>
      <c r="J17" s="59">
        <f>'[1]generators-p'!B17</f>
        <v>82899.450832269999</v>
      </c>
      <c r="K17" s="59">
        <f>'[1]generators-p'!C17</f>
        <v>19711.284638977831</v>
      </c>
      <c r="L17" s="53">
        <f>'[1]generators-p'!D17</f>
        <v>0</v>
      </c>
      <c r="M17" s="59">
        <f>'[1]generators-p'!E17</f>
        <v>794.87977565351252</v>
      </c>
      <c r="N17" s="53">
        <f>'[1]generators-p'!F17</f>
        <v>1149.5805602623229</v>
      </c>
      <c r="O17" s="53">
        <f>'[1]links-p0'!B17</f>
        <v>0</v>
      </c>
      <c r="P17" s="53">
        <f>'[1]links-p0'!C17</f>
        <v>13320.750632965201</v>
      </c>
      <c r="Q17" s="53">
        <f>'[1]links-p0'!D17</f>
        <v>9323.363877614287</v>
      </c>
      <c r="R17" s="57">
        <f>'[1]links-p0'!L17</f>
        <v>0</v>
      </c>
      <c r="S17" s="53">
        <f>'[1]generators-p'!H17</f>
        <v>20864.03</v>
      </c>
      <c r="T17" s="53">
        <f>'[1]generators-p'!I17</f>
        <v>0</v>
      </c>
      <c r="U17" s="53">
        <f>'[1]generators-p'!J17</f>
        <v>0</v>
      </c>
      <c r="V17" s="57">
        <f>'[1]links-p0'!G17</f>
        <v>0</v>
      </c>
      <c r="W17" s="57">
        <f>'[1]links-p0'!H17</f>
        <v>3837</v>
      </c>
      <c r="X17" s="57">
        <f>'[1]links-p0'!O17</f>
        <v>0</v>
      </c>
    </row>
    <row r="18" spans="9:24">
      <c r="I18" s="22">
        <f>'[1]buses-marginal_price'!B18</f>
        <v>0</v>
      </c>
      <c r="J18" s="60">
        <f>'[1]generators-p'!B18</f>
        <v>53981.474733825002</v>
      </c>
      <c r="K18" s="60">
        <f>'[1]generators-p'!C18</f>
        <v>18955.417524366439</v>
      </c>
      <c r="L18" s="22">
        <f>'[1]generators-p'!D18</f>
        <v>0</v>
      </c>
      <c r="M18" s="60">
        <f>'[1]generators-p'!E18</f>
        <v>794.87977565351252</v>
      </c>
      <c r="N18" s="22">
        <f>'[1]generators-p'!F18</f>
        <v>0</v>
      </c>
      <c r="O18" s="22">
        <f>'[1]links-p0'!B18</f>
        <v>0</v>
      </c>
      <c r="P18" s="22">
        <f>'[1]links-p0'!C18</f>
        <v>13320.750632965201</v>
      </c>
      <c r="Q18" s="22">
        <f>'[1]links-p0'!D18</f>
        <v>10099.677338214209</v>
      </c>
      <c r="R18" s="3">
        <f>'[1]links-p0'!L18</f>
        <v>0</v>
      </c>
      <c r="S18" s="22">
        <f>'[1]generators-p'!H18</f>
        <v>21087.475999999999</v>
      </c>
      <c r="T18" s="22">
        <f>'[1]generators-p'!I18</f>
        <v>0</v>
      </c>
      <c r="U18" s="22">
        <f>'[1]generators-p'!J18</f>
        <v>0</v>
      </c>
      <c r="V18" s="3">
        <f>'[1]links-p0'!G18</f>
        <v>0</v>
      </c>
      <c r="W18" s="3">
        <f>'[1]links-p0'!H18</f>
        <v>3837</v>
      </c>
      <c r="X18" s="3">
        <f>'[1]links-p0'!O18</f>
        <v>0</v>
      </c>
    </row>
    <row r="19" spans="9:24">
      <c r="I19" s="51">
        <f>'[1]buses-marginal_price'!B19</f>
        <v>22</v>
      </c>
      <c r="J19" s="51">
        <f>'[1]generators-p'!B19</f>
        <v>12591.19372069</v>
      </c>
      <c r="K19" s="51">
        <f>'[1]generators-p'!C19</f>
        <v>15781.896243089581</v>
      </c>
      <c r="L19" s="61">
        <f>'[1]generators-p'!D19</f>
        <v>2462.66</v>
      </c>
      <c r="M19" s="51">
        <f>'[1]generators-p'!E19</f>
        <v>794.87977565351252</v>
      </c>
      <c r="N19" s="51">
        <f>'[1]generators-p'!F19</f>
        <v>0</v>
      </c>
      <c r="O19" s="51">
        <f>'[1]links-p0'!B19</f>
        <v>0</v>
      </c>
      <c r="P19" s="51">
        <f>'[1]links-p0'!C19</f>
        <v>0</v>
      </c>
      <c r="Q19" s="51">
        <f>'[1]links-p0'!D19</f>
        <v>10176.28639958006</v>
      </c>
      <c r="R19" s="56">
        <f>'[1]links-p0'!L19</f>
        <v>3500</v>
      </c>
      <c r="S19" s="51">
        <f>'[1]generators-p'!H19</f>
        <v>10720.650514679999</v>
      </c>
      <c r="T19" s="51">
        <f>'[1]generators-p'!I19</f>
        <v>3219.700516074</v>
      </c>
      <c r="U19" s="56">
        <f>'[1]generators-p'!J19</f>
        <v>367.01</v>
      </c>
      <c r="V19" s="57">
        <f>'[1]links-p0'!G19</f>
        <v>0</v>
      </c>
      <c r="W19" s="57">
        <f>'[1]links-p0'!H19</f>
        <v>3837</v>
      </c>
      <c r="X19" s="1">
        <f>'[1]links-p0'!O19</f>
        <v>5000</v>
      </c>
    </row>
    <row r="20" spans="9:24">
      <c r="I20" s="53">
        <f>'[1]buses-marginal_price'!B20</f>
        <v>22</v>
      </c>
      <c r="J20" s="53">
        <f>'[1]generators-p'!B20</f>
        <v>0.96953515000000012</v>
      </c>
      <c r="K20" s="53">
        <f>'[1]generators-p'!C20</f>
        <v>14593.714336832239</v>
      </c>
      <c r="L20" s="62">
        <f>'[1]generators-p'!D20</f>
        <v>2462.66</v>
      </c>
      <c r="M20" s="53">
        <f>'[1]generators-p'!E20</f>
        <v>794.87977565351252</v>
      </c>
      <c r="N20" s="53">
        <f>'[1]generators-p'!F20</f>
        <v>0</v>
      </c>
      <c r="O20" s="53">
        <f>'[1]links-p0'!B20</f>
        <v>0</v>
      </c>
      <c r="P20" s="53">
        <f>'[1]links-p0'!C20</f>
        <v>0</v>
      </c>
      <c r="Q20" s="53">
        <f>'[1]links-p0'!D20</f>
        <v>12079.91846148339</v>
      </c>
      <c r="R20" s="57">
        <f>'[1]links-p0'!L20</f>
        <v>3500</v>
      </c>
      <c r="S20" s="53">
        <f>'[1]generators-p'!H20</f>
        <v>133.68182972</v>
      </c>
      <c r="T20" s="53">
        <f>'[1]generators-p'!I20</f>
        <v>2775.7296274427999</v>
      </c>
      <c r="U20" s="57">
        <f>'[1]generators-p'!J20</f>
        <v>367.01</v>
      </c>
      <c r="V20" s="57">
        <f>'[1]links-p0'!G20</f>
        <v>3135</v>
      </c>
      <c r="W20" s="57">
        <f>'[1]links-p0'!H20</f>
        <v>0</v>
      </c>
      <c r="X20" s="1">
        <f>'[1]links-p0'!O20</f>
        <v>5000</v>
      </c>
    </row>
    <row r="21" spans="9:24">
      <c r="I21" s="53">
        <f>'[1]buses-marginal_price'!B21</f>
        <v>22</v>
      </c>
      <c r="J21" s="53">
        <f>'[1]generators-p'!B21</f>
        <v>0</v>
      </c>
      <c r="K21" s="53">
        <f>'[1]generators-p'!C21</f>
        <v>14223.344761290769</v>
      </c>
      <c r="L21" s="53">
        <f>'[1]generators-p'!D21</f>
        <v>156.22439499914981</v>
      </c>
      <c r="M21" s="53">
        <f>'[1]generators-p'!E21</f>
        <v>794.87977565351252</v>
      </c>
      <c r="N21" s="53">
        <f>'[1]generators-p'!F21</f>
        <v>0</v>
      </c>
      <c r="O21" s="53">
        <f>'[1]links-p0'!B21</f>
        <v>0</v>
      </c>
      <c r="P21" s="53">
        <f>'[1]links-p0'!C21</f>
        <v>0</v>
      </c>
      <c r="Q21" s="53">
        <f>'[1]links-p0'!D21</f>
        <v>10390.28826700733</v>
      </c>
      <c r="R21" s="57">
        <f>'[1]links-p0'!L21</f>
        <v>3500</v>
      </c>
      <c r="S21" s="53">
        <f>'[1]generators-p'!H21</f>
        <v>0</v>
      </c>
      <c r="T21" s="53">
        <f>'[1]generators-p'!I21</f>
        <v>2930.0067050687999</v>
      </c>
      <c r="U21" s="57">
        <f>'[1]generators-p'!J21</f>
        <v>367.01</v>
      </c>
      <c r="V21" s="57">
        <f>'[1]links-p0'!G21</f>
        <v>3135</v>
      </c>
      <c r="W21" s="57">
        <f>'[1]links-p0'!H21</f>
        <v>0</v>
      </c>
      <c r="X21" s="1">
        <f>'[1]links-p0'!O21</f>
        <v>5000</v>
      </c>
    </row>
    <row r="22" spans="9:24">
      <c r="I22" s="53">
        <f>'[1]buses-marginal_price'!B22</f>
        <v>22</v>
      </c>
      <c r="J22" s="53">
        <f>'[1]generators-p'!B22</f>
        <v>0</v>
      </c>
      <c r="K22" s="53">
        <f>'[1]generators-p'!C22</f>
        <v>14363.338713443911</v>
      </c>
      <c r="L22" s="53">
        <f>'[1]generators-p'!D22</f>
        <v>0</v>
      </c>
      <c r="M22" s="53">
        <f>'[1]generators-p'!E22</f>
        <v>794.87977565351252</v>
      </c>
      <c r="N22" s="53">
        <f>'[1]generators-p'!F22</f>
        <v>0</v>
      </c>
      <c r="O22" s="53">
        <f>'[1]links-p0'!B22</f>
        <v>0</v>
      </c>
      <c r="P22" s="53">
        <f>'[1]links-p0'!C22</f>
        <v>0</v>
      </c>
      <c r="Q22" s="53">
        <f>'[1]links-p0'!D22</f>
        <v>8675.5093644496847</v>
      </c>
      <c r="R22" s="57">
        <f>'[1]links-p0'!L22</f>
        <v>3500</v>
      </c>
      <c r="S22" s="53">
        <f>'[1]generators-p'!H22</f>
        <v>0</v>
      </c>
      <c r="T22" s="53">
        <f>'[1]generators-p'!I22</f>
        <v>3017.37030903</v>
      </c>
      <c r="U22" s="57">
        <f>'[1]generators-p'!J22</f>
        <v>367.01</v>
      </c>
      <c r="V22" s="57">
        <f>'[1]links-p0'!G22</f>
        <v>3135</v>
      </c>
      <c r="W22" s="57">
        <f>'[1]links-p0'!H22</f>
        <v>0</v>
      </c>
      <c r="X22" s="1">
        <f>'[1]links-p0'!O22</f>
        <v>5000</v>
      </c>
    </row>
    <row r="23" spans="9:24">
      <c r="I23" s="53">
        <f>'[1]buses-marginal_price'!B23</f>
        <v>22</v>
      </c>
      <c r="J23" s="53">
        <f>'[1]generators-p'!B23</f>
        <v>0</v>
      </c>
      <c r="K23" s="53">
        <f>'[1]generators-p'!C23</f>
        <v>14848.21623140177</v>
      </c>
      <c r="L23" s="53">
        <f>'[1]generators-p'!D23</f>
        <v>2462.66</v>
      </c>
      <c r="M23" s="53">
        <f>'[1]generators-p'!E23</f>
        <v>794.87977565351252</v>
      </c>
      <c r="N23" s="53">
        <f>'[1]generators-p'!F23</f>
        <v>0</v>
      </c>
      <c r="O23" s="53">
        <f>'[1]links-p0'!B23</f>
        <v>0</v>
      </c>
      <c r="P23" s="53">
        <f>'[1]links-p0'!C23</f>
        <v>0</v>
      </c>
      <c r="Q23" s="53">
        <f>'[1]links-p0'!D23</f>
        <v>6935.0240987242714</v>
      </c>
      <c r="R23" s="57">
        <f>'[1]links-p0'!L23</f>
        <v>3500</v>
      </c>
      <c r="S23" s="53">
        <f>'[1]generators-p'!H23</f>
        <v>0</v>
      </c>
      <c r="T23" s="53">
        <f>'[1]generators-p'!I23</f>
        <v>3529.174944078</v>
      </c>
      <c r="U23" s="57">
        <f>'[1]generators-p'!J23</f>
        <v>367.01</v>
      </c>
      <c r="V23" s="57">
        <f>'[1]links-p0'!G23</f>
        <v>3135</v>
      </c>
      <c r="W23" s="57">
        <f>'[1]links-p0'!H23</f>
        <v>0</v>
      </c>
      <c r="X23" s="1">
        <f>'[1]links-p0'!O23</f>
        <v>5000</v>
      </c>
    </row>
    <row r="24" spans="9:24">
      <c r="I24" s="53">
        <f>'[1]buses-marginal_price'!B24</f>
        <v>22</v>
      </c>
      <c r="J24" s="53">
        <f>'[1]generators-p'!B24</f>
        <v>0</v>
      </c>
      <c r="K24" s="53">
        <f>'[1]generators-p'!C24</f>
        <v>15875.142067911909</v>
      </c>
      <c r="L24" s="53">
        <f>'[1]generators-p'!D24</f>
        <v>2462.66</v>
      </c>
      <c r="M24" s="53">
        <f>'[1]generators-p'!E24</f>
        <v>794.87977565351252</v>
      </c>
      <c r="N24" s="53">
        <f>'[1]generators-p'!F24</f>
        <v>0</v>
      </c>
      <c r="O24" s="53">
        <f>'[1]links-p0'!B24</f>
        <v>0</v>
      </c>
      <c r="P24" s="53">
        <f>'[1]links-p0'!C24</f>
        <v>0</v>
      </c>
      <c r="Q24" s="53">
        <f>'[1]links-p0'!D24</f>
        <v>7878.632478134874</v>
      </c>
      <c r="R24" s="57">
        <f>'[1]links-p0'!L24</f>
        <v>3500</v>
      </c>
      <c r="S24" s="53">
        <f>'[1]generators-p'!H24</f>
        <v>0</v>
      </c>
      <c r="T24" s="53">
        <f>'[1]generators-p'!I24</f>
        <v>3613.019545699201</v>
      </c>
      <c r="U24" s="57">
        <f>'[1]generators-p'!J24</f>
        <v>367.01</v>
      </c>
      <c r="V24" s="57">
        <f>'[1]links-p0'!G24</f>
        <v>3135</v>
      </c>
      <c r="W24" s="57">
        <f>'[1]links-p0'!H24</f>
        <v>0</v>
      </c>
      <c r="X24" s="1">
        <f>'[1]links-p0'!O24</f>
        <v>5000</v>
      </c>
    </row>
    <row r="25" spans="9:24">
      <c r="I25" s="53">
        <f>'[1]buses-marginal_price'!B25</f>
        <v>22</v>
      </c>
      <c r="J25" s="53">
        <f>'[1]generators-p'!B25</f>
        <v>0</v>
      </c>
      <c r="K25" s="53">
        <f>'[1]generators-p'!C25</f>
        <v>16808.962166086068</v>
      </c>
      <c r="L25" s="53">
        <f>'[1]generators-p'!D25</f>
        <v>2462.66</v>
      </c>
      <c r="M25" s="53">
        <f>'[1]generators-p'!E25</f>
        <v>794.87977565351252</v>
      </c>
      <c r="N25" s="53">
        <f>'[1]generators-p'!F25</f>
        <v>0</v>
      </c>
      <c r="O25" s="53">
        <f>'[1]links-p0'!B25</f>
        <v>0</v>
      </c>
      <c r="P25" s="53">
        <f>'[1]links-p0'!C25</f>
        <v>0</v>
      </c>
      <c r="Q25" s="53">
        <f>'[1]links-p0'!D25</f>
        <v>9219.2639969455358</v>
      </c>
      <c r="R25" s="57">
        <f>'[1]links-p0'!L25</f>
        <v>3500</v>
      </c>
      <c r="S25" s="53">
        <f>'[1]generators-p'!H25</f>
        <v>0</v>
      </c>
      <c r="T25" s="53">
        <f>'[1]generators-p'!I25</f>
        <v>4030.974289641601</v>
      </c>
      <c r="U25" s="57">
        <f>'[1]generators-p'!J25</f>
        <v>367.01</v>
      </c>
      <c r="V25" s="57">
        <f>'[1]links-p0'!G25</f>
        <v>3135</v>
      </c>
      <c r="W25" s="57">
        <f>'[1]links-p0'!H25</f>
        <v>0</v>
      </c>
      <c r="X25" s="1">
        <f>'[1]links-p0'!O25</f>
        <v>5000</v>
      </c>
    </row>
    <row r="26" spans="9:24">
      <c r="I26" s="53">
        <f>'[1]buses-marginal_price'!B26</f>
        <v>22</v>
      </c>
      <c r="J26" s="53">
        <f>'[1]generators-p'!B26</f>
        <v>0</v>
      </c>
      <c r="K26" s="53">
        <f>'[1]generators-p'!C26</f>
        <v>17562.050500919151</v>
      </c>
      <c r="L26" s="53">
        <f>'[1]generators-p'!D26</f>
        <v>2462.66</v>
      </c>
      <c r="M26" s="53">
        <f>'[1]generators-p'!E26</f>
        <v>794.87977565351252</v>
      </c>
      <c r="N26" s="53">
        <f>'[1]generators-p'!F26</f>
        <v>0</v>
      </c>
      <c r="O26" s="53">
        <f>'[1]links-p0'!B26</f>
        <v>0</v>
      </c>
      <c r="P26" s="53">
        <f>'[1]links-p0'!C26</f>
        <v>0</v>
      </c>
      <c r="Q26" s="53">
        <f>'[1]links-p0'!D26</f>
        <v>10554.382983599229</v>
      </c>
      <c r="R26" s="57">
        <f>'[1]links-p0'!L26</f>
        <v>3500</v>
      </c>
      <c r="S26" s="53">
        <f>'[1]generators-p'!H26</f>
        <v>0</v>
      </c>
      <c r="T26" s="53">
        <f>'[1]generators-p'!I26</f>
        <v>4417.9863493500006</v>
      </c>
      <c r="U26" s="57">
        <f>'[1]generators-p'!J26</f>
        <v>367.01</v>
      </c>
      <c r="V26" s="57">
        <f>'[1]links-p0'!G26</f>
        <v>3135</v>
      </c>
      <c r="W26" s="57">
        <f>'[1]links-p0'!H26</f>
        <v>0</v>
      </c>
      <c r="X26" s="1">
        <f>'[1]links-p0'!O26</f>
        <v>5000</v>
      </c>
    </row>
    <row r="27" spans="9:24">
      <c r="I27" s="53">
        <f>'[1]buses-marginal_price'!B27</f>
        <v>22</v>
      </c>
      <c r="J27" s="53">
        <f>'[1]generators-p'!B27</f>
        <v>0</v>
      </c>
      <c r="K27" s="53">
        <f>'[1]generators-p'!C27</f>
        <v>16948.98696297015</v>
      </c>
      <c r="L27" s="53">
        <f>'[1]generators-p'!D27</f>
        <v>2462.66</v>
      </c>
      <c r="M27" s="53">
        <f>'[1]generators-p'!E27</f>
        <v>794.87977565351252</v>
      </c>
      <c r="N27" s="53">
        <f>'[1]generators-p'!F27</f>
        <v>0</v>
      </c>
      <c r="O27" s="53">
        <f>'[1]links-p0'!B27</f>
        <v>0</v>
      </c>
      <c r="P27" s="53">
        <f>'[1]links-p0'!C27</f>
        <v>0</v>
      </c>
      <c r="Q27" s="53">
        <f>'[1]links-p0'!D27</f>
        <v>12218.29702324264</v>
      </c>
      <c r="R27" s="57">
        <f>'[1]links-p0'!L27</f>
        <v>3500</v>
      </c>
      <c r="S27" s="53">
        <f>'[1]generators-p'!H27</f>
        <v>0</v>
      </c>
      <c r="T27" s="53">
        <f>'[1]generators-p'!I27</f>
        <v>5011.1712434448009</v>
      </c>
      <c r="U27" s="57">
        <f>'[1]generators-p'!J27</f>
        <v>367.01</v>
      </c>
      <c r="V27" s="57">
        <f>'[1]links-p0'!G27</f>
        <v>0</v>
      </c>
      <c r="W27" s="57">
        <f>'[1]links-p0'!H27</f>
        <v>0</v>
      </c>
      <c r="X27" s="1">
        <f>'[1]links-p0'!O27</f>
        <v>5000</v>
      </c>
    </row>
    <row r="28" spans="9:24">
      <c r="I28" s="53">
        <f>'[1]buses-marginal_price'!B28</f>
        <v>22</v>
      </c>
      <c r="J28" s="53">
        <f>'[1]generators-p'!B28</f>
        <v>0</v>
      </c>
      <c r="K28" s="53">
        <f>'[1]generators-p'!C28</f>
        <v>16083.628397510431</v>
      </c>
      <c r="L28" s="53">
        <f>'[1]generators-p'!D28</f>
        <v>2462.66</v>
      </c>
      <c r="M28" s="53">
        <f>'[1]generators-p'!E28</f>
        <v>794.87977565351252</v>
      </c>
      <c r="N28" s="53">
        <f>'[1]generators-p'!F28</f>
        <v>0</v>
      </c>
      <c r="O28" s="53">
        <f>'[1]links-p0'!B28</f>
        <v>18663.195870855769</v>
      </c>
      <c r="P28" s="53">
        <f>'[1]links-p0'!C28</f>
        <v>0</v>
      </c>
      <c r="Q28" s="53">
        <f>'[1]links-p0'!D28</f>
        <v>12734.55176977134</v>
      </c>
      <c r="R28" s="57">
        <f>'[1]links-p0'!L28</f>
        <v>3500</v>
      </c>
      <c r="S28" s="53">
        <f>'[1]generators-p'!H28</f>
        <v>0</v>
      </c>
      <c r="T28" s="53">
        <f>'[1]generators-p'!I28</f>
        <v>5295.9331615176006</v>
      </c>
      <c r="U28" s="57">
        <f>'[1]generators-p'!J28</f>
        <v>367.01</v>
      </c>
      <c r="V28" s="57">
        <f>'[1]links-p0'!G28</f>
        <v>3135</v>
      </c>
      <c r="W28" s="57">
        <f>'[1]links-p0'!H28</f>
        <v>0</v>
      </c>
      <c r="X28" s="1">
        <f>'[1]links-p0'!O28</f>
        <v>5000</v>
      </c>
    </row>
    <row r="29" spans="9:24">
      <c r="I29" s="53">
        <f>'[1]buses-marginal_price'!B29</f>
        <v>22</v>
      </c>
      <c r="J29" s="53">
        <f>'[1]generators-p'!B29</f>
        <v>0</v>
      </c>
      <c r="K29" s="53">
        <f>'[1]generators-p'!C29</f>
        <v>15063.22677239256</v>
      </c>
      <c r="L29" s="53">
        <f>'[1]generators-p'!D29</f>
        <v>2462.66</v>
      </c>
      <c r="M29" s="53">
        <f>'[1]generators-p'!E29</f>
        <v>794.87977565351252</v>
      </c>
      <c r="N29" s="53">
        <f>'[1]generators-p'!F29</f>
        <v>0</v>
      </c>
      <c r="O29" s="53">
        <f>'[1]links-p0'!B29</f>
        <v>17984.34924388232</v>
      </c>
      <c r="P29" s="53">
        <f>'[1]links-p0'!C29</f>
        <v>0</v>
      </c>
      <c r="Q29" s="53">
        <f>'[1]links-p0'!D29</f>
        <v>11498.13453300605</v>
      </c>
      <c r="R29" s="57">
        <f>'[1]links-p0'!L29</f>
        <v>3500</v>
      </c>
      <c r="S29" s="53">
        <f>'[1]generators-p'!H29</f>
        <v>0</v>
      </c>
      <c r="T29" s="53">
        <f>'[1]generators-p'!I29</f>
        <v>5266.6774103160014</v>
      </c>
      <c r="U29" s="57">
        <f>'[1]generators-p'!J29</f>
        <v>367.01</v>
      </c>
      <c r="V29" s="57">
        <f>'[1]links-p0'!G29</f>
        <v>0</v>
      </c>
      <c r="W29" s="57">
        <f>'[1]links-p0'!H29</f>
        <v>0</v>
      </c>
      <c r="X29" s="1">
        <f>'[1]links-p0'!O29</f>
        <v>5000</v>
      </c>
    </row>
    <row r="30" spans="9:24">
      <c r="I30" s="53">
        <f>'[1]buses-marginal_price'!B30</f>
        <v>22</v>
      </c>
      <c r="J30" s="53">
        <f>'[1]generators-p'!B30</f>
        <v>0</v>
      </c>
      <c r="K30" s="53">
        <f>'[1]generators-p'!C30</f>
        <v>14307.493685481089</v>
      </c>
      <c r="L30" s="53">
        <f>'[1]generators-p'!D30</f>
        <v>2462.66</v>
      </c>
      <c r="M30" s="53">
        <f>'[1]generators-p'!E30</f>
        <v>794.87977565351252</v>
      </c>
      <c r="N30" s="53">
        <f>'[1]generators-p'!F30</f>
        <v>0</v>
      </c>
      <c r="O30" s="53">
        <f>'[1]links-p0'!B30</f>
        <v>18325.78259964093</v>
      </c>
      <c r="P30" s="53">
        <f>'[1]links-p0'!C30</f>
        <v>0</v>
      </c>
      <c r="Q30" s="53">
        <f>'[1]links-p0'!D30</f>
        <v>10221.464606999391</v>
      </c>
      <c r="R30" s="57">
        <f>'[1]links-p0'!L30</f>
        <v>3500</v>
      </c>
      <c r="S30" s="53">
        <f>'[1]generators-p'!H30</f>
        <v>0</v>
      </c>
      <c r="T30" s="53">
        <f>'[1]generators-p'!I30</f>
        <v>5393.9203074540001</v>
      </c>
      <c r="U30" s="57">
        <f>'[1]generators-p'!J30</f>
        <v>367.01</v>
      </c>
      <c r="V30" s="57">
        <f>'[1]links-p0'!G30</f>
        <v>0</v>
      </c>
      <c r="W30" s="57">
        <f>'[1]links-p0'!H30</f>
        <v>0</v>
      </c>
      <c r="X30" s="1">
        <f>'[1]links-p0'!O30</f>
        <v>5000</v>
      </c>
    </row>
    <row r="31" spans="9:24">
      <c r="I31" s="53">
        <f>'[1]buses-marginal_price'!B31</f>
        <v>22</v>
      </c>
      <c r="J31" s="53">
        <f>'[1]generators-p'!B31</f>
        <v>0</v>
      </c>
      <c r="K31" s="53">
        <f>'[1]generators-p'!C31</f>
        <v>13599.38045674861</v>
      </c>
      <c r="L31" s="53">
        <f>'[1]generators-p'!D31</f>
        <v>2462.66</v>
      </c>
      <c r="M31" s="53">
        <f>'[1]generators-p'!E31</f>
        <v>794.87977565351252</v>
      </c>
      <c r="N31" s="53">
        <f>'[1]generators-p'!F31</f>
        <v>0</v>
      </c>
      <c r="O31" s="53">
        <f>'[1]links-p0'!B31</f>
        <v>10136.58796517365</v>
      </c>
      <c r="P31" s="53">
        <f>'[1]links-p0'!C31</f>
        <v>0</v>
      </c>
      <c r="Q31" s="53">
        <f>'[1]links-p0'!D31</f>
        <v>9101.8555154336009</v>
      </c>
      <c r="R31" s="57">
        <f>'[1]links-p0'!L31</f>
        <v>3500</v>
      </c>
      <c r="S31" s="53">
        <f>'[1]generators-p'!H31</f>
        <v>0</v>
      </c>
      <c r="T31" s="53">
        <f>'[1]generators-p'!I31</f>
        <v>4913.5340220876014</v>
      </c>
      <c r="U31" s="57">
        <f>'[1]generators-p'!J31</f>
        <v>367.01</v>
      </c>
      <c r="V31" s="57">
        <f>'[1]links-p0'!G31</f>
        <v>0</v>
      </c>
      <c r="W31" s="57">
        <f>'[1]links-p0'!H31</f>
        <v>0</v>
      </c>
      <c r="X31" s="1">
        <f>'[1]links-p0'!O31</f>
        <v>5000</v>
      </c>
    </row>
    <row r="32" spans="9:24">
      <c r="I32" s="53">
        <f>'[1]buses-marginal_price'!B32</f>
        <v>22</v>
      </c>
      <c r="J32" s="53">
        <f>'[1]generators-p'!B32</f>
        <v>0</v>
      </c>
      <c r="K32" s="53">
        <f>'[1]generators-p'!C32</f>
        <v>12281.728618574811</v>
      </c>
      <c r="L32" s="53">
        <f>'[1]generators-p'!D32</f>
        <v>2462.66</v>
      </c>
      <c r="M32" s="53">
        <f>'[1]generators-p'!E32</f>
        <v>794.87977565351252</v>
      </c>
      <c r="N32" s="53">
        <f>'[1]generators-p'!F32</f>
        <v>0</v>
      </c>
      <c r="O32" s="53">
        <f>'[1]links-p0'!B32</f>
        <v>25140.2664733333</v>
      </c>
      <c r="P32" s="53">
        <f>'[1]links-p0'!C32</f>
        <v>0</v>
      </c>
      <c r="Q32" s="53">
        <f>'[1]links-p0'!D32</f>
        <v>9540.0592955967877</v>
      </c>
      <c r="R32" s="57">
        <f>'[1]links-p0'!L32</f>
        <v>3500</v>
      </c>
      <c r="S32" s="53">
        <f>'[1]generators-p'!H32</f>
        <v>0</v>
      </c>
      <c r="T32" s="53">
        <f>'[1]generators-p'!I32</f>
        <v>4659.2965442520008</v>
      </c>
      <c r="U32" s="57">
        <f>'[1]generators-p'!J32</f>
        <v>367.01</v>
      </c>
      <c r="V32" s="57">
        <f>'[1]links-p0'!G32</f>
        <v>0</v>
      </c>
      <c r="W32" s="57">
        <f>'[1]links-p0'!H32</f>
        <v>0</v>
      </c>
      <c r="X32" s="1">
        <f>'[1]links-p0'!O32</f>
        <v>5000</v>
      </c>
    </row>
    <row r="33" spans="9:24">
      <c r="I33" s="53">
        <f>'[1]buses-marginal_price'!B33</f>
        <v>22</v>
      </c>
      <c r="J33" s="53">
        <f>'[1]generators-p'!B33</f>
        <v>0</v>
      </c>
      <c r="K33" s="53">
        <f>'[1]generators-p'!C33</f>
        <v>10580.61958356276</v>
      </c>
      <c r="L33" s="53">
        <f>'[1]generators-p'!D33</f>
        <v>2462.66</v>
      </c>
      <c r="M33" s="53">
        <f>'[1]generators-p'!E33</f>
        <v>794.87977565351252</v>
      </c>
      <c r="N33" s="53">
        <f>'[1]generators-p'!F33</f>
        <v>0</v>
      </c>
      <c r="O33" s="53">
        <f>'[1]links-p0'!B33</f>
        <v>25140.2664733333</v>
      </c>
      <c r="P33" s="53">
        <f>'[1]links-p0'!C33</f>
        <v>0</v>
      </c>
      <c r="Q33" s="53">
        <f>'[1]links-p0'!D33</f>
        <v>11524.78677847875</v>
      </c>
      <c r="R33" s="57">
        <f>'[1]links-p0'!L33</f>
        <v>3500</v>
      </c>
      <c r="S33" s="53">
        <f>'[1]generators-p'!H33</f>
        <v>0</v>
      </c>
      <c r="T33" s="53">
        <f>'[1]generators-p'!I33</f>
        <v>4695.0203343456014</v>
      </c>
      <c r="U33" s="57">
        <f>'[1]generators-p'!J33</f>
        <v>367.01</v>
      </c>
      <c r="V33" s="57">
        <f>'[1]links-p0'!G33</f>
        <v>3135</v>
      </c>
      <c r="W33" s="57">
        <f>'[1]links-p0'!H33</f>
        <v>0</v>
      </c>
      <c r="X33" s="1">
        <f>'[1]links-p0'!O33</f>
        <v>5000</v>
      </c>
    </row>
    <row r="34" spans="9:24">
      <c r="I34" s="53">
        <f>'[1]buses-marginal_price'!B34</f>
        <v>22</v>
      </c>
      <c r="J34" s="53">
        <f>'[1]generators-p'!B34</f>
        <v>934.59348017000002</v>
      </c>
      <c r="K34" s="53">
        <f>'[1]generators-p'!C34</f>
        <v>10413.82697641188</v>
      </c>
      <c r="L34" s="53">
        <f>'[1]generators-p'!D34</f>
        <v>2462.66</v>
      </c>
      <c r="M34" s="53">
        <f>'[1]generators-p'!E34</f>
        <v>794.87977565351252</v>
      </c>
      <c r="N34" s="53">
        <f>'[1]generators-p'!F34</f>
        <v>0</v>
      </c>
      <c r="O34" s="53">
        <f>'[1]links-p0'!B34</f>
        <v>25140.2664733333</v>
      </c>
      <c r="P34" s="53">
        <f>'[1]links-p0'!C34</f>
        <v>0</v>
      </c>
      <c r="Q34" s="53">
        <f>'[1]links-p0'!D34</f>
        <v>13019.625665803889</v>
      </c>
      <c r="R34" s="57">
        <f>'[1]links-p0'!L34</f>
        <v>3500</v>
      </c>
      <c r="S34" s="53">
        <f>'[1]generators-p'!H34</f>
        <v>0.91376827999999999</v>
      </c>
      <c r="T34" s="53">
        <f>'[1]generators-p'!I34</f>
        <v>4994.2658839752012</v>
      </c>
      <c r="U34" s="57">
        <f>'[1]generators-p'!J34</f>
        <v>367.01</v>
      </c>
      <c r="V34" s="57">
        <f>'[1]links-p0'!G34</f>
        <v>3135</v>
      </c>
      <c r="W34" s="57">
        <f>'[1]links-p0'!H34</f>
        <v>0</v>
      </c>
      <c r="X34" s="1">
        <f>'[1]links-p0'!O34</f>
        <v>5000</v>
      </c>
    </row>
    <row r="35" spans="9:24">
      <c r="I35" s="22">
        <f>'[1]buses-marginal_price'!B35</f>
        <v>22</v>
      </c>
      <c r="J35" s="22">
        <f>'[1]generators-p'!B35</f>
        <v>25897.408658640001</v>
      </c>
      <c r="K35" s="22">
        <f>'[1]generators-p'!C35</f>
        <v>9460.1706868510191</v>
      </c>
      <c r="L35" s="22">
        <f>'[1]generators-p'!D35</f>
        <v>2462.66</v>
      </c>
      <c r="M35" s="22">
        <f>'[1]generators-p'!E35</f>
        <v>794.87977565351252</v>
      </c>
      <c r="N35" s="22">
        <f>'[1]generators-p'!F35</f>
        <v>0</v>
      </c>
      <c r="O35" s="22">
        <f>'[1]links-p0'!B35</f>
        <v>6494.8939973451079</v>
      </c>
      <c r="P35" s="22">
        <f>'[1]links-p0'!C35</f>
        <v>0</v>
      </c>
      <c r="Q35" s="22">
        <f>'[1]links-p0'!D35</f>
        <v>9945.6923388878695</v>
      </c>
      <c r="R35" s="3">
        <f>'[1]links-p0'!L35</f>
        <v>3500</v>
      </c>
      <c r="S35" s="22">
        <f>'[1]generators-p'!H35</f>
        <v>6370.3973051200001</v>
      </c>
      <c r="T35" s="22">
        <f>'[1]generators-p'!I35</f>
        <v>5573.3554582776014</v>
      </c>
      <c r="U35" s="3">
        <f>'[1]generators-p'!J35</f>
        <v>367.01</v>
      </c>
      <c r="V35" s="57">
        <f>'[1]links-p0'!G35</f>
        <v>0</v>
      </c>
      <c r="W35" s="57">
        <f>'[1]links-p0'!H35</f>
        <v>2318.8537633976011</v>
      </c>
      <c r="X35" s="1">
        <f>'[1]links-p0'!O35</f>
        <v>5000</v>
      </c>
    </row>
    <row r="36" spans="9:24">
      <c r="I36" s="51">
        <f>'[1]buses-marginal_price'!B36</f>
        <v>0.1</v>
      </c>
      <c r="J36" s="51">
        <f>'[1]generators-p'!B36</f>
        <v>65304.680580679997</v>
      </c>
      <c r="K36" s="51">
        <f>'[1]generators-p'!C36</f>
        <v>7941.8884700892058</v>
      </c>
      <c r="L36" s="51">
        <f>'[1]generators-p'!D36</f>
        <v>0</v>
      </c>
      <c r="M36" s="51">
        <f>'[1]generators-p'!E36</f>
        <v>794.87977565351252</v>
      </c>
      <c r="N36" s="51">
        <f>'[1]generators-p'!F36</f>
        <v>0</v>
      </c>
      <c r="O36" s="51">
        <f>'[1]links-p0'!B36</f>
        <v>0</v>
      </c>
      <c r="P36" s="51">
        <f>'[1]links-p0'!C36</f>
        <v>13320.750632965201</v>
      </c>
      <c r="Q36" s="51">
        <f>'[1]links-p0'!D36</f>
        <v>9789.8582310057827</v>
      </c>
      <c r="R36" s="56">
        <f>'[1]links-p0'!L36</f>
        <v>0</v>
      </c>
      <c r="S36" s="51">
        <f>'[1]generators-p'!H36</f>
        <v>4521.7846964708006</v>
      </c>
      <c r="T36" s="51">
        <f>'[1]generators-p'!I36</f>
        <v>5329.3893035292003</v>
      </c>
      <c r="U36" s="56"/>
      <c r="V36" s="56">
        <f>'[1]links-p0'!G36</f>
        <v>0</v>
      </c>
      <c r="W36" s="56">
        <f>'[1]links-p0'!H36</f>
        <v>3837</v>
      </c>
      <c r="X36" s="56">
        <f>'[1]links-p0'!O36</f>
        <v>0</v>
      </c>
    </row>
    <row r="37" spans="9:24">
      <c r="I37" s="53">
        <f>'[1]buses-marginal_price'!B37</f>
        <v>0.1</v>
      </c>
      <c r="J37" s="53">
        <f>'[1]generators-p'!B37</f>
        <v>89284.034880100007</v>
      </c>
      <c r="K37" s="53">
        <f>'[1]generators-p'!C37</f>
        <v>7497.5158672407233</v>
      </c>
      <c r="L37" s="53">
        <f>'[1]generators-p'!D37</f>
        <v>0</v>
      </c>
      <c r="M37" s="53">
        <f>'[1]generators-p'!E37</f>
        <v>794.87977565351252</v>
      </c>
      <c r="N37" s="53">
        <f>'[1]generators-p'!F37</f>
        <v>0</v>
      </c>
      <c r="O37" s="53">
        <f>'[1]links-p0'!B37</f>
        <v>0</v>
      </c>
      <c r="P37" s="53">
        <f>'[1]links-p0'!C37</f>
        <v>13320.750632965201</v>
      </c>
      <c r="Q37" s="53">
        <f>'[1]links-p0'!D37</f>
        <v>5589.3177388221084</v>
      </c>
      <c r="R37" s="57">
        <f>'[1]links-p0'!L37</f>
        <v>0</v>
      </c>
      <c r="S37" s="53">
        <f>'[1]generators-p'!H37</f>
        <v>10296.91</v>
      </c>
      <c r="T37" s="53">
        <f>'[1]generators-p'!I37</f>
        <v>0</v>
      </c>
      <c r="U37" s="57"/>
      <c r="V37" s="57">
        <f>'[1]links-p0'!G37</f>
        <v>0</v>
      </c>
      <c r="W37" s="57">
        <f>'[1]links-p0'!H37</f>
        <v>3837</v>
      </c>
      <c r="X37" s="57">
        <f>'[1]links-p0'!O37</f>
        <v>0</v>
      </c>
    </row>
    <row r="38" spans="9:24">
      <c r="I38" s="22">
        <f>'[1]buses-marginal_price'!B38</f>
        <v>0.1</v>
      </c>
      <c r="J38" s="22">
        <f>'[1]generators-p'!B38</f>
        <v>102827.70323068999</v>
      </c>
      <c r="K38" s="22">
        <f>'[1]generators-p'!C38</f>
        <v>8021.6047494042296</v>
      </c>
      <c r="L38" s="22">
        <f>'[1]generators-p'!D38</f>
        <v>0</v>
      </c>
      <c r="M38" s="22">
        <f>'[1]generators-p'!E38</f>
        <v>794.87977565351252</v>
      </c>
      <c r="N38" s="22">
        <f>'[1]generators-p'!F38</f>
        <v>1944.247974535087</v>
      </c>
      <c r="O38" s="22">
        <f>'[1]links-p0'!B38</f>
        <v>0</v>
      </c>
      <c r="P38" s="22">
        <f>'[1]links-p0'!C38</f>
        <v>13320.750632965201</v>
      </c>
      <c r="Q38" s="22">
        <f>'[1]links-p0'!D38</f>
        <v>5166.2667644523808</v>
      </c>
      <c r="R38" s="3">
        <f>'[1]links-p0'!L38</f>
        <v>0</v>
      </c>
      <c r="S38" s="22">
        <f>'[1]generators-p'!H38</f>
        <v>10349.374</v>
      </c>
      <c r="T38" s="22">
        <f>'[1]generators-p'!I38</f>
        <v>0</v>
      </c>
      <c r="U38" s="3"/>
      <c r="V38" s="3">
        <f>'[1]links-p0'!G38</f>
        <v>0</v>
      </c>
      <c r="W38" s="3">
        <f>'[1]links-p0'!H38</f>
        <v>3837</v>
      </c>
      <c r="X38" s="3">
        <f>'[1]links-p0'!O38</f>
        <v>0</v>
      </c>
    </row>
    <row r="39" spans="9:24">
      <c r="I39" s="64">
        <f>'[1]buses-marginal_price'!B39</f>
        <v>0.06</v>
      </c>
      <c r="J39" s="64">
        <f>'[1]generators-p'!B39</f>
        <v>106708.54557056</v>
      </c>
      <c r="K39" s="64">
        <f>'[1]generators-p'!C39</f>
        <v>8207.2718532950585</v>
      </c>
      <c r="L39" s="64">
        <f>'[1]generators-p'!D39</f>
        <v>0</v>
      </c>
      <c r="M39" s="64">
        <f>'[1]generators-p'!E39</f>
        <v>794.87977565351252</v>
      </c>
      <c r="N39" s="64">
        <f>'[1]generators-p'!F39</f>
        <v>2608.5980359131481</v>
      </c>
      <c r="O39" s="64">
        <f>'[1]links-p0'!B39</f>
        <v>0</v>
      </c>
      <c r="P39" s="64">
        <f>'[1]links-p0'!C39</f>
        <v>13320.750632965201</v>
      </c>
      <c r="Q39" s="64">
        <f>'[1]links-p0'!D39</f>
        <v>4651.6656024565164</v>
      </c>
      <c r="R39" s="65">
        <f>'[1]links-p0'!L39</f>
        <v>0</v>
      </c>
      <c r="S39" s="64">
        <f>'[1]generators-p'!H39</f>
        <v>10074.08</v>
      </c>
      <c r="T39" s="64">
        <f>'[1]generators-p'!I39</f>
        <v>0</v>
      </c>
      <c r="U39" s="65"/>
      <c r="V39" s="65">
        <f>'[1]links-p0'!G39</f>
        <v>0</v>
      </c>
      <c r="W39" s="65">
        <f>'[1]links-p0'!H39</f>
        <v>3837</v>
      </c>
      <c r="X39" s="65">
        <f>'[1]links-p0'!O39</f>
        <v>0</v>
      </c>
    </row>
    <row r="40" spans="9:24">
      <c r="I40" s="20">
        <f>'[1]buses-marginal_price'!B40</f>
        <v>0.1</v>
      </c>
      <c r="J40" s="20">
        <f>'[1]generators-p'!B40</f>
        <v>102270.32866443</v>
      </c>
      <c r="K40" s="20">
        <f>'[1]generators-p'!C40</f>
        <v>7701.0753018705727</v>
      </c>
      <c r="L40" s="20">
        <f>'[1]generators-p'!D40</f>
        <v>0</v>
      </c>
      <c r="M40" s="20">
        <f>'[1]generators-p'!E40</f>
        <v>794.87977565351252</v>
      </c>
      <c r="N40" s="20">
        <f>'[1]generators-p'!F40</f>
        <v>1788.0104960417909</v>
      </c>
      <c r="O40" s="20">
        <f>'[1]links-p0'!B40</f>
        <v>0</v>
      </c>
      <c r="P40" s="20">
        <f>'[1]links-p0'!C40</f>
        <v>13320.750632965201</v>
      </c>
      <c r="Q40" s="20">
        <f>'[1]links-p0'!D40</f>
        <v>3144.409616242855</v>
      </c>
      <c r="R40" s="1">
        <f>'[1]links-p0'!L40</f>
        <v>1751.833555632868</v>
      </c>
      <c r="S40" s="20">
        <f>'[1]generators-p'!H40</f>
        <v>11768.21955563287</v>
      </c>
      <c r="T40" s="20">
        <f>'[1]generators-p'!I40</f>
        <v>0</v>
      </c>
      <c r="V40" s="1">
        <f>'[1]links-p0'!G40</f>
        <v>0</v>
      </c>
      <c r="W40" s="1">
        <f>'[1]links-p0'!H40</f>
        <v>3837</v>
      </c>
      <c r="X40" s="1">
        <f>'[1]links-p0'!O40</f>
        <v>0</v>
      </c>
    </row>
    <row r="41" spans="9:24">
      <c r="I41" s="20">
        <f>'[1]buses-marginal_price'!B41</f>
        <v>0.1</v>
      </c>
      <c r="J41" s="20">
        <f>'[1]generators-p'!B41</f>
        <v>86801.982486299996</v>
      </c>
      <c r="K41" s="20">
        <f>'[1]generators-p'!C41</f>
        <v>7208.4567662448699</v>
      </c>
      <c r="L41" s="20">
        <f>'[1]generators-p'!D41</f>
        <v>0</v>
      </c>
      <c r="M41" s="20">
        <f>'[1]generators-p'!E41</f>
        <v>794.87977565351252</v>
      </c>
      <c r="N41" s="20">
        <f>'[1]generators-p'!F41</f>
        <v>0</v>
      </c>
      <c r="O41" s="20">
        <f>'[1]links-p0'!B41</f>
        <v>0</v>
      </c>
      <c r="P41" s="20">
        <f>'[1]links-p0'!C41</f>
        <v>13320.750632965201</v>
      </c>
      <c r="Q41" s="20">
        <f>'[1]links-p0'!D41</f>
        <v>3608.5727195416471</v>
      </c>
      <c r="R41" s="1">
        <f>'[1]links-p0'!L41</f>
        <v>0</v>
      </c>
      <c r="S41" s="20">
        <f>'[1]generators-p'!H41</f>
        <v>10031.556</v>
      </c>
      <c r="T41" s="20">
        <f>'[1]generators-p'!I41</f>
        <v>0</v>
      </c>
      <c r="V41" s="1">
        <f>'[1]links-p0'!G41</f>
        <v>0</v>
      </c>
      <c r="W41" s="1">
        <f>'[1]links-p0'!H41</f>
        <v>3837</v>
      </c>
      <c r="X41" s="1">
        <f>'[1]links-p0'!O41</f>
        <v>3682.2798601</v>
      </c>
    </row>
    <row r="42" spans="9:24">
      <c r="I42" s="20">
        <f>'[1]buses-marginal_price'!B42</f>
        <v>0.1</v>
      </c>
      <c r="J42" s="20">
        <f>'[1]generators-p'!B42</f>
        <v>56153.48521911</v>
      </c>
      <c r="K42" s="20">
        <f>'[1]generators-p'!C42</f>
        <v>6674.4703974418626</v>
      </c>
      <c r="L42" s="20">
        <f>'[1]generators-p'!D42</f>
        <v>0</v>
      </c>
      <c r="M42" s="20">
        <f>'[1]generators-p'!E42</f>
        <v>794.87977565351252</v>
      </c>
      <c r="N42" s="20">
        <f>'[1]generators-p'!F42</f>
        <v>0</v>
      </c>
      <c r="O42" s="20">
        <f>'[1]links-p0'!B42</f>
        <v>0</v>
      </c>
      <c r="P42" s="20">
        <f>'[1]links-p0'!C42</f>
        <v>13320.750632965201</v>
      </c>
      <c r="Q42" s="20">
        <f>'[1]links-p0'!D42</f>
        <v>8373.0664183294666</v>
      </c>
      <c r="R42" s="1">
        <f>'[1]links-p0'!L42</f>
        <v>3500</v>
      </c>
      <c r="S42" s="20">
        <f>'[1]generators-p'!H42</f>
        <v>13762.319</v>
      </c>
      <c r="T42" s="20">
        <f>'[1]generators-p'!I42</f>
        <v>0</v>
      </c>
      <c r="U42" s="1">
        <f>'[1]generators-p'!J42</f>
        <v>0</v>
      </c>
      <c r="V42" s="1">
        <f>'[1]links-p0'!G42</f>
        <v>0</v>
      </c>
      <c r="W42" s="1">
        <f>'[1]links-p0'!H42</f>
        <v>3837</v>
      </c>
      <c r="X42" s="1">
        <f>'[1]links-p0'!O42</f>
        <v>5000</v>
      </c>
    </row>
    <row r="43" spans="9:24">
      <c r="I43" s="51">
        <f>'[1]buses-marginal_price'!B43</f>
        <v>22</v>
      </c>
      <c r="J43" s="51">
        <f>'[1]generators-p'!B43</f>
        <v>13159.578224445</v>
      </c>
      <c r="K43" s="51">
        <f>'[1]generators-p'!C43</f>
        <v>6746.0583557562222</v>
      </c>
      <c r="L43" s="61">
        <f>'[1]generators-p'!D43</f>
        <v>2462.66</v>
      </c>
      <c r="M43" s="51">
        <f>'[1]generators-p'!E43</f>
        <v>794.87977565351252</v>
      </c>
      <c r="N43" s="51">
        <f>'[1]generators-p'!F43</f>
        <v>0</v>
      </c>
      <c r="O43" s="51">
        <f>'[1]links-p0'!B43</f>
        <v>0</v>
      </c>
      <c r="P43" s="51">
        <f>'[1]links-p0'!C43</f>
        <v>0</v>
      </c>
      <c r="Q43" s="51">
        <f>'[1]links-p0'!D43</f>
        <v>9333.7597356054957</v>
      </c>
      <c r="R43" s="56">
        <f>'[1]links-p0'!L43</f>
        <v>3500</v>
      </c>
      <c r="S43" s="51">
        <f>'[1]generators-p'!H43</f>
        <v>11084.4549656401</v>
      </c>
      <c r="T43" s="51">
        <f>'[1]generators-p'!I43</f>
        <v>6664.5902662668004</v>
      </c>
      <c r="U43" s="56">
        <f>'[1]generators-p'!J43</f>
        <v>367.01</v>
      </c>
      <c r="V43" s="56">
        <f>'[1]links-p0'!G43</f>
        <v>0</v>
      </c>
      <c r="W43" s="56">
        <f>'[1]links-p0'!H43</f>
        <v>3837</v>
      </c>
      <c r="X43" s="56">
        <f>'[1]links-p0'!O43</f>
        <v>5000</v>
      </c>
    </row>
    <row r="44" spans="9:24">
      <c r="I44" s="53">
        <f>'[1]buses-marginal_price'!B44</f>
        <v>22</v>
      </c>
      <c r="J44" s="53">
        <f>'[1]generators-p'!B44</f>
        <v>1.9437825</v>
      </c>
      <c r="K44" s="53">
        <f>'[1]generators-p'!C44</f>
        <v>10613.07732868978</v>
      </c>
      <c r="L44" s="53">
        <f>'[1]generators-p'!D44</f>
        <v>0</v>
      </c>
      <c r="M44" s="53">
        <f>'[1]generators-p'!E44</f>
        <v>794.87977565351252</v>
      </c>
      <c r="N44" s="53">
        <f>'[1]generators-p'!F44</f>
        <v>0</v>
      </c>
      <c r="O44" s="53">
        <f>'[1]links-p0'!B44</f>
        <v>0</v>
      </c>
      <c r="P44" s="53">
        <f>'[1]links-p0'!C44</f>
        <v>0</v>
      </c>
      <c r="Q44" s="53">
        <f>'[1]links-p0'!D44</f>
        <v>10251.91949607515</v>
      </c>
      <c r="R44" s="57">
        <f>'[1]links-p0'!L44</f>
        <v>3500</v>
      </c>
      <c r="S44" s="53">
        <f>'[1]generators-p'!H44</f>
        <v>189.52048056000001</v>
      </c>
      <c r="T44" s="53">
        <f>'[1]generators-p'!I44</f>
        <v>8551.2635072424</v>
      </c>
      <c r="U44" s="57">
        <f>'[1]generators-p'!J44</f>
        <v>367.01</v>
      </c>
      <c r="V44" s="57">
        <f>'[1]links-p0'!G44</f>
        <v>0</v>
      </c>
      <c r="W44" s="57">
        <f>'[1]links-p0'!H44</f>
        <v>0</v>
      </c>
      <c r="X44" s="57">
        <f>'[1]links-p0'!O44</f>
        <v>5000</v>
      </c>
    </row>
    <row r="45" spans="9:24">
      <c r="I45" s="53">
        <f>'[1]buses-marginal_price'!B45</f>
        <v>22</v>
      </c>
      <c r="J45" s="53">
        <f>'[1]generators-p'!B45</f>
        <v>0</v>
      </c>
      <c r="K45" s="53">
        <f>'[1]generators-p'!C45</f>
        <v>12693.764835624561</v>
      </c>
      <c r="L45" s="62">
        <f>'[1]generators-p'!D45</f>
        <v>2462.66</v>
      </c>
      <c r="M45" s="53">
        <f>'[1]generators-p'!E45</f>
        <v>794.87977565351252</v>
      </c>
      <c r="N45" s="53">
        <f>'[1]generators-p'!F45</f>
        <v>0</v>
      </c>
      <c r="O45" s="53">
        <f>'[1]links-p0'!B45</f>
        <v>0</v>
      </c>
      <c r="P45" s="53">
        <f>'[1]links-p0'!C45</f>
        <v>0</v>
      </c>
      <c r="Q45" s="53">
        <f>'[1]links-p0'!D45</f>
        <v>10169.16144038249</v>
      </c>
      <c r="R45" s="57">
        <f>'[1]links-p0'!L45</f>
        <v>3500</v>
      </c>
      <c r="S45" s="53">
        <f>'[1]generators-p'!H45</f>
        <v>0</v>
      </c>
      <c r="T45" s="53">
        <f>'[1]generators-p'!I45</f>
        <v>9698.2827129720008</v>
      </c>
      <c r="U45" s="57">
        <f>'[1]generators-p'!J45</f>
        <v>367.01</v>
      </c>
      <c r="V45" s="57">
        <f>'[1]links-p0'!G45</f>
        <v>0</v>
      </c>
      <c r="W45" s="57">
        <f>'[1]links-p0'!H45</f>
        <v>0</v>
      </c>
      <c r="X45" s="57">
        <f>'[1]links-p0'!O45</f>
        <v>5000</v>
      </c>
    </row>
    <row r="46" spans="9:24">
      <c r="I46" s="53">
        <f>'[1]buses-marginal_price'!B46</f>
        <v>22</v>
      </c>
      <c r="J46" s="53">
        <f>'[1]generators-p'!B46</f>
        <v>0</v>
      </c>
      <c r="K46" s="53">
        <f>'[1]generators-p'!C46</f>
        <v>11990.67975703404</v>
      </c>
      <c r="L46" s="62">
        <f>'[1]generators-p'!D46</f>
        <v>2462.66</v>
      </c>
      <c r="M46" s="53">
        <f>'[1]generators-p'!E46</f>
        <v>794.87977565351252</v>
      </c>
      <c r="N46" s="53">
        <f>'[1]generators-p'!F46</f>
        <v>0</v>
      </c>
      <c r="O46" s="53">
        <f>'[1]links-p0'!B46</f>
        <v>0</v>
      </c>
      <c r="P46" s="53">
        <f>'[1]links-p0'!C46</f>
        <v>0</v>
      </c>
      <c r="Q46" s="53">
        <f>'[1]links-p0'!D46</f>
        <v>6428.7480692471781</v>
      </c>
      <c r="R46" s="57">
        <f>'[1]links-p0'!L46</f>
        <v>3500</v>
      </c>
      <c r="S46" s="53">
        <f>'[1]generators-p'!H46</f>
        <v>0</v>
      </c>
      <c r="T46" s="53">
        <f>'[1]generators-p'!I46</f>
        <v>10019.9552373396</v>
      </c>
      <c r="U46" s="57">
        <f>'[1]generators-p'!J46</f>
        <v>367.01</v>
      </c>
      <c r="V46" s="57">
        <f>'[1]links-p0'!G46</f>
        <v>0</v>
      </c>
      <c r="W46" s="57">
        <f>'[1]links-p0'!H46</f>
        <v>0</v>
      </c>
      <c r="X46" s="57">
        <f>'[1]links-p0'!O46</f>
        <v>5000</v>
      </c>
    </row>
    <row r="47" spans="9:24">
      <c r="I47" s="53">
        <f>'[1]buses-marginal_price'!B47</f>
        <v>22</v>
      </c>
      <c r="J47" s="53">
        <f>'[1]generators-p'!B47</f>
        <v>0</v>
      </c>
      <c r="K47" s="53">
        <f>'[1]generators-p'!C47</f>
        <v>10467.98876334349</v>
      </c>
      <c r="L47" s="62">
        <f>'[1]generators-p'!D47</f>
        <v>2462.66</v>
      </c>
      <c r="M47" s="53">
        <f>'[1]generators-p'!E47</f>
        <v>794.87977565351252</v>
      </c>
      <c r="N47" s="53">
        <f>'[1]generators-p'!F47</f>
        <v>0</v>
      </c>
      <c r="O47" s="53">
        <f>'[1]links-p0'!B47</f>
        <v>0</v>
      </c>
      <c r="P47" s="53">
        <f>'[1]links-p0'!C47</f>
        <v>0</v>
      </c>
      <c r="Q47" s="53">
        <f>'[1]links-p0'!D47</f>
        <v>6111.3766429255093</v>
      </c>
      <c r="R47" s="57">
        <f>'[1]links-p0'!L47</f>
        <v>3500</v>
      </c>
      <c r="S47" s="53">
        <f>'[1]generators-p'!H47</f>
        <v>0</v>
      </c>
      <c r="T47" s="53">
        <f>'[1]generators-p'!I47</f>
        <v>10477.3865807772</v>
      </c>
      <c r="U47" s="57">
        <f>'[1]generators-p'!J47</f>
        <v>367.01</v>
      </c>
      <c r="V47" s="57">
        <f>'[1]links-p0'!G47</f>
        <v>0</v>
      </c>
      <c r="W47" s="57">
        <f>'[1]links-p0'!H47</f>
        <v>503.87658077719948</v>
      </c>
      <c r="X47" s="57">
        <f>'[1]links-p0'!O47</f>
        <v>5000</v>
      </c>
    </row>
    <row r="48" spans="9:24">
      <c r="I48" s="53">
        <f>'[1]buses-marginal_price'!B48</f>
        <v>22</v>
      </c>
      <c r="J48" s="53">
        <f>'[1]generators-p'!B48</f>
        <v>0</v>
      </c>
      <c r="K48" s="53">
        <f>'[1]generators-p'!C48</f>
        <v>9858.8226774680825</v>
      </c>
      <c r="L48" s="53">
        <f>'[1]generators-p'!D48</f>
        <v>0</v>
      </c>
      <c r="M48" s="53">
        <f>'[1]generators-p'!E48</f>
        <v>794.87977565351252</v>
      </c>
      <c r="N48" s="53">
        <f>'[1]generators-p'!F48</f>
        <v>0</v>
      </c>
      <c r="O48" s="53">
        <f>'[1]links-p0'!B48</f>
        <v>0</v>
      </c>
      <c r="P48" s="53">
        <f>'[1]links-p0'!C48</f>
        <v>0</v>
      </c>
      <c r="Q48" s="53">
        <f>'[1]links-p0'!D48</f>
        <v>5989.8313105900024</v>
      </c>
      <c r="R48" s="57">
        <f>'[1]links-p0'!L48</f>
        <v>3500</v>
      </c>
      <c r="S48" s="53">
        <f>'[1]generators-p'!H48</f>
        <v>0</v>
      </c>
      <c r="T48" s="53">
        <f>'[1]generators-p'!I48</f>
        <v>11513.8049131728</v>
      </c>
      <c r="U48" s="57">
        <f>'[1]generators-p'!J48</f>
        <v>367.01</v>
      </c>
      <c r="V48" s="57">
        <f>'[1]links-p0'!G48</f>
        <v>0</v>
      </c>
      <c r="W48" s="57">
        <f>'[1]links-p0'!H48</f>
        <v>1435.1359131728</v>
      </c>
      <c r="X48" s="57">
        <f>'[1]links-p0'!O48</f>
        <v>5000</v>
      </c>
    </row>
    <row r="49" spans="9:24">
      <c r="I49" s="53">
        <f>'[1]buses-marginal_price'!B49</f>
        <v>22</v>
      </c>
      <c r="J49" s="53">
        <f>'[1]generators-p'!B49</f>
        <v>0</v>
      </c>
      <c r="K49" s="53">
        <f>'[1]generators-p'!C49</f>
        <v>9494.3897946343404</v>
      </c>
      <c r="L49" s="53">
        <f>'[1]generators-p'!D49</f>
        <v>0</v>
      </c>
      <c r="M49" s="53">
        <f>'[1]generators-p'!E49</f>
        <v>794.87977565351252</v>
      </c>
      <c r="N49" s="53">
        <f>'[1]generators-p'!F49</f>
        <v>0</v>
      </c>
      <c r="O49" s="53">
        <f>'[1]links-p0'!B49</f>
        <v>12538.080902538421</v>
      </c>
      <c r="P49" s="53">
        <f>'[1]links-p0'!C49</f>
        <v>0</v>
      </c>
      <c r="Q49" s="53">
        <f>'[1]links-p0'!D49</f>
        <v>5879.1557739473374</v>
      </c>
      <c r="R49" s="57">
        <f>'[1]links-p0'!L49</f>
        <v>3500</v>
      </c>
      <c r="S49" s="53">
        <f>'[1]generators-p'!H49</f>
        <v>0</v>
      </c>
      <c r="T49" s="53">
        <f>'[1]generators-p'!I49</f>
        <v>11889.577472724</v>
      </c>
      <c r="U49" s="57">
        <f>'[1]generators-p'!J49</f>
        <v>367.01</v>
      </c>
      <c r="V49" s="57">
        <f>'[1]links-p0'!G49</f>
        <v>0</v>
      </c>
      <c r="W49" s="57">
        <f>'[1]links-p0'!H49</f>
        <v>2316.531472724002</v>
      </c>
      <c r="X49" s="57">
        <f>'[1]links-p0'!O49</f>
        <v>5000</v>
      </c>
    </row>
    <row r="50" spans="9:24">
      <c r="I50" s="53">
        <f>'[1]buses-marginal_price'!B50</f>
        <v>22</v>
      </c>
      <c r="J50" s="53">
        <f>'[1]generators-p'!B50</f>
        <v>0</v>
      </c>
      <c r="K50" s="53">
        <f>'[1]generators-p'!C50</f>
        <v>9891.4066473124822</v>
      </c>
      <c r="L50" s="53">
        <f>'[1]generators-p'!D50</f>
        <v>0</v>
      </c>
      <c r="M50" s="53">
        <f>'[1]generators-p'!E50</f>
        <v>794.87977565351252</v>
      </c>
      <c r="N50" s="53">
        <f>'[1]generators-p'!F50</f>
        <v>0</v>
      </c>
      <c r="O50" s="53">
        <f>'[1]links-p0'!B50</f>
        <v>25140.2664733333</v>
      </c>
      <c r="P50" s="53">
        <f>'[1]links-p0'!C50</f>
        <v>0</v>
      </c>
      <c r="Q50" s="53">
        <f>'[1]links-p0'!D50</f>
        <v>7859.505303340341</v>
      </c>
      <c r="R50" s="57">
        <f>'[1]links-p0'!L50</f>
        <v>3500</v>
      </c>
      <c r="S50" s="53">
        <f>'[1]generators-p'!H50</f>
        <v>0</v>
      </c>
      <c r="T50" s="53">
        <f>'[1]generators-p'!I50</f>
        <v>11853.9392730948</v>
      </c>
      <c r="U50" s="57">
        <f>'[1]generators-p'!J50</f>
        <v>367.01</v>
      </c>
      <c r="V50" s="57">
        <f>'[1]links-p0'!G50</f>
        <v>0</v>
      </c>
      <c r="W50" s="57">
        <f>'[1]links-p0'!H50</f>
        <v>3029.9862730948012</v>
      </c>
      <c r="X50" s="57">
        <f>'[1]links-p0'!O50</f>
        <v>5000</v>
      </c>
    </row>
    <row r="51" spans="9:24">
      <c r="I51" s="53">
        <f>'[1]buses-marginal_price'!B51</f>
        <v>22</v>
      </c>
      <c r="J51" s="53">
        <f>'[1]generators-p'!B51</f>
        <v>0</v>
      </c>
      <c r="K51" s="53">
        <f>'[1]generators-p'!C51</f>
        <v>10235.357435405689</v>
      </c>
      <c r="L51" s="62">
        <f>'[1]generators-p'!D51</f>
        <v>2462.66</v>
      </c>
      <c r="M51" s="53">
        <f>'[1]generators-p'!E51</f>
        <v>794.87977565351252</v>
      </c>
      <c r="N51" s="53">
        <f>'[1]generators-p'!F51</f>
        <v>0</v>
      </c>
      <c r="O51" s="53">
        <f>'[1]links-p0'!B51</f>
        <v>18782.400574459909</v>
      </c>
      <c r="P51" s="53">
        <f>'[1]links-p0'!C51</f>
        <v>0</v>
      </c>
      <c r="Q51" s="53">
        <f>'[1]links-p0'!D51</f>
        <v>5743.6092099901271</v>
      </c>
      <c r="R51" s="57">
        <f>'[1]links-p0'!L51</f>
        <v>3500</v>
      </c>
      <c r="S51" s="53">
        <f>'[1]generators-p'!H51</f>
        <v>0</v>
      </c>
      <c r="T51" s="53">
        <f>'[1]generators-p'!I51</f>
        <v>12291.091</v>
      </c>
      <c r="U51" s="57">
        <f>'[1]generators-p'!J51</f>
        <v>367.01</v>
      </c>
      <c r="V51" s="57">
        <f>'[1]links-p0'!G51</f>
        <v>0</v>
      </c>
      <c r="W51" s="57">
        <f>'[1]links-p0'!H51</f>
        <v>3837</v>
      </c>
      <c r="X51" s="57">
        <f>'[1]links-p0'!O51</f>
        <v>5000</v>
      </c>
    </row>
    <row r="52" spans="9:24">
      <c r="I52" s="53">
        <f>'[1]buses-marginal_price'!B52</f>
        <v>22</v>
      </c>
      <c r="J52" s="53">
        <f>'[1]generators-p'!B52</f>
        <v>0</v>
      </c>
      <c r="K52" s="53">
        <f>'[1]generators-p'!C52</f>
        <v>10420.05283847216</v>
      </c>
      <c r="L52" s="53">
        <f>'[1]generators-p'!D52</f>
        <v>0</v>
      </c>
      <c r="M52" s="53">
        <f>'[1]generators-p'!E52</f>
        <v>794.87977565351252</v>
      </c>
      <c r="N52" s="53">
        <f>'[1]generators-p'!F52</f>
        <v>0</v>
      </c>
      <c r="O52" s="53">
        <f>'[1]links-p0'!B52</f>
        <v>20288.462752423871</v>
      </c>
      <c r="P52" s="53">
        <f>'[1]links-p0'!C52</f>
        <v>0</v>
      </c>
      <c r="Q52" s="53">
        <f>'[1]links-p0'!D52</f>
        <v>5807.3620600659597</v>
      </c>
      <c r="R52" s="57">
        <f>'[1]links-p0'!L52</f>
        <v>3500</v>
      </c>
      <c r="S52" s="53">
        <f>'[1]generators-p'!H52</f>
        <v>0</v>
      </c>
      <c r="T52" s="53">
        <f>'[1]generators-p'!I52</f>
        <v>11862.897999999999</v>
      </c>
      <c r="U52" s="57">
        <f>'[1]generators-p'!J52</f>
        <v>367.01</v>
      </c>
      <c r="V52" s="57">
        <f>'[1]links-p0'!G52</f>
        <v>0</v>
      </c>
      <c r="W52" s="57">
        <f>'[1]links-p0'!H52</f>
        <v>3837</v>
      </c>
      <c r="X52" s="57">
        <f>'[1]links-p0'!O52</f>
        <v>5000</v>
      </c>
    </row>
    <row r="53" spans="9:24">
      <c r="I53" s="53">
        <f>'[1]buses-marginal_price'!B53</f>
        <v>22</v>
      </c>
      <c r="J53" s="53">
        <f>'[1]generators-p'!B53</f>
        <v>0</v>
      </c>
      <c r="K53" s="53">
        <f>'[1]generators-p'!C53</f>
        <v>10021.14830662054</v>
      </c>
      <c r="L53" s="62">
        <f>'[1]generators-p'!D53</f>
        <v>2462.66</v>
      </c>
      <c r="M53" s="53">
        <f>'[1]generators-p'!E53</f>
        <v>794.87977565351252</v>
      </c>
      <c r="N53" s="53">
        <f>'[1]generators-p'!F53</f>
        <v>0</v>
      </c>
      <c r="O53" s="53">
        <f>'[1]links-p0'!B53</f>
        <v>17356.97986098718</v>
      </c>
      <c r="P53" s="53">
        <f>'[1]links-p0'!C53</f>
        <v>0</v>
      </c>
      <c r="Q53" s="53">
        <f>'[1]links-p0'!D53</f>
        <v>5736.7380917731562</v>
      </c>
      <c r="R53" s="57">
        <f>'[1]links-p0'!L53</f>
        <v>3500</v>
      </c>
      <c r="S53" s="53">
        <f>'[1]generators-p'!H53</f>
        <v>0</v>
      </c>
      <c r="T53" s="53">
        <f>'[1]generators-p'!I53</f>
        <v>11741.949000000001</v>
      </c>
      <c r="U53" s="57">
        <f>'[1]generators-p'!J53</f>
        <v>367.01</v>
      </c>
      <c r="V53" s="57">
        <f>'[1]links-p0'!G53</f>
        <v>0</v>
      </c>
      <c r="W53" s="57">
        <f>'[1]links-p0'!H53</f>
        <v>3837</v>
      </c>
      <c r="X53" s="57">
        <f>'[1]links-p0'!O53</f>
        <v>5000</v>
      </c>
    </row>
    <row r="54" spans="9:24">
      <c r="I54" s="53">
        <f>'[1]buses-marginal_price'!B54</f>
        <v>22</v>
      </c>
      <c r="J54" s="53">
        <f>'[1]generators-p'!B54</f>
        <v>0</v>
      </c>
      <c r="K54" s="53">
        <f>'[1]generators-p'!C54</f>
        <v>9615.3276700540955</v>
      </c>
      <c r="L54" s="62">
        <f>'[1]generators-p'!D54</f>
        <v>2462.66</v>
      </c>
      <c r="M54" s="53">
        <f>'[1]generators-p'!E54</f>
        <v>794.87977565351252</v>
      </c>
      <c r="N54" s="53">
        <f>'[1]generators-p'!F54</f>
        <v>0</v>
      </c>
      <c r="O54" s="53">
        <f>'[1]links-p0'!B54</f>
        <v>21221.737214195022</v>
      </c>
      <c r="P54" s="53">
        <f>'[1]links-p0'!C54</f>
        <v>0</v>
      </c>
      <c r="Q54" s="53">
        <f>'[1]links-p0'!D54</f>
        <v>7838.8940139433753</v>
      </c>
      <c r="R54" s="57">
        <f>'[1]links-p0'!L54</f>
        <v>3500</v>
      </c>
      <c r="S54" s="53">
        <f>'[1]generators-p'!H54</f>
        <v>0</v>
      </c>
      <c r="T54" s="53">
        <f>'[1]generators-p'!I54</f>
        <v>11743.788</v>
      </c>
      <c r="U54" s="57">
        <f>'[1]generators-p'!J54</f>
        <v>367.01</v>
      </c>
      <c r="V54" s="57">
        <f>'[1]links-p0'!G54</f>
        <v>0</v>
      </c>
      <c r="W54" s="57">
        <f>'[1]links-p0'!H54</f>
        <v>3837</v>
      </c>
      <c r="X54" s="57">
        <f>'[1]links-p0'!O54</f>
        <v>5000</v>
      </c>
    </row>
    <row r="55" spans="9:24">
      <c r="I55" s="53">
        <f>'[1]buses-marginal_price'!B55</f>
        <v>22</v>
      </c>
      <c r="J55" s="53">
        <f>'[1]generators-p'!B55</f>
        <v>0</v>
      </c>
      <c r="K55" s="53">
        <f>'[1]generators-p'!C55</f>
        <v>9302.575684706675</v>
      </c>
      <c r="L55" s="62">
        <f>'[1]generators-p'!D55</f>
        <v>2462.66</v>
      </c>
      <c r="M55" s="53">
        <f>'[1]generators-p'!E55</f>
        <v>794.87977565351252</v>
      </c>
      <c r="N55" s="53">
        <f>'[1]generators-p'!F55</f>
        <v>0</v>
      </c>
      <c r="O55" s="53">
        <f>'[1]links-p0'!B55</f>
        <v>21555.0969520738</v>
      </c>
      <c r="P55" s="53">
        <f>'[1]links-p0'!C55</f>
        <v>0</v>
      </c>
      <c r="Q55" s="53">
        <f>'[1]links-p0'!D55</f>
        <v>5598.33963558292</v>
      </c>
      <c r="R55" s="57">
        <f>'[1]links-p0'!L55</f>
        <v>3500</v>
      </c>
      <c r="S55" s="53">
        <f>'[1]generators-p'!H55</f>
        <v>0</v>
      </c>
      <c r="T55" s="53">
        <f>'[1]generators-p'!I55</f>
        <v>11880.679</v>
      </c>
      <c r="U55" s="57">
        <f>'[1]generators-p'!J55</f>
        <v>367.01</v>
      </c>
      <c r="V55" s="57">
        <f>'[1]links-p0'!G55</f>
        <v>0</v>
      </c>
      <c r="W55" s="57">
        <f>'[1]links-p0'!H55</f>
        <v>3837</v>
      </c>
      <c r="X55" s="57">
        <f>'[1]links-p0'!O55</f>
        <v>5000</v>
      </c>
    </row>
    <row r="56" spans="9:24">
      <c r="I56" s="53">
        <f>'[1]buses-marginal_price'!B56</f>
        <v>22</v>
      </c>
      <c r="J56" s="53">
        <f>'[1]generators-p'!B56</f>
        <v>0</v>
      </c>
      <c r="K56" s="53">
        <f>'[1]generators-p'!C56</f>
        <v>8594.9043801847329</v>
      </c>
      <c r="L56" s="62">
        <f>'[1]generators-p'!D56</f>
        <v>2462.66</v>
      </c>
      <c r="M56" s="53">
        <f>'[1]generators-p'!E56</f>
        <v>794.87977565351252</v>
      </c>
      <c r="N56" s="53">
        <f>'[1]generators-p'!F56</f>
        <v>0</v>
      </c>
      <c r="O56" s="53">
        <f>'[1]links-p0'!B56</f>
        <v>25140.2664733333</v>
      </c>
      <c r="P56" s="53">
        <f>'[1]links-p0'!C56</f>
        <v>0</v>
      </c>
      <c r="Q56" s="53">
        <f>'[1]links-p0'!D56</f>
        <v>6758.4167666109406</v>
      </c>
      <c r="R56" s="57">
        <f>'[1]links-p0'!L56</f>
        <v>3500</v>
      </c>
      <c r="S56" s="53">
        <f>'[1]generators-p'!H56</f>
        <v>0</v>
      </c>
      <c r="T56" s="53">
        <f>'[1]generators-p'!I56</f>
        <v>12243.555</v>
      </c>
      <c r="U56" s="57">
        <f>'[1]generators-p'!J56</f>
        <v>367.01</v>
      </c>
      <c r="V56" s="57">
        <f>'[1]links-p0'!G56</f>
        <v>0</v>
      </c>
      <c r="W56" s="57">
        <f>'[1]links-p0'!H56</f>
        <v>3837</v>
      </c>
      <c r="X56" s="57">
        <f>'[1]links-p0'!O56</f>
        <v>5000</v>
      </c>
    </row>
    <row r="57" spans="9:24">
      <c r="I57" s="53">
        <f>'[1]buses-marginal_price'!B57</f>
        <v>22</v>
      </c>
      <c r="J57" s="53">
        <f>'[1]generators-p'!B57</f>
        <v>0</v>
      </c>
      <c r="K57" s="53">
        <f>'[1]generators-p'!C57</f>
        <v>7391.5416337173328</v>
      </c>
      <c r="L57" s="62">
        <f>'[1]generators-p'!D57</f>
        <v>2462.66</v>
      </c>
      <c r="M57" s="53">
        <f>'[1]generators-p'!E57</f>
        <v>794.87977565351252</v>
      </c>
      <c r="N57" s="53">
        <f>'[1]generators-p'!F57</f>
        <v>0</v>
      </c>
      <c r="O57" s="53">
        <f>'[1]links-p0'!B57</f>
        <v>25140.2664733333</v>
      </c>
      <c r="P57" s="53">
        <f>'[1]links-p0'!C57</f>
        <v>0</v>
      </c>
      <c r="Q57" s="53">
        <f>'[1]links-p0'!D57</f>
        <v>8694.4838579903517</v>
      </c>
      <c r="R57" s="57">
        <f>'[1]links-p0'!L57</f>
        <v>3500</v>
      </c>
      <c r="S57" s="53">
        <f>'[1]generators-p'!H57</f>
        <v>0</v>
      </c>
      <c r="T57" s="53">
        <f>'[1]generators-p'!I57</f>
        <v>12781.937</v>
      </c>
      <c r="U57" s="57">
        <f>'[1]generators-p'!J57</f>
        <v>367.01</v>
      </c>
      <c r="V57" s="57">
        <f>'[1]links-p0'!G57</f>
        <v>0</v>
      </c>
      <c r="W57" s="57">
        <f>'[1]links-p0'!H57</f>
        <v>3837</v>
      </c>
      <c r="X57" s="57">
        <f>'[1]links-p0'!O57</f>
        <v>5000</v>
      </c>
    </row>
    <row r="58" spans="9:24">
      <c r="I58" s="53">
        <f>'[1]buses-marginal_price'!B58</f>
        <v>22</v>
      </c>
      <c r="J58" s="53">
        <f>'[1]generators-p'!B58</f>
        <v>1193.34297388</v>
      </c>
      <c r="K58" s="53">
        <f>'[1]generators-p'!C58</f>
        <v>7084.5452200831733</v>
      </c>
      <c r="L58" s="62">
        <f>'[1]generators-p'!D58</f>
        <v>2462.66</v>
      </c>
      <c r="M58" s="53">
        <f>'[1]generators-p'!E58</f>
        <v>794.87977565351252</v>
      </c>
      <c r="N58" s="53">
        <f>'[1]generators-p'!F58</f>
        <v>0</v>
      </c>
      <c r="O58" s="53">
        <f>'[1]links-p0'!B58</f>
        <v>25140.2664733333</v>
      </c>
      <c r="P58" s="53">
        <f>'[1]links-p0'!C58</f>
        <v>0</v>
      </c>
      <c r="Q58" s="53">
        <f>'[1]links-p0'!D58</f>
        <v>10259.16722737204</v>
      </c>
      <c r="R58" s="57">
        <f>'[1]links-p0'!L58</f>
        <v>3500</v>
      </c>
      <c r="S58" s="53">
        <f>'[1]generators-p'!H58</f>
        <v>0</v>
      </c>
      <c r="T58" s="53">
        <f>'[1]generators-p'!I58</f>
        <v>13284.102999999999</v>
      </c>
      <c r="U58" s="57">
        <f>'[1]generators-p'!J58</f>
        <v>367.01</v>
      </c>
      <c r="V58" s="57">
        <f>'[1]links-p0'!G58</f>
        <v>0</v>
      </c>
      <c r="W58" s="57">
        <f>'[1]links-p0'!H58</f>
        <v>3837</v>
      </c>
      <c r="X58" s="57">
        <f>'[1]links-p0'!O58</f>
        <v>5000</v>
      </c>
    </row>
    <row r="59" spans="9:24">
      <c r="I59" s="22">
        <f>'[1]buses-marginal_price'!B59</f>
        <v>22</v>
      </c>
      <c r="J59" s="22">
        <f>'[1]generators-p'!B59</f>
        <v>28362.336328615002</v>
      </c>
      <c r="K59" s="22">
        <f>'[1]generators-p'!C59</f>
        <v>5839.1482657304832</v>
      </c>
      <c r="L59" s="63">
        <f>'[1]generators-p'!D59</f>
        <v>2462.66</v>
      </c>
      <c r="M59" s="22">
        <f>'[1]generators-p'!E59</f>
        <v>794.87977565351252</v>
      </c>
      <c r="N59" s="22">
        <f>'[1]generators-p'!F59</f>
        <v>0</v>
      </c>
      <c r="O59" s="22">
        <f>'[1]links-p0'!B59</f>
        <v>7463.9393072748544</v>
      </c>
      <c r="P59" s="22">
        <f>'[1]links-p0'!C59</f>
        <v>0</v>
      </c>
      <c r="Q59" s="22">
        <f>'[1]links-p0'!D59</f>
        <v>9252.637101182625</v>
      </c>
      <c r="R59" s="3">
        <f>'[1]links-p0'!L59</f>
        <v>3500</v>
      </c>
      <c r="S59" s="22">
        <f>'[1]generators-p'!H59</f>
        <v>0</v>
      </c>
      <c r="T59" s="22">
        <f>'[1]generators-p'!I59</f>
        <v>13505.612999999999</v>
      </c>
      <c r="U59" s="3">
        <f>'[1]generators-p'!J59</f>
        <v>367.01</v>
      </c>
      <c r="V59" s="3">
        <f>'[1]links-p0'!G59</f>
        <v>0</v>
      </c>
      <c r="W59" s="3">
        <f>'[1]links-p0'!H59</f>
        <v>3837</v>
      </c>
      <c r="X59" s="3">
        <f>'[1]links-p0'!O59</f>
        <v>5000</v>
      </c>
    </row>
    <row r="60" spans="9:24">
      <c r="I60" s="51">
        <f>'[1]buses-marginal_price'!B60</f>
        <v>14.025</v>
      </c>
      <c r="J60" s="51">
        <f>'[1]generators-p'!B60</f>
        <v>67238.470389359994</v>
      </c>
      <c r="K60" s="51">
        <f>'[1]generators-p'!C60</f>
        <v>2940.658342457637</v>
      </c>
      <c r="L60" s="51">
        <f>'[1]generators-p'!D60</f>
        <v>0</v>
      </c>
      <c r="M60" s="51">
        <f>'[1]generators-p'!E60</f>
        <v>794.87977565351252</v>
      </c>
      <c r="N60" s="51">
        <f>'[1]generators-p'!F60</f>
        <v>0</v>
      </c>
      <c r="O60" s="51">
        <f>'[1]links-p0'!B60</f>
        <v>0</v>
      </c>
      <c r="P60" s="51">
        <f>'[1]links-p0'!C60</f>
        <v>13320.750632965201</v>
      </c>
      <c r="Q60" s="51">
        <f>'[1]links-p0'!D60</f>
        <v>7487.572803600644</v>
      </c>
      <c r="R60" s="56">
        <f>'[1]links-p0'!L60</f>
        <v>3500</v>
      </c>
      <c r="S60" s="51">
        <f>'[1]generators-p'!H60</f>
        <v>151.5035805131993</v>
      </c>
      <c r="T60" s="51">
        <f>'[1]generators-p'!I60</f>
        <v>13258.103419486801</v>
      </c>
      <c r="U60" s="56">
        <f>'[1]generators-p'!J60</f>
        <v>367.01</v>
      </c>
      <c r="V60" s="56">
        <f>'[1]links-p0'!G60</f>
        <v>0</v>
      </c>
      <c r="W60" s="56">
        <f>'[1]links-p0'!H60</f>
        <v>3837</v>
      </c>
      <c r="X60" s="56">
        <f>'[1]links-p0'!O60</f>
        <v>5000</v>
      </c>
    </row>
    <row r="61" spans="9:24">
      <c r="I61" s="53">
        <f>'[1]buses-marginal_price'!B61</f>
        <v>14.025</v>
      </c>
      <c r="J61" s="53">
        <f>'[1]generators-p'!B61</f>
        <v>90010.904453039999</v>
      </c>
      <c r="K61" s="53">
        <f>'[1]generators-p'!C61</f>
        <v>1417.5837174260389</v>
      </c>
      <c r="L61" s="53">
        <f>'[1]generators-p'!D61</f>
        <v>0</v>
      </c>
      <c r="M61" s="53">
        <f>'[1]generators-p'!E61</f>
        <v>794.87977565351252</v>
      </c>
      <c r="N61" s="53">
        <f>'[1]generators-p'!F61</f>
        <v>0</v>
      </c>
      <c r="O61" s="53">
        <f>'[1]links-p0'!B61</f>
        <v>0</v>
      </c>
      <c r="P61" s="53">
        <f>'[1]links-p0'!C61</f>
        <v>13320.750632965201</v>
      </c>
      <c r="Q61" s="53">
        <f>'[1]links-p0'!D61</f>
        <v>3796.121125583275</v>
      </c>
      <c r="R61" s="57">
        <f>'[1]links-p0'!L61</f>
        <v>3500</v>
      </c>
      <c r="S61" s="53">
        <f>'[1]generators-p'!H61</f>
        <v>13865.772000000001</v>
      </c>
      <c r="T61" s="53">
        <f>'[1]generators-p'!I61</f>
        <v>0</v>
      </c>
      <c r="U61" s="57">
        <f>'[1]generators-p'!J61</f>
        <v>0</v>
      </c>
      <c r="V61" s="57">
        <f>'[1]links-p0'!G61</f>
        <v>0</v>
      </c>
      <c r="W61" s="57">
        <f>'[1]links-p0'!H61</f>
        <v>3837</v>
      </c>
      <c r="X61" s="57">
        <f>'[1]links-p0'!O61</f>
        <v>5000</v>
      </c>
    </row>
    <row r="62" spans="9:24">
      <c r="I62" s="53">
        <f>'[1]buses-marginal_price'!B62</f>
        <v>14.025</v>
      </c>
      <c r="J62" s="53">
        <f>'[1]generators-p'!B62</f>
        <v>101382.32588371</v>
      </c>
      <c r="K62" s="53">
        <f>'[1]generators-p'!C62</f>
        <v>1047.830302104984</v>
      </c>
      <c r="L62" s="53">
        <f>'[1]generators-p'!D62</f>
        <v>0</v>
      </c>
      <c r="M62" s="53">
        <f>'[1]generators-p'!E62</f>
        <v>794.87977565351252</v>
      </c>
      <c r="N62" s="53">
        <f>'[1]generators-p'!F62</f>
        <v>267.73931854667632</v>
      </c>
      <c r="O62" s="53">
        <f>'[1]links-p0'!B62</f>
        <v>0</v>
      </c>
      <c r="P62" s="53">
        <f>'[1]links-p0'!C62</f>
        <v>13320.750632965201</v>
      </c>
      <c r="Q62" s="53">
        <f>'[1]links-p0'!D62</f>
        <v>2907.2372363187278</v>
      </c>
      <c r="R62" s="57">
        <f>'[1]links-p0'!L62</f>
        <v>3500</v>
      </c>
      <c r="S62" s="53">
        <f>'[1]generators-p'!H62</f>
        <v>13920.192999999999</v>
      </c>
      <c r="T62" s="53">
        <f>'[1]generators-p'!I62</f>
        <v>0</v>
      </c>
      <c r="U62" s="57">
        <f>'[1]generators-p'!J62</f>
        <v>0</v>
      </c>
      <c r="V62" s="57">
        <f>'[1]links-p0'!G62</f>
        <v>0</v>
      </c>
      <c r="W62" s="57">
        <f>'[1]links-p0'!H62</f>
        <v>3837</v>
      </c>
      <c r="X62" s="57">
        <f>'[1]links-p0'!O62</f>
        <v>5000</v>
      </c>
    </row>
    <row r="63" spans="9:24">
      <c r="I63" s="53">
        <f>'[1]buses-marginal_price'!B63</f>
        <v>14.025</v>
      </c>
      <c r="J63" s="53">
        <f>'[1]generators-p'!B63</f>
        <v>103098.142396745</v>
      </c>
      <c r="K63" s="53">
        <f>'[1]generators-p'!C63</f>
        <v>948.78805466085657</v>
      </c>
      <c r="L63" s="53">
        <f>'[1]generators-p'!D63</f>
        <v>0</v>
      </c>
      <c r="M63" s="53">
        <f>'[1]generators-p'!E63</f>
        <v>794.87977565351252</v>
      </c>
      <c r="N63" s="53">
        <f>'[1]generators-p'!F63</f>
        <v>523.97565298184657</v>
      </c>
      <c r="O63" s="53">
        <f>'[1]links-p0'!B63</f>
        <v>0</v>
      </c>
      <c r="P63" s="53">
        <f>'[1]links-p0'!C63</f>
        <v>13320.750632965201</v>
      </c>
      <c r="Q63" s="53">
        <f>'[1]links-p0'!D63</f>
        <v>3268.533658128571</v>
      </c>
      <c r="R63" s="57">
        <f>'[1]links-p0'!L63</f>
        <v>3500</v>
      </c>
      <c r="S63" s="53">
        <f>'[1]generators-p'!H63</f>
        <v>13642.54</v>
      </c>
      <c r="T63" s="53">
        <f>'[1]generators-p'!I63</f>
        <v>0</v>
      </c>
      <c r="U63" s="57">
        <f>'[1]generators-p'!J63</f>
        <v>0</v>
      </c>
      <c r="V63" s="57">
        <f>'[1]links-p0'!G63</f>
        <v>0</v>
      </c>
      <c r="W63" s="57">
        <f>'[1]links-p0'!H63</f>
        <v>3837</v>
      </c>
      <c r="X63" s="57">
        <f>'[1]links-p0'!O63</f>
        <v>5000</v>
      </c>
    </row>
    <row r="64" spans="9:24">
      <c r="I64" s="53">
        <f>'[1]buses-marginal_price'!B64</f>
        <v>14.025</v>
      </c>
      <c r="J64" s="53">
        <f>'[1]generators-p'!B64</f>
        <v>96419.360859484994</v>
      </c>
      <c r="K64" s="53">
        <f>'[1]generators-p'!C64</f>
        <v>937.12635957142493</v>
      </c>
      <c r="L64" s="53">
        <f>'[1]generators-p'!D64</f>
        <v>0</v>
      </c>
      <c r="M64" s="53">
        <f>'[1]generators-p'!E64</f>
        <v>794.87977565351252</v>
      </c>
      <c r="N64" s="53">
        <f>'[1]generators-p'!F64</f>
        <v>0</v>
      </c>
      <c r="O64" s="53">
        <f>'[1]links-p0'!B64</f>
        <v>0</v>
      </c>
      <c r="P64" s="53">
        <f>'[1]links-p0'!C64</f>
        <v>13320.750632965201</v>
      </c>
      <c r="Q64" s="53">
        <f>'[1]links-p0'!D64</f>
        <v>2353.867754631141</v>
      </c>
      <c r="R64" s="57">
        <f>'[1]links-p0'!L64</f>
        <v>3500</v>
      </c>
      <c r="S64" s="53">
        <f>'[1]generators-p'!H64</f>
        <v>13582.709000000001</v>
      </c>
      <c r="T64" s="53">
        <f>'[1]generators-p'!I64</f>
        <v>0</v>
      </c>
      <c r="U64" s="57">
        <f>'[1]generators-p'!J64</f>
        <v>0</v>
      </c>
      <c r="V64" s="57">
        <f>'[1]links-p0'!G64</f>
        <v>0</v>
      </c>
      <c r="W64" s="57">
        <f>'[1]links-p0'!H64</f>
        <v>3837</v>
      </c>
      <c r="X64" s="57">
        <f>'[1]links-p0'!O64</f>
        <v>5000</v>
      </c>
    </row>
    <row r="65" spans="9:24">
      <c r="I65" s="53">
        <f>'[1]buses-marginal_price'!B65</f>
        <v>14.025</v>
      </c>
      <c r="J65" s="53">
        <f>'[1]generators-p'!B65</f>
        <v>81064.360290885001</v>
      </c>
      <c r="K65" s="53">
        <f>'[1]generators-p'!C65</f>
        <v>1015.341620447234</v>
      </c>
      <c r="L65" s="53">
        <f>'[1]generators-p'!D65</f>
        <v>0</v>
      </c>
      <c r="M65" s="53">
        <f>'[1]generators-p'!E65</f>
        <v>794.87977565351252</v>
      </c>
      <c r="N65" s="53">
        <f>'[1]generators-p'!F65</f>
        <v>0</v>
      </c>
      <c r="O65" s="53">
        <f>'[1]links-p0'!B65</f>
        <v>0</v>
      </c>
      <c r="P65" s="53">
        <f>'[1]links-p0'!C65</f>
        <v>1514.0212773591629</v>
      </c>
      <c r="Q65" s="53">
        <f>'[1]links-p0'!D65</f>
        <v>3863.72440724845</v>
      </c>
      <c r="R65" s="57">
        <f>'[1]links-p0'!L65</f>
        <v>3500</v>
      </c>
      <c r="S65" s="53">
        <f>'[1]generators-p'!H65</f>
        <v>13585.928</v>
      </c>
      <c r="T65" s="53">
        <f>'[1]generators-p'!I65</f>
        <v>0</v>
      </c>
      <c r="U65" s="57">
        <f>'[1]generators-p'!J65</f>
        <v>0</v>
      </c>
      <c r="V65" s="57">
        <f>'[1]links-p0'!G65</f>
        <v>0</v>
      </c>
      <c r="W65" s="57">
        <f>'[1]links-p0'!H65</f>
        <v>3837</v>
      </c>
      <c r="X65" s="57">
        <f>'[1]links-p0'!O65</f>
        <v>5000</v>
      </c>
    </row>
    <row r="66" spans="9:24">
      <c r="I66" s="22">
        <f>'[1]buses-marginal_price'!B66</f>
        <v>14.025</v>
      </c>
      <c r="J66" s="22">
        <f>'[1]generators-p'!B66</f>
        <v>51965.445019035003</v>
      </c>
      <c r="K66" s="22">
        <f>'[1]generators-p'!C66</f>
        <v>908.720932771256</v>
      </c>
      <c r="L66" s="22">
        <f>'[1]generators-p'!D66</f>
        <v>0</v>
      </c>
      <c r="M66" s="22">
        <f>'[1]generators-p'!E66</f>
        <v>794.87977565351252</v>
      </c>
      <c r="N66" s="22">
        <f>'[1]generators-p'!F66</f>
        <v>0</v>
      </c>
      <c r="O66" s="22">
        <f>'[1]links-p0'!B66</f>
        <v>0</v>
      </c>
      <c r="P66" s="22">
        <f>'[1]links-p0'!C66</f>
        <v>12616.404672042399</v>
      </c>
      <c r="Q66" s="22">
        <f>'[1]links-p0'!D66</f>
        <v>6711.9550554173584</v>
      </c>
      <c r="R66" s="3">
        <f>'[1]links-p0'!L66</f>
        <v>3500</v>
      </c>
      <c r="S66" s="22">
        <f>'[1]generators-p'!H66</f>
        <v>13803.921</v>
      </c>
      <c r="T66" s="22">
        <f>'[1]generators-p'!I66</f>
        <v>0</v>
      </c>
      <c r="U66" s="3">
        <f>'[1]generators-p'!J66</f>
        <v>0</v>
      </c>
      <c r="V66" s="3">
        <f>'[1]links-p0'!G66</f>
        <v>0</v>
      </c>
      <c r="W66" s="3">
        <f>'[1]links-p0'!H66</f>
        <v>3837</v>
      </c>
      <c r="X66" s="3">
        <f>'[1]links-p0'!O66</f>
        <v>5000</v>
      </c>
    </row>
    <row r="67" spans="9:24">
      <c r="I67" s="51">
        <f>'[1]buses-marginal_price'!B67</f>
        <v>22</v>
      </c>
      <c r="J67" s="51">
        <f>'[1]generators-p'!B67</f>
        <v>12525.413529179999</v>
      </c>
      <c r="K67" s="51">
        <f>'[1]generators-p'!C67</f>
        <v>1632.2207250531701</v>
      </c>
      <c r="L67" s="61">
        <f>'[1]generators-p'!D67</f>
        <v>2462.66</v>
      </c>
      <c r="M67" s="51">
        <f>'[1]generators-p'!E67</f>
        <v>794.87977565351252</v>
      </c>
      <c r="N67" s="51">
        <f>'[1]generators-p'!F67</f>
        <v>0</v>
      </c>
      <c r="O67" s="51">
        <f>'[1]links-p0'!B67</f>
        <v>25140.2664733333</v>
      </c>
      <c r="P67" s="51">
        <f>'[1]links-p0'!C67</f>
        <v>0</v>
      </c>
      <c r="Q67" s="51">
        <f>'[1]links-p0'!D67</f>
        <v>8811.4151698314799</v>
      </c>
      <c r="R67" s="56">
        <f>'[1]links-p0'!L67</f>
        <v>3500</v>
      </c>
      <c r="S67" s="51">
        <f>'[1]generators-p'!H67</f>
        <v>5191.6694978691976</v>
      </c>
      <c r="T67" s="51">
        <f>'[1]generators-p'!I67</f>
        <v>8768.1685021308022</v>
      </c>
      <c r="U67" s="56">
        <f>'[1]generators-p'!J67</f>
        <v>367.01</v>
      </c>
      <c r="V67" s="56">
        <f>'[1]links-p0'!G67</f>
        <v>0</v>
      </c>
      <c r="W67" s="56">
        <f>'[1]links-p0'!H67</f>
        <v>3837</v>
      </c>
      <c r="X67" s="56">
        <f>'[1]links-p0'!O67</f>
        <v>5000</v>
      </c>
    </row>
    <row r="68" spans="9:24">
      <c r="I68" s="53">
        <f>'[1]buses-marginal_price'!B68</f>
        <v>22</v>
      </c>
      <c r="J68" s="53">
        <f>'[1]generators-p'!B68</f>
        <v>4.5237119999999997</v>
      </c>
      <c r="K68" s="53">
        <f>'[1]generators-p'!C68</f>
        <v>2969.6079584393642</v>
      </c>
      <c r="L68" s="62">
        <f>'[1]generators-p'!D68</f>
        <v>2462.66</v>
      </c>
      <c r="M68" s="53">
        <f>'[1]generators-p'!E68</f>
        <v>794.87977565351252</v>
      </c>
      <c r="N68" s="53">
        <f>'[1]generators-p'!F68</f>
        <v>0</v>
      </c>
      <c r="O68" s="53">
        <f>'[1]links-p0'!B68</f>
        <v>25140.2664733333</v>
      </c>
      <c r="P68" s="53">
        <f>'[1]links-p0'!C68</f>
        <v>0</v>
      </c>
      <c r="Q68" s="53">
        <f>'[1]links-p0'!D68</f>
        <v>11919.845400387851</v>
      </c>
      <c r="R68" s="57">
        <f>'[1]links-p0'!L68</f>
        <v>3500</v>
      </c>
      <c r="S68" s="53">
        <f>'[1]generators-p'!H68</f>
        <v>263.01708600000001</v>
      </c>
      <c r="T68" s="53">
        <f>'[1]generators-p'!I68</f>
        <v>9145.9196905860008</v>
      </c>
      <c r="U68" s="57">
        <f>'[1]generators-p'!J68</f>
        <v>367.01</v>
      </c>
      <c r="V68" s="57">
        <f>'[1]links-p0'!G68</f>
        <v>1396.0426157811739</v>
      </c>
      <c r="W68" s="57">
        <f>'[1]links-p0'!H68</f>
        <v>0</v>
      </c>
      <c r="X68" s="57">
        <f>'[1]links-p0'!O68</f>
        <v>5000</v>
      </c>
    </row>
    <row r="69" spans="9:24">
      <c r="I69" s="53">
        <f>'[1]buses-marginal_price'!B69</f>
        <v>22</v>
      </c>
      <c r="J69" s="53">
        <f>'[1]generators-p'!B69</f>
        <v>0</v>
      </c>
      <c r="K69" s="53">
        <f>'[1]generators-p'!C69</f>
        <v>3032.5158789883521</v>
      </c>
      <c r="L69" s="62">
        <f>'[1]generators-p'!D69</f>
        <v>2462.66</v>
      </c>
      <c r="M69" s="53">
        <f>'[1]generators-p'!E69</f>
        <v>794.87977565351252</v>
      </c>
      <c r="N69" s="53">
        <f>'[1]generators-p'!F69</f>
        <v>0</v>
      </c>
      <c r="O69" s="53">
        <f>'[1]links-p0'!B69</f>
        <v>25140.2664733333</v>
      </c>
      <c r="P69" s="53">
        <f>'[1]links-p0'!C69</f>
        <v>0</v>
      </c>
      <c r="Q69" s="53">
        <f>'[1]links-p0'!D69</f>
        <v>7951.6384249908779</v>
      </c>
      <c r="R69" s="57">
        <f>'[1]links-p0'!L69</f>
        <v>3500</v>
      </c>
      <c r="S69" s="53">
        <f>'[1]generators-p'!H69</f>
        <v>0</v>
      </c>
      <c r="T69" s="53">
        <f>'[1]generators-p'!I69</f>
        <v>9953.065450288801</v>
      </c>
      <c r="U69" s="57">
        <f>'[1]generators-p'!J69</f>
        <v>367.01</v>
      </c>
      <c r="V69" s="57">
        <f>'[1]links-p0'!G69</f>
        <v>861.98770554258635</v>
      </c>
      <c r="W69" s="57">
        <f>'[1]links-p0'!H69</f>
        <v>0</v>
      </c>
      <c r="X69" s="57">
        <f>'[1]links-p0'!O69</f>
        <v>5000</v>
      </c>
    </row>
    <row r="70" spans="9:24">
      <c r="I70" s="53">
        <f>'[1]buses-marginal_price'!B70</f>
        <v>22</v>
      </c>
      <c r="J70" s="53">
        <f>'[1]generators-p'!B70</f>
        <v>0</v>
      </c>
      <c r="K70" s="53">
        <f>'[1]generators-p'!C70</f>
        <v>1997.8308484510681</v>
      </c>
      <c r="L70" s="62">
        <f>'[1]generators-p'!D70</f>
        <v>2462.66</v>
      </c>
      <c r="M70" s="53">
        <f>'[1]generators-p'!E70</f>
        <v>794.87977565351252</v>
      </c>
      <c r="N70" s="53">
        <f>'[1]generators-p'!F70</f>
        <v>0</v>
      </c>
      <c r="O70" s="53">
        <f>'[1]links-p0'!B70</f>
        <v>25140.2664733333</v>
      </c>
      <c r="P70" s="53">
        <f>'[1]links-p0'!C70</f>
        <v>0</v>
      </c>
      <c r="Q70" s="53">
        <f>'[1]links-p0'!D70</f>
        <v>9154.7947298723775</v>
      </c>
      <c r="R70" s="57">
        <f>'[1]links-p0'!L70</f>
        <v>3500</v>
      </c>
      <c r="S70" s="53">
        <f>'[1]generators-p'!H70</f>
        <v>0</v>
      </c>
      <c r="T70" s="53">
        <f>'[1]generators-p'!I70</f>
        <v>9991.3011261336014</v>
      </c>
      <c r="U70" s="57">
        <f>'[1]generators-p'!J70</f>
        <v>367.01</v>
      </c>
      <c r="V70" s="57">
        <f>'[1]links-p0'!G70</f>
        <v>501.28102807811558</v>
      </c>
      <c r="W70" s="57">
        <f>'[1]links-p0'!H70</f>
        <v>0</v>
      </c>
      <c r="X70" s="57">
        <f>'[1]links-p0'!O70</f>
        <v>5000</v>
      </c>
    </row>
    <row r="71" spans="9:24">
      <c r="I71" s="53">
        <f>'[1]buses-marginal_price'!B71</f>
        <v>22</v>
      </c>
      <c r="J71" s="53">
        <f>'[1]generators-p'!B71</f>
        <v>0</v>
      </c>
      <c r="K71" s="53">
        <f>'[1]generators-p'!C71</f>
        <v>1605.3004353277749</v>
      </c>
      <c r="L71" s="62">
        <f>'[1]generators-p'!D71</f>
        <v>2462.66</v>
      </c>
      <c r="M71" s="53">
        <f>'[1]generators-p'!E71</f>
        <v>794.87977565351252</v>
      </c>
      <c r="N71" s="53">
        <f>'[1]generators-p'!F71</f>
        <v>0</v>
      </c>
      <c r="O71" s="53">
        <f>'[1]links-p0'!B71</f>
        <v>25140.2664733333</v>
      </c>
      <c r="P71" s="53">
        <f>'[1]links-p0'!C71</f>
        <v>0</v>
      </c>
      <c r="Q71" s="53">
        <f>'[1]links-p0'!D71</f>
        <v>7671.2779759513351</v>
      </c>
      <c r="R71" s="57">
        <f>'[1]links-p0'!L71</f>
        <v>3500</v>
      </c>
      <c r="S71" s="53">
        <f>'[1]generators-p'!H71</f>
        <v>0</v>
      </c>
      <c r="T71" s="53">
        <f>'[1]generators-p'!I71</f>
        <v>9228.1483765296016</v>
      </c>
      <c r="U71" s="57">
        <f>'[1]generators-p'!J71</f>
        <v>367.01</v>
      </c>
      <c r="V71" s="57">
        <f>'[1]links-p0'!G71</f>
        <v>871.38426290635005</v>
      </c>
      <c r="W71" s="57">
        <f>'[1]links-p0'!H71</f>
        <v>0</v>
      </c>
      <c r="X71" s="57">
        <f>'[1]links-p0'!O71</f>
        <v>5000</v>
      </c>
    </row>
    <row r="72" spans="9:24">
      <c r="I72" s="53">
        <f>'[1]buses-marginal_price'!B72</f>
        <v>22</v>
      </c>
      <c r="J72" s="53">
        <f>'[1]generators-p'!B72</f>
        <v>0</v>
      </c>
      <c r="K72" s="53">
        <f>'[1]generators-p'!C72</f>
        <v>1718.6635425074569</v>
      </c>
      <c r="L72" s="62">
        <f>'[1]generators-p'!D72</f>
        <v>2462.66</v>
      </c>
      <c r="M72" s="53">
        <f>'[1]generators-p'!E72</f>
        <v>794.87977565351252</v>
      </c>
      <c r="N72" s="53">
        <f>'[1]generators-p'!F72</f>
        <v>0</v>
      </c>
      <c r="O72" s="53">
        <f>'[1]links-p0'!B72</f>
        <v>25140.2664733333</v>
      </c>
      <c r="P72" s="53">
        <f>'[1]links-p0'!C72</f>
        <v>0</v>
      </c>
      <c r="Q72" s="53">
        <f>'[1]links-p0'!D72</f>
        <v>3913.0884314847131</v>
      </c>
      <c r="R72" s="57">
        <f>'[1]links-p0'!L72</f>
        <v>3500</v>
      </c>
      <c r="S72" s="53">
        <f>'[1]generators-p'!H72</f>
        <v>0</v>
      </c>
      <c r="T72" s="53">
        <f>'[1]generators-p'!I72</f>
        <v>8798.7117217104005</v>
      </c>
      <c r="U72" s="57">
        <f>'[1]generators-p'!J72</f>
        <v>367.01</v>
      </c>
      <c r="V72" s="57">
        <f>'[1]links-p0'!G72</f>
        <v>1506.345033281882</v>
      </c>
      <c r="W72" s="57">
        <f>'[1]links-p0'!H72</f>
        <v>0</v>
      </c>
      <c r="X72" s="57">
        <f>'[1]links-p0'!O72</f>
        <v>5000</v>
      </c>
    </row>
    <row r="73" spans="9:24">
      <c r="I73" s="53">
        <f>'[1]buses-marginal_price'!B73</f>
        <v>22</v>
      </c>
      <c r="J73" s="53">
        <f>'[1]generators-p'!B73</f>
        <v>0</v>
      </c>
      <c r="K73" s="53">
        <f>'[1]generators-p'!C73</f>
        <v>1784.441950829415</v>
      </c>
      <c r="L73" s="62">
        <f>'[1]generators-p'!D73</f>
        <v>2462.66</v>
      </c>
      <c r="M73" s="53">
        <f>'[1]generators-p'!E73</f>
        <v>794.87977565351252</v>
      </c>
      <c r="N73" s="53">
        <f>'[1]generators-p'!F73</f>
        <v>0</v>
      </c>
      <c r="O73" s="53">
        <f>'[1]links-p0'!B73</f>
        <v>25140.2664733333</v>
      </c>
      <c r="P73" s="53">
        <f>'[1]links-p0'!C73</f>
        <v>0</v>
      </c>
      <c r="Q73" s="53">
        <f>'[1]links-p0'!D73</f>
        <v>4340.6932997268859</v>
      </c>
      <c r="R73" s="57">
        <f>'[1]links-p0'!L73</f>
        <v>3500</v>
      </c>
      <c r="S73" s="53">
        <f>'[1]generators-p'!H73</f>
        <v>0</v>
      </c>
      <c r="T73" s="53">
        <f>'[1]generators-p'!I73</f>
        <v>9395.4627152064004</v>
      </c>
      <c r="U73" s="57">
        <f>'[1]generators-p'!J73</f>
        <v>367.01</v>
      </c>
      <c r="V73" s="57">
        <f>'[1]links-p0'!G73</f>
        <v>204.12504093364589</v>
      </c>
      <c r="W73" s="57">
        <f>'[1]links-p0'!H73</f>
        <v>0</v>
      </c>
      <c r="X73" s="57">
        <f>'[1]links-p0'!O73</f>
        <v>5000</v>
      </c>
    </row>
    <row r="74" spans="9:24">
      <c r="I74" s="53">
        <f>'[1]buses-marginal_price'!B74</f>
        <v>22</v>
      </c>
      <c r="J74" s="53">
        <f>'[1]generators-p'!B74</f>
        <v>0</v>
      </c>
      <c r="K74" s="53">
        <f>'[1]generators-p'!C74</f>
        <v>2092.8097615930119</v>
      </c>
      <c r="L74" s="62">
        <f>'[1]generators-p'!D74</f>
        <v>2462.66</v>
      </c>
      <c r="M74" s="53">
        <f>'[1]generators-p'!E74</f>
        <v>794.87977565351252</v>
      </c>
      <c r="N74" s="53">
        <f>'[1]generators-p'!F74</f>
        <v>0</v>
      </c>
      <c r="O74" s="53">
        <f>'[1]links-p0'!B74</f>
        <v>25140.2664733333</v>
      </c>
      <c r="P74" s="53">
        <f>'[1]links-p0'!C74</f>
        <v>0</v>
      </c>
      <c r="Q74" s="53">
        <f>'[1]links-p0'!D74</f>
        <v>4484.3924284176164</v>
      </c>
      <c r="R74" s="57">
        <f>'[1]links-p0'!L74</f>
        <v>3500</v>
      </c>
      <c r="S74" s="53">
        <f>'[1]generators-p'!H74</f>
        <v>0</v>
      </c>
      <c r="T74" s="53">
        <f>'[1]generators-p'!I74</f>
        <v>9609.3571308336013</v>
      </c>
      <c r="U74" s="57">
        <f>'[1]generators-p'!J74</f>
        <v>367.01</v>
      </c>
      <c r="V74" s="57">
        <f>'[1]links-p0'!G74</f>
        <v>0</v>
      </c>
      <c r="W74" s="57">
        <f>'[1]links-p0'!H74</f>
        <v>787.77113083360177</v>
      </c>
      <c r="X74" s="57">
        <f>'[1]links-p0'!O74</f>
        <v>5000</v>
      </c>
    </row>
    <row r="75" spans="9:24">
      <c r="I75" s="53">
        <f>'[1]buses-marginal_price'!B75</f>
        <v>22</v>
      </c>
      <c r="J75" s="53">
        <f>'[1]generators-p'!B75</f>
        <v>0</v>
      </c>
      <c r="K75" s="53">
        <f>'[1]generators-p'!C75</f>
        <v>2453.948776001735</v>
      </c>
      <c r="L75" s="53">
        <f>'[1]generators-p'!D75</f>
        <v>0</v>
      </c>
      <c r="M75" s="53">
        <f>'[1]generators-p'!E75</f>
        <v>794.87977565351252</v>
      </c>
      <c r="N75" s="53">
        <f>'[1]generators-p'!F75</f>
        <v>0</v>
      </c>
      <c r="O75" s="53">
        <f>'[1]links-p0'!B75</f>
        <v>25140.2664733333</v>
      </c>
      <c r="P75" s="53">
        <f>'[1]links-p0'!C75</f>
        <v>0</v>
      </c>
      <c r="Q75" s="53">
        <f>'[1]links-p0'!D75</f>
        <v>6706.1619178756246</v>
      </c>
      <c r="R75" s="57">
        <f>'[1]links-p0'!L75</f>
        <v>3500</v>
      </c>
      <c r="S75" s="53">
        <f>'[1]generators-p'!H75</f>
        <v>0</v>
      </c>
      <c r="T75" s="53">
        <f>'[1]generators-p'!I75</f>
        <v>9244.3331318436012</v>
      </c>
      <c r="U75" s="57">
        <f>'[1]generators-p'!J75</f>
        <v>367.01</v>
      </c>
      <c r="V75" s="57">
        <f>'[1]links-p0'!G75</f>
        <v>0</v>
      </c>
      <c r="W75" s="57">
        <f>'[1]links-p0'!H75</f>
        <v>796.66113184360051</v>
      </c>
      <c r="X75" s="57">
        <f>'[1]links-p0'!O75</f>
        <v>5000</v>
      </c>
    </row>
    <row r="76" spans="9:24">
      <c r="I76" s="53">
        <f>'[1]buses-marginal_price'!B76</f>
        <v>22</v>
      </c>
      <c r="J76" s="53">
        <f>'[1]generators-p'!B76</f>
        <v>0</v>
      </c>
      <c r="K76" s="53">
        <f>'[1]generators-p'!C76</f>
        <v>2997.363626294346</v>
      </c>
      <c r="L76" s="53">
        <f>'[1]generators-p'!D76</f>
        <v>0</v>
      </c>
      <c r="M76" s="53">
        <f>'[1]generators-p'!E76</f>
        <v>794.87977565351252</v>
      </c>
      <c r="N76" s="53">
        <f>'[1]generators-p'!F76</f>
        <v>0</v>
      </c>
      <c r="O76" s="53">
        <f>'[1]links-p0'!B76</f>
        <v>25140.2664733333</v>
      </c>
      <c r="P76" s="53">
        <f>'[1]links-p0'!C76</f>
        <v>0</v>
      </c>
      <c r="Q76" s="53">
        <f>'[1]links-p0'!D76</f>
        <v>4633.6286569486329</v>
      </c>
      <c r="R76" s="57">
        <f>'[1]links-p0'!L76</f>
        <v>3500</v>
      </c>
      <c r="S76" s="53">
        <f>'[1]generators-p'!H76</f>
        <v>0</v>
      </c>
      <c r="T76" s="53">
        <f>'[1]generators-p'!I76</f>
        <v>9299.5484985144012</v>
      </c>
      <c r="U76" s="57">
        <f>'[1]generators-p'!J76</f>
        <v>367.01</v>
      </c>
      <c r="V76" s="57">
        <f>'[1]links-p0'!G76</f>
        <v>0</v>
      </c>
      <c r="W76" s="57">
        <f>'[1]links-p0'!H76</f>
        <v>1280.172498514401</v>
      </c>
      <c r="X76" s="57">
        <f>'[1]links-p0'!O76</f>
        <v>5000</v>
      </c>
    </row>
    <row r="77" spans="9:24">
      <c r="I77" s="53">
        <f>'[1]buses-marginal_price'!B77</f>
        <v>22</v>
      </c>
      <c r="J77" s="53">
        <f>'[1]generators-p'!B77</f>
        <v>0</v>
      </c>
      <c r="K77" s="53">
        <f>'[1]generators-p'!C77</f>
        <v>3725.395207229572</v>
      </c>
      <c r="L77" s="62">
        <f>'[1]generators-p'!D77</f>
        <v>2462.66</v>
      </c>
      <c r="M77" s="53">
        <f>'[1]generators-p'!E77</f>
        <v>794.87977565351252</v>
      </c>
      <c r="N77" s="53">
        <f>'[1]generators-p'!F77</f>
        <v>0</v>
      </c>
      <c r="O77" s="53">
        <f>'[1]links-p0'!B77</f>
        <v>23660.73859695479</v>
      </c>
      <c r="P77" s="53">
        <f>'[1]links-p0'!C77</f>
        <v>0</v>
      </c>
      <c r="Q77" s="53">
        <f>'[1]links-p0'!D77</f>
        <v>4792.7649179546524</v>
      </c>
      <c r="R77" s="57">
        <f>'[1]links-p0'!L77</f>
        <v>3500</v>
      </c>
      <c r="S77" s="53">
        <f>'[1]generators-p'!H77</f>
        <v>0</v>
      </c>
      <c r="T77" s="53">
        <f>'[1]generators-p'!I77</f>
        <v>9563.6622959388023</v>
      </c>
      <c r="U77" s="57">
        <f>'[1]generators-p'!J77</f>
        <v>367.01</v>
      </c>
      <c r="V77" s="57">
        <f>'[1]links-p0'!G77</f>
        <v>0</v>
      </c>
      <c r="W77" s="57">
        <f>'[1]links-p0'!H77</f>
        <v>1664.1752959388029</v>
      </c>
      <c r="X77" s="57">
        <f>'[1]links-p0'!O77</f>
        <v>5000</v>
      </c>
    </row>
    <row r="78" spans="9:24">
      <c r="I78" s="53">
        <f>'[1]buses-marginal_price'!B78</f>
        <v>22</v>
      </c>
      <c r="J78" s="53">
        <f>'[1]generators-p'!B78</f>
        <v>0</v>
      </c>
      <c r="K78" s="53">
        <f>'[1]generators-p'!C78</f>
        <v>4680.1631923013483</v>
      </c>
      <c r="L78" s="62">
        <f>'[1]generators-p'!D78</f>
        <v>2462.66</v>
      </c>
      <c r="M78" s="53">
        <f>'[1]generators-p'!E78</f>
        <v>794.87977565351252</v>
      </c>
      <c r="N78" s="53">
        <f>'[1]generators-p'!F78</f>
        <v>0</v>
      </c>
      <c r="O78" s="53">
        <f>'[1]links-p0'!B78</f>
        <v>23678.404654623861</v>
      </c>
      <c r="P78" s="53">
        <f>'[1]links-p0'!C78</f>
        <v>0</v>
      </c>
      <c r="Q78" s="53">
        <f>'[1]links-p0'!D78</f>
        <v>5013.6818605551434</v>
      </c>
      <c r="R78" s="57">
        <f>'[1]links-p0'!L78</f>
        <v>3500</v>
      </c>
      <c r="S78" s="53">
        <f>'[1]generators-p'!H78</f>
        <v>0</v>
      </c>
      <c r="T78" s="53">
        <f>'[1]generators-p'!I78</f>
        <v>9329.9895576216004</v>
      </c>
      <c r="U78" s="57">
        <f>'[1]generators-p'!J78</f>
        <v>367.01</v>
      </c>
      <c r="V78" s="57">
        <f>'[1]links-p0'!G78</f>
        <v>0</v>
      </c>
      <c r="W78" s="57">
        <f>'[1]links-p0'!H78</f>
        <v>1430.4505576216011</v>
      </c>
      <c r="X78" s="57">
        <f>'[1]links-p0'!O78</f>
        <v>5000</v>
      </c>
    </row>
    <row r="79" spans="9:24">
      <c r="I79" s="53">
        <f>'[1]buses-marginal_price'!B79</f>
        <v>22</v>
      </c>
      <c r="J79" s="53">
        <f>'[1]generators-p'!B79</f>
        <v>0</v>
      </c>
      <c r="K79" s="53">
        <f>'[1]generators-p'!C79</f>
        <v>5450.4992397167543</v>
      </c>
      <c r="L79" s="62">
        <f>'[1]generators-p'!D79</f>
        <v>2462.66</v>
      </c>
      <c r="M79" s="53">
        <f>'[1]generators-p'!E79</f>
        <v>794.87977565351252</v>
      </c>
      <c r="N79" s="53">
        <f>'[1]generators-p'!F79</f>
        <v>0</v>
      </c>
      <c r="O79" s="53">
        <f>'[1]links-p0'!B79</f>
        <v>25140.2664733333</v>
      </c>
      <c r="P79" s="53">
        <f>'[1]links-p0'!C79</f>
        <v>0</v>
      </c>
      <c r="Q79" s="53">
        <f>'[1]links-p0'!D79</f>
        <v>6244.0814281665826</v>
      </c>
      <c r="R79" s="57">
        <f>'[1]links-p0'!L79</f>
        <v>3500</v>
      </c>
      <c r="S79" s="53">
        <f>'[1]generators-p'!H79</f>
        <v>0</v>
      </c>
      <c r="T79" s="53">
        <f>'[1]generators-p'!I79</f>
        <v>9094.2185676888002</v>
      </c>
      <c r="U79" s="57">
        <f>'[1]generators-p'!J79</f>
        <v>367.01</v>
      </c>
      <c r="V79" s="57">
        <f>'[1]links-p0'!G79</f>
        <v>0</v>
      </c>
      <c r="W79" s="57">
        <f>'[1]links-p0'!H79</f>
        <v>1063.7715676887999</v>
      </c>
      <c r="X79" s="57">
        <f>'[1]links-p0'!O79</f>
        <v>5000</v>
      </c>
    </row>
    <row r="80" spans="9:24">
      <c r="I80" s="53">
        <f>'[1]buses-marginal_price'!B80</f>
        <v>22</v>
      </c>
      <c r="J80" s="53">
        <f>'[1]generators-p'!B80</f>
        <v>0</v>
      </c>
      <c r="K80" s="53">
        <f>'[1]generators-p'!C80</f>
        <v>6064.3819072317219</v>
      </c>
      <c r="L80" s="53">
        <f>'[1]generators-p'!D80</f>
        <v>0</v>
      </c>
      <c r="M80" s="53">
        <f>'[1]generators-p'!E80</f>
        <v>794.87977565351252</v>
      </c>
      <c r="N80" s="53">
        <f>'[1]generators-p'!F80</f>
        <v>0</v>
      </c>
      <c r="O80" s="53">
        <f>'[1]links-p0'!B80</f>
        <v>0</v>
      </c>
      <c r="P80" s="53">
        <f>'[1]links-p0'!C80</f>
        <v>0</v>
      </c>
      <c r="Q80" s="53">
        <f>'[1]links-p0'!D80</f>
        <v>7733.1646900428732</v>
      </c>
      <c r="R80" s="57">
        <f>'[1]links-p0'!L80</f>
        <v>3500</v>
      </c>
      <c r="S80" s="53">
        <f>'[1]generators-p'!H80</f>
        <v>0</v>
      </c>
      <c r="T80" s="53">
        <f>'[1]generators-p'!I80</f>
        <v>8842.0529144304001</v>
      </c>
      <c r="U80" s="57">
        <f>'[1]generators-p'!J80</f>
        <v>367.01</v>
      </c>
      <c r="V80" s="57">
        <f>'[1]links-p0'!G80</f>
        <v>0</v>
      </c>
      <c r="W80" s="57">
        <f>'[1]links-p0'!H80</f>
        <v>462.23591443039891</v>
      </c>
      <c r="X80" s="57">
        <f>'[1]links-p0'!O80</f>
        <v>5000</v>
      </c>
    </row>
    <row r="81" spans="9:24">
      <c r="I81" s="53">
        <f>'[1]buses-marginal_price'!B81</f>
        <v>22</v>
      </c>
      <c r="J81" s="53">
        <f>'[1]generators-p'!B81</f>
        <v>0</v>
      </c>
      <c r="K81" s="53">
        <f>'[1]generators-p'!C81</f>
        <v>6423.2157370017594</v>
      </c>
      <c r="L81" s="62">
        <f>'[1]generators-p'!D81</f>
        <v>2462.66</v>
      </c>
      <c r="M81" s="53">
        <f>'[1]generators-p'!E81</f>
        <v>794.87977565351252</v>
      </c>
      <c r="N81" s="53">
        <f>'[1]generators-p'!F81</f>
        <v>0</v>
      </c>
      <c r="O81" s="53">
        <f>'[1]links-p0'!B81</f>
        <v>0</v>
      </c>
      <c r="P81" s="53">
        <f>'[1]links-p0'!C81</f>
        <v>0</v>
      </c>
      <c r="Q81" s="53">
        <f>'[1]links-p0'!D81</f>
        <v>9295.9927668235759</v>
      </c>
      <c r="R81" s="57">
        <f>'[1]links-p0'!L81</f>
        <v>3500</v>
      </c>
      <c r="S81" s="53">
        <f>'[1]generators-p'!H81</f>
        <v>0</v>
      </c>
      <c r="T81" s="53">
        <f>'[1]generators-p'!I81</f>
        <v>8297.2639152396005</v>
      </c>
      <c r="U81" s="57">
        <f>'[1]generators-p'!J81</f>
        <v>367.01</v>
      </c>
      <c r="V81" s="57">
        <f>'[1]links-p0'!G81</f>
        <v>717.28833501223596</v>
      </c>
      <c r="W81" s="57">
        <f>'[1]links-p0'!H81</f>
        <v>0</v>
      </c>
      <c r="X81" s="57">
        <f>'[1]links-p0'!O81</f>
        <v>5000</v>
      </c>
    </row>
    <row r="82" spans="9:24">
      <c r="I82" s="53">
        <f>'[1]buses-marginal_price'!B82</f>
        <v>22</v>
      </c>
      <c r="J82" s="53">
        <f>'[1]generators-p'!B82</f>
        <v>808.16055977500002</v>
      </c>
      <c r="K82" s="53">
        <f>'[1]generators-p'!C82</f>
        <v>7229.6280938422078</v>
      </c>
      <c r="L82" s="62">
        <f>'[1]generators-p'!D82</f>
        <v>2462.66</v>
      </c>
      <c r="M82" s="53">
        <f>'[1]generators-p'!E82</f>
        <v>794.87977565351252</v>
      </c>
      <c r="N82" s="53">
        <f>'[1]generators-p'!F82</f>
        <v>0</v>
      </c>
      <c r="O82" s="53">
        <f>'[1]links-p0'!B82</f>
        <v>12888.67651040831</v>
      </c>
      <c r="P82" s="53">
        <f>'[1]links-p0'!C82</f>
        <v>0</v>
      </c>
      <c r="Q82" s="53">
        <f>'[1]links-p0'!D82</f>
        <v>12794.947151247061</v>
      </c>
      <c r="R82" s="57">
        <f>'[1]links-p0'!L82</f>
        <v>3500</v>
      </c>
      <c r="S82" s="53">
        <f>'[1]generators-p'!H82</f>
        <v>0</v>
      </c>
      <c r="T82" s="53">
        <f>'[1]generators-p'!I82</f>
        <v>7808.7436253820006</v>
      </c>
      <c r="U82" s="57">
        <f>'[1]generators-p'!J82</f>
        <v>367.01</v>
      </c>
      <c r="V82" s="57">
        <f>'[1]links-p0'!G82</f>
        <v>1866.409852491764</v>
      </c>
      <c r="W82" s="57">
        <f>'[1]links-p0'!H82</f>
        <v>0</v>
      </c>
      <c r="X82" s="57">
        <f>'[1]links-p0'!O82</f>
        <v>5000</v>
      </c>
    </row>
    <row r="83" spans="9:24">
      <c r="I83" s="22">
        <f>'[1]buses-marginal_price'!B83</f>
        <v>22</v>
      </c>
      <c r="J83" s="22">
        <f>'[1]generators-p'!B83</f>
        <v>17541.952262035</v>
      </c>
      <c r="K83" s="22">
        <f>'[1]generators-p'!C83</f>
        <v>8348.136342899068</v>
      </c>
      <c r="L83" s="22">
        <f>'[1]generators-p'!D83</f>
        <v>0</v>
      </c>
      <c r="M83" s="22">
        <f>'[1]generators-p'!E83</f>
        <v>794.87977565351252</v>
      </c>
      <c r="N83" s="22">
        <f>'[1]generators-p'!F83</f>
        <v>0</v>
      </c>
      <c r="O83" s="22">
        <f>'[1]links-p0'!B83</f>
        <v>0</v>
      </c>
      <c r="P83" s="22">
        <f>'[1]links-p0'!C83</f>
        <v>0</v>
      </c>
      <c r="Q83" s="22">
        <f>'[1]links-p0'!D83</f>
        <v>8799.5532534298891</v>
      </c>
      <c r="R83" s="3">
        <f>'[1]links-p0'!L83</f>
        <v>3500</v>
      </c>
      <c r="S83" s="22">
        <f>'[1]generators-p'!H83</f>
        <v>3379.7325104400002</v>
      </c>
      <c r="T83" s="22">
        <f>'[1]generators-p'!I83</f>
        <v>6494.726929269601</v>
      </c>
      <c r="U83" s="3">
        <f>'[1]generators-p'!J83</f>
        <v>367.01</v>
      </c>
      <c r="V83" s="3">
        <f>'[1]links-p0'!G83</f>
        <v>0</v>
      </c>
      <c r="W83" s="3">
        <f>'[1]links-p0'!H83</f>
        <v>263.62143970960159</v>
      </c>
      <c r="X83" s="3">
        <f>'[1]links-p0'!O83</f>
        <v>5000</v>
      </c>
    </row>
    <row r="84" spans="9:24">
      <c r="I84" s="20">
        <f>'[1]buses-marginal_price'!B84</f>
        <v>17.60452076568405</v>
      </c>
      <c r="J84" s="20">
        <f>'[1]generators-p'!B84</f>
        <v>42818.540351174997</v>
      </c>
      <c r="K84" s="20">
        <f>'[1]generators-p'!C84</f>
        <v>9234.8761820860545</v>
      </c>
      <c r="L84" s="20">
        <f>'[1]generators-p'!D84</f>
        <v>0</v>
      </c>
      <c r="M84" s="20">
        <f>'[1]generators-p'!E84</f>
        <v>794.87977565351252</v>
      </c>
      <c r="N84" s="20">
        <f>'[1]generators-p'!F84</f>
        <v>0</v>
      </c>
      <c r="O84" s="20">
        <f>'[1]links-p0'!B84</f>
        <v>0</v>
      </c>
      <c r="P84" s="20">
        <f>'[1]links-p0'!C84</f>
        <v>0</v>
      </c>
      <c r="Q84" s="20">
        <f>'[1]links-p0'!D84</f>
        <v>11212.920920703091</v>
      </c>
      <c r="R84" s="1">
        <f>'[1]links-p0'!L84</f>
        <v>3500</v>
      </c>
      <c r="S84" s="20">
        <f>'[1]generators-p'!H84</f>
        <v>7841.3072544471988</v>
      </c>
      <c r="T84" s="20">
        <f>'[1]generators-p'!I84</f>
        <v>5527.7737455528013</v>
      </c>
      <c r="U84" s="1">
        <f>'[1]generators-p'!J84</f>
        <v>367.01</v>
      </c>
      <c r="V84" s="1">
        <f>'[1]links-p0'!G84</f>
        <v>0</v>
      </c>
      <c r="W84" s="1">
        <f>'[1]links-p0'!H84</f>
        <v>3837</v>
      </c>
      <c r="X84" s="1">
        <f>'[1]links-p0'!O84</f>
        <v>5000</v>
      </c>
    </row>
    <row r="85" spans="9:24">
      <c r="I85" s="20">
        <f>'[1]buses-marginal_price'!B85</f>
        <v>17.60452076568405</v>
      </c>
      <c r="J85" s="20">
        <f>'[1]generators-p'!B85</f>
        <v>61579.787439565</v>
      </c>
      <c r="K85" s="20">
        <f>'[1]generators-p'!C85</f>
        <v>10602.74259962927</v>
      </c>
      <c r="L85" s="20">
        <f>'[1]generators-p'!D85</f>
        <v>0</v>
      </c>
      <c r="M85" s="20">
        <f>'[1]generators-p'!E85</f>
        <v>794.87977565351252</v>
      </c>
      <c r="N85" s="20">
        <f>'[1]generators-p'!F85</f>
        <v>0</v>
      </c>
      <c r="O85" s="20">
        <f>'[1]links-p0'!B85</f>
        <v>0</v>
      </c>
      <c r="P85" s="20">
        <f>'[1]links-p0'!C85</f>
        <v>0</v>
      </c>
      <c r="Q85" s="20">
        <f>'[1]links-p0'!D85</f>
        <v>8126.0993365601516</v>
      </c>
      <c r="R85" s="1">
        <f>'[1]links-p0'!L85</f>
        <v>3500</v>
      </c>
      <c r="S85" s="20">
        <f>'[1]generators-p'!H85</f>
        <v>8832.0870308779995</v>
      </c>
      <c r="T85" s="20">
        <f>'[1]generators-p'!I85</f>
        <v>4655.7079691220006</v>
      </c>
      <c r="U85" s="1">
        <f>'[1]generators-p'!J85</f>
        <v>367.01</v>
      </c>
      <c r="V85" s="1">
        <f>'[1]links-p0'!G85</f>
        <v>0</v>
      </c>
      <c r="W85" s="1">
        <f>'[1]links-p0'!H85</f>
        <v>3837</v>
      </c>
      <c r="X85" s="1">
        <f>'[1]links-p0'!O85</f>
        <v>0</v>
      </c>
    </row>
    <row r="86" spans="9:24">
      <c r="I86" s="20">
        <f>'[1]buses-marginal_price'!B86</f>
        <v>17.60452076568405</v>
      </c>
      <c r="J86" s="20">
        <f>'[1]generators-p'!B86</f>
        <v>73094.484489284994</v>
      </c>
      <c r="K86" s="20">
        <f>'[1]generators-p'!C86</f>
        <v>12693.81780410596</v>
      </c>
      <c r="L86" s="20">
        <f>'[1]generators-p'!D86</f>
        <v>0</v>
      </c>
      <c r="M86" s="20">
        <f>'[1]generators-p'!E86</f>
        <v>794.87977565351252</v>
      </c>
      <c r="N86" s="20">
        <f>'[1]generators-p'!F86</f>
        <v>0</v>
      </c>
      <c r="O86" s="20">
        <f>'[1]links-p0'!B86</f>
        <v>0</v>
      </c>
      <c r="P86" s="20">
        <f>'[1]links-p0'!C86</f>
        <v>0</v>
      </c>
      <c r="Q86" s="20">
        <f>'[1]links-p0'!D86</f>
        <v>6685.5223213714544</v>
      </c>
      <c r="R86" s="1">
        <f>'[1]links-p0'!L86</f>
        <v>3500</v>
      </c>
      <c r="S86" s="20">
        <f>'[1]generators-p'!H86</f>
        <v>13941.152</v>
      </c>
      <c r="T86" s="20">
        <f>'[1]generators-p'!I86</f>
        <v>0</v>
      </c>
      <c r="U86" s="1">
        <f>'[1]generators-p'!J86</f>
        <v>0</v>
      </c>
      <c r="V86" s="1">
        <f>'[1]links-p0'!G86</f>
        <v>0</v>
      </c>
      <c r="W86" s="1">
        <f>'[1]links-p0'!H86</f>
        <v>3837</v>
      </c>
      <c r="X86" s="1">
        <f>'[1]links-p0'!O86</f>
        <v>0</v>
      </c>
    </row>
    <row r="87" spans="9:24">
      <c r="I87" s="20">
        <f>'[1]buses-marginal_price'!B87</f>
        <v>17.60452076568405</v>
      </c>
      <c r="J87" s="20">
        <f>'[1]generators-p'!B87</f>
        <v>75389.91715257999</v>
      </c>
      <c r="K87" s="20">
        <f>'[1]generators-p'!C87</f>
        <v>14935.23885635787</v>
      </c>
      <c r="L87" s="20">
        <f>'[1]generators-p'!D87</f>
        <v>0</v>
      </c>
      <c r="M87" s="20">
        <f>'[1]generators-p'!E87</f>
        <v>794.87977565351252</v>
      </c>
      <c r="N87" s="20">
        <f>'[1]generators-p'!F87</f>
        <v>0</v>
      </c>
      <c r="O87" s="20">
        <f>'[1]links-p0'!B87</f>
        <v>0</v>
      </c>
      <c r="P87" s="20">
        <f>'[1]links-p0'!C87</f>
        <v>0</v>
      </c>
      <c r="Q87" s="20">
        <f>'[1]links-p0'!D87</f>
        <v>6728.8791625186132</v>
      </c>
      <c r="R87" s="1">
        <f>'[1]links-p0'!L87</f>
        <v>3500</v>
      </c>
      <c r="S87" s="20">
        <f>'[1]generators-p'!H87</f>
        <v>23748.23780092338</v>
      </c>
      <c r="T87" s="20">
        <f>'[1]generators-p'!I87</f>
        <v>0</v>
      </c>
      <c r="U87" s="1">
        <f>'[1]generators-p'!J87</f>
        <v>0</v>
      </c>
      <c r="V87" s="1">
        <f>'[1]links-p0'!G87</f>
        <v>0</v>
      </c>
      <c r="W87" s="1">
        <f>'[1]links-p0'!H87</f>
        <v>3837</v>
      </c>
      <c r="X87" s="1">
        <f>'[1]links-p0'!O87</f>
        <v>0</v>
      </c>
    </row>
    <row r="88" spans="9:24">
      <c r="I88" s="20">
        <f>'[1]buses-marginal_price'!B88</f>
        <v>17.60452076568405</v>
      </c>
      <c r="J88" s="20">
        <f>'[1]generators-p'!B88</f>
        <v>69286.496295564997</v>
      </c>
      <c r="K88" s="20">
        <f>'[1]generators-p'!C88</f>
        <v>17302.695151216511</v>
      </c>
      <c r="L88" s="20">
        <f>'[1]generators-p'!D88</f>
        <v>0</v>
      </c>
      <c r="M88" s="20">
        <f>'[1]generators-p'!E88</f>
        <v>794.87977565351252</v>
      </c>
      <c r="N88" s="20">
        <f>'[1]generators-p'!F88</f>
        <v>0</v>
      </c>
      <c r="O88" s="20">
        <f>'[1]links-p0'!B88</f>
        <v>0</v>
      </c>
      <c r="P88" s="20">
        <f>'[1]links-p0'!C88</f>
        <v>0</v>
      </c>
      <c r="Q88" s="20">
        <f>'[1]links-p0'!D88</f>
        <v>7202.3847891494725</v>
      </c>
      <c r="R88" s="1">
        <f>'[1]links-p0'!L88</f>
        <v>3500</v>
      </c>
      <c r="S88" s="20">
        <f>'[1]generators-p'!H88</f>
        <v>25654.031999999999</v>
      </c>
      <c r="T88" s="20">
        <f>'[1]generators-p'!I88</f>
        <v>0</v>
      </c>
      <c r="U88" s="1">
        <f>'[1]generators-p'!J88</f>
        <v>0</v>
      </c>
      <c r="V88" s="1">
        <f>'[1]links-p0'!G88</f>
        <v>0</v>
      </c>
      <c r="W88" s="1">
        <f>'[1]links-p0'!H88</f>
        <v>3837</v>
      </c>
      <c r="X88" s="1">
        <f>'[1]links-p0'!O88</f>
        <v>0</v>
      </c>
    </row>
    <row r="89" spans="9:24">
      <c r="I89" s="20">
        <f>'[1]buses-marginal_price'!B89</f>
        <v>17.60452076568405</v>
      </c>
      <c r="J89" s="20">
        <f>'[1]generators-p'!B89</f>
        <v>58818.069274305002</v>
      </c>
      <c r="K89" s="20">
        <f>'[1]generators-p'!C89</f>
        <v>19055.53493100328</v>
      </c>
      <c r="L89" s="20">
        <f>'[1]generators-p'!D89</f>
        <v>0</v>
      </c>
      <c r="M89" s="20">
        <f>'[1]generators-p'!E89</f>
        <v>794.87977565351252</v>
      </c>
      <c r="N89" s="20">
        <f>'[1]generators-p'!F89</f>
        <v>0</v>
      </c>
      <c r="O89" s="20">
        <f>'[1]links-p0'!B89</f>
        <v>0</v>
      </c>
      <c r="P89" s="20">
        <f>'[1]links-p0'!C89</f>
        <v>0</v>
      </c>
      <c r="Q89" s="20">
        <f>'[1]links-p0'!D89</f>
        <v>9329.6814330750749</v>
      </c>
      <c r="R89" s="1">
        <f>'[1]links-p0'!L89</f>
        <v>3500</v>
      </c>
      <c r="S89" s="20">
        <f>'[1]generators-p'!H89</f>
        <v>25681.664000000001</v>
      </c>
      <c r="T89" s="20">
        <f>'[1]generators-p'!I89</f>
        <v>0</v>
      </c>
      <c r="U89" s="1">
        <f>'[1]generators-p'!J89</f>
        <v>0</v>
      </c>
      <c r="V89" s="1">
        <f>'[1]links-p0'!G89</f>
        <v>0</v>
      </c>
      <c r="W89" s="1">
        <f>'[1]links-p0'!H89</f>
        <v>3837</v>
      </c>
      <c r="X89" s="1">
        <f>'[1]links-p0'!O89</f>
        <v>3139.1474637299998</v>
      </c>
    </row>
    <row r="90" spans="9:24">
      <c r="I90" s="20">
        <f>'[1]buses-marginal_price'!B90</f>
        <v>17.60452076568405</v>
      </c>
      <c r="J90" s="20">
        <f>'[1]generators-p'!B90</f>
        <v>40800.48073843</v>
      </c>
      <c r="K90" s="20">
        <f>'[1]generators-p'!C90</f>
        <v>19502.5647707022</v>
      </c>
      <c r="L90" s="20">
        <f>'[1]generators-p'!D90</f>
        <v>0</v>
      </c>
      <c r="M90" s="20">
        <f>'[1]generators-p'!E90</f>
        <v>794.87977565351252</v>
      </c>
      <c r="N90" s="20">
        <f>'[1]generators-p'!F90</f>
        <v>0</v>
      </c>
      <c r="O90" s="20">
        <f>'[1]links-p0'!B90</f>
        <v>0</v>
      </c>
      <c r="P90" s="20">
        <f>'[1]links-p0'!C90</f>
        <v>0</v>
      </c>
      <c r="Q90" s="20">
        <f>'[1]links-p0'!D90</f>
        <v>12788.227664453059</v>
      </c>
      <c r="R90" s="1">
        <f>'[1]links-p0'!L90</f>
        <v>3500</v>
      </c>
      <c r="S90" s="20">
        <f>'[1]generators-p'!H90</f>
        <v>16547.849622000002</v>
      </c>
      <c r="T90" s="20">
        <f>'[1]generators-p'!I90</f>
        <v>4242.9736486872007</v>
      </c>
      <c r="U90" s="1">
        <f>'[1]generators-p'!J90</f>
        <v>367.01</v>
      </c>
      <c r="V90" s="1">
        <f>'[1]links-p0'!G90</f>
        <v>0</v>
      </c>
      <c r="W90" s="1">
        <f>'[1]links-p0'!H90</f>
        <v>3837</v>
      </c>
      <c r="X90" s="1">
        <f>'[1]links-p0'!O90</f>
        <v>0</v>
      </c>
    </row>
    <row r="91" spans="9:24">
      <c r="I91" s="20">
        <f>'[1]buses-marginal_price'!B91</f>
        <v>22</v>
      </c>
      <c r="J91" s="20">
        <f>'[1]generators-p'!B91</f>
        <v>12182.816208914999</v>
      </c>
      <c r="K91" s="20">
        <f>'[1]generators-p'!C91</f>
        <v>18779.82452991965</v>
      </c>
      <c r="L91" s="20">
        <f>'[1]generators-p'!D91</f>
        <v>0</v>
      </c>
      <c r="M91" s="20">
        <f>'[1]generators-p'!E91</f>
        <v>794.87977565351252</v>
      </c>
      <c r="N91" s="20">
        <f>'[1]generators-p'!F91</f>
        <v>0</v>
      </c>
      <c r="O91" s="20">
        <f>'[1]links-p0'!B91</f>
        <v>0</v>
      </c>
      <c r="P91" s="20">
        <f>'[1]links-p0'!C91</f>
        <v>0</v>
      </c>
      <c r="Q91" s="20">
        <f>'[1]links-p0'!D91</f>
        <v>12298.027130509659</v>
      </c>
      <c r="R91" s="1">
        <f>'[1]links-p0'!L91</f>
        <v>3500</v>
      </c>
      <c r="S91" s="20">
        <f>'[1]generators-p'!H91</f>
        <v>6214.0935363600001</v>
      </c>
      <c r="T91" s="20">
        <f>'[1]generators-p'!I91</f>
        <v>6336.3398098644011</v>
      </c>
      <c r="U91" s="1">
        <f>'[1]generators-p'!J91</f>
        <v>367.01</v>
      </c>
      <c r="V91" s="1">
        <f>'[1]links-p0'!G91</f>
        <v>0</v>
      </c>
      <c r="W91" s="1">
        <f>'[1]links-p0'!H91</f>
        <v>2374.4623462244022</v>
      </c>
      <c r="X91" s="1">
        <f>'[1]links-p0'!O91</f>
        <v>5000</v>
      </c>
    </row>
    <row r="92" spans="9:24">
      <c r="I92" s="20">
        <f>'[1]buses-marginal_price'!B92</f>
        <v>22</v>
      </c>
      <c r="J92" s="20">
        <f>'[1]generators-p'!B92</f>
        <v>9.0827655000000007</v>
      </c>
      <c r="K92" s="20">
        <f>'[1]generators-p'!C92</f>
        <v>20441.524096769612</v>
      </c>
      <c r="L92" s="20">
        <f>'[1]generators-p'!D92</f>
        <v>2462.66</v>
      </c>
      <c r="M92" s="20">
        <f>'[1]generators-p'!E92</f>
        <v>794.87977565351252</v>
      </c>
      <c r="N92" s="20">
        <f>'[1]generators-p'!F92</f>
        <v>0</v>
      </c>
      <c r="O92" s="20">
        <f>'[1]links-p0'!B92</f>
        <v>0</v>
      </c>
      <c r="P92" s="20">
        <f>'[1]links-p0'!C92</f>
        <v>0</v>
      </c>
      <c r="Q92" s="20">
        <f>'[1]links-p0'!D92</f>
        <v>14284.415959250689</v>
      </c>
      <c r="R92" s="1">
        <f>'[1]links-p0'!L92</f>
        <v>3500</v>
      </c>
      <c r="S92" s="20">
        <f>'[1]generators-p'!H92</f>
        <v>275.63696684000001</v>
      </c>
      <c r="T92" s="20">
        <f>'[1]generators-p'!I92</f>
        <v>8159.1113248344009</v>
      </c>
      <c r="U92" s="1">
        <f>'[1]generators-p'!J92</f>
        <v>367.01</v>
      </c>
      <c r="V92" s="1">
        <f>'[1]links-p0'!G92</f>
        <v>2509.5443627359969</v>
      </c>
      <c r="W92" s="1">
        <f>'[1]links-p0'!H92</f>
        <v>0</v>
      </c>
      <c r="X92" s="1">
        <f>'[1]links-p0'!O92</f>
        <v>5000</v>
      </c>
    </row>
    <row r="93" spans="9:24">
      <c r="I93" s="20">
        <f>'[1]buses-marginal_price'!B93</f>
        <v>22</v>
      </c>
      <c r="J93" s="20">
        <f>'[1]generators-p'!B93</f>
        <v>0</v>
      </c>
      <c r="K93" s="20">
        <f>'[1]generators-p'!C93</f>
        <v>23384.874651799371</v>
      </c>
      <c r="L93" s="20">
        <f>'[1]generators-p'!D93</f>
        <v>2462.66</v>
      </c>
      <c r="M93" s="20">
        <f>'[1]generators-p'!E93</f>
        <v>794.87977565351252</v>
      </c>
      <c r="N93" s="20">
        <f>'[1]generators-p'!F93</f>
        <v>0</v>
      </c>
      <c r="O93" s="20">
        <f>'[1]links-p0'!B93</f>
        <v>0</v>
      </c>
      <c r="P93" s="20">
        <f>'[1]links-p0'!C93</f>
        <v>0</v>
      </c>
      <c r="Q93" s="20">
        <f>'[1]links-p0'!D93</f>
        <v>13315.277348291869</v>
      </c>
      <c r="R93" s="1">
        <f>'[1]links-p0'!L93</f>
        <v>3500</v>
      </c>
      <c r="S93" s="20">
        <f>'[1]generators-p'!H93</f>
        <v>0</v>
      </c>
      <c r="T93" s="20">
        <f>'[1]generators-p'!I93</f>
        <v>9204.1469323776</v>
      </c>
      <c r="U93" s="1">
        <f>'[1]generators-p'!J93</f>
        <v>367.01</v>
      </c>
      <c r="V93" s="1">
        <f>'[1]links-p0'!G93</f>
        <v>1698.861256026353</v>
      </c>
      <c r="W93" s="1">
        <f>'[1]links-p0'!H93</f>
        <v>0</v>
      </c>
      <c r="X93" s="1">
        <f>'[1]links-p0'!O93</f>
        <v>5000</v>
      </c>
    </row>
    <row r="94" spans="9:24">
      <c r="I94" s="20">
        <f>'[1]buses-marginal_price'!B94</f>
        <v>22</v>
      </c>
      <c r="J94" s="20">
        <f>'[1]generators-p'!B94</f>
        <v>0</v>
      </c>
      <c r="K94" s="20">
        <f>'[1]generators-p'!C94</f>
        <v>25246.37105510366</v>
      </c>
      <c r="L94" s="20">
        <f>'[1]generators-p'!D94</f>
        <v>2462.66</v>
      </c>
      <c r="M94" s="20">
        <f>'[1]generators-p'!E94</f>
        <v>794.87977565351252</v>
      </c>
      <c r="N94" s="20">
        <f>'[1]generators-p'!F94</f>
        <v>0</v>
      </c>
      <c r="O94" s="20">
        <f>'[1]links-p0'!B94</f>
        <v>0</v>
      </c>
      <c r="P94" s="20">
        <f>'[1]links-p0'!C94</f>
        <v>0</v>
      </c>
      <c r="Q94" s="20">
        <f>'[1]links-p0'!D94</f>
        <v>14714.540864913441</v>
      </c>
      <c r="R94" s="1">
        <f>'[1]links-p0'!L94</f>
        <v>3500</v>
      </c>
      <c r="S94" s="20">
        <f>'[1]generators-p'!H94</f>
        <v>0</v>
      </c>
      <c r="T94" s="20">
        <f>'[1]generators-p'!I94</f>
        <v>9824.4592663644016</v>
      </c>
      <c r="U94" s="1">
        <f>'[1]generators-p'!J94</f>
        <v>367.01</v>
      </c>
      <c r="V94" s="1">
        <f>'[1]links-p0'!G94</f>
        <v>664.54086310070363</v>
      </c>
      <c r="W94" s="1">
        <f>'[1]links-p0'!H94</f>
        <v>0</v>
      </c>
      <c r="X94" s="1">
        <f>'[1]links-p0'!O94</f>
        <v>5000</v>
      </c>
    </row>
    <row r="95" spans="9:24">
      <c r="I95" s="20">
        <f>'[1]buses-marginal_price'!B95</f>
        <v>22</v>
      </c>
      <c r="J95" s="20">
        <f>'[1]generators-p'!B95</f>
        <v>0</v>
      </c>
      <c r="K95" s="20">
        <f>'[1]generators-p'!C95</f>
        <v>26455.499012262731</v>
      </c>
      <c r="L95" s="20">
        <f>'[1]generators-p'!D95</f>
        <v>2462.66</v>
      </c>
      <c r="M95" s="20">
        <f>'[1]generators-p'!E95</f>
        <v>794.87977565351252</v>
      </c>
      <c r="N95" s="20">
        <f>'[1]generators-p'!F95</f>
        <v>0</v>
      </c>
      <c r="O95" s="20">
        <f>'[1]links-p0'!B95</f>
        <v>0</v>
      </c>
      <c r="P95" s="20">
        <f>'[1]links-p0'!C95</f>
        <v>0</v>
      </c>
      <c r="Q95" s="20">
        <f>'[1]links-p0'!D95</f>
        <v>11817.530778884629</v>
      </c>
      <c r="R95" s="1">
        <f>'[1]links-p0'!L95</f>
        <v>3500</v>
      </c>
      <c r="S95" s="20">
        <f>'[1]generators-p'!H95</f>
        <v>0</v>
      </c>
      <c r="T95" s="20">
        <f>'[1]generators-p'!I95</f>
        <v>9664.5348963324013</v>
      </c>
      <c r="U95" s="1">
        <f>'[1]generators-p'!J95</f>
        <v>367.01</v>
      </c>
      <c r="V95" s="1">
        <f>'[1]links-p0'!G95</f>
        <v>341.9295337265882</v>
      </c>
      <c r="W95" s="1">
        <f>'[1]links-p0'!H95</f>
        <v>0</v>
      </c>
      <c r="X95" s="1">
        <f>'[1]links-p0'!O95</f>
        <v>5000</v>
      </c>
    </row>
    <row r="96" spans="9:24">
      <c r="I96" s="20">
        <f>'[1]buses-marginal_price'!B96</f>
        <v>22</v>
      </c>
      <c r="J96" s="20">
        <f>'[1]generators-p'!B96</f>
        <v>0</v>
      </c>
      <c r="K96" s="20">
        <f>'[1]generators-p'!C96</f>
        <v>29327.556745317321</v>
      </c>
      <c r="L96" s="20">
        <f>'[1]generators-p'!D96</f>
        <v>2462.66</v>
      </c>
      <c r="M96" s="20">
        <f>'[1]generators-p'!E96</f>
        <v>794.87977565351252</v>
      </c>
      <c r="N96" s="20">
        <f>'[1]generators-p'!F96</f>
        <v>0</v>
      </c>
      <c r="O96" s="20">
        <f>'[1]links-p0'!B96</f>
        <v>0</v>
      </c>
      <c r="P96" s="20">
        <f>'[1]links-p0'!C96</f>
        <v>0</v>
      </c>
      <c r="Q96" s="20">
        <f>'[1]links-p0'!D96</f>
        <v>12445.617455383421</v>
      </c>
      <c r="R96" s="1">
        <f>'[1]links-p0'!L96</f>
        <v>3500</v>
      </c>
      <c r="S96" s="20">
        <f>'[1]generators-p'!H96</f>
        <v>0</v>
      </c>
      <c r="T96" s="20">
        <f>'[1]generators-p'!I96</f>
        <v>9133.4164511520012</v>
      </c>
      <c r="U96" s="1">
        <f>'[1]generators-p'!J96</f>
        <v>367.01</v>
      </c>
      <c r="V96" s="1">
        <f>'[1]links-p0'!G96</f>
        <v>1106.400645703528</v>
      </c>
      <c r="W96" s="1">
        <f>'[1]links-p0'!H96</f>
        <v>0</v>
      </c>
      <c r="X96" s="1">
        <f>'[1]links-p0'!O96</f>
        <v>746.27792890000001</v>
      </c>
    </row>
    <row r="97" spans="9:24">
      <c r="I97" s="20">
        <f>'[1]buses-marginal_price'!B97</f>
        <v>22</v>
      </c>
      <c r="J97" s="20">
        <f>'[1]generators-p'!B97</f>
        <v>0</v>
      </c>
      <c r="K97" s="20">
        <f>'[1]generators-p'!C97</f>
        <v>32495.56085894713</v>
      </c>
      <c r="L97" s="20">
        <f>'[1]generators-p'!D97</f>
        <v>2462.66</v>
      </c>
      <c r="M97" s="20">
        <f>'[1]generators-p'!E97</f>
        <v>794.87977565351252</v>
      </c>
      <c r="N97" s="20">
        <f>'[1]generators-p'!F97</f>
        <v>0</v>
      </c>
      <c r="O97" s="20">
        <f>'[1]links-p0'!B97</f>
        <v>0</v>
      </c>
      <c r="P97" s="20">
        <f>'[1]links-p0'!C97</f>
        <v>0</v>
      </c>
      <c r="Q97" s="20">
        <f>'[1]links-p0'!D97</f>
        <v>13036.39012929132</v>
      </c>
      <c r="R97" s="1">
        <f>'[1]links-p0'!L97</f>
        <v>3500</v>
      </c>
      <c r="S97" s="20">
        <f>'[1]generators-p'!H97</f>
        <v>0</v>
      </c>
      <c r="T97" s="20">
        <f>'[1]generators-p'!I97</f>
        <v>7121.4858036252008</v>
      </c>
      <c r="U97" s="1">
        <f>'[1]generators-p'!J97</f>
        <v>367.01</v>
      </c>
      <c r="V97" s="1">
        <f>'[1]links-p0'!G97</f>
        <v>2887.7284663232908</v>
      </c>
      <c r="W97" s="1">
        <f>'[1]links-p0'!H97</f>
        <v>0</v>
      </c>
      <c r="X97" s="1">
        <f>'[1]links-p0'!O97</f>
        <v>0</v>
      </c>
    </row>
    <row r="98" spans="9:24">
      <c r="I98" s="20">
        <f>'[1]buses-marginal_price'!B98</f>
        <v>22</v>
      </c>
      <c r="J98" s="20">
        <f>'[1]generators-p'!B98</f>
        <v>0</v>
      </c>
      <c r="K98" s="20">
        <f>'[1]generators-p'!C98</f>
        <v>33692.350464731819</v>
      </c>
      <c r="L98" s="20">
        <f>'[1]generators-p'!D98</f>
        <v>0</v>
      </c>
      <c r="M98" s="20">
        <f>'[1]generators-p'!E98</f>
        <v>794.87977565351252</v>
      </c>
      <c r="N98" s="20">
        <f>'[1]generators-p'!F98</f>
        <v>0</v>
      </c>
      <c r="O98" s="20">
        <f>'[1]links-p0'!B98</f>
        <v>0</v>
      </c>
      <c r="P98" s="20">
        <f>'[1]links-p0'!C98</f>
        <v>0</v>
      </c>
      <c r="Q98" s="20">
        <f>'[1]links-p0'!D98</f>
        <v>12309.52232006267</v>
      </c>
      <c r="R98" s="1">
        <f>'[1]links-p0'!L98</f>
        <v>3500</v>
      </c>
      <c r="S98" s="20">
        <f>'[1]generators-p'!H98</f>
        <v>0</v>
      </c>
      <c r="T98" s="20">
        <f>'[1]generators-p'!I98</f>
        <v>4324.9114247724001</v>
      </c>
      <c r="U98" s="1">
        <f>'[1]generators-p'!J98</f>
        <v>367.01</v>
      </c>
      <c r="V98" s="1">
        <f>'[1]links-p0'!G98</f>
        <v>3135</v>
      </c>
      <c r="W98" s="1">
        <f>'[1]links-p0'!H98</f>
        <v>0</v>
      </c>
      <c r="X98" s="1">
        <f>'[1]links-p0'!O98</f>
        <v>0</v>
      </c>
    </row>
    <row r="99" spans="9:24">
      <c r="I99" s="20">
        <f>'[1]buses-marginal_price'!B99</f>
        <v>22</v>
      </c>
      <c r="J99" s="20">
        <f>'[1]generators-p'!B99</f>
        <v>0</v>
      </c>
      <c r="K99" s="20">
        <f>'[1]generators-p'!C99</f>
        <v>31442.18988844772</v>
      </c>
      <c r="L99" s="20">
        <f>'[1]generators-p'!D99</f>
        <v>2462.66</v>
      </c>
      <c r="M99" s="20">
        <f>'[1]generators-p'!E99</f>
        <v>794.87977565351252</v>
      </c>
      <c r="N99" s="20">
        <f>'[1]generators-p'!F99</f>
        <v>0</v>
      </c>
      <c r="O99" s="20">
        <f>'[1]links-p0'!B99</f>
        <v>7120.9488768150441</v>
      </c>
      <c r="P99" s="20">
        <f>'[1]links-p0'!C99</f>
        <v>0</v>
      </c>
      <c r="Q99" s="20">
        <f>'[1]links-p0'!D99</f>
        <v>12739.75499110314</v>
      </c>
      <c r="R99" s="1">
        <f>'[1]links-p0'!L99</f>
        <v>3500</v>
      </c>
      <c r="S99" s="20">
        <f>'[1]generators-p'!H99</f>
        <v>0</v>
      </c>
      <c r="T99" s="20">
        <f>'[1]generators-p'!I99</f>
        <v>2682.3195425879999</v>
      </c>
      <c r="U99" s="1">
        <f>'[1]generators-p'!J99</f>
        <v>367.01</v>
      </c>
      <c r="V99" s="1">
        <f>'[1]links-p0'!G99</f>
        <v>3135</v>
      </c>
      <c r="W99" s="1">
        <f>'[1]links-p0'!H99</f>
        <v>0</v>
      </c>
      <c r="X99" s="1">
        <f>'[1]links-p0'!O99</f>
        <v>0</v>
      </c>
    </row>
    <row r="100" spans="9:24">
      <c r="I100" s="20">
        <f>'[1]buses-marginal_price'!B100</f>
        <v>22</v>
      </c>
      <c r="J100" s="20">
        <f>'[1]generators-p'!B100</f>
        <v>0</v>
      </c>
      <c r="K100" s="20">
        <f>'[1]generators-p'!C100</f>
        <v>30725.5670023684</v>
      </c>
      <c r="L100" s="20">
        <f>'[1]generators-p'!D100</f>
        <v>0</v>
      </c>
      <c r="M100" s="20">
        <f>'[1]generators-p'!E100</f>
        <v>794.87977565351252</v>
      </c>
      <c r="N100" s="20">
        <f>'[1]generators-p'!F100</f>
        <v>0</v>
      </c>
      <c r="O100" s="20">
        <f>'[1]links-p0'!B100</f>
        <v>0</v>
      </c>
      <c r="P100" s="20">
        <f>'[1]links-p0'!C100</f>
        <v>0</v>
      </c>
      <c r="Q100" s="20">
        <f>'[1]links-p0'!D100</f>
        <v>13534.652275159029</v>
      </c>
      <c r="R100" s="1">
        <f>'[1]links-p0'!L100</f>
        <v>3500</v>
      </c>
      <c r="S100" s="20">
        <f>'[1]generators-p'!H100</f>
        <v>0</v>
      </c>
      <c r="T100" s="20">
        <f>'[1]generators-p'!I100</f>
        <v>2284.2667378440001</v>
      </c>
      <c r="U100" s="1">
        <f>'[1]generators-p'!J100</f>
        <v>367.01</v>
      </c>
      <c r="V100" s="1">
        <f>'[1]links-p0'!G100</f>
        <v>3135</v>
      </c>
      <c r="W100" s="1">
        <f>'[1]links-p0'!H100</f>
        <v>0</v>
      </c>
      <c r="X100" s="1">
        <f>'[1]links-p0'!O100</f>
        <v>0</v>
      </c>
    </row>
    <row r="101" spans="9:24">
      <c r="I101" s="20">
        <f>'[1]buses-marginal_price'!B101</f>
        <v>22</v>
      </c>
      <c r="J101" s="20">
        <f>'[1]generators-p'!B101</f>
        <v>0</v>
      </c>
      <c r="K101" s="20">
        <f>'[1]generators-p'!C101</f>
        <v>32808.221044500096</v>
      </c>
      <c r="L101" s="20">
        <f>'[1]generators-p'!D101</f>
        <v>2462.66</v>
      </c>
      <c r="M101" s="20">
        <f>'[1]generators-p'!E101</f>
        <v>794.87977565351252</v>
      </c>
      <c r="N101" s="20">
        <f>'[1]generators-p'!F101</f>
        <v>0</v>
      </c>
      <c r="O101" s="20">
        <f>'[1]links-p0'!B101</f>
        <v>5770.0759640519327</v>
      </c>
      <c r="P101" s="20">
        <f>'[1]links-p0'!C101</f>
        <v>0</v>
      </c>
      <c r="Q101" s="20">
        <f>'[1]links-p0'!D101</f>
        <v>13460.239389597749</v>
      </c>
      <c r="R101" s="1">
        <f>'[1]links-p0'!L101</f>
        <v>3500</v>
      </c>
      <c r="S101" s="20">
        <f>'[1]generators-p'!H101</f>
        <v>0</v>
      </c>
      <c r="T101" s="20">
        <f>'[1]generators-p'!I101</f>
        <v>1881.8896708584</v>
      </c>
      <c r="U101" s="1">
        <f>'[1]generators-p'!J101</f>
        <v>367.01</v>
      </c>
      <c r="V101" s="1">
        <f>'[1]links-p0'!G101</f>
        <v>3135</v>
      </c>
      <c r="W101" s="1">
        <f>'[1]links-p0'!H101</f>
        <v>0</v>
      </c>
      <c r="X101" s="1">
        <f>'[1]links-p0'!O101</f>
        <v>0</v>
      </c>
    </row>
    <row r="102" spans="9:24">
      <c r="I102" s="20">
        <f>'[1]buses-marginal_price'!B102</f>
        <v>22</v>
      </c>
      <c r="J102" s="20">
        <f>'[1]generators-p'!B102</f>
        <v>0</v>
      </c>
      <c r="K102" s="20">
        <f>'[1]generators-p'!C102</f>
        <v>38083.80541485174</v>
      </c>
      <c r="L102" s="20">
        <f>'[1]generators-p'!D102</f>
        <v>2462.66</v>
      </c>
      <c r="M102" s="20">
        <f>'[1]generators-p'!E102</f>
        <v>794.87977565351252</v>
      </c>
      <c r="N102" s="20">
        <f>'[1]generators-p'!F102</f>
        <v>0</v>
      </c>
      <c r="O102" s="20">
        <f>'[1]links-p0'!B102</f>
        <v>0</v>
      </c>
      <c r="P102" s="20">
        <f>'[1]links-p0'!C102</f>
        <v>0</v>
      </c>
      <c r="Q102" s="20">
        <f>'[1]links-p0'!D102</f>
        <v>13061.51519050525</v>
      </c>
      <c r="R102" s="1">
        <f>'[1]links-p0'!L102</f>
        <v>3500</v>
      </c>
      <c r="S102" s="20">
        <f>'[1]generators-p'!H102</f>
        <v>0</v>
      </c>
      <c r="T102" s="20">
        <f>'[1]generators-p'!I102</f>
        <v>1570.9839977915999</v>
      </c>
      <c r="U102" s="1">
        <f>'[1]generators-p'!J102</f>
        <v>367.01</v>
      </c>
      <c r="V102" s="1">
        <f>'[1]links-p0'!G102</f>
        <v>3135</v>
      </c>
      <c r="W102" s="1">
        <f>'[1]links-p0'!H102</f>
        <v>0</v>
      </c>
      <c r="X102" s="1">
        <f>'[1]links-p0'!O102</f>
        <v>0</v>
      </c>
    </row>
    <row r="103" spans="9:24">
      <c r="I103" s="20">
        <f>'[1]buses-marginal_price'!B103</f>
        <v>22</v>
      </c>
      <c r="J103" s="20">
        <f>'[1]generators-p'!B103</f>
        <v>0</v>
      </c>
      <c r="K103" s="20">
        <f>'[1]generators-p'!C103</f>
        <v>43215.925984419227</v>
      </c>
      <c r="L103" s="20">
        <f>'[1]generators-p'!D103</f>
        <v>662.46407404423917</v>
      </c>
      <c r="M103" s="20">
        <f>'[1]generators-p'!E103</f>
        <v>794.87977565351252</v>
      </c>
      <c r="N103" s="20">
        <f>'[1]generators-p'!F103</f>
        <v>0</v>
      </c>
      <c r="O103" s="20">
        <f>'[1]links-p0'!B103</f>
        <v>0</v>
      </c>
      <c r="P103" s="20">
        <f>'[1]links-p0'!C103</f>
        <v>0</v>
      </c>
      <c r="Q103" s="20">
        <f>'[1]links-p0'!D103</f>
        <v>12901.470058906991</v>
      </c>
      <c r="R103" s="1">
        <f>'[1]links-p0'!L103</f>
        <v>3500</v>
      </c>
      <c r="S103" s="20">
        <f>'[1]generators-p'!H103</f>
        <v>0</v>
      </c>
      <c r="T103" s="20">
        <f>'[1]generators-p'!I103</f>
        <v>1388.915171658</v>
      </c>
      <c r="U103" s="1">
        <f>'[1]generators-p'!J103</f>
        <v>367.01</v>
      </c>
      <c r="V103" s="1">
        <f>'[1]links-p0'!G103</f>
        <v>3135</v>
      </c>
      <c r="W103" s="1">
        <f>'[1]links-p0'!H103</f>
        <v>0</v>
      </c>
      <c r="X103" s="1">
        <f>'[1]links-p0'!O103</f>
        <v>0</v>
      </c>
    </row>
    <row r="104" spans="9:24">
      <c r="I104" s="20">
        <f>'[1]buses-marginal_price'!B104</f>
        <v>22</v>
      </c>
      <c r="J104" s="20">
        <f>'[1]generators-p'!B104</f>
        <v>0</v>
      </c>
      <c r="K104" s="20">
        <f>'[1]generators-p'!C104</f>
        <v>45676.77452477238</v>
      </c>
      <c r="L104" s="20">
        <f>'[1]generators-p'!D104</f>
        <v>1398.060363218581</v>
      </c>
      <c r="M104" s="20">
        <f>'[1]generators-p'!E104</f>
        <v>794.87977565351252</v>
      </c>
      <c r="N104" s="20">
        <f>'[1]generators-p'!F104</f>
        <v>0</v>
      </c>
      <c r="O104" s="20">
        <f>'[1]links-p0'!B104</f>
        <v>0</v>
      </c>
      <c r="P104" s="20">
        <f>'[1]links-p0'!C104</f>
        <v>0</v>
      </c>
      <c r="Q104" s="20">
        <f>'[1]links-p0'!D104</f>
        <v>11307.970840134471</v>
      </c>
      <c r="R104" s="1">
        <f>'[1]links-p0'!L104</f>
        <v>3500</v>
      </c>
      <c r="S104" s="20">
        <f>'[1]generators-p'!H104</f>
        <v>0</v>
      </c>
      <c r="T104" s="20">
        <f>'[1]generators-p'!I104</f>
        <v>1383.6655169568</v>
      </c>
      <c r="U104" s="1">
        <f>'[1]generators-p'!J104</f>
        <v>367.01</v>
      </c>
      <c r="V104" s="1">
        <f>'[1]links-p0'!G104</f>
        <v>3135</v>
      </c>
      <c r="W104" s="1">
        <f>'[1]links-p0'!H104</f>
        <v>0</v>
      </c>
      <c r="X104" s="1">
        <f>'[1]links-p0'!O104</f>
        <v>0</v>
      </c>
    </row>
    <row r="105" spans="9:24">
      <c r="I105" s="20">
        <f>'[1]buses-marginal_price'!B105</f>
        <v>22</v>
      </c>
      <c r="J105" s="20">
        <f>'[1]generators-p'!B105</f>
        <v>0</v>
      </c>
      <c r="K105" s="20">
        <f>'[1]generators-p'!C105</f>
        <v>47147.468462484481</v>
      </c>
      <c r="L105" s="20">
        <f>'[1]generators-p'!D105</f>
        <v>2014.9666466511769</v>
      </c>
      <c r="M105" s="20">
        <f>'[1]generators-p'!E105</f>
        <v>794.87977565351252</v>
      </c>
      <c r="N105" s="20">
        <f>'[1]generators-p'!F105</f>
        <v>0</v>
      </c>
      <c r="O105" s="20">
        <f>'[1]links-p0'!B105</f>
        <v>0</v>
      </c>
      <c r="P105" s="20">
        <f>'[1]links-p0'!C105</f>
        <v>0</v>
      </c>
      <c r="Q105" s="20">
        <f>'[1]links-p0'!D105</f>
        <v>13445.204338149169</v>
      </c>
      <c r="R105" s="1">
        <f>'[1]links-p0'!L105</f>
        <v>3500</v>
      </c>
      <c r="S105" s="20">
        <f>'[1]generators-p'!H105</f>
        <v>0</v>
      </c>
      <c r="T105" s="20">
        <f>'[1]generators-p'!I105</f>
        <v>1352.9868906708</v>
      </c>
      <c r="U105" s="1">
        <f>'[1]generators-p'!J105</f>
        <v>367.01</v>
      </c>
      <c r="V105" s="1">
        <f>'[1]links-p0'!G105</f>
        <v>3135</v>
      </c>
      <c r="W105" s="1">
        <f>'[1]links-p0'!H105</f>
        <v>0</v>
      </c>
      <c r="X105" s="1">
        <f>'[1]links-p0'!O105</f>
        <v>0</v>
      </c>
    </row>
    <row r="106" spans="9:24">
      <c r="I106" s="20">
        <f>'[1]buses-marginal_price'!B106</f>
        <v>22</v>
      </c>
      <c r="J106" s="20">
        <f>'[1]generators-p'!B106</f>
        <v>589.20041164499992</v>
      </c>
      <c r="K106" s="20">
        <f>'[1]generators-p'!C106</f>
        <v>49863.399898306299</v>
      </c>
      <c r="L106" s="20">
        <f>'[1]generators-p'!D106</f>
        <v>999.74471880131932</v>
      </c>
      <c r="M106" s="20">
        <f>'[1]generators-p'!E106</f>
        <v>794.87977565351252</v>
      </c>
      <c r="N106" s="20">
        <f>'[1]generators-p'!F106</f>
        <v>0</v>
      </c>
      <c r="O106" s="20">
        <f>'[1]links-p0'!B106</f>
        <v>0</v>
      </c>
      <c r="P106" s="20">
        <f>'[1]links-p0'!C106</f>
        <v>0</v>
      </c>
      <c r="Q106" s="20">
        <f>'[1]links-p0'!D106</f>
        <v>13262.799419456131</v>
      </c>
      <c r="R106" s="1">
        <f>'[1]links-p0'!L106</f>
        <v>3500</v>
      </c>
      <c r="S106" s="20">
        <f>'[1]generators-p'!H106</f>
        <v>0</v>
      </c>
      <c r="T106" s="20">
        <f>'[1]generators-p'!I106</f>
        <v>1141.8532083252001</v>
      </c>
      <c r="U106" s="1">
        <f>'[1]generators-p'!J106</f>
        <v>367.01</v>
      </c>
      <c r="V106" s="1">
        <f>'[1]links-p0'!G106</f>
        <v>3135</v>
      </c>
      <c r="W106" s="1">
        <f>'[1]links-p0'!H106</f>
        <v>0</v>
      </c>
      <c r="X106" s="1">
        <f>'[1]links-p0'!O106</f>
        <v>0</v>
      </c>
    </row>
    <row r="107" spans="9:24">
      <c r="I107" s="20">
        <f>'[1]buses-marginal_price'!B107</f>
        <v>14.025</v>
      </c>
      <c r="J107" s="20">
        <f>'[1]generators-p'!B107</f>
        <v>15869.415774535</v>
      </c>
      <c r="K107" s="20">
        <f>'[1]generators-p'!C107</f>
        <v>52849.775181003577</v>
      </c>
      <c r="L107" s="20">
        <f>'[1]generators-p'!D107</f>
        <v>0</v>
      </c>
      <c r="M107" s="20">
        <f>'[1]generators-p'!E107</f>
        <v>794.87977565351252</v>
      </c>
      <c r="N107" s="20">
        <f>'[1]generators-p'!F107</f>
        <v>0</v>
      </c>
      <c r="O107" s="20">
        <f>'[1]links-p0'!B107</f>
        <v>0</v>
      </c>
      <c r="P107" s="20">
        <f>'[1]links-p0'!C107</f>
        <v>11123.67611735894</v>
      </c>
      <c r="Q107" s="20">
        <f>'[1]links-p0'!D107</f>
        <v>13937.029613833151</v>
      </c>
      <c r="R107" s="1">
        <f>'[1]links-p0'!L107</f>
        <v>3500</v>
      </c>
      <c r="S107" s="20">
        <f>'[1]generators-p'!H107</f>
        <v>4826.8204122399993</v>
      </c>
      <c r="T107" s="20">
        <f>'[1]generators-p'!I107</f>
        <v>1034.4762424835999</v>
      </c>
      <c r="U107" s="1">
        <f>'[1]generators-p'!J107</f>
        <v>367.01</v>
      </c>
      <c r="V107" s="1">
        <f>'[1]links-p0'!G107</f>
        <v>3135</v>
      </c>
      <c r="W107" s="1">
        <f>'[1]links-p0'!H107</f>
        <v>0</v>
      </c>
      <c r="X107" s="1">
        <f>'[1]links-p0'!O107</f>
        <v>0</v>
      </c>
    </row>
    <row r="108" spans="9:24">
      <c r="I108" s="20">
        <f>'[1]buses-marginal_price'!B108</f>
        <v>0</v>
      </c>
      <c r="J108" s="20">
        <f>'[1]generators-p'!B108</f>
        <v>13034.87564859214</v>
      </c>
      <c r="K108" s="20">
        <f>'[1]generators-p'!C108</f>
        <v>56504.39586789751</v>
      </c>
      <c r="L108" s="20">
        <f>'[1]generators-p'!D108</f>
        <v>0</v>
      </c>
      <c r="M108" s="20">
        <f>'[1]generators-p'!E108</f>
        <v>794.87977565351252</v>
      </c>
      <c r="N108" s="20">
        <f>'[1]generators-p'!F108</f>
        <v>2671.4354410077508</v>
      </c>
      <c r="O108" s="20">
        <f>'[1]links-p0'!B108</f>
        <v>0</v>
      </c>
      <c r="P108" s="20">
        <f>'[1]links-p0'!C108</f>
        <v>13320.750632965201</v>
      </c>
      <c r="Q108" s="20">
        <f>'[1]links-p0'!D108</f>
        <v>11713.50110018572</v>
      </c>
      <c r="R108" s="1">
        <f>'[1]links-p0'!L108</f>
        <v>0</v>
      </c>
      <c r="S108" s="20">
        <f>'[1]generators-p'!H108</f>
        <v>9118.4310318923999</v>
      </c>
      <c r="T108" s="20">
        <f>'[1]generators-p'!I108</f>
        <v>774.73796810760007</v>
      </c>
      <c r="V108" s="1">
        <f>'[1]links-p0'!G108</f>
        <v>0</v>
      </c>
      <c r="W108" s="1">
        <f>'[1]links-p0'!H108</f>
        <v>3837</v>
      </c>
      <c r="X108" s="1">
        <f>'[1]links-p0'!O108</f>
        <v>0</v>
      </c>
    </row>
    <row r="109" spans="9:24">
      <c r="I109" s="20">
        <f>'[1]buses-marginal_price'!B109</f>
        <v>0</v>
      </c>
      <c r="J109" s="20">
        <f>'[1]generators-p'!B109</f>
        <v>6574.1743119566599</v>
      </c>
      <c r="K109" s="20">
        <f>'[1]generators-p'!C109</f>
        <v>59127.139771766473</v>
      </c>
      <c r="L109" s="20">
        <f>'[1]generators-p'!D109</f>
        <v>0</v>
      </c>
      <c r="M109" s="20">
        <f>'[1]generators-p'!E109</f>
        <v>794.87977565351252</v>
      </c>
      <c r="N109" s="20">
        <f>'[1]generators-p'!F109</f>
        <v>7050.7220424742754</v>
      </c>
      <c r="O109" s="20">
        <f>'[1]links-p0'!B109</f>
        <v>0</v>
      </c>
      <c r="P109" s="20">
        <f>'[1]links-p0'!C109</f>
        <v>13320.750632965201</v>
      </c>
      <c r="Q109" s="20">
        <f>'[1]links-p0'!D109</f>
        <v>11690.401268885709</v>
      </c>
      <c r="R109" s="1">
        <f>'[1]links-p0'!L109</f>
        <v>0</v>
      </c>
      <c r="S109" s="20">
        <f>'[1]generators-p'!H109</f>
        <v>14565.26804347826</v>
      </c>
      <c r="T109" s="20">
        <f>'[1]generators-p'!I109</f>
        <v>0</v>
      </c>
      <c r="V109" s="1">
        <f>'[1]links-p0'!G109</f>
        <v>0</v>
      </c>
      <c r="W109" s="1">
        <f>'[1]links-p0'!H109</f>
        <v>3837</v>
      </c>
      <c r="X109" s="1">
        <f>'[1]links-p0'!O109</f>
        <v>0</v>
      </c>
    </row>
    <row r="110" spans="9:24">
      <c r="I110" s="20">
        <f>'[1]buses-marginal_price'!B110</f>
        <v>0</v>
      </c>
      <c r="J110" s="20">
        <f>'[1]generators-p'!B110</f>
        <v>42318.910989712997</v>
      </c>
      <c r="K110" s="20">
        <f>'[1]generators-p'!C110</f>
        <v>61539.214438724463</v>
      </c>
      <c r="L110" s="20">
        <f>'[1]generators-p'!D110</f>
        <v>0</v>
      </c>
      <c r="M110" s="20">
        <f>'[1]generators-p'!E110</f>
        <v>0</v>
      </c>
      <c r="N110" s="20">
        <f>'[1]generators-p'!F110</f>
        <v>10275.572480264491</v>
      </c>
      <c r="O110" s="20">
        <f>'[1]links-p0'!B110</f>
        <v>0</v>
      </c>
      <c r="P110" s="20">
        <f>'[1]links-p0'!C110</f>
        <v>13320.750632965201</v>
      </c>
      <c r="Q110" s="20">
        <f>'[1]links-p0'!D110</f>
        <v>11667.301437585709</v>
      </c>
      <c r="R110" s="1">
        <f>'[1]links-p0'!L110</f>
        <v>0</v>
      </c>
      <c r="S110" s="20">
        <f>'[1]generators-p'!H110</f>
        <v>10514.201999999999</v>
      </c>
      <c r="T110" s="20">
        <f>'[1]generators-p'!I110</f>
        <v>0</v>
      </c>
      <c r="V110" s="1">
        <f>'[1]links-p0'!G110</f>
        <v>0</v>
      </c>
      <c r="W110" s="1">
        <f>'[1]links-p0'!H110</f>
        <v>3837</v>
      </c>
      <c r="X110" s="1">
        <f>'[1]links-p0'!O110</f>
        <v>0</v>
      </c>
    </row>
    <row r="111" spans="9:24">
      <c r="I111" s="20">
        <f>'[1]buses-marginal_price'!B111</f>
        <v>0</v>
      </c>
      <c r="J111" s="20">
        <f>'[1]generators-p'!B111</f>
        <v>55573.100721130882</v>
      </c>
      <c r="K111" s="20">
        <f>'[1]generators-p'!C111</f>
        <v>63213.31092521768</v>
      </c>
      <c r="L111" s="20">
        <f>'[1]generators-p'!D111</f>
        <v>0</v>
      </c>
      <c r="M111" s="20">
        <f>'[1]generators-p'!E111</f>
        <v>794.87977565351252</v>
      </c>
      <c r="N111" s="20">
        <f>'[1]generators-p'!F111</f>
        <v>11879.522648548849</v>
      </c>
      <c r="O111" s="20">
        <f>'[1]links-p0'!B111</f>
        <v>0</v>
      </c>
      <c r="P111" s="20">
        <f>'[1]links-p0'!C111</f>
        <v>13320.750632965201</v>
      </c>
      <c r="Q111" s="20">
        <f>'[1]links-p0'!D111</f>
        <v>11667.301437585709</v>
      </c>
      <c r="R111" s="1">
        <f>'[1]links-p0'!L111</f>
        <v>0</v>
      </c>
      <c r="S111" s="20">
        <f>'[1]generators-p'!H111</f>
        <v>22289.083999999999</v>
      </c>
      <c r="T111" s="20">
        <f>'[1]generators-p'!I111</f>
        <v>0</v>
      </c>
      <c r="V111" s="1">
        <f>'[1]links-p0'!G111</f>
        <v>0</v>
      </c>
      <c r="W111" s="1">
        <f>'[1]links-p0'!H111</f>
        <v>3837</v>
      </c>
      <c r="X111" s="1">
        <f>'[1]links-p0'!O111</f>
        <v>0</v>
      </c>
    </row>
    <row r="112" spans="9:24">
      <c r="I112" s="20">
        <f>'[1]buses-marginal_price'!B112</f>
        <v>0</v>
      </c>
      <c r="J112" s="20">
        <f>'[1]generators-p'!B112</f>
        <v>54932.249815650743</v>
      </c>
      <c r="K112" s="20">
        <f>'[1]generators-p'!C112</f>
        <v>63954.563512551031</v>
      </c>
      <c r="L112" s="20">
        <f>'[1]generators-p'!D112</f>
        <v>0</v>
      </c>
      <c r="M112" s="20">
        <f>'[1]generators-p'!E112</f>
        <v>0</v>
      </c>
      <c r="N112" s="20">
        <f>'[1]generators-p'!F112</f>
        <v>11788.77057364913</v>
      </c>
      <c r="O112" s="20">
        <f>'[1]links-p0'!B112</f>
        <v>0</v>
      </c>
      <c r="P112" s="20">
        <f>'[1]links-p0'!C112</f>
        <v>13320.750632965201</v>
      </c>
      <c r="Q112" s="20">
        <f>'[1]links-p0'!D112</f>
        <v>11690.401268885709</v>
      </c>
      <c r="R112" s="1">
        <f>'[1]links-p0'!L112</f>
        <v>0</v>
      </c>
      <c r="S112" s="20">
        <f>'[1]generators-p'!H112</f>
        <v>22249.623</v>
      </c>
      <c r="T112" s="20">
        <f>'[1]generators-p'!I112</f>
        <v>0</v>
      </c>
      <c r="V112" s="1">
        <f>'[1]links-p0'!G112</f>
        <v>0</v>
      </c>
      <c r="W112" s="1">
        <f>'[1]links-p0'!H112</f>
        <v>3837</v>
      </c>
      <c r="X112" s="1">
        <f>'[1]links-p0'!O112</f>
        <v>0</v>
      </c>
    </row>
    <row r="113" spans="9:24">
      <c r="I113" s="20">
        <f>'[1]buses-marginal_price'!B113</f>
        <v>0</v>
      </c>
      <c r="J113" s="20">
        <f>'[1]generators-p'!B113</f>
        <v>58222.366125030872</v>
      </c>
      <c r="K113" s="20">
        <f>'[1]generators-p'!C113</f>
        <v>63107.627880642307</v>
      </c>
      <c r="L113" s="20">
        <f>'[1]generators-p'!D113</f>
        <v>0</v>
      </c>
      <c r="M113" s="20">
        <f>'[1]generators-p'!E113</f>
        <v>0</v>
      </c>
      <c r="N113" s="20">
        <f>'[1]generators-p'!F113</f>
        <v>9227.2567274777412</v>
      </c>
      <c r="O113" s="20">
        <f>'[1]links-p0'!B113</f>
        <v>0</v>
      </c>
      <c r="P113" s="20">
        <f>'[1]links-p0'!C113</f>
        <v>13320.750632965201</v>
      </c>
      <c r="Q113" s="20">
        <f>'[1]links-p0'!D113</f>
        <v>11713.50110018572</v>
      </c>
      <c r="R113" s="1">
        <f>'[1]links-p0'!L113</f>
        <v>0</v>
      </c>
      <c r="S113" s="20">
        <f>'[1]generators-p'!H113</f>
        <v>22250.602999999999</v>
      </c>
      <c r="T113" s="20">
        <f>'[1]generators-p'!I113</f>
        <v>0</v>
      </c>
      <c r="V113" s="1">
        <f>'[1]links-p0'!G113</f>
        <v>0</v>
      </c>
      <c r="W113" s="1">
        <f>'[1]links-p0'!H113</f>
        <v>3837</v>
      </c>
      <c r="X113" s="1">
        <f>'[1]links-p0'!O113</f>
        <v>0</v>
      </c>
    </row>
    <row r="114" spans="9:24">
      <c r="I114" s="20">
        <f>'[1]buses-marginal_price'!B114</f>
        <v>0</v>
      </c>
      <c r="J114" s="20">
        <f>'[1]generators-p'!B114</f>
        <v>50463.336671620003</v>
      </c>
      <c r="K114" s="20">
        <f>'[1]generators-p'!C114</f>
        <v>61800.40762031218</v>
      </c>
      <c r="L114" s="20">
        <f>'[1]generators-p'!D114</f>
        <v>0</v>
      </c>
      <c r="M114" s="20">
        <f>'[1]generators-p'!E114</f>
        <v>794.87977565351252</v>
      </c>
      <c r="N114" s="20">
        <f>'[1]generators-p'!F114</f>
        <v>4629.4806950609509</v>
      </c>
      <c r="O114" s="20">
        <f>'[1]links-p0'!B114</f>
        <v>0</v>
      </c>
      <c r="P114" s="20">
        <f>'[1]links-p0'!C114</f>
        <v>13320.750632965201</v>
      </c>
      <c r="Q114" s="20">
        <f>'[1]links-p0'!D114</f>
        <v>11713.501100185709</v>
      </c>
      <c r="R114" s="1">
        <f>'[1]links-p0'!L114</f>
        <v>0</v>
      </c>
      <c r="S114" s="20">
        <f>'[1]generators-p'!H114</f>
        <v>21765.031838684401</v>
      </c>
      <c r="T114" s="20">
        <f>'[1]generators-p'!I114</f>
        <v>312.96116131560001</v>
      </c>
      <c r="V114" s="1">
        <f>'[1]links-p0'!G114</f>
        <v>0</v>
      </c>
      <c r="W114" s="1">
        <f>'[1]links-p0'!H114</f>
        <v>3837</v>
      </c>
      <c r="X114" s="1">
        <f>'[1]links-p0'!O114</f>
        <v>0</v>
      </c>
    </row>
    <row r="115" spans="9:24">
      <c r="I115" s="20">
        <f>'[1]buses-marginal_price'!B115</f>
        <v>14.025</v>
      </c>
      <c r="J115" s="20">
        <f>'[1]generators-p'!B115</f>
        <v>13507.845852775001</v>
      </c>
      <c r="K115" s="20">
        <f>'[1]generators-p'!C115</f>
        <v>56043.466254120212</v>
      </c>
      <c r="L115" s="20">
        <f>'[1]generators-p'!D115</f>
        <v>0</v>
      </c>
      <c r="M115" s="20">
        <f>'[1]generators-p'!E115</f>
        <v>794.87977565351252</v>
      </c>
      <c r="N115" s="20">
        <f>'[1]generators-p'!F115</f>
        <v>0</v>
      </c>
      <c r="O115" s="20">
        <f>'[1]links-p0'!B115</f>
        <v>0</v>
      </c>
      <c r="P115" s="20">
        <f>'[1]links-p0'!C115</f>
        <v>10109.56370713379</v>
      </c>
      <c r="Q115" s="20">
        <f>'[1]links-p0'!D115</f>
        <v>12676.17817541494</v>
      </c>
      <c r="R115" s="1">
        <f>'[1]links-p0'!L115</f>
        <v>3500</v>
      </c>
      <c r="S115" s="20">
        <f>'[1]generators-p'!H115</f>
        <v>9683.5482133199985</v>
      </c>
      <c r="T115" s="20">
        <f>'[1]generators-p'!I115</f>
        <v>624.48476821920008</v>
      </c>
      <c r="U115" s="1">
        <f>'[1]generators-p'!J115</f>
        <v>367.01</v>
      </c>
      <c r="V115" s="1">
        <f>'[1]links-p0'!G115</f>
        <v>0</v>
      </c>
      <c r="W115" s="1">
        <f>'[1]links-p0'!H115</f>
        <v>113.4609815391982</v>
      </c>
      <c r="X115" s="1">
        <f>'[1]links-p0'!O115</f>
        <v>0</v>
      </c>
    </row>
    <row r="116" spans="9:24">
      <c r="I116" s="20">
        <f>'[1]buses-marginal_price'!B116</f>
        <v>14.025</v>
      </c>
      <c r="J116" s="20">
        <f>'[1]generators-p'!B116</f>
        <v>15.96776092</v>
      </c>
      <c r="K116" s="20">
        <f>'[1]generators-p'!C116</f>
        <v>49015.923932807389</v>
      </c>
      <c r="L116" s="20">
        <f>'[1]generators-p'!D116</f>
        <v>0</v>
      </c>
      <c r="M116" s="20">
        <f>'[1]generators-p'!E116</f>
        <v>794.87977565351252</v>
      </c>
      <c r="N116" s="20">
        <f>'[1]generators-p'!F116</f>
        <v>0</v>
      </c>
      <c r="O116" s="20">
        <f>'[1]links-p0'!B116</f>
        <v>0</v>
      </c>
      <c r="P116" s="20">
        <f>'[1]links-p0'!C116</f>
        <v>0</v>
      </c>
      <c r="Q116" s="20">
        <f>'[1]links-p0'!D116</f>
        <v>15500</v>
      </c>
      <c r="R116" s="1">
        <f>'[1]links-p0'!L116</f>
        <v>0</v>
      </c>
      <c r="S116" s="20">
        <f>'[1]generators-p'!H116</f>
        <v>416.62894279999989</v>
      </c>
      <c r="T116" s="20">
        <f>'[1]generators-p'!I116</f>
        <v>923.74716402360013</v>
      </c>
      <c r="U116" s="1">
        <f>'[1]generators-p'!J116</f>
        <v>367.01</v>
      </c>
      <c r="V116" s="1">
        <f>'[1]links-p0'!G116</f>
        <v>3135</v>
      </c>
      <c r="W116" s="1">
        <f>'[1]links-p0'!H116</f>
        <v>0</v>
      </c>
      <c r="X116" s="1">
        <f>'[1]links-p0'!O116</f>
        <v>0</v>
      </c>
    </row>
    <row r="117" spans="9:24">
      <c r="I117" s="20">
        <f>'[1]buses-marginal_price'!B117</f>
        <v>14.025</v>
      </c>
      <c r="J117" s="20">
        <f>'[1]generators-p'!B117</f>
        <v>0</v>
      </c>
      <c r="K117" s="20">
        <f>'[1]generators-p'!C117</f>
        <v>44376.945800292582</v>
      </c>
      <c r="L117" s="20">
        <f>'[1]generators-p'!D117</f>
        <v>0</v>
      </c>
      <c r="M117" s="20">
        <f>'[1]generators-p'!E117</f>
        <v>794.87977565351252</v>
      </c>
      <c r="N117" s="20">
        <f>'[1]generators-p'!F117</f>
        <v>0</v>
      </c>
      <c r="O117" s="20">
        <f>'[1]links-p0'!B117</f>
        <v>0</v>
      </c>
      <c r="P117" s="20">
        <f>'[1]links-p0'!C117</f>
        <v>0</v>
      </c>
      <c r="Q117" s="20">
        <f>'[1]links-p0'!D117</f>
        <v>15500</v>
      </c>
      <c r="R117" s="1">
        <f>'[1]links-p0'!L117</f>
        <v>0</v>
      </c>
      <c r="S117" s="20">
        <f>'[1]generators-p'!H117</f>
        <v>0</v>
      </c>
      <c r="T117" s="20">
        <f>'[1]generators-p'!I117</f>
        <v>1061.297647074</v>
      </c>
      <c r="V117" s="1">
        <f>'[1]links-p0'!G117</f>
        <v>3135</v>
      </c>
      <c r="W117" s="1">
        <f>'[1]links-p0'!H117</f>
        <v>0</v>
      </c>
      <c r="X117" s="1">
        <f>'[1]links-p0'!O117</f>
        <v>0</v>
      </c>
    </row>
    <row r="118" spans="9:24">
      <c r="I118" s="20">
        <f>'[1]buses-marginal_price'!B118</f>
        <v>14.025</v>
      </c>
      <c r="J118" s="20">
        <f>'[1]generators-p'!B118</f>
        <v>0</v>
      </c>
      <c r="K118" s="20">
        <f>'[1]generators-p'!C118</f>
        <v>43141.369496151427</v>
      </c>
      <c r="L118" s="20">
        <f>'[1]generators-p'!D118</f>
        <v>0</v>
      </c>
      <c r="M118" s="20">
        <f>'[1]generators-p'!E118</f>
        <v>794.87977565351252</v>
      </c>
      <c r="N118" s="20">
        <f>'[1]generators-p'!F118</f>
        <v>0</v>
      </c>
      <c r="O118" s="20">
        <f>'[1]links-p0'!B118</f>
        <v>0</v>
      </c>
      <c r="P118" s="20">
        <f>'[1]links-p0'!C118</f>
        <v>0</v>
      </c>
      <c r="Q118" s="20">
        <f>'[1]links-p0'!D118</f>
        <v>15500</v>
      </c>
      <c r="R118" s="1">
        <f>'[1]links-p0'!L118</f>
        <v>0</v>
      </c>
      <c r="S118" s="20">
        <f>'[1]generators-p'!H118</f>
        <v>0</v>
      </c>
      <c r="T118" s="20">
        <f>'[1]generators-p'!I118</f>
        <v>1029.0282787763999</v>
      </c>
      <c r="V118" s="1">
        <f>'[1]links-p0'!G118</f>
        <v>3135</v>
      </c>
      <c r="W118" s="1">
        <f>'[1]links-p0'!H118</f>
        <v>0</v>
      </c>
      <c r="X118" s="1">
        <f>'[1]links-p0'!O118</f>
        <v>0</v>
      </c>
    </row>
    <row r="119" spans="9:24">
      <c r="I119" s="20">
        <f>'[1]buses-marginal_price'!B119</f>
        <v>14.025</v>
      </c>
      <c r="J119" s="20">
        <f>'[1]generators-p'!B119</f>
        <v>0</v>
      </c>
      <c r="K119" s="20">
        <f>'[1]generators-p'!C119</f>
        <v>43170.125414566843</v>
      </c>
      <c r="L119" s="20">
        <f>'[1]generators-p'!D119</f>
        <v>0</v>
      </c>
      <c r="M119" s="20">
        <f>'[1]generators-p'!E119</f>
        <v>794.87977565351252</v>
      </c>
      <c r="N119" s="20">
        <f>'[1]generators-p'!F119</f>
        <v>0</v>
      </c>
      <c r="O119" s="20">
        <f>'[1]links-p0'!B119</f>
        <v>0</v>
      </c>
      <c r="P119" s="20">
        <f>'[1]links-p0'!C119</f>
        <v>0</v>
      </c>
      <c r="Q119" s="20">
        <f>'[1]links-p0'!D119</f>
        <v>15500</v>
      </c>
      <c r="R119" s="1">
        <f>'[1]links-p0'!L119</f>
        <v>0</v>
      </c>
      <c r="S119" s="20">
        <f>'[1]generators-p'!H119</f>
        <v>0</v>
      </c>
      <c r="T119" s="20">
        <f>'[1]generators-p'!I119</f>
        <v>1004.0041039896</v>
      </c>
      <c r="U119" s="1">
        <f>'[1]generators-p'!J119</f>
        <v>367.01</v>
      </c>
      <c r="V119" s="1">
        <f>'[1]links-p0'!G119</f>
        <v>3135</v>
      </c>
      <c r="W119" s="1">
        <f>'[1]links-p0'!H119</f>
        <v>0</v>
      </c>
      <c r="X119" s="1">
        <f>'[1]links-p0'!O119</f>
        <v>0</v>
      </c>
    </row>
    <row r="120" spans="9:24">
      <c r="I120" s="20">
        <f>'[1]buses-marginal_price'!B120</f>
        <v>14.025</v>
      </c>
      <c r="J120" s="20">
        <f>'[1]generators-p'!B120</f>
        <v>0</v>
      </c>
      <c r="K120" s="20">
        <f>'[1]generators-p'!C120</f>
        <v>43085.999807524313</v>
      </c>
      <c r="L120" s="20">
        <f>'[1]generators-p'!D120</f>
        <v>0</v>
      </c>
      <c r="M120" s="20">
        <f>'[1]generators-p'!E120</f>
        <v>794.87977565351252</v>
      </c>
      <c r="N120" s="20">
        <f>'[1]generators-p'!F120</f>
        <v>0</v>
      </c>
      <c r="O120" s="20">
        <f>'[1]links-p0'!B120</f>
        <v>0</v>
      </c>
      <c r="P120" s="20">
        <f>'[1]links-p0'!C120</f>
        <v>0</v>
      </c>
      <c r="Q120" s="20">
        <f>'[1]links-p0'!D120</f>
        <v>15500</v>
      </c>
      <c r="R120" s="1">
        <f>'[1]links-p0'!L120</f>
        <v>3500</v>
      </c>
      <c r="S120" s="20">
        <f>'[1]generators-p'!H120</f>
        <v>0</v>
      </c>
      <c r="T120" s="20">
        <f>'[1]generators-p'!I120</f>
        <v>975.65655917520007</v>
      </c>
      <c r="U120" s="1">
        <f>'[1]generators-p'!J120</f>
        <v>367.01</v>
      </c>
      <c r="V120" s="1">
        <f>'[1]links-p0'!G120</f>
        <v>3135</v>
      </c>
      <c r="W120" s="1">
        <f>'[1]links-p0'!H120</f>
        <v>0</v>
      </c>
      <c r="X120" s="1">
        <f>'[1]links-p0'!O120</f>
        <v>0</v>
      </c>
    </row>
    <row r="121" spans="9:24">
      <c r="I121" s="20">
        <f>'[1]buses-marginal_price'!B121</f>
        <v>14.025</v>
      </c>
      <c r="J121" s="20">
        <f>'[1]generators-p'!B121</f>
        <v>0</v>
      </c>
      <c r="K121" s="20">
        <f>'[1]generators-p'!C121</f>
        <v>43948.385436640448</v>
      </c>
      <c r="L121" s="20">
        <f>'[1]generators-p'!D121</f>
        <v>0</v>
      </c>
      <c r="M121" s="20">
        <f>'[1]generators-p'!E121</f>
        <v>794.87977565351252</v>
      </c>
      <c r="N121" s="20">
        <f>'[1]generators-p'!F121</f>
        <v>0</v>
      </c>
      <c r="O121" s="20">
        <f>'[1]links-p0'!B121</f>
        <v>0</v>
      </c>
      <c r="P121" s="20">
        <f>'[1]links-p0'!C121</f>
        <v>13320.750632965201</v>
      </c>
      <c r="Q121" s="20">
        <f>'[1]links-p0'!D121</f>
        <v>15500</v>
      </c>
      <c r="R121" s="1">
        <f>'[1]links-p0'!L121</f>
        <v>3500</v>
      </c>
      <c r="S121" s="20">
        <f>'[1]generators-p'!H121</f>
        <v>0</v>
      </c>
      <c r="T121" s="20">
        <f>'[1]generators-p'!I121</f>
        <v>1025.5935710412</v>
      </c>
      <c r="U121" s="1">
        <f>'[1]generators-p'!J121</f>
        <v>367.01</v>
      </c>
      <c r="V121" s="1">
        <f>'[1]links-p0'!G121</f>
        <v>3135</v>
      </c>
      <c r="W121" s="1">
        <f>'[1]links-p0'!H121</f>
        <v>0</v>
      </c>
      <c r="X121" s="1">
        <f>'[1]links-p0'!O121</f>
        <v>0</v>
      </c>
    </row>
    <row r="122" spans="9:24">
      <c r="I122" s="20">
        <f>'[1]buses-marginal_price'!B122</f>
        <v>14.025</v>
      </c>
      <c r="J122" s="20">
        <f>'[1]generators-p'!B122</f>
        <v>0</v>
      </c>
      <c r="K122" s="20">
        <f>'[1]generators-p'!C122</f>
        <v>45259.381238917129</v>
      </c>
      <c r="L122" s="20">
        <f>'[1]generators-p'!D122</f>
        <v>0</v>
      </c>
      <c r="M122" s="20">
        <f>'[1]generators-p'!E122</f>
        <v>794.87977565351252</v>
      </c>
      <c r="N122" s="20">
        <f>'[1]generators-p'!F122</f>
        <v>0</v>
      </c>
      <c r="O122" s="20">
        <f>'[1]links-p0'!B122</f>
        <v>0</v>
      </c>
      <c r="P122" s="20">
        <f>'[1]links-p0'!C122</f>
        <v>0</v>
      </c>
      <c r="Q122" s="20">
        <f>'[1]links-p0'!D122</f>
        <v>15500</v>
      </c>
      <c r="R122" s="1">
        <f>'[1]links-p0'!L122</f>
        <v>3500</v>
      </c>
      <c r="S122" s="20">
        <f>'[1]generators-p'!H122</f>
        <v>0</v>
      </c>
      <c r="T122" s="20">
        <f>'[1]generators-p'!I122</f>
        <v>1175.7334363236</v>
      </c>
      <c r="U122" s="1">
        <f>'[1]generators-p'!J122</f>
        <v>367.01</v>
      </c>
      <c r="V122" s="1">
        <f>'[1]links-p0'!G122</f>
        <v>3135</v>
      </c>
      <c r="W122" s="1">
        <f>'[1]links-p0'!H122</f>
        <v>0</v>
      </c>
      <c r="X122" s="1">
        <f>'[1]links-p0'!O122</f>
        <v>0</v>
      </c>
    </row>
    <row r="123" spans="9:24">
      <c r="I123" s="20">
        <f>'[1]buses-marginal_price'!B123</f>
        <v>14.025</v>
      </c>
      <c r="J123" s="20">
        <f>'[1]generators-p'!B123</f>
        <v>0</v>
      </c>
      <c r="K123" s="20">
        <f>'[1]generators-p'!C123</f>
        <v>45336.453592351907</v>
      </c>
      <c r="L123" s="20">
        <f>'[1]generators-p'!D123</f>
        <v>0</v>
      </c>
      <c r="M123" s="20">
        <f>'[1]generators-p'!E123</f>
        <v>794.87977565351252</v>
      </c>
      <c r="N123" s="20">
        <f>'[1]generators-p'!F123</f>
        <v>0</v>
      </c>
      <c r="O123" s="20">
        <f>'[1]links-p0'!B123</f>
        <v>0</v>
      </c>
      <c r="P123" s="20">
        <f>'[1]links-p0'!C123</f>
        <v>13320.750632965201</v>
      </c>
      <c r="Q123" s="20">
        <f>'[1]links-p0'!D123</f>
        <v>15500</v>
      </c>
      <c r="R123" s="1">
        <f>'[1]links-p0'!L123</f>
        <v>3500</v>
      </c>
      <c r="S123" s="20">
        <f>'[1]generators-p'!H123</f>
        <v>0</v>
      </c>
      <c r="T123" s="20">
        <f>'[1]generators-p'!I123</f>
        <v>1284.1651469051999</v>
      </c>
      <c r="V123" s="1">
        <f>'[1]links-p0'!G123</f>
        <v>3135</v>
      </c>
      <c r="W123" s="1">
        <f>'[1]links-p0'!H123</f>
        <v>0</v>
      </c>
      <c r="X123" s="1">
        <f>'[1]links-p0'!O123</f>
        <v>0</v>
      </c>
    </row>
    <row r="124" spans="9:24">
      <c r="I124" s="20">
        <f>'[1]buses-marginal_price'!B124</f>
        <v>14.025</v>
      </c>
      <c r="J124" s="20">
        <f>'[1]generators-p'!B124</f>
        <v>0</v>
      </c>
      <c r="K124" s="20">
        <f>'[1]generators-p'!C124</f>
        <v>44732.989467109794</v>
      </c>
      <c r="L124" s="20">
        <f>'[1]generators-p'!D124</f>
        <v>0</v>
      </c>
      <c r="M124" s="20">
        <f>'[1]generators-p'!E124</f>
        <v>794.87977565351252</v>
      </c>
      <c r="N124" s="20">
        <f>'[1]generators-p'!F124</f>
        <v>0</v>
      </c>
      <c r="O124" s="20">
        <f>'[1]links-p0'!B124</f>
        <v>0</v>
      </c>
      <c r="P124" s="20">
        <f>'[1]links-p0'!C124</f>
        <v>0</v>
      </c>
      <c r="Q124" s="20">
        <f>'[1]links-p0'!D124</f>
        <v>15500</v>
      </c>
      <c r="R124" s="1">
        <f>'[1]links-p0'!L124</f>
        <v>3500</v>
      </c>
      <c r="S124" s="20">
        <f>'[1]generators-p'!H124</f>
        <v>0</v>
      </c>
      <c r="T124" s="20">
        <f>'[1]generators-p'!I124</f>
        <v>1594.6622205696001</v>
      </c>
      <c r="U124" s="1">
        <f>'[1]generators-p'!J124</f>
        <v>367.01</v>
      </c>
      <c r="V124" s="1">
        <f>'[1]links-p0'!G124</f>
        <v>3135</v>
      </c>
      <c r="W124" s="1">
        <f>'[1]links-p0'!H124</f>
        <v>0</v>
      </c>
      <c r="X124" s="1">
        <f>'[1]links-p0'!O124</f>
        <v>0</v>
      </c>
    </row>
    <row r="125" spans="9:24">
      <c r="I125" s="20">
        <f>'[1]buses-marginal_price'!B125</f>
        <v>14.025</v>
      </c>
      <c r="J125" s="20">
        <f>'[1]generators-p'!B125</f>
        <v>0</v>
      </c>
      <c r="K125" s="20">
        <f>'[1]generators-p'!C125</f>
        <v>44617.578306515723</v>
      </c>
      <c r="L125" s="20">
        <f>'[1]generators-p'!D125</f>
        <v>0</v>
      </c>
      <c r="M125" s="20">
        <f>'[1]generators-p'!E125</f>
        <v>794.87977565351252</v>
      </c>
      <c r="N125" s="20">
        <f>'[1]generators-p'!F125</f>
        <v>0</v>
      </c>
      <c r="O125" s="20">
        <f>'[1]links-p0'!B125</f>
        <v>0</v>
      </c>
      <c r="P125" s="20">
        <f>'[1]links-p0'!C125</f>
        <v>8722.2838805998363</v>
      </c>
      <c r="Q125" s="20">
        <f>'[1]links-p0'!D125</f>
        <v>15500</v>
      </c>
      <c r="R125" s="1">
        <f>'[1]links-p0'!L125</f>
        <v>3500</v>
      </c>
      <c r="S125" s="20">
        <f>'[1]generators-p'!H125</f>
        <v>0</v>
      </c>
      <c r="T125" s="20">
        <f>'[1]generators-p'!I125</f>
        <v>1970.7201666431999</v>
      </c>
      <c r="U125" s="1">
        <f>'[1]generators-p'!J125</f>
        <v>367.01</v>
      </c>
      <c r="V125" s="1">
        <f>'[1]links-p0'!G125</f>
        <v>3135</v>
      </c>
      <c r="W125" s="1">
        <f>'[1]links-p0'!H125</f>
        <v>0</v>
      </c>
      <c r="X125" s="1">
        <f>'[1]links-p0'!O125</f>
        <v>0</v>
      </c>
    </row>
    <row r="126" spans="9:24">
      <c r="I126" s="20">
        <f>'[1]buses-marginal_price'!B126</f>
        <v>14.025</v>
      </c>
      <c r="J126" s="20">
        <f>'[1]generators-p'!B126</f>
        <v>0</v>
      </c>
      <c r="K126" s="20">
        <f>'[1]generators-p'!C126</f>
        <v>44463.425337664652</v>
      </c>
      <c r="L126" s="20">
        <f>'[1]generators-p'!D126</f>
        <v>0</v>
      </c>
      <c r="M126" s="20">
        <f>'[1]generators-p'!E126</f>
        <v>794.87977565351252</v>
      </c>
      <c r="N126" s="20">
        <f>'[1]generators-p'!F126</f>
        <v>0</v>
      </c>
      <c r="O126" s="20">
        <f>'[1]links-p0'!B126</f>
        <v>0</v>
      </c>
      <c r="P126" s="20">
        <f>'[1]links-p0'!C126</f>
        <v>13320.750632965201</v>
      </c>
      <c r="Q126" s="20">
        <f>'[1]links-p0'!D126</f>
        <v>15500</v>
      </c>
      <c r="R126" s="1">
        <f>'[1]links-p0'!L126</f>
        <v>3500</v>
      </c>
      <c r="S126" s="20">
        <f>'[1]generators-p'!H126</f>
        <v>0</v>
      </c>
      <c r="T126" s="20">
        <f>'[1]generators-p'!I126</f>
        <v>2484.9453824495999</v>
      </c>
      <c r="U126" s="1">
        <f>'[1]generators-p'!J126</f>
        <v>367.01</v>
      </c>
      <c r="V126" s="1">
        <f>'[1]links-p0'!G126</f>
        <v>3135</v>
      </c>
      <c r="W126" s="1">
        <f>'[1]links-p0'!H126</f>
        <v>0</v>
      </c>
      <c r="X126" s="1">
        <f>'[1]links-p0'!O126</f>
        <v>0</v>
      </c>
    </row>
    <row r="127" spans="9:24">
      <c r="I127" s="20">
        <f>'[1]buses-marginal_price'!B127</f>
        <v>14.025</v>
      </c>
      <c r="J127" s="20">
        <f>'[1]generators-p'!B127</f>
        <v>0</v>
      </c>
      <c r="K127" s="20">
        <f>'[1]generators-p'!C127</f>
        <v>43957.397697861968</v>
      </c>
      <c r="L127" s="20">
        <f>'[1]generators-p'!D127</f>
        <v>0</v>
      </c>
      <c r="M127" s="20">
        <f>'[1]generators-p'!E127</f>
        <v>794.87977565351252</v>
      </c>
      <c r="N127" s="20">
        <f>'[1]generators-p'!F127</f>
        <v>0</v>
      </c>
      <c r="O127" s="20">
        <f>'[1]links-p0'!B127</f>
        <v>0</v>
      </c>
      <c r="P127" s="20">
        <f>'[1]links-p0'!C127</f>
        <v>0</v>
      </c>
      <c r="Q127" s="20">
        <f>'[1]links-p0'!D127</f>
        <v>15500</v>
      </c>
      <c r="R127" s="1">
        <f>'[1]links-p0'!L127</f>
        <v>2026.669196652407</v>
      </c>
      <c r="S127" s="20">
        <f>'[1]generators-p'!H127</f>
        <v>0</v>
      </c>
      <c r="T127" s="20">
        <f>'[1]generators-p'!I127</f>
        <v>2901.8155768811998</v>
      </c>
      <c r="U127" s="1">
        <f>'[1]generators-p'!J127</f>
        <v>367.01</v>
      </c>
      <c r="V127" s="1">
        <f>'[1]links-p0'!G127</f>
        <v>3135</v>
      </c>
      <c r="W127" s="1">
        <f>'[1]links-p0'!H127</f>
        <v>0</v>
      </c>
      <c r="X127" s="1">
        <f>'[1]links-p0'!O127</f>
        <v>0</v>
      </c>
    </row>
    <row r="128" spans="9:24">
      <c r="I128" s="20">
        <f>'[1]buses-marginal_price'!B128</f>
        <v>14.025</v>
      </c>
      <c r="J128" s="20">
        <f>'[1]generators-p'!B128</f>
        <v>0</v>
      </c>
      <c r="K128" s="20">
        <f>'[1]generators-p'!C128</f>
        <v>43398.565898287947</v>
      </c>
      <c r="L128" s="20">
        <f>'[1]generators-p'!D128</f>
        <v>0</v>
      </c>
      <c r="M128" s="20">
        <f>'[1]generators-p'!E128</f>
        <v>794.87977565351252</v>
      </c>
      <c r="N128" s="20">
        <f>'[1]generators-p'!F128</f>
        <v>0</v>
      </c>
      <c r="O128" s="20">
        <f>'[1]links-p0'!B128</f>
        <v>0</v>
      </c>
      <c r="P128" s="20">
        <f>'[1]links-p0'!C128</f>
        <v>13320.750632965201</v>
      </c>
      <c r="Q128" s="20">
        <f>'[1]links-p0'!D128</f>
        <v>15500</v>
      </c>
      <c r="R128" s="1">
        <f>'[1]links-p0'!L128</f>
        <v>1414.4880560888</v>
      </c>
      <c r="S128" s="20">
        <f>'[1]generators-p'!H128</f>
        <v>0</v>
      </c>
      <c r="T128" s="20">
        <f>'[1]generators-p'!I128</f>
        <v>3121.984056088801</v>
      </c>
      <c r="U128" s="1">
        <f>'[1]generators-p'!J128</f>
        <v>367.01</v>
      </c>
      <c r="V128" s="1">
        <f>'[1]links-p0'!G128</f>
        <v>3135</v>
      </c>
      <c r="W128" s="1">
        <f>'[1]links-p0'!H128</f>
        <v>0</v>
      </c>
      <c r="X128" s="1">
        <f>'[1]links-p0'!O128</f>
        <v>0</v>
      </c>
    </row>
    <row r="129" spans="9:24">
      <c r="I129" s="20">
        <f>'[1]buses-marginal_price'!B129</f>
        <v>14.025</v>
      </c>
      <c r="J129" s="20">
        <f>'[1]generators-p'!B129</f>
        <v>0</v>
      </c>
      <c r="K129" s="20">
        <f>'[1]generators-p'!C129</f>
        <v>41996.963607079451</v>
      </c>
      <c r="L129" s="20">
        <f>'[1]generators-p'!D129</f>
        <v>0</v>
      </c>
      <c r="M129" s="20">
        <f>'[1]generators-p'!E129</f>
        <v>794.87977565351252</v>
      </c>
      <c r="N129" s="20">
        <f>'[1]generators-p'!F129</f>
        <v>0</v>
      </c>
      <c r="O129" s="20">
        <f>'[1]links-p0'!B129</f>
        <v>0</v>
      </c>
      <c r="P129" s="20">
        <f>'[1]links-p0'!C129</f>
        <v>13320.750632965201</v>
      </c>
      <c r="Q129" s="20">
        <f>'[1]links-p0'!D129</f>
        <v>15500</v>
      </c>
      <c r="R129" s="1">
        <f>'[1]links-p0'!L129</f>
        <v>1236.5047157432</v>
      </c>
      <c r="S129" s="20">
        <f>'[1]generators-p'!H129</f>
        <v>0</v>
      </c>
      <c r="T129" s="20">
        <f>'[1]generators-p'!I129</f>
        <v>3008.4647157432</v>
      </c>
      <c r="U129" s="1">
        <f>'[1]generators-p'!J129</f>
        <v>367.01</v>
      </c>
      <c r="V129" s="1">
        <f>'[1]links-p0'!G129</f>
        <v>3135</v>
      </c>
      <c r="W129" s="1">
        <f>'[1]links-p0'!H129</f>
        <v>0</v>
      </c>
      <c r="X129" s="1">
        <f>'[1]links-p0'!O129</f>
        <v>0</v>
      </c>
    </row>
    <row r="130" spans="9:24">
      <c r="I130" s="20">
        <f>'[1]buses-marginal_price'!B130</f>
        <v>14.025</v>
      </c>
      <c r="J130" s="20">
        <f>'[1]generators-p'!B130</f>
        <v>1089.0108605099999</v>
      </c>
      <c r="K130" s="20">
        <f>'[1]generators-p'!C130</f>
        <v>40071.69526356073</v>
      </c>
      <c r="L130" s="20">
        <f>'[1]generators-p'!D130</f>
        <v>0</v>
      </c>
      <c r="M130" s="20">
        <f>'[1]generators-p'!E130</f>
        <v>794.87977565351252</v>
      </c>
      <c r="N130" s="20">
        <f>'[1]generators-p'!F130</f>
        <v>0</v>
      </c>
      <c r="O130" s="20">
        <f>'[1]links-p0'!B130</f>
        <v>0</v>
      </c>
      <c r="P130" s="20">
        <f>'[1]links-p0'!C130</f>
        <v>13320.750632965201</v>
      </c>
      <c r="Q130" s="20">
        <f>'[1]links-p0'!D130</f>
        <v>15500</v>
      </c>
      <c r="R130" s="1">
        <f>'[1]links-p0'!L130</f>
        <v>404.81008111760087</v>
      </c>
      <c r="S130" s="20">
        <f>'[1]generators-p'!H130</f>
        <v>0.91376827999999999</v>
      </c>
      <c r="T130" s="20">
        <f>'[1]generators-p'!I130</f>
        <v>2266.1433128376002</v>
      </c>
      <c r="U130" s="1">
        <f>'[1]generators-p'!J130</f>
        <v>367.01</v>
      </c>
      <c r="V130" s="1">
        <f>'[1]links-p0'!G130</f>
        <v>3135</v>
      </c>
      <c r="W130" s="1">
        <f>'[1]links-p0'!H130</f>
        <v>0</v>
      </c>
      <c r="X130" s="1">
        <f>'[1]links-p0'!O130</f>
        <v>0</v>
      </c>
    </row>
    <row r="131" spans="9:24">
      <c r="I131" s="20">
        <f>'[1]buses-marginal_price'!B131</f>
        <v>0</v>
      </c>
      <c r="J131" s="20">
        <f>'[1]generators-p'!B131</f>
        <v>26447.803687416519</v>
      </c>
      <c r="K131" s="20">
        <f>'[1]generators-p'!C131</f>
        <v>39586.955169895176</v>
      </c>
      <c r="L131" s="20">
        <f>'[1]generators-p'!D131</f>
        <v>0</v>
      </c>
      <c r="M131" s="20">
        <f>'[1]generators-p'!E131</f>
        <v>794.87977565351252</v>
      </c>
      <c r="N131" s="20">
        <f>'[1]generators-p'!F131</f>
        <v>0</v>
      </c>
      <c r="O131" s="20">
        <f>'[1]links-p0'!B131</f>
        <v>0</v>
      </c>
      <c r="P131" s="20">
        <f>'[1]links-p0'!C131</f>
        <v>13320.750632965201</v>
      </c>
      <c r="Q131" s="20">
        <f>'[1]links-p0'!D131</f>
        <v>15500</v>
      </c>
      <c r="R131" s="1">
        <f>'[1]links-p0'!L131</f>
        <v>0</v>
      </c>
      <c r="S131" s="20">
        <f>'[1]generators-p'!H131</f>
        <v>5321.5394983199994</v>
      </c>
      <c r="T131" s="20">
        <f>'[1]generators-p'!I131</f>
        <v>1150.313748192</v>
      </c>
      <c r="V131" s="1">
        <f>'[1]links-p0'!G131</f>
        <v>0</v>
      </c>
      <c r="W131" s="1">
        <f>'[1]links-p0'!H131</f>
        <v>1693.3772465120001</v>
      </c>
      <c r="X131" s="1">
        <f>'[1]links-p0'!O131</f>
        <v>0</v>
      </c>
    </row>
    <row r="132" spans="9:24">
      <c r="I132" s="20">
        <f>'[1]buses-marginal_price'!B132</f>
        <v>0</v>
      </c>
      <c r="J132" s="20">
        <f>'[1]generators-p'!B132</f>
        <v>18912.517084259729</v>
      </c>
      <c r="K132" s="20">
        <f>'[1]generators-p'!C132</f>
        <v>40260.084323157091</v>
      </c>
      <c r="L132" s="20">
        <f>'[1]generators-p'!D132</f>
        <v>0</v>
      </c>
      <c r="M132" s="20">
        <f>'[1]generators-p'!E132</f>
        <v>794.87977565351252</v>
      </c>
      <c r="N132" s="20">
        <f>'[1]generators-p'!F132</f>
        <v>3489.867562123447</v>
      </c>
      <c r="O132" s="20">
        <f>'[1]links-p0'!B132</f>
        <v>0</v>
      </c>
      <c r="P132" s="20">
        <f>'[1]links-p0'!C132</f>
        <v>13320.750632965201</v>
      </c>
      <c r="Q132" s="20">
        <f>'[1]links-p0'!D132</f>
        <v>11687.272112228569</v>
      </c>
      <c r="R132" s="1">
        <f>'[1]links-p0'!L132</f>
        <v>0</v>
      </c>
      <c r="S132" s="20">
        <f>'[1]generators-p'!H132</f>
        <v>8197.4878985315991</v>
      </c>
      <c r="T132" s="20">
        <f>'[1]generators-p'!I132</f>
        <v>494.75110146840001</v>
      </c>
      <c r="V132" s="1">
        <f>'[1]links-p0'!G132</f>
        <v>0</v>
      </c>
      <c r="W132" s="1">
        <f>'[1]links-p0'!H132</f>
        <v>3837</v>
      </c>
      <c r="X132" s="1">
        <f>'[1]links-p0'!O132</f>
        <v>0</v>
      </c>
    </row>
    <row r="133" spans="9:24">
      <c r="I133" s="20">
        <f>'[1]buses-marginal_price'!B133</f>
        <v>0</v>
      </c>
      <c r="J133" s="20">
        <f>'[1]generators-p'!B133</f>
        <v>15353.492335637009</v>
      </c>
      <c r="K133" s="20">
        <f>'[1]generators-p'!C133</f>
        <v>41393.020378710047</v>
      </c>
      <c r="L133" s="20">
        <f>'[1]generators-p'!D133</f>
        <v>0</v>
      </c>
      <c r="M133" s="20">
        <f>'[1]generators-p'!E133</f>
        <v>794.87977565351252</v>
      </c>
      <c r="N133" s="20">
        <f>'[1]generators-p'!F133</f>
        <v>7555.7107862779349</v>
      </c>
      <c r="O133" s="20">
        <f>'[1]links-p0'!B133</f>
        <v>0</v>
      </c>
      <c r="P133" s="20">
        <f>'[1]links-p0'!C133</f>
        <v>13320.750632965201</v>
      </c>
      <c r="Q133" s="20">
        <f>'[1]links-p0'!D133</f>
        <v>11710.57212217143</v>
      </c>
      <c r="R133" s="1">
        <f>'[1]links-p0'!L133</f>
        <v>0</v>
      </c>
      <c r="S133" s="20">
        <f>'[1]generators-p'!H133</f>
        <v>9265.2360000000008</v>
      </c>
      <c r="T133" s="20">
        <f>'[1]generators-p'!I133</f>
        <v>0</v>
      </c>
      <c r="V133" s="1">
        <f>'[1]links-p0'!G133</f>
        <v>0</v>
      </c>
      <c r="W133" s="1">
        <f>'[1]links-p0'!H133</f>
        <v>3837</v>
      </c>
      <c r="X133" s="1">
        <f>'[1]links-p0'!O133</f>
        <v>0</v>
      </c>
    </row>
    <row r="134" spans="9:24">
      <c r="I134" s="20">
        <f>'[1]buses-marginal_price'!B134</f>
        <v>0</v>
      </c>
      <c r="J134" s="20">
        <f>'[1]generators-p'!B134</f>
        <v>69155.328637568018</v>
      </c>
      <c r="K134" s="20">
        <f>'[1]generators-p'!C134</f>
        <v>43259.007077160553</v>
      </c>
      <c r="L134" s="20">
        <f>'[1]generators-p'!D134</f>
        <v>0</v>
      </c>
      <c r="M134" s="20">
        <f>'[1]generators-p'!E134</f>
        <v>794.87977565351252</v>
      </c>
      <c r="N134" s="20">
        <f>'[1]generators-p'!F134</f>
        <v>9381.7122548116895</v>
      </c>
      <c r="O134" s="20">
        <f>'[1]links-p0'!B134</f>
        <v>0</v>
      </c>
      <c r="P134" s="20">
        <f>'[1]links-p0'!C134</f>
        <v>13320.750632965201</v>
      </c>
      <c r="Q134" s="20">
        <f>'[1]links-p0'!D134</f>
        <v>11687.272112228569</v>
      </c>
      <c r="R134" s="1">
        <f>'[1]links-p0'!L134</f>
        <v>0</v>
      </c>
      <c r="S134" s="20">
        <f>'[1]generators-p'!H134</f>
        <v>17702.22216689026</v>
      </c>
      <c r="T134" s="20">
        <f>'[1]generators-p'!I134</f>
        <v>0</v>
      </c>
      <c r="V134" s="1">
        <f>'[1]links-p0'!G134</f>
        <v>0</v>
      </c>
      <c r="W134" s="1">
        <f>'[1]links-p0'!H134</f>
        <v>3837</v>
      </c>
      <c r="X134" s="1">
        <f>'[1]links-p0'!O134</f>
        <v>0</v>
      </c>
    </row>
    <row r="135" spans="9:24">
      <c r="I135" s="20">
        <f>'[1]buses-marginal_price'!B135</f>
        <v>0</v>
      </c>
      <c r="J135" s="20">
        <f>'[1]generators-p'!B135</f>
        <v>69121.14227914704</v>
      </c>
      <c r="K135" s="20">
        <f>'[1]generators-p'!C135</f>
        <v>43624.23604781185</v>
      </c>
      <c r="L135" s="20">
        <f>'[1]generators-p'!D135</f>
        <v>0</v>
      </c>
      <c r="M135" s="20">
        <f>'[1]generators-p'!E135</f>
        <v>794.87977565351252</v>
      </c>
      <c r="N135" s="20">
        <f>'[1]generators-p'!F135</f>
        <v>9381.4806425813786</v>
      </c>
      <c r="O135" s="20">
        <f>'[1]links-p0'!B135</f>
        <v>0</v>
      </c>
      <c r="P135" s="20">
        <f>'[1]links-p0'!C135</f>
        <v>13320.750632965201</v>
      </c>
      <c r="Q135" s="20">
        <f>'[1]links-p0'!D135</f>
        <v>11687.272112228569</v>
      </c>
      <c r="R135" s="1">
        <f>'[1]links-p0'!L135</f>
        <v>0</v>
      </c>
      <c r="S135" s="20">
        <f>'[1]generators-p'!H135</f>
        <v>21378.148000000001</v>
      </c>
      <c r="T135" s="20">
        <f>'[1]generators-p'!I135</f>
        <v>0</v>
      </c>
      <c r="V135" s="1">
        <f>'[1]links-p0'!G135</f>
        <v>0</v>
      </c>
      <c r="W135" s="1">
        <f>'[1]links-p0'!H135</f>
        <v>3837</v>
      </c>
      <c r="X135" s="1">
        <f>'[1]links-p0'!O135</f>
        <v>0</v>
      </c>
    </row>
    <row r="136" spans="9:24">
      <c r="I136" s="20">
        <f>'[1]buses-marginal_price'!B136</f>
        <v>0</v>
      </c>
      <c r="J136" s="20">
        <f>'[1]generators-p'!B136</f>
        <v>70979.075261839433</v>
      </c>
      <c r="K136" s="20">
        <f>'[1]generators-p'!C136</f>
        <v>42328.657653815542</v>
      </c>
      <c r="L136" s="20">
        <f>'[1]generators-p'!D136</f>
        <v>0</v>
      </c>
      <c r="M136" s="20">
        <f>'[1]generators-p'!E136</f>
        <v>794.87977565351252</v>
      </c>
      <c r="N136" s="20">
        <f>'[1]generators-p'!F136</f>
        <v>7789.5280638281474</v>
      </c>
      <c r="O136" s="20">
        <f>'[1]links-p0'!B136</f>
        <v>0</v>
      </c>
      <c r="P136" s="20">
        <f>'[1]links-p0'!C136</f>
        <v>13320.750632965201</v>
      </c>
      <c r="Q136" s="20">
        <f>'[1]links-p0'!D136</f>
        <v>11710.57212217143</v>
      </c>
      <c r="R136" s="1">
        <f>'[1]links-p0'!L136</f>
        <v>0</v>
      </c>
      <c r="S136" s="20">
        <f>'[1]generators-p'!H136</f>
        <v>21183.748</v>
      </c>
      <c r="T136" s="20">
        <f>'[1]generators-p'!I136</f>
        <v>0</v>
      </c>
      <c r="V136" s="1">
        <f>'[1]links-p0'!G136</f>
        <v>0</v>
      </c>
      <c r="W136" s="1">
        <f>'[1]links-p0'!H136</f>
        <v>3837</v>
      </c>
      <c r="X136" s="1">
        <f>'[1]links-p0'!O136</f>
        <v>0</v>
      </c>
    </row>
    <row r="137" spans="9:24">
      <c r="I137" s="20">
        <f>'[1]buses-marginal_price'!B137</f>
        <v>0</v>
      </c>
      <c r="J137" s="20">
        <f>'[1]generators-p'!B137</f>
        <v>75929.196827911699</v>
      </c>
      <c r="K137" s="20">
        <f>'[1]generators-p'!C137</f>
        <v>39854.978806989493</v>
      </c>
      <c r="L137" s="20">
        <f>'[1]generators-p'!D137</f>
        <v>0</v>
      </c>
      <c r="M137" s="20">
        <f>'[1]generators-p'!E137</f>
        <v>794.87977565351252</v>
      </c>
      <c r="N137" s="20">
        <f>'[1]generators-p'!F137</f>
        <v>4738.580334639074</v>
      </c>
      <c r="O137" s="20">
        <f>'[1]links-p0'!B137</f>
        <v>0</v>
      </c>
      <c r="P137" s="20">
        <f>'[1]links-p0'!C137</f>
        <v>13320.750632965201</v>
      </c>
      <c r="Q137" s="20">
        <f>'[1]links-p0'!D137</f>
        <v>11687.272112228569</v>
      </c>
      <c r="R137" s="1">
        <f>'[1]links-p0'!L137</f>
        <v>0</v>
      </c>
      <c r="S137" s="20">
        <f>'[1]generators-p'!H137</f>
        <v>21200.021000000001</v>
      </c>
      <c r="T137" s="20">
        <f>'[1]generators-p'!I137</f>
        <v>0</v>
      </c>
      <c r="V137" s="1">
        <f>'[1]links-p0'!G137</f>
        <v>0</v>
      </c>
      <c r="W137" s="1">
        <f>'[1]links-p0'!H137</f>
        <v>3837</v>
      </c>
      <c r="X137" s="1">
        <f>'[1]links-p0'!O137</f>
        <v>0</v>
      </c>
    </row>
    <row r="138" spans="9:24">
      <c r="I138" s="20">
        <f>'[1]buses-marginal_price'!B138</f>
        <v>0</v>
      </c>
      <c r="J138" s="20">
        <f>'[1]generators-p'!B138</f>
        <v>51407.137083759997</v>
      </c>
      <c r="K138" s="20">
        <f>'[1]generators-p'!C138</f>
        <v>37869.841666917171</v>
      </c>
      <c r="L138" s="20">
        <f>'[1]generators-p'!D138</f>
        <v>0</v>
      </c>
      <c r="M138" s="20">
        <f>'[1]generators-p'!E138</f>
        <v>794.87977565351252</v>
      </c>
      <c r="N138" s="20">
        <f>'[1]generators-p'!F138</f>
        <v>0</v>
      </c>
      <c r="O138" s="20">
        <f>'[1]links-p0'!B138</f>
        <v>0</v>
      </c>
      <c r="P138" s="20">
        <f>'[1]links-p0'!C138</f>
        <v>13320.750632965201</v>
      </c>
      <c r="Q138" s="20">
        <f>'[1]links-p0'!D138</f>
        <v>11858.572546860571</v>
      </c>
      <c r="R138" s="1">
        <f>'[1]links-p0'!L138</f>
        <v>0</v>
      </c>
      <c r="S138" s="20">
        <f>'[1]generators-p'!H138</f>
        <v>17075.09391956</v>
      </c>
      <c r="T138" s="20">
        <f>'[1]generators-p'!I138</f>
        <v>54.122957028000002</v>
      </c>
      <c r="V138" s="1">
        <f>'[1]links-p0'!G138</f>
        <v>0</v>
      </c>
      <c r="W138" s="1">
        <f>'[1]links-p0'!H138</f>
        <v>3837</v>
      </c>
      <c r="X138" s="1">
        <f>'[1]links-p0'!O138</f>
        <v>0</v>
      </c>
    </row>
    <row r="139" spans="9:24">
      <c r="I139" s="20">
        <f>'[1]buses-marginal_price'!B139</f>
        <v>14.025</v>
      </c>
      <c r="J139" s="20">
        <f>'[1]generators-p'!B139</f>
        <v>13138.253163345</v>
      </c>
      <c r="K139" s="20">
        <f>'[1]generators-p'!C139</f>
        <v>31635.808139735909</v>
      </c>
      <c r="L139" s="20">
        <f>'[1]generators-p'!D139</f>
        <v>0</v>
      </c>
      <c r="M139" s="20">
        <f>'[1]generators-p'!E139</f>
        <v>794.87977565351252</v>
      </c>
      <c r="N139" s="20">
        <f>'[1]generators-p'!F139</f>
        <v>0</v>
      </c>
      <c r="O139" s="20">
        <f>'[1]links-p0'!B139</f>
        <v>0</v>
      </c>
      <c r="P139" s="20">
        <f>'[1]links-p0'!C139</f>
        <v>13320.750632965201</v>
      </c>
      <c r="Q139" s="20">
        <f>'[1]links-p0'!D139</f>
        <v>15500</v>
      </c>
      <c r="R139" s="1">
        <f>'[1]links-p0'!L139</f>
        <v>3500</v>
      </c>
      <c r="S139" s="20">
        <f>'[1]generators-p'!H139</f>
        <v>6673.2497488399986</v>
      </c>
      <c r="T139" s="20">
        <f>'[1]generators-p'!I139</f>
        <v>89.097719029200007</v>
      </c>
      <c r="U139" s="1">
        <f>'[1]generators-p'!J139</f>
        <v>367.01</v>
      </c>
      <c r="V139" s="1">
        <f>'[1]links-p0'!G139</f>
        <v>3027.5947436832948</v>
      </c>
      <c r="W139" s="1">
        <f>'[1]links-p0'!H139</f>
        <v>0</v>
      </c>
      <c r="X139" s="1">
        <f>'[1]links-p0'!O139</f>
        <v>0</v>
      </c>
    </row>
    <row r="140" spans="9:24">
      <c r="I140" s="20">
        <f>'[1]buses-marginal_price'!B140</f>
        <v>14.025</v>
      </c>
      <c r="J140" s="20">
        <f>'[1]generators-p'!B140</f>
        <v>27.28481605</v>
      </c>
      <c r="K140" s="20">
        <f>'[1]generators-p'!C140</f>
        <v>31769.808116109591</v>
      </c>
      <c r="L140" s="20">
        <f>'[1]generators-p'!D140</f>
        <v>0</v>
      </c>
      <c r="M140" s="20">
        <f>'[1]generators-p'!E140</f>
        <v>794.87977565351252</v>
      </c>
      <c r="N140" s="20">
        <f>'[1]generators-p'!F140</f>
        <v>0</v>
      </c>
      <c r="O140" s="20">
        <f>'[1]links-p0'!B140</f>
        <v>0</v>
      </c>
      <c r="P140" s="20">
        <f>'[1]links-p0'!C140</f>
        <v>13320.750632965201</v>
      </c>
      <c r="Q140" s="20">
        <f>'[1]links-p0'!D140</f>
        <v>15500</v>
      </c>
      <c r="R140" s="1">
        <f>'[1]links-p0'!L140</f>
        <v>0</v>
      </c>
      <c r="S140" s="20">
        <f>'[1]generators-p'!H140</f>
        <v>423.71682107999999</v>
      </c>
      <c r="T140" s="20">
        <f>'[1]generators-p'!I140</f>
        <v>177.08800919039999</v>
      </c>
      <c r="V140" s="1">
        <f>'[1]links-p0'!G140</f>
        <v>3135</v>
      </c>
      <c r="W140" s="1">
        <f>'[1]links-p0'!H140</f>
        <v>0</v>
      </c>
      <c r="X140" s="1">
        <f>'[1]links-p0'!O140</f>
        <v>0</v>
      </c>
    </row>
    <row r="141" spans="9:24">
      <c r="I141" s="20">
        <f>'[1]buses-marginal_price'!B141</f>
        <v>14.025</v>
      </c>
      <c r="J141" s="20">
        <f>'[1]generators-p'!B141</f>
        <v>0</v>
      </c>
      <c r="K141" s="20">
        <f>'[1]generators-p'!C141</f>
        <v>35284.882191248769</v>
      </c>
      <c r="L141" s="20">
        <f>'[1]generators-p'!D141</f>
        <v>0</v>
      </c>
      <c r="M141" s="20">
        <f>'[1]generators-p'!E141</f>
        <v>794.87977565351252</v>
      </c>
      <c r="N141" s="20">
        <f>'[1]generators-p'!F141</f>
        <v>0</v>
      </c>
      <c r="O141" s="20">
        <f>'[1]links-p0'!B141</f>
        <v>0</v>
      </c>
      <c r="P141" s="20">
        <f>'[1]links-p0'!C141</f>
        <v>13320.750632965201</v>
      </c>
      <c r="Q141" s="20">
        <f>'[1]links-p0'!D141</f>
        <v>15500</v>
      </c>
      <c r="R141" s="1">
        <f>'[1]links-p0'!L141</f>
        <v>0</v>
      </c>
      <c r="S141" s="20">
        <f>'[1]generators-p'!H141</f>
        <v>0</v>
      </c>
      <c r="T141" s="20">
        <f>'[1]generators-p'!I141</f>
        <v>177.37441540559999</v>
      </c>
      <c r="U141" s="1">
        <f>'[1]generators-p'!J141</f>
        <v>367.01</v>
      </c>
      <c r="V141" s="1">
        <f>'[1]links-p0'!G141</f>
        <v>3135</v>
      </c>
      <c r="W141" s="1">
        <f>'[1]links-p0'!H141</f>
        <v>0</v>
      </c>
      <c r="X141" s="1">
        <f>'[1]links-p0'!O141</f>
        <v>0</v>
      </c>
    </row>
    <row r="142" spans="9:24">
      <c r="I142" s="20">
        <f>'[1]buses-marginal_price'!B142</f>
        <v>14.025</v>
      </c>
      <c r="J142" s="20">
        <f>'[1]generators-p'!B142</f>
        <v>0</v>
      </c>
      <c r="K142" s="20">
        <f>'[1]generators-p'!C142</f>
        <v>37972.3074040961</v>
      </c>
      <c r="L142" s="20">
        <f>'[1]generators-p'!D142</f>
        <v>0</v>
      </c>
      <c r="M142" s="20">
        <f>'[1]generators-p'!E142</f>
        <v>794.87977565351252</v>
      </c>
      <c r="N142" s="20">
        <f>'[1]generators-p'!F142</f>
        <v>0</v>
      </c>
      <c r="O142" s="20">
        <f>'[1]links-p0'!B142</f>
        <v>0</v>
      </c>
      <c r="P142" s="20">
        <f>'[1]links-p0'!C142</f>
        <v>13320.750632965201</v>
      </c>
      <c r="Q142" s="20">
        <f>'[1]links-p0'!D142</f>
        <v>15500</v>
      </c>
      <c r="R142" s="1">
        <f>'[1]links-p0'!L142</f>
        <v>0</v>
      </c>
      <c r="S142" s="20">
        <f>'[1]generators-p'!H142</f>
        <v>0</v>
      </c>
      <c r="T142" s="20">
        <f>'[1]generators-p'!I142</f>
        <v>134.64663163559999</v>
      </c>
      <c r="U142" s="1">
        <f>'[1]generators-p'!J142</f>
        <v>367.01</v>
      </c>
      <c r="V142" s="1">
        <f>'[1]links-p0'!G142</f>
        <v>3135</v>
      </c>
      <c r="W142" s="1">
        <f>'[1]links-p0'!H142</f>
        <v>0</v>
      </c>
      <c r="X142" s="1">
        <f>'[1]links-p0'!O142</f>
        <v>0</v>
      </c>
    </row>
    <row r="143" spans="9:24">
      <c r="I143" s="20">
        <f>'[1]buses-marginal_price'!B143</f>
        <v>14.025</v>
      </c>
      <c r="J143" s="20">
        <f>'[1]generators-p'!B143</f>
        <v>0</v>
      </c>
      <c r="K143" s="20">
        <f>'[1]generators-p'!C143</f>
        <v>39676.274901108052</v>
      </c>
      <c r="L143" s="20">
        <f>'[1]generators-p'!D143</f>
        <v>0</v>
      </c>
      <c r="M143" s="20">
        <f>'[1]generators-p'!E143</f>
        <v>794.87977565351252</v>
      </c>
      <c r="N143" s="20">
        <f>'[1]generators-p'!F143</f>
        <v>0</v>
      </c>
      <c r="O143" s="20">
        <f>'[1]links-p0'!B143</f>
        <v>0</v>
      </c>
      <c r="P143" s="20">
        <f>'[1]links-p0'!C143</f>
        <v>13320.750632965201</v>
      </c>
      <c r="Q143" s="20">
        <f>'[1]links-p0'!D143</f>
        <v>15500</v>
      </c>
      <c r="R143" s="1">
        <f>'[1]links-p0'!L143</f>
        <v>3500</v>
      </c>
      <c r="S143" s="20">
        <f>'[1]generators-p'!H143</f>
        <v>0</v>
      </c>
      <c r="T143" s="20">
        <f>'[1]generators-p'!I143</f>
        <v>95.458583959199999</v>
      </c>
      <c r="V143" s="1">
        <f>'[1]links-p0'!G143</f>
        <v>3135</v>
      </c>
      <c r="W143" s="1">
        <f>'[1]links-p0'!H143</f>
        <v>0</v>
      </c>
      <c r="X143" s="1">
        <f>'[1]links-p0'!O143</f>
        <v>0</v>
      </c>
    </row>
    <row r="144" spans="9:24">
      <c r="I144" s="20">
        <f>'[1]buses-marginal_price'!B144</f>
        <v>14.025</v>
      </c>
      <c r="J144" s="20">
        <f>'[1]generators-p'!B144</f>
        <v>0</v>
      </c>
      <c r="K144" s="20">
        <f>'[1]generators-p'!C144</f>
        <v>42088.032491575963</v>
      </c>
      <c r="L144" s="20">
        <f>'[1]generators-p'!D144</f>
        <v>0</v>
      </c>
      <c r="M144" s="20">
        <f>'[1]generators-p'!E144</f>
        <v>794.87977565351252</v>
      </c>
      <c r="N144" s="20">
        <f>'[1]generators-p'!F144</f>
        <v>0</v>
      </c>
      <c r="O144" s="20">
        <f>'[1]links-p0'!B144</f>
        <v>0</v>
      </c>
      <c r="P144" s="20">
        <f>'[1]links-p0'!C144</f>
        <v>0</v>
      </c>
      <c r="Q144" s="20">
        <f>'[1]links-p0'!D144</f>
        <v>15500</v>
      </c>
      <c r="R144" s="1">
        <f>'[1]links-p0'!L144</f>
        <v>3301.3505845432651</v>
      </c>
      <c r="S144" s="20">
        <f>'[1]generators-p'!H144</f>
        <v>0</v>
      </c>
      <c r="T144" s="20">
        <f>'[1]generators-p'!I144</f>
        <v>118.23278533920001</v>
      </c>
      <c r="V144" s="1">
        <f>'[1]links-p0'!G144</f>
        <v>3135</v>
      </c>
      <c r="W144" s="1">
        <f>'[1]links-p0'!H144</f>
        <v>0</v>
      </c>
      <c r="X144" s="1">
        <f>'[1]links-p0'!O144</f>
        <v>0</v>
      </c>
    </row>
    <row r="145" spans="9:24">
      <c r="I145" s="20">
        <f>'[1]buses-marginal_price'!B145</f>
        <v>14.025</v>
      </c>
      <c r="J145" s="20">
        <f>'[1]generators-p'!B145</f>
        <v>0</v>
      </c>
      <c r="K145" s="20">
        <f>'[1]generators-p'!C145</f>
        <v>44627.775519484123</v>
      </c>
      <c r="L145" s="20">
        <f>'[1]generators-p'!D145</f>
        <v>0</v>
      </c>
      <c r="M145" s="20">
        <f>'[1]generators-p'!E145</f>
        <v>794.87977565351252</v>
      </c>
      <c r="N145" s="20">
        <f>'[1]generators-p'!F145</f>
        <v>0</v>
      </c>
      <c r="O145" s="20">
        <f>'[1]links-p0'!B145</f>
        <v>0</v>
      </c>
      <c r="P145" s="20">
        <f>'[1]links-p0'!C145</f>
        <v>0</v>
      </c>
      <c r="Q145" s="20">
        <f>'[1]links-p0'!D145</f>
        <v>15500</v>
      </c>
      <c r="R145" s="1">
        <f>'[1]links-p0'!L145</f>
        <v>3500</v>
      </c>
      <c r="S145" s="20">
        <f>'[1]generators-p'!H145</f>
        <v>0</v>
      </c>
      <c r="T145" s="20">
        <f>'[1]generators-p'!I145</f>
        <v>129.7022899536</v>
      </c>
      <c r="U145" s="1">
        <f>'[1]generators-p'!J145</f>
        <v>367.01</v>
      </c>
      <c r="V145" s="1">
        <f>'[1]links-p0'!G145</f>
        <v>3135</v>
      </c>
      <c r="W145" s="1">
        <f>'[1]links-p0'!H145</f>
        <v>0</v>
      </c>
      <c r="X145" s="1">
        <f>'[1]links-p0'!O145</f>
        <v>0</v>
      </c>
    </row>
    <row r="146" spans="9:24">
      <c r="I146" s="20">
        <f>'[1]buses-marginal_price'!B146</f>
        <v>14.025</v>
      </c>
      <c r="J146" s="20">
        <f>'[1]generators-p'!B146</f>
        <v>0</v>
      </c>
      <c r="K146" s="20">
        <f>'[1]generators-p'!C146</f>
        <v>48063.671812902583</v>
      </c>
      <c r="L146" s="20">
        <f>'[1]generators-p'!D146</f>
        <v>0</v>
      </c>
      <c r="M146" s="20">
        <f>'[1]generators-p'!E146</f>
        <v>794.87977565351252</v>
      </c>
      <c r="N146" s="20">
        <f>'[1]generators-p'!F146</f>
        <v>0</v>
      </c>
      <c r="O146" s="20">
        <f>'[1]links-p0'!B146</f>
        <v>0</v>
      </c>
      <c r="P146" s="20">
        <f>'[1]links-p0'!C146</f>
        <v>13320.750632965201</v>
      </c>
      <c r="Q146" s="20">
        <f>'[1]links-p0'!D146</f>
        <v>15500</v>
      </c>
      <c r="R146" s="1">
        <f>'[1]links-p0'!L146</f>
        <v>0</v>
      </c>
      <c r="S146" s="20">
        <f>'[1]generators-p'!H146</f>
        <v>0</v>
      </c>
      <c r="T146" s="20">
        <f>'[1]generators-p'!I146</f>
        <v>101.53514579039999</v>
      </c>
      <c r="U146" s="1">
        <f>'[1]generators-p'!J146</f>
        <v>367.01</v>
      </c>
      <c r="V146" s="1">
        <f>'[1]links-p0'!G146</f>
        <v>3135</v>
      </c>
      <c r="W146" s="1">
        <f>'[1]links-p0'!H146</f>
        <v>0</v>
      </c>
      <c r="X146" s="1">
        <f>'[1]links-p0'!O146</f>
        <v>0</v>
      </c>
    </row>
    <row r="147" spans="9:24">
      <c r="I147" s="20">
        <f>'[1]buses-marginal_price'!B147</f>
        <v>14.025</v>
      </c>
      <c r="J147" s="20">
        <f>'[1]generators-p'!B147</f>
        <v>0</v>
      </c>
      <c r="K147" s="20">
        <f>'[1]generators-p'!C147</f>
        <v>51779.41225214921</v>
      </c>
      <c r="L147" s="20">
        <f>'[1]generators-p'!D147</f>
        <v>0</v>
      </c>
      <c r="M147" s="20">
        <f>'[1]generators-p'!E147</f>
        <v>794.87977565351252</v>
      </c>
      <c r="N147" s="20">
        <f>'[1]generators-p'!F147</f>
        <v>0</v>
      </c>
      <c r="O147" s="20">
        <f>'[1]links-p0'!B147</f>
        <v>0</v>
      </c>
      <c r="P147" s="20">
        <f>'[1]links-p0'!C147</f>
        <v>7193.7022539559448</v>
      </c>
      <c r="Q147" s="20">
        <f>'[1]links-p0'!D147</f>
        <v>15500</v>
      </c>
      <c r="R147" s="1">
        <f>'[1]links-p0'!L147</f>
        <v>3500</v>
      </c>
      <c r="S147" s="20">
        <f>'[1]generators-p'!H147</f>
        <v>0</v>
      </c>
      <c r="T147" s="20">
        <f>'[1]generators-p'!I147</f>
        <v>113.1108471612</v>
      </c>
      <c r="U147" s="1">
        <f>'[1]generators-p'!J147</f>
        <v>367.01</v>
      </c>
      <c r="V147" s="1">
        <f>'[1]links-p0'!G147</f>
        <v>3135</v>
      </c>
      <c r="W147" s="1">
        <f>'[1]links-p0'!H147</f>
        <v>0</v>
      </c>
      <c r="X147" s="1">
        <f>'[1]links-p0'!O147</f>
        <v>0</v>
      </c>
    </row>
    <row r="148" spans="9:24">
      <c r="I148" s="20">
        <f>'[1]buses-marginal_price'!B148</f>
        <v>14.025</v>
      </c>
      <c r="J148" s="20">
        <f>'[1]generators-p'!B148</f>
        <v>0</v>
      </c>
      <c r="K148" s="20">
        <f>'[1]generators-p'!C148</f>
        <v>55476.93694998094</v>
      </c>
      <c r="L148" s="20">
        <f>'[1]generators-p'!D148</f>
        <v>0</v>
      </c>
      <c r="M148" s="20">
        <f>'[1]generators-p'!E148</f>
        <v>794.87977565351252</v>
      </c>
      <c r="N148" s="20">
        <f>'[1]generators-p'!F148</f>
        <v>0</v>
      </c>
      <c r="O148" s="20">
        <f>'[1]links-p0'!B148</f>
        <v>0</v>
      </c>
      <c r="P148" s="20">
        <f>'[1]links-p0'!C148</f>
        <v>13320.750632965201</v>
      </c>
      <c r="Q148" s="20">
        <f>'[1]links-p0'!D148</f>
        <v>15184.68192745639</v>
      </c>
      <c r="R148" s="1">
        <f>'[1]links-p0'!L148</f>
        <v>3500</v>
      </c>
      <c r="S148" s="20">
        <f>'[1]generators-p'!H148</f>
        <v>0</v>
      </c>
      <c r="T148" s="20">
        <f>'[1]generators-p'!I148</f>
        <v>122.518001844</v>
      </c>
      <c r="U148" s="1">
        <f>'[1]generators-p'!J148</f>
        <v>367.01</v>
      </c>
      <c r="V148" s="1">
        <f>'[1]links-p0'!G148</f>
        <v>3135</v>
      </c>
      <c r="W148" s="1">
        <f>'[1]links-p0'!H148</f>
        <v>0</v>
      </c>
      <c r="X148" s="1">
        <f>'[1]links-p0'!O148</f>
        <v>0</v>
      </c>
    </row>
    <row r="149" spans="9:24">
      <c r="I149" s="20">
        <f>'[1]buses-marginal_price'!B149</f>
        <v>14.025</v>
      </c>
      <c r="J149" s="20">
        <f>'[1]generators-p'!B149</f>
        <v>0</v>
      </c>
      <c r="K149" s="20">
        <f>'[1]generators-p'!C149</f>
        <v>59376.587628652007</v>
      </c>
      <c r="L149" s="20">
        <f>'[1]generators-p'!D149</f>
        <v>0</v>
      </c>
      <c r="M149" s="20">
        <f>'[1]generators-p'!E149</f>
        <v>794.87977565351252</v>
      </c>
      <c r="N149" s="20">
        <f>'[1]generators-p'!F149</f>
        <v>0</v>
      </c>
      <c r="O149" s="20">
        <f>'[1]links-p0'!B149</f>
        <v>0</v>
      </c>
      <c r="P149" s="20">
        <f>'[1]links-p0'!C149</f>
        <v>13320.750632965201</v>
      </c>
      <c r="Q149" s="20">
        <f>'[1]links-p0'!D149</f>
        <v>14344.12412255906</v>
      </c>
      <c r="R149" s="1">
        <f>'[1]links-p0'!L149</f>
        <v>1251.543351218739</v>
      </c>
      <c r="S149" s="20">
        <f>'[1]generators-p'!H149</f>
        <v>0</v>
      </c>
      <c r="T149" s="20">
        <f>'[1]generators-p'!I149</f>
        <v>157.53240440280001</v>
      </c>
      <c r="V149" s="1">
        <f>'[1]links-p0'!G149</f>
        <v>3135</v>
      </c>
      <c r="W149" s="1">
        <f>'[1]links-p0'!H149</f>
        <v>0</v>
      </c>
      <c r="X149" s="1">
        <f>'[1]links-p0'!O149</f>
        <v>0</v>
      </c>
    </row>
    <row r="150" spans="9:24">
      <c r="I150" s="20">
        <f>'[1]buses-marginal_price'!B150</f>
        <v>11.60148</v>
      </c>
      <c r="J150" s="20">
        <f>'[1]generators-p'!B150</f>
        <v>0</v>
      </c>
      <c r="K150" s="20">
        <f>'[1]generators-p'!C150</f>
        <v>63239.564105836733</v>
      </c>
      <c r="L150" s="20">
        <f>'[1]generators-p'!D150</f>
        <v>0</v>
      </c>
      <c r="M150" s="20">
        <f>'[1]generators-p'!E150</f>
        <v>794.87977565351252</v>
      </c>
      <c r="N150" s="20">
        <f>'[1]generators-p'!F150</f>
        <v>0</v>
      </c>
      <c r="O150" s="20">
        <f>'[1]links-p0'!B150</f>
        <v>0</v>
      </c>
      <c r="P150" s="20">
        <f>'[1]links-p0'!C150</f>
        <v>13320.750632965201</v>
      </c>
      <c r="Q150" s="20">
        <f>'[1]links-p0'!D150</f>
        <v>13656.861991071941</v>
      </c>
      <c r="R150" s="1">
        <f>'[1]links-p0'!L150</f>
        <v>0</v>
      </c>
      <c r="S150" s="20">
        <f>'[1]generators-p'!H150</f>
        <v>0</v>
      </c>
      <c r="T150" s="20">
        <f>'[1]generators-p'!I150</f>
        <v>143.53848031320001</v>
      </c>
      <c r="V150" s="1">
        <f>'[1]links-p0'!G150</f>
        <v>3135</v>
      </c>
      <c r="W150" s="1">
        <f>'[1]links-p0'!H150</f>
        <v>0</v>
      </c>
      <c r="X150" s="1">
        <f>'[1]links-p0'!O150</f>
        <v>0</v>
      </c>
    </row>
    <row r="151" spans="9:24">
      <c r="I151" s="20">
        <f>'[1]buses-marginal_price'!B151</f>
        <v>11.193742085029699</v>
      </c>
      <c r="J151" s="20">
        <f>'[1]generators-p'!B151</f>
        <v>0</v>
      </c>
      <c r="K151" s="20">
        <f>'[1]generators-p'!C151</f>
        <v>65080.013570265168</v>
      </c>
      <c r="L151" s="20">
        <f>'[1]generators-p'!D151</f>
        <v>0</v>
      </c>
      <c r="M151" s="20">
        <f>'[1]generators-p'!E151</f>
        <v>794.87977565351252</v>
      </c>
      <c r="N151" s="20">
        <f>'[1]generators-p'!F151</f>
        <v>0</v>
      </c>
      <c r="O151" s="20">
        <f>'[1]links-p0'!B151</f>
        <v>0</v>
      </c>
      <c r="P151" s="20">
        <f>'[1]links-p0'!C151</f>
        <v>13320.750632965201</v>
      </c>
      <c r="Q151" s="20">
        <f>'[1]links-p0'!D151</f>
        <v>13476.187123276541</v>
      </c>
      <c r="R151" s="1">
        <f>'[1]links-p0'!L151</f>
        <v>0</v>
      </c>
      <c r="S151" s="20">
        <f>'[1]generators-p'!H151</f>
        <v>0</v>
      </c>
      <c r="T151" s="20">
        <f>'[1]generators-p'!I151</f>
        <v>167.44630391999999</v>
      </c>
      <c r="V151" s="1">
        <f>'[1]links-p0'!G151</f>
        <v>3135</v>
      </c>
      <c r="W151" s="1">
        <f>'[1]links-p0'!H151</f>
        <v>0</v>
      </c>
      <c r="X151" s="1">
        <f>'[1]links-p0'!O151</f>
        <v>0</v>
      </c>
    </row>
    <row r="152" spans="9:24">
      <c r="I152" s="20">
        <f>'[1]buses-marginal_price'!B152</f>
        <v>11.60148</v>
      </c>
      <c r="J152" s="20">
        <f>'[1]generators-p'!B152</f>
        <v>0</v>
      </c>
      <c r="K152" s="20">
        <f>'[1]generators-p'!C152</f>
        <v>63994.286660610793</v>
      </c>
      <c r="L152" s="20">
        <f>'[1]generators-p'!D152</f>
        <v>0</v>
      </c>
      <c r="M152" s="20">
        <f>'[1]generators-p'!E152</f>
        <v>794.87977565351252</v>
      </c>
      <c r="N152" s="20">
        <f>'[1]generators-p'!F152</f>
        <v>0</v>
      </c>
      <c r="O152" s="20">
        <f>'[1]links-p0'!B152</f>
        <v>0</v>
      </c>
      <c r="P152" s="20">
        <f>'[1]links-p0'!C152</f>
        <v>13320.750632965201</v>
      </c>
      <c r="Q152" s="20">
        <f>'[1]links-p0'!D152</f>
        <v>13696.402679174709</v>
      </c>
      <c r="R152" s="1">
        <f>'[1]links-p0'!L152</f>
        <v>0</v>
      </c>
      <c r="S152" s="20">
        <f>'[1]generators-p'!H152</f>
        <v>0</v>
      </c>
      <c r="T152" s="20">
        <f>'[1]generators-p'!I152</f>
        <v>208.07080134120011</v>
      </c>
      <c r="V152" s="1">
        <f>'[1]links-p0'!G152</f>
        <v>3135</v>
      </c>
      <c r="W152" s="1">
        <f>'[1]links-p0'!H152</f>
        <v>0</v>
      </c>
      <c r="X152" s="1">
        <f>'[1]links-p0'!O152</f>
        <v>0</v>
      </c>
    </row>
    <row r="153" spans="9:24">
      <c r="I153" s="20">
        <f>'[1]buses-marginal_price'!B153</f>
        <v>14.025</v>
      </c>
      <c r="J153" s="20">
        <f>'[1]generators-p'!B153</f>
        <v>0</v>
      </c>
      <c r="K153" s="20">
        <f>'[1]generators-p'!C153</f>
        <v>61572.687397778413</v>
      </c>
      <c r="L153" s="20">
        <f>'[1]generators-p'!D153</f>
        <v>0</v>
      </c>
      <c r="M153" s="20">
        <f>'[1]generators-p'!E153</f>
        <v>794.87977565351252</v>
      </c>
      <c r="N153" s="20">
        <f>'[1]generators-p'!F153</f>
        <v>0</v>
      </c>
      <c r="O153" s="20">
        <f>'[1]links-p0'!B153</f>
        <v>0</v>
      </c>
      <c r="P153" s="20">
        <f>'[1]links-p0'!C153</f>
        <v>13320.750632965201</v>
      </c>
      <c r="Q153" s="20">
        <f>'[1]links-p0'!D153</f>
        <v>14268.943064588741</v>
      </c>
      <c r="R153" s="1">
        <f>'[1]links-p0'!L153</f>
        <v>1541.8405241220239</v>
      </c>
      <c r="S153" s="20">
        <f>'[1]generators-p'!H153</f>
        <v>0</v>
      </c>
      <c r="T153" s="20">
        <f>'[1]generators-p'!I153</f>
        <v>260.07377455080001</v>
      </c>
      <c r="V153" s="1">
        <f>'[1]links-p0'!G153</f>
        <v>3135</v>
      </c>
      <c r="W153" s="1">
        <f>'[1]links-p0'!H153</f>
        <v>0</v>
      </c>
      <c r="X153" s="1">
        <f>'[1]links-p0'!O153</f>
        <v>0</v>
      </c>
    </row>
    <row r="154" spans="9:24">
      <c r="I154" s="20">
        <f>'[1]buses-marginal_price'!B154</f>
        <v>14.025</v>
      </c>
      <c r="J154" s="20">
        <f>'[1]generators-p'!B154</f>
        <v>290.36988717499997</v>
      </c>
      <c r="K154" s="20">
        <f>'[1]generators-p'!C154</f>
        <v>58733.792707671659</v>
      </c>
      <c r="L154" s="20">
        <f>'[1]generators-p'!D154</f>
        <v>0</v>
      </c>
      <c r="M154" s="20">
        <f>'[1]generators-p'!E154</f>
        <v>794.87977565351252</v>
      </c>
      <c r="N154" s="20">
        <f>'[1]generators-p'!F154</f>
        <v>0</v>
      </c>
      <c r="O154" s="20">
        <f>'[1]links-p0'!B154</f>
        <v>0</v>
      </c>
      <c r="P154" s="20">
        <f>'[1]links-p0'!C154</f>
        <v>13320.750632965201</v>
      </c>
      <c r="Q154" s="20">
        <f>'[1]links-p0'!D154</f>
        <v>15160.093722696891</v>
      </c>
      <c r="R154" s="1">
        <f>'[1]links-p0'!L154</f>
        <v>2429.886565586939</v>
      </c>
      <c r="S154" s="20">
        <f>'[1]generators-p'!H154</f>
        <v>0</v>
      </c>
      <c r="T154" s="20">
        <f>'[1]generators-p'!I154</f>
        <v>313.66840324679998</v>
      </c>
      <c r="U154" s="1">
        <f>'[1]generators-p'!J154</f>
        <v>367.01</v>
      </c>
      <c r="V154" s="1">
        <f>'[1]links-p0'!G154</f>
        <v>3135</v>
      </c>
      <c r="W154" s="1">
        <f>'[1]links-p0'!H154</f>
        <v>0</v>
      </c>
      <c r="X154" s="1">
        <f>'[1]links-p0'!O154</f>
        <v>0</v>
      </c>
    </row>
    <row r="155" spans="9:24">
      <c r="I155" s="20">
        <f>'[1]buses-marginal_price'!B155</f>
        <v>14.025</v>
      </c>
      <c r="J155" s="20">
        <f>'[1]generators-p'!B155</f>
        <v>7895.1572735199998</v>
      </c>
      <c r="K155" s="20">
        <f>'[1]generators-p'!C155</f>
        <v>55616.747486144748</v>
      </c>
      <c r="L155" s="20">
        <f>'[1]generators-p'!D155</f>
        <v>0</v>
      </c>
      <c r="M155" s="20">
        <f>'[1]generators-p'!E155</f>
        <v>794.87977565351252</v>
      </c>
      <c r="N155" s="20">
        <f>'[1]generators-p'!F155</f>
        <v>0</v>
      </c>
      <c r="O155" s="20">
        <f>'[1]links-p0'!B155</f>
        <v>0</v>
      </c>
      <c r="P155" s="20">
        <f>'[1]links-p0'!C155</f>
        <v>8488.1280153045391</v>
      </c>
      <c r="Q155" s="20">
        <f>'[1]links-p0'!D155</f>
        <v>14795.08052001372</v>
      </c>
      <c r="R155" s="1">
        <f>'[1]links-p0'!L155</f>
        <v>0</v>
      </c>
      <c r="S155" s="20">
        <f>'[1]generators-p'!H155</f>
        <v>1475.1677540799999</v>
      </c>
      <c r="T155" s="20">
        <f>'[1]generators-p'!I155</f>
        <v>288.14957123400001</v>
      </c>
      <c r="U155" s="1">
        <f>'[1]generators-p'!J155</f>
        <v>0</v>
      </c>
      <c r="V155" s="1">
        <f>'[1]links-p0'!G155</f>
        <v>3135</v>
      </c>
      <c r="W155" s="1">
        <f>'[1]links-p0'!H155</f>
        <v>0</v>
      </c>
      <c r="X155" s="1">
        <f>'[1]links-p0'!O155</f>
        <v>0</v>
      </c>
    </row>
    <row r="156" spans="9:24">
      <c r="I156" s="20">
        <f>'[1]buses-marginal_price'!B156</f>
        <v>0</v>
      </c>
      <c r="J156" s="20">
        <f>'[1]generators-p'!B156</f>
        <v>11963.554270031829</v>
      </c>
      <c r="K156" s="20">
        <f>'[1]generators-p'!C156</f>
        <v>55314.942901686067</v>
      </c>
      <c r="L156" s="20">
        <f>'[1]generators-p'!D156</f>
        <v>0</v>
      </c>
      <c r="M156" s="20">
        <f>'[1]generators-p'!E156</f>
        <v>794.87977565351252</v>
      </c>
      <c r="N156" s="20">
        <f>'[1]generators-p'!F156</f>
        <v>0</v>
      </c>
      <c r="O156" s="20">
        <f>'[1]links-p0'!B156</f>
        <v>0</v>
      </c>
      <c r="P156" s="20">
        <f>'[1]links-p0'!C156</f>
        <v>13320.750632965201</v>
      </c>
      <c r="Q156" s="20">
        <f>'[1]links-p0'!D156</f>
        <v>12947.65331440622</v>
      </c>
      <c r="R156" s="1">
        <f>'[1]links-p0'!L156</f>
        <v>0</v>
      </c>
      <c r="S156" s="20">
        <f>'[1]generators-p'!H156</f>
        <v>6490.5207892799999</v>
      </c>
      <c r="T156" s="20">
        <f>'[1]generators-p'!I156</f>
        <v>317.78675127359998</v>
      </c>
      <c r="V156" s="1">
        <f>'[1]links-p0'!G156</f>
        <v>0</v>
      </c>
      <c r="W156" s="1">
        <f>'[1]links-p0'!H156</f>
        <v>2288.3325405536002</v>
      </c>
      <c r="X156" s="1">
        <f>'[1]links-p0'!O156</f>
        <v>0</v>
      </c>
    </row>
    <row r="157" spans="9:24">
      <c r="I157" s="20">
        <f>'[1]buses-marginal_price'!B157</f>
        <v>0</v>
      </c>
      <c r="J157" s="20">
        <f>'[1]generators-p'!B157</f>
        <v>8673.1212174623579</v>
      </c>
      <c r="K157" s="20">
        <f>'[1]generators-p'!C157</f>
        <v>56767.414212998687</v>
      </c>
      <c r="L157" s="20">
        <f>'[1]generators-p'!D157</f>
        <v>0</v>
      </c>
      <c r="M157" s="20">
        <f>'[1]generators-p'!E157</f>
        <v>794.87977565351252</v>
      </c>
      <c r="N157" s="20">
        <f>'[1]generators-p'!F157</f>
        <v>1434.134140379223</v>
      </c>
      <c r="O157" s="20">
        <f>'[1]links-p0'!B157</f>
        <v>0</v>
      </c>
      <c r="P157" s="20">
        <f>'[1]links-p0'!C157</f>
        <v>13320.750632965201</v>
      </c>
      <c r="Q157" s="20">
        <f>'[1]links-p0'!D157</f>
        <v>11710.57071352857</v>
      </c>
      <c r="R157" s="1">
        <f>'[1]links-p0'!L157</f>
        <v>0</v>
      </c>
      <c r="S157" s="20">
        <f>'[1]generators-p'!H157</f>
        <v>8262.5079179603999</v>
      </c>
      <c r="T157" s="20">
        <f>'[1]generators-p'!I157</f>
        <v>437.40808203960012</v>
      </c>
      <c r="V157" s="1">
        <f>'[1]links-p0'!G157</f>
        <v>0</v>
      </c>
      <c r="W157" s="1">
        <f>'[1]links-p0'!H157</f>
        <v>3837</v>
      </c>
      <c r="X157" s="1">
        <f>'[1]links-p0'!O157</f>
        <v>0</v>
      </c>
    </row>
    <row r="158" spans="9:24">
      <c r="I158" s="20">
        <f>'[1]buses-marginal_price'!B158</f>
        <v>0</v>
      </c>
      <c r="J158" s="20">
        <f>'[1]generators-p'!B158</f>
        <v>3029.7122053087442</v>
      </c>
      <c r="K158" s="20">
        <f>'[1]generators-p'!C158</f>
        <v>60447.124701716457</v>
      </c>
      <c r="L158" s="20">
        <f>'[1]generators-p'!D158</f>
        <v>0</v>
      </c>
      <c r="M158" s="20">
        <f>'[1]generators-p'!E158</f>
        <v>794.87977565351252</v>
      </c>
      <c r="N158" s="20">
        <f>'[1]generators-p'!F158</f>
        <v>4271.4996538721962</v>
      </c>
      <c r="O158" s="20">
        <f>'[1]links-p0'!B158</f>
        <v>0</v>
      </c>
      <c r="P158" s="20">
        <f>'[1]links-p0'!C158</f>
        <v>13320.750632965201</v>
      </c>
      <c r="Q158" s="20">
        <f>'[1]links-p0'!D158</f>
        <v>11687.270703585709</v>
      </c>
      <c r="R158" s="1">
        <f>'[1]links-p0'!L158</f>
        <v>0</v>
      </c>
      <c r="S158" s="20">
        <f>'[1]generators-p'!H158</f>
        <v>14099.832700649509</v>
      </c>
      <c r="T158" s="20">
        <f>'[1]generators-p'!I158</f>
        <v>602.52897652920001</v>
      </c>
      <c r="V158" s="1">
        <f>'[1]links-p0'!G158</f>
        <v>0</v>
      </c>
      <c r="W158" s="1">
        <f>'[1]links-p0'!H158</f>
        <v>3837</v>
      </c>
      <c r="X158" s="1">
        <f>'[1]links-p0'!O158</f>
        <v>0</v>
      </c>
    </row>
    <row r="159" spans="9:24">
      <c r="I159" s="20">
        <f>'[1]buses-marginal_price'!B159</f>
        <v>0</v>
      </c>
      <c r="J159" s="20">
        <f>'[1]generators-p'!B159</f>
        <v>23786.136566087731</v>
      </c>
      <c r="K159" s="20">
        <f>'[1]generators-p'!C159</f>
        <v>63846.990034808347</v>
      </c>
      <c r="L159" s="20">
        <f>'[1]generators-p'!D159</f>
        <v>0</v>
      </c>
      <c r="M159" s="20">
        <f>'[1]generators-p'!E159</f>
        <v>794.87977565351252</v>
      </c>
      <c r="N159" s="20">
        <f>'[1]generators-p'!F159</f>
        <v>6049.220574487028</v>
      </c>
      <c r="O159" s="20">
        <f>'[1]links-p0'!B159</f>
        <v>0</v>
      </c>
      <c r="P159" s="20">
        <f>'[1]links-p0'!C159</f>
        <v>13320.750632965201</v>
      </c>
      <c r="Q159" s="20">
        <f>'[1]links-p0'!D159</f>
        <v>11687.270703585709</v>
      </c>
      <c r="R159" s="1">
        <f>'[1]links-p0'!L159</f>
        <v>0</v>
      </c>
      <c r="S159" s="20">
        <f>'[1]generators-p'!H159</f>
        <v>21117.687000000002</v>
      </c>
      <c r="T159" s="20">
        <f>'[1]generators-p'!I159</f>
        <v>0</v>
      </c>
      <c r="V159" s="1">
        <f>'[1]links-p0'!G159</f>
        <v>0</v>
      </c>
      <c r="W159" s="1">
        <f>'[1]links-p0'!H159</f>
        <v>3837</v>
      </c>
      <c r="X159" s="1">
        <f>'[1]links-p0'!O159</f>
        <v>0</v>
      </c>
    </row>
    <row r="160" spans="9:24">
      <c r="I160" s="20">
        <f>'[1]buses-marginal_price'!B160</f>
        <v>0</v>
      </c>
      <c r="J160" s="20">
        <f>'[1]generators-p'!B160</f>
        <v>52214.657552355267</v>
      </c>
      <c r="K160" s="20">
        <f>'[1]generators-p'!C160</f>
        <v>66150.663740676406</v>
      </c>
      <c r="L160" s="20">
        <f>'[1]generators-p'!D160</f>
        <v>0</v>
      </c>
      <c r="M160" s="20">
        <f>'[1]generators-p'!E160</f>
        <v>794.87977565351252</v>
      </c>
      <c r="N160" s="20">
        <f>'[1]generators-p'!F160</f>
        <v>6387.5882778085761</v>
      </c>
      <c r="O160" s="20">
        <f>'[1]links-p0'!B160</f>
        <v>0</v>
      </c>
      <c r="P160" s="20">
        <f>'[1]links-p0'!C160</f>
        <v>13320.750632965201</v>
      </c>
      <c r="Q160" s="20">
        <f>'[1]links-p0'!D160</f>
        <v>11710.57071352857</v>
      </c>
      <c r="R160" s="1">
        <f>'[1]links-p0'!L160</f>
        <v>0</v>
      </c>
      <c r="S160" s="20">
        <f>'[1]generators-p'!H160</f>
        <v>20836.612000000001</v>
      </c>
      <c r="T160" s="20">
        <f>'[1]generators-p'!I160</f>
        <v>0</v>
      </c>
      <c r="V160" s="1">
        <f>'[1]links-p0'!G160</f>
        <v>0</v>
      </c>
      <c r="W160" s="1">
        <f>'[1]links-p0'!H160</f>
        <v>3837</v>
      </c>
      <c r="X160" s="1">
        <f>'[1]links-p0'!O160</f>
        <v>0</v>
      </c>
    </row>
    <row r="161" spans="9:24">
      <c r="I161" s="20">
        <f>'[1]buses-marginal_price'!B161</f>
        <v>0</v>
      </c>
      <c r="J161" s="20">
        <f>'[1]generators-p'!B161</f>
        <v>44508.840183405002</v>
      </c>
      <c r="K161" s="20">
        <f>'[1]generators-p'!C161</f>
        <v>67868.771710827787</v>
      </c>
      <c r="L161" s="20">
        <f>'[1]generators-p'!D161</f>
        <v>0</v>
      </c>
      <c r="M161" s="20">
        <f>'[1]generators-p'!E161</f>
        <v>0</v>
      </c>
      <c r="N161" s="20">
        <f>'[1]generators-p'!F161</f>
        <v>4925.1039527736284</v>
      </c>
      <c r="O161" s="20">
        <f>'[1]links-p0'!B161</f>
        <v>0</v>
      </c>
      <c r="P161" s="20">
        <f>'[1]links-p0'!C161</f>
        <v>13320.750632965201</v>
      </c>
      <c r="Q161" s="20">
        <f>'[1]links-p0'!D161</f>
        <v>11687.270703585709</v>
      </c>
      <c r="R161" s="1">
        <f>'[1]links-p0'!L161</f>
        <v>0</v>
      </c>
      <c r="S161" s="20">
        <f>'[1]generators-p'!H161</f>
        <v>19902.657171850798</v>
      </c>
      <c r="T161" s="20">
        <f>'[1]generators-p'!I161</f>
        <v>570.03582814920003</v>
      </c>
      <c r="V161" s="1">
        <f>'[1]links-p0'!G161</f>
        <v>0</v>
      </c>
      <c r="W161" s="1">
        <f>'[1]links-p0'!H161</f>
        <v>3837</v>
      </c>
      <c r="X161" s="1">
        <f>'[1]links-p0'!O161</f>
        <v>0</v>
      </c>
    </row>
    <row r="162" spans="9:24">
      <c r="I162" s="20">
        <f>'[1]buses-marginal_price'!B162</f>
        <v>0</v>
      </c>
      <c r="J162" s="20">
        <f>'[1]generators-p'!B162</f>
        <v>27144.796207734998</v>
      </c>
      <c r="K162" s="20">
        <f>'[1]generators-p'!C162</f>
        <v>71329.542902751273</v>
      </c>
      <c r="L162" s="20">
        <f>'[1]generators-p'!D162</f>
        <v>0</v>
      </c>
      <c r="M162" s="20">
        <f>'[1]generators-p'!E162</f>
        <v>0</v>
      </c>
      <c r="N162" s="20">
        <f>'[1]generators-p'!F162</f>
        <v>2840.833719233352</v>
      </c>
      <c r="O162" s="20">
        <f>'[1]links-p0'!B162</f>
        <v>0</v>
      </c>
      <c r="P162" s="20">
        <f>'[1]links-p0'!C162</f>
        <v>13320.750632965201</v>
      </c>
      <c r="Q162" s="20">
        <f>'[1]links-p0'!D162</f>
        <v>11687.270703585709</v>
      </c>
      <c r="R162" s="1">
        <f>'[1]links-p0'!L162</f>
        <v>0</v>
      </c>
      <c r="S162" s="20">
        <f>'[1]generators-p'!H162</f>
        <v>16788.269465400001</v>
      </c>
      <c r="T162" s="20">
        <f>'[1]generators-p'!I162</f>
        <v>670.67661837960009</v>
      </c>
      <c r="V162" s="1">
        <f>'[1]links-p0'!G162</f>
        <v>0</v>
      </c>
      <c r="W162" s="1">
        <f>'[1]links-p0'!H162</f>
        <v>3837</v>
      </c>
      <c r="X162" s="1">
        <f>'[1]links-p0'!O162</f>
        <v>0</v>
      </c>
    </row>
    <row r="163" spans="9:24">
      <c r="I163" s="20">
        <f>'[1]buses-marginal_price'!B163</f>
        <v>0</v>
      </c>
      <c r="J163" s="20">
        <f>'[1]generators-p'!B163</f>
        <v>7021.1672797450001</v>
      </c>
      <c r="K163" s="20">
        <f>'[1]generators-p'!C163</f>
        <v>70326.101748658868</v>
      </c>
      <c r="L163" s="20">
        <f>'[1]generators-p'!D163</f>
        <v>0</v>
      </c>
      <c r="M163" s="20">
        <f>'[1]generators-p'!E163</f>
        <v>794.87977565351252</v>
      </c>
      <c r="N163" s="20">
        <f>'[1]generators-p'!F163</f>
        <v>0</v>
      </c>
      <c r="O163" s="20">
        <f>'[1]links-p0'!B163</f>
        <v>0</v>
      </c>
      <c r="P163" s="20">
        <f>'[1]links-p0'!C163</f>
        <v>13320.750632965201</v>
      </c>
      <c r="Q163" s="20">
        <f>'[1]links-p0'!D163</f>
        <v>13737.698830800229</v>
      </c>
      <c r="R163" s="1">
        <f>'[1]links-p0'!L163</f>
        <v>0</v>
      </c>
      <c r="S163" s="20">
        <f>'[1]generators-p'!H163</f>
        <v>8366.1166215199992</v>
      </c>
      <c r="T163" s="20">
        <f>'[1]generators-p'!I163</f>
        <v>774.76800655800002</v>
      </c>
      <c r="V163" s="1">
        <f>'[1]links-p0'!G163</f>
        <v>0</v>
      </c>
      <c r="W163" s="1">
        <f>'[1]links-p0'!H163</f>
        <v>3635.7726280779989</v>
      </c>
      <c r="X163" s="1">
        <f>'[1]links-p0'!O163</f>
        <v>0</v>
      </c>
    </row>
    <row r="164" spans="9:24">
      <c r="I164" s="20">
        <f>'[1]buses-marginal_price'!B164</f>
        <v>0.1</v>
      </c>
      <c r="J164" s="20">
        <f>'[1]generators-p'!B164</f>
        <v>20.00588071</v>
      </c>
      <c r="K164" s="20">
        <f>'[1]generators-p'!C164</f>
        <v>65799.846327957581</v>
      </c>
      <c r="L164" s="20">
        <f>'[1]generators-p'!D164</f>
        <v>0</v>
      </c>
      <c r="M164" s="20">
        <f>'[1]generators-p'!E164</f>
        <v>794.87977565351252</v>
      </c>
      <c r="N164" s="20">
        <f>'[1]generators-p'!F164</f>
        <v>0</v>
      </c>
      <c r="O164" s="20">
        <f>'[1]links-p0'!B164</f>
        <v>0</v>
      </c>
      <c r="P164" s="20">
        <f>'[1]links-p0'!C164</f>
        <v>13320.750632965201</v>
      </c>
      <c r="Q164" s="20">
        <f>'[1]links-p0'!D164</f>
        <v>15500</v>
      </c>
      <c r="R164" s="1">
        <f>'[1]links-p0'!L164</f>
        <v>0</v>
      </c>
      <c r="S164" s="20">
        <f>'[1]generators-p'!H164</f>
        <v>530.40544188000001</v>
      </c>
      <c r="T164" s="20">
        <f>'[1]generators-p'!I164</f>
        <v>806.96752589880009</v>
      </c>
      <c r="V164" s="1">
        <f>'[1]links-p0'!G164</f>
        <v>3135</v>
      </c>
      <c r="W164" s="1">
        <f>'[1]links-p0'!H164</f>
        <v>0</v>
      </c>
      <c r="X164" s="1">
        <f>'[1]links-p0'!O164</f>
        <v>0</v>
      </c>
    </row>
    <row r="165" spans="9:24">
      <c r="I165" s="20">
        <f>'[1]buses-marginal_price'!B165</f>
        <v>0.1</v>
      </c>
      <c r="J165" s="20">
        <f>'[1]generators-p'!B165</f>
        <v>0</v>
      </c>
      <c r="K165" s="20">
        <f>'[1]generators-p'!C165</f>
        <v>63999.609488092967</v>
      </c>
      <c r="L165" s="20">
        <f>'[1]generators-p'!D165</f>
        <v>0</v>
      </c>
      <c r="M165" s="20">
        <f>'[1]generators-p'!E165</f>
        <v>794.87977565351252</v>
      </c>
      <c r="N165" s="20">
        <f>'[1]generators-p'!F165</f>
        <v>0</v>
      </c>
      <c r="O165" s="20">
        <f>'[1]links-p0'!B165</f>
        <v>0</v>
      </c>
      <c r="P165" s="20">
        <f>'[1]links-p0'!C165</f>
        <v>13320.750632965201</v>
      </c>
      <c r="Q165" s="20">
        <f>'[1]links-p0'!D165</f>
        <v>15500</v>
      </c>
      <c r="R165" s="1">
        <f>'[1]links-p0'!L165</f>
        <v>0</v>
      </c>
      <c r="S165" s="20">
        <f>'[1]generators-p'!H165</f>
        <v>0</v>
      </c>
      <c r="T165" s="20">
        <f>'[1]generators-p'!I165</f>
        <v>850.68097022160021</v>
      </c>
      <c r="V165" s="1">
        <f>'[1]links-p0'!G165</f>
        <v>3135</v>
      </c>
      <c r="W165" s="1">
        <f>'[1]links-p0'!H165</f>
        <v>0</v>
      </c>
      <c r="X165" s="1">
        <f>'[1]links-p0'!O165</f>
        <v>0</v>
      </c>
    </row>
    <row r="166" spans="9:24">
      <c r="I166" s="20">
        <f>'[1]buses-marginal_price'!B166</f>
        <v>0.1</v>
      </c>
      <c r="J166" s="20">
        <f>'[1]generators-p'!B166</f>
        <v>0</v>
      </c>
      <c r="K166" s="20">
        <f>'[1]generators-p'!C166</f>
        <v>64502.616731058319</v>
      </c>
      <c r="L166" s="20">
        <f>'[1]generators-p'!D166</f>
        <v>0</v>
      </c>
      <c r="M166" s="20">
        <f>'[1]generators-p'!E166</f>
        <v>794.87977565351252</v>
      </c>
      <c r="N166" s="20">
        <f>'[1]generators-p'!F166</f>
        <v>0</v>
      </c>
      <c r="O166" s="20">
        <f>'[1]links-p0'!B166</f>
        <v>0</v>
      </c>
      <c r="P166" s="20">
        <f>'[1]links-p0'!C166</f>
        <v>13320.750632965201</v>
      </c>
      <c r="Q166" s="20">
        <f>'[1]links-p0'!D166</f>
        <v>15500</v>
      </c>
      <c r="R166" s="1">
        <f>'[1]links-p0'!L166</f>
        <v>0</v>
      </c>
      <c r="S166" s="20">
        <f>'[1]generators-p'!H166</f>
        <v>0</v>
      </c>
      <c r="T166" s="20">
        <f>'[1]generators-p'!I166</f>
        <v>921.49264448640008</v>
      </c>
      <c r="V166" s="1">
        <f>'[1]links-p0'!G166</f>
        <v>3135</v>
      </c>
      <c r="W166" s="1">
        <f>'[1]links-p0'!H166</f>
        <v>0</v>
      </c>
      <c r="X166" s="1">
        <f>'[1]links-p0'!O166</f>
        <v>0</v>
      </c>
    </row>
    <row r="167" spans="9:24">
      <c r="I167" s="20">
        <f>'[1]buses-marginal_price'!B167</f>
        <v>0.1</v>
      </c>
      <c r="J167" s="20">
        <f>'[1]generators-p'!B167</f>
        <v>0</v>
      </c>
      <c r="K167" s="20">
        <f>'[1]generators-p'!C167</f>
        <v>65809.387631394566</v>
      </c>
      <c r="L167" s="20">
        <f>'[1]generators-p'!D167</f>
        <v>0</v>
      </c>
      <c r="M167" s="20">
        <f>'[1]generators-p'!E167</f>
        <v>794.87977565351252</v>
      </c>
      <c r="N167" s="20">
        <f>'[1]generators-p'!F167</f>
        <v>0</v>
      </c>
      <c r="O167" s="20">
        <f>'[1]links-p0'!B167</f>
        <v>0</v>
      </c>
      <c r="P167" s="20">
        <f>'[1]links-p0'!C167</f>
        <v>13320.750632965201</v>
      </c>
      <c r="Q167" s="20">
        <f>'[1]links-p0'!D167</f>
        <v>15500</v>
      </c>
      <c r="R167" s="1">
        <f>'[1]links-p0'!L167</f>
        <v>0</v>
      </c>
      <c r="S167" s="20">
        <f>'[1]generators-p'!H167</f>
        <v>0</v>
      </c>
      <c r="T167" s="20">
        <f>'[1]generators-p'!I167</f>
        <v>777.28163428440007</v>
      </c>
      <c r="V167" s="1">
        <f>'[1]links-p0'!G167</f>
        <v>0</v>
      </c>
      <c r="W167" s="1">
        <f>'[1]links-p0'!H167</f>
        <v>0</v>
      </c>
      <c r="X167" s="1">
        <f>'[1]links-p0'!O167</f>
        <v>0</v>
      </c>
    </row>
    <row r="168" spans="9:24">
      <c r="I168" s="20">
        <f>'[1]buses-marginal_price'!B168</f>
        <v>0.1</v>
      </c>
      <c r="J168" s="20">
        <f>'[1]generators-p'!B168</f>
        <v>0</v>
      </c>
      <c r="K168" s="20">
        <f>'[1]generators-p'!C168</f>
        <v>67338.832060564164</v>
      </c>
      <c r="L168" s="20">
        <f>'[1]generators-p'!D168</f>
        <v>0</v>
      </c>
      <c r="M168" s="20">
        <f>'[1]generators-p'!E168</f>
        <v>794.87977565351252</v>
      </c>
      <c r="N168" s="20">
        <f>'[1]generators-p'!F168</f>
        <v>0</v>
      </c>
      <c r="O168" s="20">
        <f>'[1]links-p0'!B168</f>
        <v>0</v>
      </c>
      <c r="P168" s="20">
        <f>'[1]links-p0'!C168</f>
        <v>13320.750632965201</v>
      </c>
      <c r="Q168" s="20">
        <f>'[1]links-p0'!D168</f>
        <v>15500</v>
      </c>
      <c r="R168" s="1">
        <f>'[1]links-p0'!L168</f>
        <v>0</v>
      </c>
      <c r="S168" s="20">
        <f>'[1]generators-p'!H168</f>
        <v>0</v>
      </c>
      <c r="T168" s="20">
        <f>'[1]generators-p'!I168</f>
        <v>799.37744254200015</v>
      </c>
      <c r="V168" s="1">
        <f>'[1]links-p0'!G168</f>
        <v>0</v>
      </c>
      <c r="W168" s="1">
        <f>'[1]links-p0'!H168</f>
        <v>0</v>
      </c>
      <c r="X168" s="1">
        <f>'[1]links-p0'!O168</f>
        <v>0</v>
      </c>
    </row>
    <row r="169" spans="9:24">
      <c r="I169" s="20">
        <f>'[1]buses-marginal_price'!B169</f>
        <v>0</v>
      </c>
      <c r="J169" s="20">
        <f>'[1]generators-p'!B169</f>
        <v>0</v>
      </c>
      <c r="K169" s="20">
        <f>'[1]generators-p'!C169</f>
        <v>69117.832394977377</v>
      </c>
      <c r="L169" s="20">
        <f>'[1]generators-p'!D169</f>
        <v>0</v>
      </c>
      <c r="M169" s="20">
        <f>'[1]generators-p'!E169</f>
        <v>794.87977565351252</v>
      </c>
      <c r="N169" s="20">
        <f>'[1]generators-p'!F169</f>
        <v>0</v>
      </c>
      <c r="O169" s="20">
        <f>'[1]links-p0'!B169</f>
        <v>0</v>
      </c>
      <c r="P169" s="20">
        <f>'[1]links-p0'!C169</f>
        <v>13320.750632965201</v>
      </c>
      <c r="Q169" s="20">
        <f>'[1]links-p0'!D169</f>
        <v>15500</v>
      </c>
      <c r="R169" s="1">
        <f>'[1]links-p0'!L169</f>
        <v>0</v>
      </c>
      <c r="S169" s="20">
        <f>'[1]generators-p'!H169</f>
        <v>0</v>
      </c>
      <c r="T169" s="20">
        <f>'[1]generators-p'!I169</f>
        <v>944.27770134600007</v>
      </c>
      <c r="V169" s="1">
        <f>'[1]links-p0'!G169</f>
        <v>0</v>
      </c>
      <c r="W169" s="1">
        <f>'[1]links-p0'!H169</f>
        <v>0</v>
      </c>
      <c r="X169" s="1">
        <f>'[1]links-p0'!O169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GuideSheet</vt:lpstr>
      <vt:lpstr>Comparación con TYNDP24</vt:lpstr>
      <vt:lpstr>Precios ES</vt:lpstr>
      <vt:lpstr>Utilizacion de Interconexiones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2026-03-25T10:01:59Z</dcterms:created>
  <dcterms:modified xsi:type="dcterms:W3CDTF">2026-04-16T15:05:27Z</dcterms:modified>
</cp:coreProperties>
</file>