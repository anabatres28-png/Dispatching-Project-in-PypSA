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178AB787-618C-40BD-B741-952909BF9DCD}" xr6:coauthVersionLast="47" xr6:coauthVersionMax="47" xr10:uidLastSave="{00000000-0000-0000-0000-000000000000}"/>
  <bookViews>
    <workbookView xWindow="-110" yWindow="-110" windowWidth="19420" windowHeight="10300" activeTab="3" xr2:uid="{2E7B6C42-5949-4E58-B87D-356C4EA53423}"/>
  </bookViews>
  <sheets>
    <sheet name="sen1" sheetId="1" r:id="rId1"/>
    <sheet name="sen2" sheetId="4" r:id="rId2"/>
    <sheet name="precios" sheetId="2" r:id="rId3"/>
    <sheet name="sens3" sheetId="3" r:id="rId4"/>
  </sheets>
  <definedNames>
    <definedName name="_xlnm._FilterDatabase" localSheetId="2" hidden="1">precios!$A$1:$G$169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/>
  <c r="O5" i="3"/>
  <c r="P5" i="3"/>
  <c r="N5" i="3"/>
  <c r="G4" i="3"/>
  <c r="H4" i="3"/>
  <c r="I4" i="3"/>
  <c r="J4" i="3"/>
  <c r="K3" i="3"/>
  <c r="D4" i="3"/>
  <c r="C4" i="3"/>
  <c r="B4" i="3"/>
  <c r="E3" i="3"/>
  <c r="E6" i="4"/>
  <c r="D6" i="4"/>
  <c r="E5" i="4"/>
  <c r="D5" i="4"/>
  <c r="X54" i="1"/>
  <c r="W54" i="1"/>
  <c r="X52" i="1"/>
  <c r="X53" i="1"/>
  <c r="O56" i="1"/>
  <c r="K57" i="1" s="1"/>
  <c r="P49" i="1"/>
  <c r="K50" i="1" s="1"/>
  <c r="M5" i="1"/>
  <c r="AR7" i="1"/>
  <c r="AQ7" i="1"/>
  <c r="AD28" i="1"/>
  <c r="AC28" i="1"/>
  <c r="AB28" i="1"/>
  <c r="AA28" i="1"/>
  <c r="Y28" i="1"/>
  <c r="X28" i="1"/>
  <c r="W28" i="1"/>
  <c r="V28" i="1"/>
  <c r="V25" i="1"/>
  <c r="AA25" i="1"/>
  <c r="V6" i="1"/>
  <c r="AC6" i="1"/>
  <c r="AB6" i="1"/>
  <c r="AA6" i="1"/>
  <c r="W6" i="1"/>
  <c r="Y6" i="1"/>
  <c r="F5" i="1"/>
  <c r="F8" i="1" s="1"/>
  <c r="G5" i="1"/>
  <c r="C5" i="1"/>
  <c r="K5" i="1" s="1"/>
  <c r="B5" i="1"/>
  <c r="J5" i="1" s="1"/>
  <c r="D5" i="1"/>
  <c r="AI6" i="1"/>
  <c r="AH6" i="1"/>
  <c r="AD6" i="1"/>
  <c r="AJ6" i="1"/>
  <c r="X6" i="1"/>
  <c r="D8" i="1"/>
  <c r="E5" i="1"/>
  <c r="N50" i="1" l="1"/>
  <c r="L50" i="1"/>
  <c r="J50" i="1"/>
  <c r="O50" i="1"/>
  <c r="M50" i="1"/>
  <c r="M57" i="1"/>
  <c r="L57" i="1"/>
  <c r="N57" i="1"/>
  <c r="J57" i="1"/>
  <c r="C8" i="1"/>
  <c r="B8" i="1"/>
  <c r="U36" i="1"/>
  <c r="U35" i="1"/>
  <c r="U34" i="1"/>
  <c r="U33" i="1"/>
  <c r="E8" i="1" l="1"/>
  <c r="J6" i="1"/>
  <c r="N5" i="1"/>
  <c r="L5" i="1" l="1"/>
</calcChain>
</file>

<file path=xl/sharedStrings.xml><?xml version="1.0" encoding="utf-8"?>
<sst xmlns="http://schemas.openxmlformats.org/spreadsheetml/2006/main" count="107" uniqueCount="55">
  <si>
    <t>Electrolizadores SRES - ESh2</t>
  </si>
  <si>
    <t>Electrolizadores Emarket - ESh2</t>
  </si>
  <si>
    <t>Importación de H2 Marruecos</t>
  </si>
  <si>
    <t>Almacenamientos de Hidrógeno - ESh2</t>
  </si>
  <si>
    <t>Importación H2 Portugal</t>
  </si>
  <si>
    <t>Importación H2 BarMar FRh2S</t>
  </si>
  <si>
    <t>Generador h2 FRh2SW</t>
  </si>
  <si>
    <t>Descarga Almacenamiento</t>
  </si>
  <si>
    <t>Importaciones Irún Larrao</t>
  </si>
  <si>
    <t>Importaciones desde FRh2SW</t>
  </si>
  <si>
    <t>Descarga Almacenamientos FRh2S</t>
  </si>
  <si>
    <t>Importaciones desde FRh2</t>
  </si>
  <si>
    <t xml:space="preserve">Importaciones desde ESh2 </t>
  </si>
  <si>
    <t>Importaciones de FRh2S</t>
  </si>
  <si>
    <t>Importaciones de EUh2</t>
  </si>
  <si>
    <t>Generación H2 FRh2</t>
  </si>
  <si>
    <t>Ammonia LowBand FRh2SW</t>
  </si>
  <si>
    <t>Importación Marruecos</t>
  </si>
  <si>
    <t>Importaciones H2 España</t>
  </si>
  <si>
    <t>Importaciones H2 FRh2SW</t>
  </si>
  <si>
    <t>Descarga Almacenamiento FRh2S</t>
  </si>
  <si>
    <t>Importaciones de FRh2</t>
  </si>
  <si>
    <t>ESh2-FRh2SW</t>
  </si>
  <si>
    <t xml:space="preserve"> </t>
  </si>
  <si>
    <t>Importaciones MA</t>
  </si>
  <si>
    <t>total</t>
  </si>
  <si>
    <t>Modelo Piloto</t>
  </si>
  <si>
    <t>Modelo Sensibildad 1</t>
  </si>
  <si>
    <t>Sensibilidad 1</t>
  </si>
  <si>
    <t>Carga baterías</t>
  </si>
  <si>
    <t>Exportación electricidad a FR00</t>
  </si>
  <si>
    <t>Electrólisis para cargar almacenamiento H₂</t>
  </si>
  <si>
    <t>Electrólisis para exportar H₂ a PT</t>
  </si>
  <si>
    <t>Exportación electricidad a PT</t>
  </si>
  <si>
    <t>Electrólisis para exportar H₂ a FRSW</t>
  </si>
  <si>
    <t>Demanda eléctrica</t>
  </si>
  <si>
    <t>Electrólisis para cubrir demanda H₂</t>
  </si>
  <si>
    <t>Bombeo hidráulico</t>
  </si>
  <si>
    <t>Electrólisis para exportar H₂ a FRS</t>
  </si>
  <si>
    <t>Modelo piloto</t>
  </si>
  <si>
    <t>Electrolizadores SRES</t>
  </si>
  <si>
    <t>Sensibilidad 2</t>
  </si>
  <si>
    <t>Electrolizadores Emarket ESh2</t>
  </si>
  <si>
    <t>Reducción Utilización Electrolizadores</t>
  </si>
  <si>
    <t>Reducción</t>
  </si>
  <si>
    <t>43.96 GWh</t>
  </si>
  <si>
    <t>10.56 GWh</t>
  </si>
  <si>
    <t>Flujos ESh2-FRh2S (Irún-Larrao)</t>
  </si>
  <si>
    <t>Generador h2 en FRh2SW</t>
  </si>
  <si>
    <t>Almacenamiento descarga</t>
  </si>
  <si>
    <t>Ammonia Low Band FRh2SW</t>
  </si>
  <si>
    <t>Flujos ESh2-FRh2S (BarMar)</t>
  </si>
  <si>
    <t>Flujos FRh2SW-FRh2S (Hy-SoW)</t>
  </si>
  <si>
    <t>Almacenamiento-Descarga</t>
  </si>
  <si>
    <t>Flujos FRh2-FRh2S (Hy FEN)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</si>
</sst>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7"/>
      <color rgb="FF3B3B3B"/>
      <name val="Segoe U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10" fontId="0" fillId="0" borderId="0" xfId="1" applyNumberFormat="1" applyFont="1"/>
    <xf numFmtId="2" fontId="0" fillId="0" borderId="0" xfId="0" applyNumberFormat="1"/>
    <xf numFmtId="2" fontId="0" fillId="0" borderId="1" xfId="0" applyNumberFormat="1" applyBorder="1"/>
    <xf numFmtId="164" fontId="0" fillId="0" borderId="1" xfId="1" applyNumberFormat="1" applyFont="1" applyBorder="1"/>
    <xf numFmtId="0" fontId="2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A3AE2"/>
      <color rgb="FF9EF70D"/>
      <color rgb="FF35A59D"/>
      <color rgb="FFEE8F60"/>
      <color rgb="FFD20000"/>
      <color rgb="FF52BEE4"/>
      <color rgb="FFD416CB"/>
      <color rgb="FF8DDF07"/>
      <color rgb="FFC00000"/>
      <color rgb="FF8B2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72 Monospace" panose="020B0509030603020204" pitchFamily="49" charset="0"/>
              </a:defRPr>
            </a:pPr>
            <a:r>
              <a:rPr lang="es-ES"/>
              <a:t>Diferencia en la producción de Hidrógeno por tecnología en ESh2 - Sensibilidad 1 (GWh)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72 Monospace" panose="020B0509030603020204" pitchFamily="49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'sen1'!$B$4</c:f>
              <c:strCache>
                <c:ptCount val="1"/>
                <c:pt idx="0">
                  <c:v>Electrolizadores SRES - ESh2</c:v>
                </c:pt>
              </c:strCache>
            </c:strRef>
          </c:tx>
          <c:spPr>
            <a:solidFill>
              <a:srgbClr val="52BEE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72 Monospace" panose="020B0509030603020204" pitchFamily="49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'sen1'!$B$5</c:f>
              <c:numCache>
                <c:formatCode>General</c:formatCode>
                <c:ptCount val="1"/>
                <c:pt idx="0">
                  <c:v>-70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6-4BC4-AFBE-E7F9B0BB71E5}"/>
            </c:ext>
          </c:extLst>
        </c:ser>
        <c:ser>
          <c:idx val="1"/>
          <c:order val="1"/>
          <c:tx>
            <c:strRef>
              <c:f>'sen1'!$C$4</c:f>
              <c:strCache>
                <c:ptCount val="1"/>
                <c:pt idx="0">
                  <c:v>Electrolizadores Emarket - ESh2</c:v>
                </c:pt>
              </c:strCache>
            </c:strRef>
          </c:tx>
          <c:spPr>
            <a:solidFill>
              <a:srgbClr val="35A59D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72 Monospace" panose="020B0509030603020204" pitchFamily="49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'sen1'!$C$5</c:f>
              <c:numCache>
                <c:formatCode>General</c:formatCode>
                <c:ptCount val="1"/>
                <c:pt idx="0">
                  <c:v>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6-4BC4-AFBE-E7F9B0BB71E5}"/>
            </c:ext>
          </c:extLst>
        </c:ser>
        <c:ser>
          <c:idx val="2"/>
          <c:order val="2"/>
          <c:tx>
            <c:strRef>
              <c:f>'sen1'!$D$4</c:f>
              <c:strCache>
                <c:ptCount val="1"/>
                <c:pt idx="0">
                  <c:v>Almacenamientos de Hidrógeno - ESh2</c:v>
                </c:pt>
              </c:strCache>
            </c:strRef>
          </c:tx>
          <c:spPr>
            <a:solidFill>
              <a:srgbClr val="8DDF07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72 Monospace" panose="020B0509030603020204" pitchFamily="49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'sen1'!$D$5</c:f>
              <c:numCache>
                <c:formatCode>General</c:formatCode>
                <c:ptCount val="1"/>
                <c:pt idx="0">
                  <c:v>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96-4BC4-AFBE-E7F9B0BB71E5}"/>
            </c:ext>
          </c:extLst>
        </c:ser>
        <c:ser>
          <c:idx val="3"/>
          <c:order val="3"/>
          <c:tx>
            <c:strRef>
              <c:f>'sen1'!$E$4</c:f>
              <c:strCache>
                <c:ptCount val="1"/>
                <c:pt idx="0">
                  <c:v>Importación H2 Portugal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'sen1'!$E$5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96-4BC4-AFBE-E7F9B0BB71E5}"/>
            </c:ext>
          </c:extLst>
        </c:ser>
        <c:ser>
          <c:idx val="4"/>
          <c:order val="4"/>
          <c:tx>
            <c:strRef>
              <c:f>'sen1'!$F$4</c:f>
              <c:strCache>
                <c:ptCount val="1"/>
                <c:pt idx="0">
                  <c:v>Importación H2 BarMar FRh2S</c:v>
                </c:pt>
              </c:strCache>
            </c:strRef>
          </c:tx>
          <c:spPr>
            <a:solidFill>
              <a:srgbClr val="8B257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72 Monospace" panose="020B0509030603020204" pitchFamily="49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'sen1'!$F$5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96-4BC4-AFBE-E7F9B0BB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086287"/>
        <c:axId val="1471085327"/>
      </c:barChart>
      <c:catAx>
        <c:axId val="1471086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71085327"/>
        <c:crosses val="autoZero"/>
        <c:auto val="1"/>
        <c:lblAlgn val="ctr"/>
        <c:lblOffset val="100"/>
        <c:noMultiLvlLbl val="0"/>
      </c:catAx>
      <c:valAx>
        <c:axId val="147108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72 Monospace" panose="020B0509030603020204" pitchFamily="49" charset="0"/>
              </a:defRPr>
            </a:pPr>
            <a:endParaRPr lang="es-ES"/>
          </a:p>
        </c:txPr>
        <c:crossAx val="147108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059638841189984E-2"/>
          <c:y val="0.83157447738062285"/>
          <c:w val="0.96385779765652779"/>
          <c:h val="0.152799386848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72 Monospace" panose="020B0509030603020204" pitchFamily="49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+mn-lt"/>
          <a:cs typeface="72 Monospace" panose="020B0509030603020204" pitchFamily="49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72 Monospace" panose="020B0509030603020204" pitchFamily="49" charset="0"/>
              </a:defRPr>
            </a:pPr>
            <a:r>
              <a:rPr lang="es-E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72 Monospace" panose="020B0509030603020204" pitchFamily="49" charset="0"/>
              </a:rPr>
              <a:t>Diferencia en la producción de Hidrógeno por tecnología en ESh2 - Sensibilidad 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72 Monospace" panose="020B0509030603020204" pitchFamily="49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'sen1'!$B$7</c:f>
              <c:strCache>
                <c:ptCount val="1"/>
                <c:pt idx="0">
                  <c:v>Electrolizadores SRES - ESh2</c:v>
                </c:pt>
              </c:strCache>
            </c:strRef>
          </c:tx>
          <c:spPr>
            <a:solidFill>
              <a:srgbClr val="52BEE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72 Monospace" panose="020B0509030603020204" pitchFamily="49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'sen1'!$B$8</c:f>
              <c:numCache>
                <c:formatCode>0%</c:formatCode>
                <c:ptCount val="1"/>
                <c:pt idx="0">
                  <c:v>-4.1007615700058585E-2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9-49F8-A021-4955546B45A0}"/>
            </c:ext>
          </c:extLst>
        </c:ser>
        <c:ser>
          <c:idx val="1"/>
          <c:order val="1"/>
          <c:tx>
            <c:strRef>
              <c:f>'sen1'!$C$4</c:f>
              <c:strCache>
                <c:ptCount val="1"/>
                <c:pt idx="0">
                  <c:v>Electrolizadores Emarket - ESh2</c:v>
                </c:pt>
              </c:strCache>
            </c:strRef>
          </c:tx>
          <c:spPr>
            <a:solidFill>
              <a:srgbClr val="35A59D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72 Monospace" panose="020B0509030603020204" pitchFamily="49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'sen1'!$C$8</c:f>
              <c:numCache>
                <c:formatCode>0%</c:formatCode>
                <c:ptCount val="1"/>
                <c:pt idx="0">
                  <c:v>-1.7777777777777778E-2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9-49F8-A021-4955546B45A0}"/>
            </c:ext>
          </c:extLst>
        </c:ser>
        <c:ser>
          <c:idx val="2"/>
          <c:order val="2"/>
          <c:tx>
            <c:strRef>
              <c:f>'sen1'!$D$4</c:f>
              <c:strCache>
                <c:ptCount val="1"/>
                <c:pt idx="0">
                  <c:v>Almacenamientos de Hidrógeno - ESh2</c:v>
                </c:pt>
              </c:strCache>
            </c:strRef>
          </c:tx>
          <c:spPr>
            <a:solidFill>
              <a:srgbClr val="8DDF07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72 Monospace" panose="020B0509030603020204" pitchFamily="49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'sen1'!$D$8</c:f>
              <c:numCache>
                <c:formatCode>0%</c:formatCode>
                <c:ptCount val="1"/>
                <c:pt idx="0">
                  <c:v>0.10606060606060606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E9-49F8-A021-4955546B45A0}"/>
            </c:ext>
          </c:extLst>
        </c:ser>
        <c:ser>
          <c:idx val="3"/>
          <c:order val="3"/>
          <c:tx>
            <c:strRef>
              <c:f>'sen1'!$E$4</c:f>
              <c:strCache>
                <c:ptCount val="1"/>
                <c:pt idx="0">
                  <c:v>Importación H2 Portugal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'sen1'!$E$5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E9-49F8-A021-4955546B45A0}"/>
            </c:ext>
          </c:extLst>
        </c:ser>
        <c:ser>
          <c:idx val="4"/>
          <c:order val="4"/>
          <c:tx>
            <c:strRef>
              <c:f>'sen1'!$F$4</c:f>
              <c:strCache>
                <c:ptCount val="1"/>
                <c:pt idx="0">
                  <c:v>Importación H2 BarMar FRh2S</c:v>
                </c:pt>
              </c:strCache>
            </c:strRef>
          </c:tx>
          <c:spPr>
            <a:solidFill>
              <a:srgbClr val="8B257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72 Monospace" panose="020B0509030603020204" pitchFamily="49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'sen1'!$F$8</c:f>
              <c:numCache>
                <c:formatCode>0%</c:formatCode>
                <c:ptCount val="1"/>
                <c:pt idx="0">
                  <c:v>1.2500000000000001E-2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9-49F8-A021-4955546B4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086287"/>
        <c:axId val="1471085327"/>
      </c:barChart>
      <c:catAx>
        <c:axId val="1471086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71085327"/>
        <c:crosses val="autoZero"/>
        <c:auto val="1"/>
        <c:lblAlgn val="ctr"/>
        <c:lblOffset val="100"/>
        <c:noMultiLvlLbl val="0"/>
      </c:catAx>
      <c:valAx>
        <c:axId val="147108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72 Monospace" panose="020B0509030603020204" pitchFamily="49" charset="0"/>
              </a:defRPr>
            </a:pPr>
            <a:endParaRPr lang="es-ES"/>
          </a:p>
        </c:txPr>
        <c:crossAx val="147108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357835755666844E-2"/>
          <c:y val="0.84386699105194007"/>
          <c:w val="0.96719550107392349"/>
          <c:h val="0.140506861976962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72 Monospace" panose="020B0509030603020204" pitchFamily="49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72 Monospace" panose="020B0509030603020204" pitchFamily="49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226238174928881"/>
          <c:y val="7.4593380293467612E-2"/>
          <c:w val="0.58193203202577615"/>
          <c:h val="0.77718805832009097"/>
        </c:manualLayout>
      </c:layout>
      <c:pie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52BEE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21-4448-9611-B56ECC52844C}"/>
              </c:ext>
            </c:extLst>
          </c:dPt>
          <c:dPt>
            <c:idx val="1"/>
            <c:bubble3D val="0"/>
            <c:spPr>
              <a:solidFill>
                <a:srgbClr val="35A59D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F21-4448-9611-B56ECC52844C}"/>
              </c:ext>
            </c:extLst>
          </c:dPt>
          <c:dPt>
            <c:idx val="2"/>
            <c:bubble3D val="0"/>
            <c:spPr>
              <a:solidFill>
                <a:srgbClr val="8DDF0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F21-4448-9611-B56ECC5284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21-4448-9611-B56ECC52844C}"/>
              </c:ext>
            </c:extLst>
          </c:dPt>
          <c:dPt>
            <c:idx val="4"/>
            <c:bubble3D val="0"/>
            <c:spPr>
              <a:solidFill>
                <a:srgbClr val="8B257F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21-4448-9611-B56ECC52844C}"/>
              </c:ext>
            </c:extLst>
          </c:dPt>
          <c:dLbls>
            <c:dLbl>
              <c:idx val="0"/>
              <c:layout>
                <c:manualLayout>
                  <c:x val="-0.13805954257488537"/>
                  <c:y val="4.654435268912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21-4448-9611-B56ECC52844C}"/>
                </c:ext>
              </c:extLst>
            </c:dLbl>
            <c:dLbl>
              <c:idx val="1"/>
              <c:layout>
                <c:manualLayout>
                  <c:x val="6.3581442826490017E-2"/>
                  <c:y val="-0.163854422038093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21-4448-9611-B56ECC52844C}"/>
                </c:ext>
              </c:extLst>
            </c:dLbl>
            <c:dLbl>
              <c:idx val="2"/>
              <c:layout>
                <c:manualLayout>
                  <c:x val="8.0883949382793155E-2"/>
                  <c:y val="7.16901737827916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21-4448-9611-B56ECC52844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21-4448-9611-B56ECC52844C}"/>
                </c:ext>
              </c:extLst>
            </c:dLbl>
            <c:dLbl>
              <c:idx val="4"/>
              <c:layout>
                <c:manualLayout>
                  <c:x val="7.5747580591027819E-2"/>
                  <c:y val="0.13121324911978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21-4448-9611-B56ECC5284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'sen1'!$J$4:$N$4</c:f>
              <c:strCache>
                <c:ptCount val="5"/>
                <c:pt idx="0">
                  <c:v>Electrolizadores SRES - ESh2</c:v>
                </c:pt>
                <c:pt idx="1">
                  <c:v>Electrolizadores Emarket - ESh2</c:v>
                </c:pt>
                <c:pt idx="2">
                  <c:v>Almacenamientos de Hidrógeno - ESh2</c:v>
                </c:pt>
                <c:pt idx="3">
                  <c:v>Importación H2 Portugal</c:v>
                </c:pt>
                <c:pt idx="4">
                  <c:v>Importación H2 BarMar FRh2S</c:v>
                </c:pt>
              </c:strCache>
            </c:strRef>
          </c:cat>
          <c:val>
            <c:numRef>
              <c:f>'sen1'!$J$5:$N$5</c:f>
              <c:numCache>
                <c:formatCode>0%</c:formatCode>
                <c:ptCount val="5"/>
                <c:pt idx="0">
                  <c:v>-0.22508038585209003</c:v>
                </c:pt>
                <c:pt idx="1">
                  <c:v>-2.5723472668810289E-2</c:v>
                </c:pt>
                <c:pt idx="2">
                  <c:v>-2.2508038585209004E-2</c:v>
                </c:pt>
                <c:pt idx="3">
                  <c:v>0</c:v>
                </c:pt>
                <c:pt idx="4">
                  <c:v>3.2154340836012861E-3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1-4448-9611-B56ECC528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411455765496134E-2"/>
          <c:y val="0.85619737909218341"/>
          <c:w val="0.96946579727655902"/>
          <c:h val="0.132024718756216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72 Monospace" panose="020B0509030603020204" pitchFamily="49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Cambio flujos</a:t>
            </a:r>
            <a:r>
              <a:rPr lang="es-ES" baseline="0"/>
              <a:t> FRh2SW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'sen1'!$V$5</c:f>
              <c:strCache>
                <c:ptCount val="1"/>
                <c:pt idx="0">
                  <c:v>Generador h2 FRh2SW</c:v>
                </c:pt>
              </c:strCache>
            </c:strRef>
          </c:tx>
          <c:spPr>
            <a:solidFill>
              <a:srgbClr val="35A59D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'sen1'!$V$6</c:f>
              <c:numCache>
                <c:formatCode>General</c:formatCode>
                <c:ptCount val="1"/>
                <c:pt idx="0">
                  <c:v>-32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7-4DE3-B9FF-AF6A96F03D10}"/>
            </c:ext>
          </c:extLst>
        </c:ser>
        <c:ser>
          <c:idx val="1"/>
          <c:order val="1"/>
          <c:tx>
            <c:strRef>
              <c:f>'sen1'!$W$5</c:f>
              <c:strCache>
                <c:ptCount val="1"/>
                <c:pt idx="0">
                  <c:v>Descarga Almacenamiento</c:v>
                </c:pt>
              </c:strCache>
            </c:strRef>
          </c:tx>
          <c:spPr>
            <a:solidFill>
              <a:srgbClr val="8DDF07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'sen1'!$W$6</c:f>
              <c:numCache>
                <c:formatCode>General</c:formatCode>
                <c:ptCount val="1"/>
                <c:pt idx="0">
                  <c:v>-23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7-4DE3-B9FF-AF6A96F03D10}"/>
            </c:ext>
          </c:extLst>
        </c:ser>
        <c:ser>
          <c:idx val="2"/>
          <c:order val="2"/>
          <c:tx>
            <c:strRef>
              <c:f>'sen1'!$X$5</c:f>
              <c:strCache>
                <c:ptCount val="1"/>
                <c:pt idx="0">
                  <c:v>Importaciones Irún Larrao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'sen1'!$X$6</c:f>
              <c:numCache>
                <c:formatCode>General</c:formatCode>
                <c:ptCount val="1"/>
                <c:pt idx="0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7-4DE3-B9FF-AF6A96F03D10}"/>
            </c:ext>
          </c:extLst>
        </c:ser>
        <c:ser>
          <c:idx val="3"/>
          <c:order val="3"/>
          <c:tx>
            <c:strRef>
              <c:f>'sen1'!$Y$5</c:f>
              <c:strCache>
                <c:ptCount val="1"/>
                <c:pt idx="0">
                  <c:v>Ammonia LowBand FRh2SW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'sen1'!$Y$6</c:f>
              <c:numCache>
                <c:formatCode>General</c:formatCode>
                <c:ptCount val="1"/>
                <c:pt idx="0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D-4714-BFC2-C1543BF58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484511"/>
        <c:axId val="1468473951"/>
      </c:barChart>
      <c:catAx>
        <c:axId val="1468484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8473951"/>
        <c:crosses val="autoZero"/>
        <c:auto val="1"/>
        <c:lblAlgn val="ctr"/>
        <c:lblOffset val="100"/>
        <c:noMultiLvlLbl val="0"/>
      </c:catAx>
      <c:valAx>
        <c:axId val="14684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84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Cambio flujos</a:t>
            </a:r>
            <a:r>
              <a:rPr lang="es-ES" baseline="0"/>
              <a:t> FRh2S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'sen1'!$AA$5</c:f>
              <c:strCache>
                <c:ptCount val="1"/>
                <c:pt idx="0">
                  <c:v>Importaciones desde ESh2 </c:v>
                </c:pt>
              </c:strCache>
            </c:strRef>
          </c:tx>
          <c:spPr>
            <a:solidFill>
              <a:srgbClr val="D20000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'sen1'!$AA$6</c:f>
              <c:numCache>
                <c:formatCode>General</c:formatCode>
                <c:ptCount val="1"/>
                <c:pt idx="0">
                  <c:v>-69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D-4F88-84BC-A361A1E14DD8}"/>
            </c:ext>
          </c:extLst>
        </c:ser>
        <c:ser>
          <c:idx val="1"/>
          <c:order val="1"/>
          <c:tx>
            <c:strRef>
              <c:f>'sen1'!$AB$5</c:f>
              <c:strCache>
                <c:ptCount val="1"/>
                <c:pt idx="0">
                  <c:v>Importaciones desde FRh2SW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'sen1'!$AB$6</c:f>
              <c:numCache>
                <c:formatCode>General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D-4F88-84BC-A361A1E14DD8}"/>
            </c:ext>
          </c:extLst>
        </c:ser>
        <c:ser>
          <c:idx val="2"/>
          <c:order val="2"/>
          <c:tx>
            <c:strRef>
              <c:f>'sen1'!$AC$5</c:f>
              <c:strCache>
                <c:ptCount val="1"/>
                <c:pt idx="0">
                  <c:v>Descarga Almacenamientos FRh2S</c:v>
                </c:pt>
              </c:strCache>
            </c:strRef>
          </c:tx>
          <c:spPr>
            <a:solidFill>
              <a:srgbClr val="8DDF07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'sen1'!$AC$6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D-4F88-84BC-A361A1E14DD8}"/>
            </c:ext>
          </c:extLst>
        </c:ser>
        <c:ser>
          <c:idx val="3"/>
          <c:order val="3"/>
          <c:tx>
            <c:strRef>
              <c:f>'sen1'!$AD$5</c:f>
              <c:strCache>
                <c:ptCount val="1"/>
                <c:pt idx="0">
                  <c:v>Importaciones desde FRh2</c:v>
                </c:pt>
              </c:strCache>
            </c:strRef>
          </c:tx>
          <c:spPr>
            <a:solidFill>
              <a:srgbClr val="D416CB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'sen1'!$AD$6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2D-4F88-84BC-A361A1E14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484511"/>
        <c:axId val="1468473951"/>
      </c:barChart>
      <c:catAx>
        <c:axId val="1468484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8473951"/>
        <c:crosses val="autoZero"/>
        <c:auto val="1"/>
        <c:lblAlgn val="ctr"/>
        <c:lblOffset val="100"/>
        <c:noMultiLvlLbl val="0"/>
      </c:catAx>
      <c:valAx>
        <c:axId val="14684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84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Cambio flujos</a:t>
            </a:r>
            <a:r>
              <a:rPr lang="es-ES" baseline="0"/>
              <a:t> FRh2S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'sen1'!$AH$5</c:f>
              <c:strCache>
                <c:ptCount val="1"/>
                <c:pt idx="0">
                  <c:v>Importaciones de FRh2S</c:v>
                </c:pt>
              </c:strCache>
            </c:strRef>
          </c:tx>
          <c:spPr>
            <a:solidFill>
              <a:srgbClr val="EE8F60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'sen1'!$AH$6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6-4A34-99F8-4C8C489A96CB}"/>
            </c:ext>
          </c:extLst>
        </c:ser>
        <c:ser>
          <c:idx val="1"/>
          <c:order val="1"/>
          <c:tx>
            <c:strRef>
              <c:f>'sen1'!$AI$5</c:f>
              <c:strCache>
                <c:ptCount val="1"/>
                <c:pt idx="0">
                  <c:v>Importaciones de EUh2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'sen1'!$AI$6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6-4A34-99F8-4C8C489A96CB}"/>
            </c:ext>
          </c:extLst>
        </c:ser>
        <c:ser>
          <c:idx val="2"/>
          <c:order val="2"/>
          <c:tx>
            <c:strRef>
              <c:f>'sen1'!$AJ$5</c:f>
              <c:strCache>
                <c:ptCount val="1"/>
                <c:pt idx="0">
                  <c:v>Generación H2 FRh2</c:v>
                </c:pt>
              </c:strCache>
            </c:strRef>
          </c:tx>
          <c:spPr>
            <a:solidFill>
              <a:srgbClr val="35A59D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'sen1'!$AJ$6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6-4A34-99F8-4C8C489A9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484511"/>
        <c:axId val="1468473951"/>
      </c:barChart>
      <c:catAx>
        <c:axId val="1468484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8473951"/>
        <c:crosses val="autoZero"/>
        <c:auto val="1"/>
        <c:lblAlgn val="ctr"/>
        <c:lblOffset val="100"/>
        <c:noMultiLvlLbl val="0"/>
      </c:catAx>
      <c:valAx>
        <c:axId val="14684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84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FRh2S - Modelo Piloto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D2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7D-46BF-859E-E7D10EA77937}"/>
              </c:ext>
            </c:extLst>
          </c:dPt>
          <c:dPt>
            <c:idx val="1"/>
            <c:bubble3D val="0"/>
            <c:spPr>
              <a:solidFill>
                <a:srgbClr val="EE8F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67D-46BF-859E-E7D10EA77937}"/>
              </c:ext>
            </c:extLst>
          </c:dPt>
          <c:dPt>
            <c:idx val="2"/>
            <c:bubble3D val="0"/>
            <c:spPr>
              <a:solidFill>
                <a:srgbClr val="9EF7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7D-46BF-859E-E7D10EA77937}"/>
              </c:ext>
            </c:extLst>
          </c:dPt>
          <c:dPt>
            <c:idx val="3"/>
            <c:bubble3D val="0"/>
            <c:spPr>
              <a:solidFill>
                <a:srgbClr val="EA3A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67D-46BF-859E-E7D10EA77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'sen1'!$V$26:$Y$26</c:f>
              <c:strCache>
                <c:ptCount val="4"/>
                <c:pt idx="0">
                  <c:v>Importaciones H2 España</c:v>
                </c:pt>
                <c:pt idx="1">
                  <c:v>Importaciones H2 FRh2SW</c:v>
                </c:pt>
                <c:pt idx="2">
                  <c:v>Descarga Almacenamiento FRh2S</c:v>
                </c:pt>
                <c:pt idx="3">
                  <c:v>Importaciones de FRh2</c:v>
                </c:pt>
              </c:strCache>
            </c:strRef>
          </c:cat>
          <c:val>
            <c:numRef>
              <c:f>'sen1'!$V$28:$Y$28</c:f>
              <c:numCache>
                <c:formatCode>0%</c:formatCode>
                <c:ptCount val="4"/>
                <c:pt idx="0">
                  <c:v>0.72261306532663316</c:v>
                </c:pt>
                <c:pt idx="1">
                  <c:v>0.1748743718592965</c:v>
                </c:pt>
                <c:pt idx="2">
                  <c:v>8.8442211055276387E-2</c:v>
                </c:pt>
                <c:pt idx="3">
                  <c:v>1.407035175879397E-2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D-46BF-859E-E7D10EA77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FRh2S - Sensibilidad</a:t>
            </a:r>
            <a:r>
              <a:rPr lang="es-ES" baseline="0"/>
              <a:t> 3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D2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0D-4D42-AC10-3435D656F5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0D-4D42-AC10-3435D656F5E7}"/>
              </c:ext>
            </c:extLst>
          </c:dPt>
          <c:dPt>
            <c:idx val="2"/>
            <c:bubble3D val="0"/>
            <c:spPr>
              <a:solidFill>
                <a:srgbClr val="9EF7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0D-4D42-AC10-3435D656F5E7}"/>
              </c:ext>
            </c:extLst>
          </c:dPt>
          <c:dPt>
            <c:idx val="3"/>
            <c:bubble3D val="0"/>
            <c:spPr>
              <a:solidFill>
                <a:srgbClr val="EA3A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0D-4D42-AC10-3435D656F5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'sen1'!$AA$26:$AD$26</c:f>
              <c:strCache>
                <c:ptCount val="4"/>
                <c:pt idx="0">
                  <c:v>Importaciones H2 España</c:v>
                </c:pt>
                <c:pt idx="1">
                  <c:v>Importaciones H2 FRh2SW</c:v>
                </c:pt>
                <c:pt idx="2">
                  <c:v>Descarga Almacenamiento FRh2S</c:v>
                </c:pt>
                <c:pt idx="3">
                  <c:v>Importaciones de FRh2</c:v>
                </c:pt>
              </c:strCache>
            </c:strRef>
          </c:cat>
          <c:val>
            <c:numRef>
              <c:f>'sen1'!$AA$28:$AD$28</c:f>
              <c:numCache>
                <c:formatCode>0%</c:formatCode>
                <c:ptCount val="4"/>
                <c:pt idx="0">
                  <c:v>0.65261044176706828</c:v>
                </c:pt>
                <c:pt idx="1">
                  <c:v>0.24397590361445784</c:v>
                </c:pt>
                <c:pt idx="2">
                  <c:v>8.9357429718875503E-2</c:v>
                </c:pt>
                <c:pt idx="3">
                  <c:v>1.4056224899598393E-2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0D-4D42-AC10-3435D656F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200"/>
              <a:t>Porcentaje</a:t>
            </a:r>
            <a:r>
              <a:rPr lang="es-ES" sz="1200" baseline="0"/>
              <a:t> de Reducción de Flujos de España a Francia</a:t>
            </a:r>
            <a:endParaRPr lang="es-E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'sen1'!$AQ$6</c:f>
              <c:strCache>
                <c:ptCount val="1"/>
                <c:pt idx="0">
                  <c:v>ESh2-FRh2SW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3611111111111115"/>
                  <c:y val="7.4865218658387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7A-49AD-BED0-DE5FAB1E63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'sen1'!$AQ$7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A-49AD-BED0-DE5FAB1E633A}"/>
            </c:ext>
          </c:extLst>
        </c:ser>
        <c:ser>
          <c:idx val="1"/>
          <c:order val="1"/>
          <c:tx>
            <c:strRef>
              <c:f>'sen1'!$AR$6</c:f>
              <c:strCache>
                <c:ptCount val="1"/>
                <c:pt idx="0">
                  <c:v>ESh2-FRh2SW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'sen1'!$AR$7</c:f>
              <c:numCache>
                <c:formatCode>0.00%</c:formatCode>
                <c:ptCount val="1"/>
                <c:pt idx="0">
                  <c:v>1.3908205841446454E-2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A-49AD-BED0-DE5FAB1E6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07567"/>
        <c:axId val="472398447"/>
      </c:barChart>
      <c:catAx>
        <c:axId val="472407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2398447"/>
        <c:crosses val="autoZero"/>
        <c:auto val="1"/>
        <c:lblAlgn val="ctr"/>
        <c:lblOffset val="100"/>
        <c:noMultiLvlLbl val="0"/>
      </c:catAx>
      <c:valAx>
        <c:axId val="4723984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240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200"/>
              <a:t>GWh</a:t>
            </a:r>
            <a:r>
              <a:rPr lang="es-ES" sz="1200" baseline="0"/>
              <a:t> Reducidos de Flujos de España a Francia</a:t>
            </a:r>
            <a:endParaRPr lang="es-E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'sen1'!$AQ$6</c:f>
              <c:strCache>
                <c:ptCount val="1"/>
                <c:pt idx="0">
                  <c:v>ESh2-FRh2SW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7777777777779E-3"/>
                  <c:y val="0.107618751821431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D-49C9-BAC7-F9180482C2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'sen1'!$AQ$8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D-49C9-BAC7-F9180482C26D}"/>
            </c:ext>
          </c:extLst>
        </c:ser>
        <c:ser>
          <c:idx val="1"/>
          <c:order val="1"/>
          <c:tx>
            <c:strRef>
              <c:f>'sen1'!$AR$6</c:f>
              <c:strCache>
                <c:ptCount val="1"/>
                <c:pt idx="0">
                  <c:v>ESh2-FRh2SW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185067526415994E-16"/>
                  <c:y val="0.102939675655282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D-49C9-BAC7-F9180482C2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'sen1'!$AR$8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5D-49C9-BAC7-F9180482C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07567"/>
        <c:axId val="472398447"/>
      </c:barChart>
      <c:catAx>
        <c:axId val="472407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2398447"/>
        <c:crosses val="autoZero"/>
        <c:auto val="1"/>
        <c:lblAlgn val="ctr"/>
        <c:lblOffset val="100"/>
        <c:noMultiLvlLbl val="0"/>
      </c:catAx>
      <c:valAx>
        <c:axId val="47239844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240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Porcentaje</a:t>
            </a:r>
            <a:r>
              <a:rPr lang="es-ES" baseline="0"/>
              <a:t> de Cobertura de Demanda ESh2 - MPiloto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2BEE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27-4F07-9FA9-5B0467266BC2}"/>
              </c:ext>
            </c:extLst>
          </c:dPt>
          <c:dPt>
            <c:idx val="1"/>
            <c:bubble3D val="0"/>
            <c:spPr>
              <a:solidFill>
                <a:srgbClr val="35A59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B27-4F07-9FA9-5B0467266BC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B27-4F07-9FA9-5B0467266BC2}"/>
              </c:ext>
            </c:extLst>
          </c:dPt>
          <c:dPt>
            <c:idx val="3"/>
            <c:bubble3D val="0"/>
            <c:spPr>
              <a:solidFill>
                <a:srgbClr val="9EF7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27-4F07-9FA9-5B0467266BC2}"/>
              </c:ext>
            </c:extLst>
          </c:dPt>
          <c:dPt>
            <c:idx val="4"/>
            <c:bubble3D val="0"/>
            <c:spPr>
              <a:solidFill>
                <a:srgbClr val="D2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B27-4F07-9FA9-5B0467266BC2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27-4F07-9FA9-5B0467266B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'sen1'!$J$48:$O$48</c:f>
              <c:strCache>
                <c:ptCount val="6"/>
                <c:pt idx="0">
                  <c:v>Electrolizadores SRES - ESh2</c:v>
                </c:pt>
                <c:pt idx="1">
                  <c:v>Electrolizadores Emarket - ESh2</c:v>
                </c:pt>
                <c:pt idx="2">
                  <c:v>Importaciones MA</c:v>
                </c:pt>
                <c:pt idx="3">
                  <c:v>Almacenamientos de Hidrógeno - ESh2</c:v>
                </c:pt>
                <c:pt idx="4">
                  <c:v>Importación H2 Portugal</c:v>
                </c:pt>
                <c:pt idx="5">
                  <c:v>Importación H2 BarMar FRh2S</c:v>
                </c:pt>
              </c:strCache>
            </c:strRef>
          </c:cat>
          <c:val>
            <c:numRef>
              <c:f>'sen1'!$J$50:$O$50</c:f>
              <c:numCache>
                <c:formatCode>0.0%</c:formatCode>
                <c:ptCount val="6"/>
                <c:pt idx="0">
                  <c:v>0.60380925356030712</c:v>
                </c:pt>
                <c:pt idx="1">
                  <c:v>0.15937739348094826</c:v>
                </c:pt>
                <c:pt idx="2">
                  <c:v>0.10995417372415378</c:v>
                </c:pt>
                <c:pt idx="3">
                  <c:v>7.0093604758049835E-2</c:v>
                </c:pt>
                <c:pt idx="4">
                  <c:v>2.8617530424492152E-2</c:v>
                </c:pt>
                <c:pt idx="5">
                  <c:v>2.8148044052048769E-2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7-4F07-9FA9-5B046726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249138843839144E-3"/>
          <c:y val="0.80262023852183129"/>
          <c:w val="0.9811124044634747"/>
          <c:h val="0.17589638811490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Porcentaje</a:t>
            </a:r>
            <a:r>
              <a:rPr lang="es-ES" baseline="0"/>
              <a:t> Cobertura de Demanda ESh2- Sensibilidad 1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2BEE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9A-4C24-82A2-153367913FAD}"/>
              </c:ext>
            </c:extLst>
          </c:dPt>
          <c:dPt>
            <c:idx val="1"/>
            <c:bubble3D val="0"/>
            <c:spPr>
              <a:solidFill>
                <a:srgbClr val="35A59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9A-4C24-82A2-153367913FAD}"/>
              </c:ext>
            </c:extLst>
          </c:dPt>
          <c:dPt>
            <c:idx val="2"/>
            <c:bubble3D val="0"/>
            <c:spPr>
              <a:solidFill>
                <a:srgbClr val="9EF7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9A-4C24-82A2-153367913FAD}"/>
              </c:ext>
            </c:extLst>
          </c:dPt>
          <c:dPt>
            <c:idx val="3"/>
            <c:bubble3D val="0"/>
            <c:spPr>
              <a:solidFill>
                <a:srgbClr val="D2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9A-4C24-82A2-153367913F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9A-4C24-82A2-153367913F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9A-4C24-82A2-153367913F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'sen1'!$J$55:$O$55</c:f>
              <c:strCache>
                <c:ptCount val="6"/>
                <c:pt idx="0">
                  <c:v>Electrolizadores SRES - ESh2</c:v>
                </c:pt>
                <c:pt idx="1">
                  <c:v>Electrolizadores Emarket - ESh2</c:v>
                </c:pt>
                <c:pt idx="2">
                  <c:v>Almacenamientos de Hidrógeno - ESh2</c:v>
                </c:pt>
                <c:pt idx="3">
                  <c:v>Importación H2 Portugal</c:v>
                </c:pt>
                <c:pt idx="4">
                  <c:v>Importación H2 BarMar FRh2S</c:v>
                </c:pt>
                <c:pt idx="5">
                  <c:v>total</c:v>
                </c:pt>
              </c:strCache>
            </c:strRef>
          </c:cat>
          <c:val>
            <c:numRef>
              <c:f>'sen1'!$J$57:$O$57</c:f>
              <c:numCache>
                <c:formatCode>0.0%</c:formatCode>
                <c:ptCount val="6"/>
                <c:pt idx="0">
                  <c:v>0.64697404991485818</c:v>
                </c:pt>
                <c:pt idx="1">
                  <c:v>0.20597863881929637</c:v>
                </c:pt>
                <c:pt idx="2">
                  <c:v>7.7370475558369137E-2</c:v>
                </c:pt>
                <c:pt idx="3">
                  <c:v>2.8602584016571116E-2</c:v>
                </c:pt>
                <c:pt idx="4">
                  <c:v>4.1074251690905048E-2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9A-4C24-82A2-153367913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Diferencia</a:t>
            </a:r>
            <a:r>
              <a:rPr lang="es-ES" baseline="0"/>
              <a:t> en GWh Cobertura Demanda ESh2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'sen1'!$Q$52</c:f>
              <c:strCache>
                <c:ptCount val="1"/>
                <c:pt idx="0">
                  <c:v>Modelo Piloto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'sen1'!$R$51:$W$51</c:f>
              <c:strCache>
                <c:ptCount val="6"/>
                <c:pt idx="0">
                  <c:v>Electrolizadores SRES - ESh2</c:v>
                </c:pt>
                <c:pt idx="1">
                  <c:v>Electrolizadores Emarket - ESh2</c:v>
                </c:pt>
                <c:pt idx="2">
                  <c:v>Importaciones MA</c:v>
                </c:pt>
                <c:pt idx="3">
                  <c:v>Almacenamientos de Hidrógeno - ESh2</c:v>
                </c:pt>
                <c:pt idx="4">
                  <c:v>Importación H2 Portugal</c:v>
                </c:pt>
                <c:pt idx="5">
                  <c:v>Importación H2 BarMar FRh2S</c:v>
                </c:pt>
              </c:strCache>
            </c:strRef>
          </c:cat>
          <c:val>
            <c:numRef>
              <c:f>'sen1'!$R$52:$W$52</c:f>
              <c:numCache>
                <c:formatCode>0.00</c:formatCode>
                <c:ptCount val="6"/>
                <c:pt idx="0">
                  <c:v>1706.712857</c:v>
                </c:pt>
                <c:pt idx="1">
                  <c:v>450.492345</c:v>
                </c:pt>
                <c:pt idx="2">
                  <c:v>310.79384900000002</c:v>
                </c:pt>
                <c:pt idx="3">
                  <c:v>198.12491399999999</c:v>
                </c:pt>
                <c:pt idx="4">
                  <c:v>80.889629999999997</c:v>
                </c:pt>
                <c:pt idx="5">
                  <c:v>79.562590999999998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2-485C-A8DF-41812F3C60BA}"/>
            </c:ext>
          </c:extLst>
        </c:ser>
        <c:ser>
          <c:idx val="1"/>
          <c:order val="1"/>
          <c:tx>
            <c:strRef>
              <c:f>'sen1'!$Q$53</c:f>
              <c:strCache>
                <c:ptCount val="1"/>
                <c:pt idx="0">
                  <c:v>Modelo Sensibildad 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'sen1'!$R$51:$W$51</c:f>
              <c:strCache>
                <c:ptCount val="6"/>
                <c:pt idx="0">
                  <c:v>Electrolizadores SRES - ESh2</c:v>
                </c:pt>
                <c:pt idx="1">
                  <c:v>Electrolizadores Emarket - ESh2</c:v>
                </c:pt>
                <c:pt idx="2">
                  <c:v>Importaciones MA</c:v>
                </c:pt>
                <c:pt idx="3">
                  <c:v>Almacenamientos de Hidrógeno - ESh2</c:v>
                </c:pt>
                <c:pt idx="4">
                  <c:v>Importación H2 Portugal</c:v>
                </c:pt>
                <c:pt idx="5">
                  <c:v>Importación H2 BarMar FRh2S</c:v>
                </c:pt>
              </c:strCache>
            </c:strRef>
          </c:cat>
          <c:val>
            <c:numRef>
              <c:f>'sen1'!$R$53:$W$53</c:f>
              <c:numCache>
                <c:formatCode>0.00</c:formatCode>
                <c:ptCount val="6"/>
                <c:pt idx="0">
                  <c:v>1829.6770489999999</c:v>
                </c:pt>
                <c:pt idx="1">
                  <c:v>582.51855399999999</c:v>
                </c:pt>
                <c:pt idx="2">
                  <c:v>0</c:v>
                </c:pt>
                <c:pt idx="3">
                  <c:v>218.80782300000001</c:v>
                </c:pt>
                <c:pt idx="4">
                  <c:v>80.889629999999997</c:v>
                </c:pt>
                <c:pt idx="5">
                  <c:v>116.16016999999999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2-485C-A8DF-41812F3C6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446063"/>
        <c:axId val="807450863"/>
      </c:barChart>
      <c:catAx>
        <c:axId val="80744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7450863"/>
        <c:crosses val="autoZero"/>
        <c:auto val="1"/>
        <c:lblAlgn val="ctr"/>
        <c:lblOffset val="100"/>
        <c:noMultiLvlLbl val="0"/>
      </c:catAx>
      <c:valAx>
        <c:axId val="80745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744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Flujos BarMar</a:t>
            </a:r>
            <a:r>
              <a:rPr lang="es-ES" baseline="0"/>
              <a:t> dirección FRh2S-ESh2 (GWh)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'sen1'!$Q$52</c:f>
              <c:strCache>
                <c:ptCount val="1"/>
                <c:pt idx="0">
                  <c:v>Modelo Piloto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'sen1'!$W$51</c:f>
              <c:strCache>
                <c:ptCount val="1"/>
                <c:pt idx="0">
                  <c:v>Importación H2 BarMar FRh2S</c:v>
                </c:pt>
              </c:strCache>
            </c:strRef>
          </c:cat>
          <c:val>
            <c:numRef>
              <c:f>'sen1'!$W$52</c:f>
              <c:numCache>
                <c:formatCode>0.00</c:formatCode>
                <c:ptCount val="1"/>
                <c:pt idx="0">
                  <c:v>79.562590999999998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B-4F83-89A8-6CB305E68E98}"/>
            </c:ext>
          </c:extLst>
        </c:ser>
        <c:ser>
          <c:idx val="1"/>
          <c:order val="1"/>
          <c:tx>
            <c:strRef>
              <c:f>'sen1'!$Q$53</c:f>
              <c:strCache>
                <c:ptCount val="1"/>
                <c:pt idx="0">
                  <c:v>Modelo Sensibildad 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'sen1'!$W$51</c:f>
              <c:strCache>
                <c:ptCount val="1"/>
                <c:pt idx="0">
                  <c:v>Importación H2 BarMar FRh2S</c:v>
                </c:pt>
              </c:strCache>
            </c:strRef>
          </c:cat>
          <c:val>
            <c:numRef>
              <c:f>'sen1'!$W$53</c:f>
              <c:numCache>
                <c:formatCode>0.00</c:formatCode>
                <c:ptCount val="1"/>
                <c:pt idx="0">
                  <c:v>116.16016999999999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B-4F83-89A8-6CB305E68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551183"/>
        <c:axId val="807548783"/>
      </c:barChart>
      <c:catAx>
        <c:axId val="80755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7548783"/>
        <c:crosses val="autoZero"/>
        <c:auto val="1"/>
        <c:lblAlgn val="ctr"/>
        <c:lblOffset val="100"/>
        <c:noMultiLvlLbl val="0"/>
      </c:catAx>
      <c:valAx>
        <c:axId val="80754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755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Flujos CelZa</a:t>
            </a:r>
            <a:r>
              <a:rPr lang="es-ES" baseline="0"/>
              <a:t> dirección PTh2-ESh2 (G</a:t>
            </a: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Wh)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'sen1'!$Q$52</c:f>
              <c:strCache>
                <c:ptCount val="1"/>
                <c:pt idx="0">
                  <c:v>Modelo Piloto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'sen1'!$V$51</c:f>
              <c:strCache>
                <c:ptCount val="1"/>
                <c:pt idx="0">
                  <c:v>Importación H2 Portugal</c:v>
                </c:pt>
              </c:strCache>
            </c:strRef>
          </c:cat>
          <c:val>
            <c:numRef>
              <c:f>'sen1'!$V$52</c:f>
              <c:numCache>
                <c:formatCode>0.00</c:formatCode>
                <c:ptCount val="1"/>
                <c:pt idx="0">
                  <c:v>80.889629999999997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B-4A2A-BEE2-B05BDECD2A6A}"/>
            </c:ext>
          </c:extLst>
        </c:ser>
        <c:ser>
          <c:idx val="1"/>
          <c:order val="1"/>
          <c:tx>
            <c:strRef>
              <c:f>'sen1'!$Q$53</c:f>
              <c:strCache>
                <c:ptCount val="1"/>
                <c:pt idx="0">
                  <c:v>Modelo Sensibildad 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'sen1'!$V$51</c:f>
              <c:strCache>
                <c:ptCount val="1"/>
                <c:pt idx="0">
                  <c:v>Importación H2 Portugal</c:v>
                </c:pt>
              </c:strCache>
            </c:strRef>
          </c:cat>
          <c:val>
            <c:numRef>
              <c:f>'sen1'!$V$53</c:f>
              <c:numCache>
                <c:formatCode>0.00</c:formatCode>
                <c:ptCount val="1"/>
                <c:pt idx="0">
                  <c:v>80.889629999999997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B-4A2A-BEE2-B05BDECD2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551183"/>
        <c:axId val="807548783"/>
      </c:barChart>
      <c:catAx>
        <c:axId val="80755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7548783"/>
        <c:crosses val="autoZero"/>
        <c:auto val="1"/>
        <c:lblAlgn val="ctr"/>
        <c:lblOffset val="100"/>
        <c:noMultiLvlLbl val="0"/>
      </c:catAx>
      <c:valAx>
        <c:axId val="80754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755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Reducción</a:t>
            </a:r>
            <a:r>
              <a:rPr lang="es-ES" baseline="0"/>
              <a:t> Utilización Electrolizadores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'sen2'!$C$3</c:f>
              <c:strCache>
                <c:ptCount val="1"/>
                <c:pt idx="0">
                  <c:v>Modelo Piloto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'sen2'!$D$2:$E$2</c:f>
              <c:strCache>
                <c:ptCount val="2"/>
                <c:pt idx="0">
                  <c:v>Electrolizadores SRES</c:v>
                </c:pt>
                <c:pt idx="1">
                  <c:v>Electrolizadores Emarket ESh2</c:v>
                </c:pt>
              </c:strCache>
            </c:strRef>
          </c:cat>
          <c:val>
            <c:numRef>
              <c:f>'sen2'!$D$3:$E$3</c:f>
              <c:numCache>
                <c:formatCode>General</c:formatCode>
                <c:ptCount val="2"/>
                <c:pt idx="0">
                  <c:v>1706.7128</c:v>
                </c:pt>
                <c:pt idx="1">
                  <c:v>450.49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5-4179-A42C-A4AD3FB5569D}"/>
            </c:ext>
          </c:extLst>
        </c:ser>
        <c:ser>
          <c:idx val="1"/>
          <c:order val="1"/>
          <c:tx>
            <c:strRef>
              <c:f>'sen2'!$C$4</c:f>
              <c:strCache>
                <c:ptCount val="1"/>
                <c:pt idx="0">
                  <c:v>Sensibilidad 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'sen2'!$D$2:$E$2</c:f>
              <c:strCache>
                <c:ptCount val="2"/>
                <c:pt idx="0">
                  <c:v>Electrolizadores SRES</c:v>
                </c:pt>
                <c:pt idx="1">
                  <c:v>Electrolizadores Emarket ESh2</c:v>
                </c:pt>
              </c:strCache>
            </c:strRef>
          </c:cat>
          <c:val>
            <c:numRef>
              <c:f>'sen2'!$D$4:$E$4</c:f>
              <c:numCache>
                <c:formatCode>General</c:formatCode>
                <c:ptCount val="2"/>
                <c:pt idx="0">
                  <c:v>1662.7577699999999</c:v>
                </c:pt>
                <c:pt idx="1">
                  <c:v>439.92674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15-4179-A42C-A4AD3FB55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846479"/>
        <c:axId val="1762841679"/>
      </c:barChart>
      <c:catAx>
        <c:axId val="176284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2841679"/>
        <c:crosses val="autoZero"/>
        <c:auto val="1"/>
        <c:lblAlgn val="ctr"/>
        <c:lblOffset val="100"/>
        <c:noMultiLvlLbl val="0"/>
      </c:catAx>
      <c:valAx>
        <c:axId val="176284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284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Precio Marginal</a:t>
            </a:r>
            <a:r>
              <a:rPr lang="es-ES" baseline="0"/>
              <a:t> PTh2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precios!$F$1</c:f>
              <c:strCache>
                <c:ptCount val="1"/>
                <c:pt idx="0">
                  <c:v>Modelo Piloto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precios!$F$2:$F$169</c:f>
              <c:numCache>
                <c:formatCode>General</c:formatCode>
                <c:ptCount val="168"/>
                <c:pt idx="0">
                  <c:v>148.19999999999999</c:v>
                </c:pt>
                <c:pt idx="1">
                  <c:v>148.19999999999999</c:v>
                </c:pt>
                <c:pt idx="2">
                  <c:v>148.19999999999999</c:v>
                </c:pt>
                <c:pt idx="3">
                  <c:v>148.19999999999999</c:v>
                </c:pt>
                <c:pt idx="4">
                  <c:v>148.19999999999999</c:v>
                </c:pt>
                <c:pt idx="5">
                  <c:v>148.19999999999999</c:v>
                </c:pt>
                <c:pt idx="6">
                  <c:v>148.19999999999999</c:v>
                </c:pt>
                <c:pt idx="7">
                  <c:v>148.19999999999999</c:v>
                </c:pt>
                <c:pt idx="8">
                  <c:v>146.19999999999999</c:v>
                </c:pt>
                <c:pt idx="9">
                  <c:v>146.19999999999999</c:v>
                </c:pt>
                <c:pt idx="10">
                  <c:v>146.19999999999999</c:v>
                </c:pt>
                <c:pt idx="11">
                  <c:v>146.19999999999999</c:v>
                </c:pt>
                <c:pt idx="12">
                  <c:v>146.19999999999999</c:v>
                </c:pt>
                <c:pt idx="13">
                  <c:v>146.19999999999999</c:v>
                </c:pt>
                <c:pt idx="14">
                  <c:v>146.19999999999999</c:v>
                </c:pt>
                <c:pt idx="15">
                  <c:v>146.19999999999999</c:v>
                </c:pt>
                <c:pt idx="16">
                  <c:v>146.19999999999999</c:v>
                </c:pt>
                <c:pt idx="17">
                  <c:v>146.19999999999999</c:v>
                </c:pt>
                <c:pt idx="18">
                  <c:v>146.19999999999999</c:v>
                </c:pt>
                <c:pt idx="19">
                  <c:v>146.19999999999999</c:v>
                </c:pt>
                <c:pt idx="20">
                  <c:v>146.19999999999999</c:v>
                </c:pt>
                <c:pt idx="21">
                  <c:v>146.19999999999999</c:v>
                </c:pt>
                <c:pt idx="22">
                  <c:v>146.19999999999999</c:v>
                </c:pt>
                <c:pt idx="23">
                  <c:v>146.19999999999999</c:v>
                </c:pt>
                <c:pt idx="24">
                  <c:v>146.19999999999999</c:v>
                </c:pt>
                <c:pt idx="25">
                  <c:v>146.19999999999999</c:v>
                </c:pt>
                <c:pt idx="26">
                  <c:v>146.19999999999999</c:v>
                </c:pt>
                <c:pt idx="27">
                  <c:v>146.19999999999999</c:v>
                </c:pt>
                <c:pt idx="28">
                  <c:v>146.19999999999999</c:v>
                </c:pt>
                <c:pt idx="29">
                  <c:v>146.19999999999999</c:v>
                </c:pt>
                <c:pt idx="30">
                  <c:v>146.19999999999999</c:v>
                </c:pt>
                <c:pt idx="31">
                  <c:v>146.19999999999999</c:v>
                </c:pt>
                <c:pt idx="32">
                  <c:v>123.967776</c:v>
                </c:pt>
                <c:pt idx="33">
                  <c:v>123.967776</c:v>
                </c:pt>
                <c:pt idx="34">
                  <c:v>123.967776</c:v>
                </c:pt>
                <c:pt idx="35">
                  <c:v>123.967776</c:v>
                </c:pt>
                <c:pt idx="36">
                  <c:v>73.720000000000013</c:v>
                </c:pt>
                <c:pt idx="37">
                  <c:v>73.720000000000013</c:v>
                </c:pt>
                <c:pt idx="38">
                  <c:v>73.720000000000013</c:v>
                </c:pt>
                <c:pt idx="39">
                  <c:v>73.720000000000013</c:v>
                </c:pt>
                <c:pt idx="40">
                  <c:v>73.720000000000013</c:v>
                </c:pt>
                <c:pt idx="41">
                  <c:v>73.720000000000013</c:v>
                </c:pt>
                <c:pt idx="42">
                  <c:v>73.720000000000013</c:v>
                </c:pt>
                <c:pt idx="43">
                  <c:v>73.720000000000013</c:v>
                </c:pt>
                <c:pt idx="44">
                  <c:v>73.720000000000013</c:v>
                </c:pt>
                <c:pt idx="45">
                  <c:v>73.720000000000013</c:v>
                </c:pt>
                <c:pt idx="46">
                  <c:v>73.720000000000013</c:v>
                </c:pt>
                <c:pt idx="47">
                  <c:v>73.720000000000013</c:v>
                </c:pt>
                <c:pt idx="48">
                  <c:v>73.720000000000013</c:v>
                </c:pt>
                <c:pt idx="49">
                  <c:v>73.720000000000013</c:v>
                </c:pt>
                <c:pt idx="50">
                  <c:v>73.720000000000013</c:v>
                </c:pt>
                <c:pt idx="51">
                  <c:v>73.720000000000013</c:v>
                </c:pt>
                <c:pt idx="52">
                  <c:v>73.710000000000008</c:v>
                </c:pt>
                <c:pt idx="53">
                  <c:v>73.710000000000008</c:v>
                </c:pt>
                <c:pt idx="54">
                  <c:v>73.710000000000008</c:v>
                </c:pt>
                <c:pt idx="55">
                  <c:v>73.710000000000008</c:v>
                </c:pt>
                <c:pt idx="56">
                  <c:v>73.710000000000008</c:v>
                </c:pt>
                <c:pt idx="57">
                  <c:v>12.01</c:v>
                </c:pt>
                <c:pt idx="58">
                  <c:v>12.01</c:v>
                </c:pt>
                <c:pt idx="59">
                  <c:v>12.01</c:v>
                </c:pt>
                <c:pt idx="60">
                  <c:v>12.01</c:v>
                </c:pt>
                <c:pt idx="61">
                  <c:v>12.01</c:v>
                </c:pt>
                <c:pt idx="62">
                  <c:v>12.01</c:v>
                </c:pt>
                <c:pt idx="63">
                  <c:v>10.01</c:v>
                </c:pt>
                <c:pt idx="64">
                  <c:v>10.01</c:v>
                </c:pt>
                <c:pt idx="65">
                  <c:v>10.01</c:v>
                </c:pt>
                <c:pt idx="66">
                  <c:v>1.172857142857143</c:v>
                </c:pt>
                <c:pt idx="67">
                  <c:v>1.152857142857143</c:v>
                </c:pt>
                <c:pt idx="68">
                  <c:v>1.152857142857143</c:v>
                </c:pt>
                <c:pt idx="69">
                  <c:v>1.152857142857143</c:v>
                </c:pt>
                <c:pt idx="70">
                  <c:v>1.152857142857143</c:v>
                </c:pt>
                <c:pt idx="71">
                  <c:v>1.152857142857143</c:v>
                </c:pt>
                <c:pt idx="72">
                  <c:v>1.152857142857143</c:v>
                </c:pt>
                <c:pt idx="73">
                  <c:v>1.142857142857143</c:v>
                </c:pt>
                <c:pt idx="74">
                  <c:v>1.142857142857143</c:v>
                </c:pt>
                <c:pt idx="75">
                  <c:v>1.142857142857143</c:v>
                </c:pt>
                <c:pt idx="76">
                  <c:v>1.142857142857143</c:v>
                </c:pt>
                <c:pt idx="77">
                  <c:v>1.142857142857143</c:v>
                </c:pt>
                <c:pt idx="78">
                  <c:v>1.142857142857143</c:v>
                </c:pt>
                <c:pt idx="79">
                  <c:v>1.142857142857143</c:v>
                </c:pt>
                <c:pt idx="80">
                  <c:v>1.142857142857143</c:v>
                </c:pt>
                <c:pt idx="81">
                  <c:v>1.142857142857143</c:v>
                </c:pt>
                <c:pt idx="82">
                  <c:v>1.142857142857143</c:v>
                </c:pt>
                <c:pt idx="83">
                  <c:v>1.142857142857143</c:v>
                </c:pt>
                <c:pt idx="84">
                  <c:v>1.142857142857143</c:v>
                </c:pt>
                <c:pt idx="85">
                  <c:v>1.142857142857143</c:v>
                </c:pt>
                <c:pt idx="86">
                  <c:v>1.142857142857143</c:v>
                </c:pt>
                <c:pt idx="87">
                  <c:v>1.01</c:v>
                </c:pt>
                <c:pt idx="88">
                  <c:v>1.01</c:v>
                </c:pt>
                <c:pt idx="89">
                  <c:v>1.01</c:v>
                </c:pt>
                <c:pt idx="90">
                  <c:v>1</c:v>
                </c:pt>
                <c:pt idx="91">
                  <c:v>1</c:v>
                </c:pt>
                <c:pt idx="92">
                  <c:v>0.99999999999999989</c:v>
                </c:pt>
                <c:pt idx="93">
                  <c:v>0.99999999999999989</c:v>
                </c:pt>
                <c:pt idx="94">
                  <c:v>0.99999999999999989</c:v>
                </c:pt>
                <c:pt idx="95">
                  <c:v>0.73347345612400217</c:v>
                </c:pt>
                <c:pt idx="96">
                  <c:v>0.73347345612400217</c:v>
                </c:pt>
                <c:pt idx="97">
                  <c:v>0.73347345612400217</c:v>
                </c:pt>
                <c:pt idx="98">
                  <c:v>0.73347345612400217</c:v>
                </c:pt>
                <c:pt idx="99">
                  <c:v>0.73347345612400217</c:v>
                </c:pt>
                <c:pt idx="100">
                  <c:v>0.73347345612400217</c:v>
                </c:pt>
                <c:pt idx="101">
                  <c:v>0.15285714285714291</c:v>
                </c:pt>
                <c:pt idx="102">
                  <c:v>0.15285714285714291</c:v>
                </c:pt>
                <c:pt idx="103">
                  <c:v>0.15285714285714291</c:v>
                </c:pt>
                <c:pt idx="104">
                  <c:v>0.15285714285714291</c:v>
                </c:pt>
                <c:pt idx="105">
                  <c:v>0.15285714285714291</c:v>
                </c:pt>
                <c:pt idx="106">
                  <c:v>0.14285714285714299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0.1428571428571429</c:v>
                </c:pt>
                <c:pt idx="115">
                  <c:v>0.1428571428571429</c:v>
                </c:pt>
                <c:pt idx="116">
                  <c:v>0.1428571428571429</c:v>
                </c:pt>
                <c:pt idx="117">
                  <c:v>0.1428571428571429</c:v>
                </c:pt>
                <c:pt idx="118">
                  <c:v>0.1428571428571429</c:v>
                </c:pt>
                <c:pt idx="119">
                  <c:v>0.1428571428571429</c:v>
                </c:pt>
                <c:pt idx="120">
                  <c:v>0.1428571428571429</c:v>
                </c:pt>
                <c:pt idx="121">
                  <c:v>0.1428571428571429</c:v>
                </c:pt>
                <c:pt idx="122">
                  <c:v>0.1428571428571429</c:v>
                </c:pt>
                <c:pt idx="123">
                  <c:v>0.1428571428571429</c:v>
                </c:pt>
                <c:pt idx="124">
                  <c:v>0.1428571428571429</c:v>
                </c:pt>
                <c:pt idx="125">
                  <c:v>0.1428571428571429</c:v>
                </c:pt>
                <c:pt idx="126">
                  <c:v>0.1428571428571429</c:v>
                </c:pt>
                <c:pt idx="127">
                  <c:v>0.1428571428571429</c:v>
                </c:pt>
                <c:pt idx="128">
                  <c:v>0.1428571428571429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0.1428571428571429</c:v>
                </c:pt>
                <c:pt idx="138">
                  <c:v>0.1428571428571429</c:v>
                </c:pt>
                <c:pt idx="139">
                  <c:v>0.1428571428571429</c:v>
                </c:pt>
                <c:pt idx="140">
                  <c:v>0.1428571428571429</c:v>
                </c:pt>
                <c:pt idx="141">
                  <c:v>0.1428571428571429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0.1428571428571429</c:v>
                </c:pt>
                <c:pt idx="145">
                  <c:v>0.1428571428571429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2-4E8C-8437-6BBBCA8836A3}"/>
            </c:ext>
          </c:extLst>
        </c:ser>
        <c:ser>
          <c:idx val="1"/>
          <c:order val="1"/>
          <c:tx>
            <c:strRef>
              <c:f>precios!$G$1</c:f>
              <c:strCache>
                <c:ptCount val="1"/>
                <c:pt idx="0">
                  <c:v>Sensibilidad 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precios!$G$2:$G$169</c:f>
              <c:numCache>
                <c:formatCode>General</c:formatCode>
                <c:ptCount val="168"/>
                <c:pt idx="0">
                  <c:v>172.46680529300559</c:v>
                </c:pt>
                <c:pt idx="1">
                  <c:v>172.46680529300559</c:v>
                </c:pt>
                <c:pt idx="2">
                  <c:v>172.46680529300559</c:v>
                </c:pt>
                <c:pt idx="3">
                  <c:v>172.46680529300559</c:v>
                </c:pt>
                <c:pt idx="4">
                  <c:v>172.46680529300559</c:v>
                </c:pt>
                <c:pt idx="5">
                  <c:v>172.46680529300559</c:v>
                </c:pt>
                <c:pt idx="6">
                  <c:v>172.46680529300559</c:v>
                </c:pt>
                <c:pt idx="7">
                  <c:v>172.46680529300559</c:v>
                </c:pt>
                <c:pt idx="8">
                  <c:v>146.19999999999999</c:v>
                </c:pt>
                <c:pt idx="9">
                  <c:v>146.19999999999999</c:v>
                </c:pt>
                <c:pt idx="10">
                  <c:v>146.19999999999999</c:v>
                </c:pt>
                <c:pt idx="11">
                  <c:v>146.19999999999999</c:v>
                </c:pt>
                <c:pt idx="12">
                  <c:v>146.19999999999999</c:v>
                </c:pt>
                <c:pt idx="13">
                  <c:v>146.19999999999999</c:v>
                </c:pt>
                <c:pt idx="14">
                  <c:v>146.19999999999999</c:v>
                </c:pt>
                <c:pt idx="15">
                  <c:v>146.19999999999999</c:v>
                </c:pt>
                <c:pt idx="16">
                  <c:v>146.19999999999999</c:v>
                </c:pt>
                <c:pt idx="17">
                  <c:v>146.19999999999999</c:v>
                </c:pt>
                <c:pt idx="18">
                  <c:v>146.19999999999999</c:v>
                </c:pt>
                <c:pt idx="19">
                  <c:v>146.19999999999999</c:v>
                </c:pt>
                <c:pt idx="20">
                  <c:v>146.19999999999999</c:v>
                </c:pt>
                <c:pt idx="21">
                  <c:v>146.19999999999999</c:v>
                </c:pt>
                <c:pt idx="22">
                  <c:v>146.19999999999999</c:v>
                </c:pt>
                <c:pt idx="23">
                  <c:v>146.19999999999999</c:v>
                </c:pt>
                <c:pt idx="24">
                  <c:v>146.19999999999999</c:v>
                </c:pt>
                <c:pt idx="25">
                  <c:v>146.19999999999999</c:v>
                </c:pt>
                <c:pt idx="26">
                  <c:v>146.19999999999999</c:v>
                </c:pt>
                <c:pt idx="27">
                  <c:v>148.19999999999999</c:v>
                </c:pt>
                <c:pt idx="28">
                  <c:v>148.19999999999999</c:v>
                </c:pt>
                <c:pt idx="29">
                  <c:v>146.19999999999999</c:v>
                </c:pt>
                <c:pt idx="30">
                  <c:v>148.19999999999999</c:v>
                </c:pt>
                <c:pt idx="31">
                  <c:v>148.19999999999999</c:v>
                </c:pt>
                <c:pt idx="32">
                  <c:v>146.19999999999999</c:v>
                </c:pt>
                <c:pt idx="33">
                  <c:v>123.967776</c:v>
                </c:pt>
                <c:pt idx="34">
                  <c:v>146.19999999999999</c:v>
                </c:pt>
                <c:pt idx="35">
                  <c:v>146.19999999999999</c:v>
                </c:pt>
                <c:pt idx="36">
                  <c:v>146.19999999999999</c:v>
                </c:pt>
                <c:pt idx="37">
                  <c:v>146.19999999999999</c:v>
                </c:pt>
                <c:pt idx="38">
                  <c:v>146.19999999999999</c:v>
                </c:pt>
                <c:pt idx="39">
                  <c:v>146.19999999999999</c:v>
                </c:pt>
                <c:pt idx="40">
                  <c:v>146.19999999999999</c:v>
                </c:pt>
                <c:pt idx="41">
                  <c:v>146.19999999999999</c:v>
                </c:pt>
                <c:pt idx="42">
                  <c:v>146.19999999999999</c:v>
                </c:pt>
                <c:pt idx="43">
                  <c:v>146.19999999999999</c:v>
                </c:pt>
                <c:pt idx="44">
                  <c:v>146.19999999999999</c:v>
                </c:pt>
                <c:pt idx="45">
                  <c:v>146.19999999999999</c:v>
                </c:pt>
                <c:pt idx="46">
                  <c:v>146.19999999999999</c:v>
                </c:pt>
                <c:pt idx="47">
                  <c:v>146.19999999999999</c:v>
                </c:pt>
                <c:pt idx="48">
                  <c:v>146.19999999999999</c:v>
                </c:pt>
                <c:pt idx="49">
                  <c:v>146.19999999999999</c:v>
                </c:pt>
                <c:pt idx="50">
                  <c:v>146.19999999999999</c:v>
                </c:pt>
                <c:pt idx="51">
                  <c:v>146.19999999999999</c:v>
                </c:pt>
                <c:pt idx="52">
                  <c:v>146.19</c:v>
                </c:pt>
                <c:pt idx="53">
                  <c:v>146.19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12.549986462277911</c:v>
                </c:pt>
                <c:pt idx="58">
                  <c:v>12.549986462277911</c:v>
                </c:pt>
                <c:pt idx="59">
                  <c:v>12.549986462277911</c:v>
                </c:pt>
                <c:pt idx="60">
                  <c:v>12.549986462277911</c:v>
                </c:pt>
                <c:pt idx="61">
                  <c:v>12.549986462277911</c:v>
                </c:pt>
                <c:pt idx="62">
                  <c:v>12.549986462277911</c:v>
                </c:pt>
                <c:pt idx="63">
                  <c:v>12.01</c:v>
                </c:pt>
                <c:pt idx="64">
                  <c:v>10.01</c:v>
                </c:pt>
                <c:pt idx="65">
                  <c:v>10.01</c:v>
                </c:pt>
                <c:pt idx="66">
                  <c:v>146.19999999999999</c:v>
                </c:pt>
                <c:pt idx="67">
                  <c:v>10.01</c:v>
                </c:pt>
                <c:pt idx="68">
                  <c:v>17.64</c:v>
                </c:pt>
                <c:pt idx="69">
                  <c:v>1.7334734561240019</c:v>
                </c:pt>
                <c:pt idx="70">
                  <c:v>1.7334734561240019</c:v>
                </c:pt>
                <c:pt idx="71">
                  <c:v>1.7334734561240019</c:v>
                </c:pt>
                <c:pt idx="72">
                  <c:v>1.7334734561240019</c:v>
                </c:pt>
                <c:pt idx="73">
                  <c:v>1.7234734561240019</c:v>
                </c:pt>
                <c:pt idx="74">
                  <c:v>17.63</c:v>
                </c:pt>
                <c:pt idx="75">
                  <c:v>1.7234734561240019</c:v>
                </c:pt>
                <c:pt idx="76">
                  <c:v>1.7234734561240019</c:v>
                </c:pt>
                <c:pt idx="77">
                  <c:v>146.19</c:v>
                </c:pt>
                <c:pt idx="78">
                  <c:v>1.7234734561240019</c:v>
                </c:pt>
                <c:pt idx="79">
                  <c:v>1.7234734561240019</c:v>
                </c:pt>
                <c:pt idx="80">
                  <c:v>17.63</c:v>
                </c:pt>
                <c:pt idx="81">
                  <c:v>10</c:v>
                </c:pt>
                <c:pt idx="82">
                  <c:v>1.7234734561240019</c:v>
                </c:pt>
                <c:pt idx="83">
                  <c:v>10</c:v>
                </c:pt>
                <c:pt idx="84">
                  <c:v>12</c:v>
                </c:pt>
                <c:pt idx="85">
                  <c:v>10</c:v>
                </c:pt>
                <c:pt idx="86">
                  <c:v>1.7234734561240019</c:v>
                </c:pt>
                <c:pt idx="87">
                  <c:v>1.01</c:v>
                </c:pt>
                <c:pt idx="88">
                  <c:v>1.01</c:v>
                </c:pt>
                <c:pt idx="89">
                  <c:v>1.01</c:v>
                </c:pt>
                <c:pt idx="90">
                  <c:v>0.99999999999999989</c:v>
                </c:pt>
                <c:pt idx="91">
                  <c:v>1</c:v>
                </c:pt>
                <c:pt idx="92">
                  <c:v>0.99999999999999989</c:v>
                </c:pt>
                <c:pt idx="93">
                  <c:v>1</c:v>
                </c:pt>
                <c:pt idx="94">
                  <c:v>0.99999999999999989</c:v>
                </c:pt>
                <c:pt idx="95">
                  <c:v>0.73347345612400239</c:v>
                </c:pt>
                <c:pt idx="96">
                  <c:v>0.73347345612400239</c:v>
                </c:pt>
                <c:pt idx="97">
                  <c:v>0.73347345612400239</c:v>
                </c:pt>
                <c:pt idx="98">
                  <c:v>0.73347345612400239</c:v>
                </c:pt>
                <c:pt idx="99">
                  <c:v>0.73347345612400239</c:v>
                </c:pt>
                <c:pt idx="100">
                  <c:v>1.01</c:v>
                </c:pt>
                <c:pt idx="101">
                  <c:v>0.73347345612400239</c:v>
                </c:pt>
                <c:pt idx="102">
                  <c:v>1.7334734561240019</c:v>
                </c:pt>
                <c:pt idx="103">
                  <c:v>0.15285714285714291</c:v>
                </c:pt>
                <c:pt idx="104">
                  <c:v>0.15285714285714291</c:v>
                </c:pt>
                <c:pt idx="105">
                  <c:v>0.15285714285714291</c:v>
                </c:pt>
                <c:pt idx="106">
                  <c:v>0.72347345612400227</c:v>
                </c:pt>
                <c:pt idx="107">
                  <c:v>1.7234734561240019</c:v>
                </c:pt>
                <c:pt idx="108">
                  <c:v>0.72347345612400249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0.72347345612400249</c:v>
                </c:pt>
                <c:pt idx="113">
                  <c:v>1.7234734561240019</c:v>
                </c:pt>
                <c:pt idx="114">
                  <c:v>0.72347345612400249</c:v>
                </c:pt>
                <c:pt idx="115">
                  <c:v>0.72347345612400249</c:v>
                </c:pt>
                <c:pt idx="116">
                  <c:v>0.72347345612400249</c:v>
                </c:pt>
                <c:pt idx="117">
                  <c:v>1.7234734561240019</c:v>
                </c:pt>
                <c:pt idx="118">
                  <c:v>1.7234734561240019</c:v>
                </c:pt>
                <c:pt idx="119">
                  <c:v>1.7234734561240019</c:v>
                </c:pt>
                <c:pt idx="120">
                  <c:v>1.7234734561240019</c:v>
                </c:pt>
                <c:pt idx="121">
                  <c:v>1.7234734561240019</c:v>
                </c:pt>
                <c:pt idx="122">
                  <c:v>0.72347345612400227</c:v>
                </c:pt>
                <c:pt idx="123">
                  <c:v>0.72347345612400227</c:v>
                </c:pt>
                <c:pt idx="124">
                  <c:v>1.7234734561240019</c:v>
                </c:pt>
                <c:pt idx="125">
                  <c:v>1.7234734561240019</c:v>
                </c:pt>
                <c:pt idx="126">
                  <c:v>0.72347345612400227</c:v>
                </c:pt>
                <c:pt idx="127">
                  <c:v>0.72347345612400227</c:v>
                </c:pt>
                <c:pt idx="128">
                  <c:v>0.72347345612400249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0.1428571428571429</c:v>
                </c:pt>
                <c:pt idx="138">
                  <c:v>0.1428571428571429</c:v>
                </c:pt>
                <c:pt idx="139">
                  <c:v>0.1428571428571429</c:v>
                </c:pt>
                <c:pt idx="140">
                  <c:v>0.1428571428571429</c:v>
                </c:pt>
                <c:pt idx="141">
                  <c:v>0.1428571428571429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1</c:v>
                </c:pt>
                <c:pt idx="145">
                  <c:v>0.72347345612400227</c:v>
                </c:pt>
                <c:pt idx="146">
                  <c:v>0.72347345612400249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2-4E8C-8437-6BBBCA88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546383"/>
        <c:axId val="807545903"/>
      </c:lineChart>
      <c:catAx>
        <c:axId val="807546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7545903"/>
        <c:crosses val="autoZero"/>
        <c:auto val="1"/>
        <c:lblAlgn val="ctr"/>
        <c:lblOffset val="100"/>
        <c:noMultiLvlLbl val="0"/>
      </c:catAx>
      <c:valAx>
        <c:axId val="80754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754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Modelo Piloto - FRh2SW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A9-48B8-9932-A71E7011EA9E}"/>
              </c:ext>
            </c:extLst>
          </c:dPt>
          <c:dPt>
            <c:idx val="1"/>
            <c:bubble3D val="0"/>
            <c:spPr>
              <a:solidFill>
                <a:srgbClr val="35A59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A9-48B8-9932-A71E7011EA9E}"/>
              </c:ext>
            </c:extLst>
          </c:dPt>
          <c:dPt>
            <c:idx val="2"/>
            <c:bubble3D val="0"/>
            <c:spPr>
              <a:solidFill>
                <a:srgbClr val="9EF7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9A9-48B8-9932-A71E7011EA9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A9-48B8-9932-A71E7011EA9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A9-48B8-9932-A71E7011EA9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A9-48B8-9932-A71E7011EA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sens3!$B$2:$D$2</c:f>
              <c:strCache>
                <c:ptCount val="3"/>
                <c:pt idx="0">
                  <c:v>Flujos ESh2-FRh2S (Irún-Larrao)</c:v>
                </c:pt>
                <c:pt idx="1">
                  <c:v>Generador h2 en FRh2SW</c:v>
                </c:pt>
                <c:pt idx="2">
                  <c:v>Almacenamiento descarga</c:v>
                </c:pt>
              </c:strCache>
            </c:strRef>
          </c:cat>
          <c:val>
            <c:numRef>
              <c:f>sens3!$B$4:$D$4</c:f>
              <c:numCache>
                <c:formatCode>0%</c:formatCode>
                <c:ptCount val="3"/>
                <c:pt idx="0">
                  <c:v>5.4054054054054057E-2</c:v>
                </c:pt>
                <c:pt idx="1">
                  <c:v>0.80540540540540539</c:v>
                </c:pt>
                <c:pt idx="2">
                  <c:v>0.14054054054054055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9-48B8-9932-A71E7011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Sensibilidad 3 - FRh2SW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5A59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47-4898-927B-F55CA6EE9BE2}"/>
              </c:ext>
            </c:extLst>
          </c:dPt>
          <c:dPt>
            <c:idx val="2"/>
            <c:bubble3D val="0"/>
            <c:spPr>
              <a:solidFill>
                <a:srgbClr val="9EF7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47-4898-927B-F55CA6EE9BE2}"/>
              </c:ext>
            </c:extLst>
          </c:dPt>
          <c:dPt>
            <c:idx val="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47-4898-927B-F55CA6EE9B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sens3!$G$2:$J$2</c:f>
              <c:strCache>
                <c:ptCount val="4"/>
                <c:pt idx="0">
                  <c:v>Flujos ESh2-FRh2S (Irún-Larrao)</c:v>
                </c:pt>
                <c:pt idx="1">
                  <c:v>Generador h2 en FRh2SW</c:v>
                </c:pt>
                <c:pt idx="2">
                  <c:v>Almacenamiento descarga</c:v>
                </c:pt>
                <c:pt idx="3">
                  <c:v>Ammonia Low Band FRh2SW</c:v>
                </c:pt>
              </c:strCache>
            </c:strRef>
          </c:cat>
          <c:val>
            <c:numRef>
              <c:f>sens3!$G$4:$J$4</c:f>
              <c:numCache>
                <c:formatCode>0%</c:formatCode>
                <c:ptCount val="4"/>
                <c:pt idx="0">
                  <c:v>0</c:v>
                </c:pt>
                <c:pt idx="1">
                  <c:v>0.47950819672131145</c:v>
                </c:pt>
                <c:pt idx="2">
                  <c:v>1.2295081967213115E-2</c:v>
                </c:pt>
                <c:pt idx="3">
                  <c:v>0.50819672131147542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7-4898-927B-F55CA6EE9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800"/>
              <a:t>Cambio Flujos FRh2S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sens3!$N$2</c:f>
              <c:strCache>
                <c:ptCount val="1"/>
                <c:pt idx="0">
                  <c:v>Flujos ESh2-FRh2S (BarMar)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sens3!$N$5</c:f>
              <c:numCache>
                <c:formatCode>General</c:formatCode>
                <c:ptCount val="1"/>
                <c:pt idx="0">
                  <c:v>-69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5-4EB5-86F8-2E539FBF357F}"/>
            </c:ext>
          </c:extLst>
        </c:ser>
        <c:ser>
          <c:idx val="1"/>
          <c:order val="1"/>
          <c:tx>
            <c:strRef>
              <c:f>sens3!$O$2</c:f>
              <c:strCache>
                <c:ptCount val="1"/>
                <c:pt idx="0">
                  <c:v>Flujos FRh2SW-FRh2S (Hy-SoW)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sens3!$O$5</c:f>
              <c:numCache>
                <c:formatCode>General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5-4EB5-86F8-2E539FBF357F}"/>
            </c:ext>
          </c:extLst>
        </c:ser>
        <c:ser>
          <c:idx val="2"/>
          <c:order val="2"/>
          <c:tx>
            <c:strRef>
              <c:f>sens3!$P$2</c:f>
              <c:strCache>
                <c:ptCount val="1"/>
                <c:pt idx="0">
                  <c:v>Almacenamiento-Descarga</c:v>
                </c:pt>
              </c:strCache>
            </c:strRef>
          </c:tx>
          <c:spPr>
            <a:solidFill>
              <a:srgbClr val="9EF70D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sens3!$P$5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95-4EB5-86F8-2E539FBF357F}"/>
            </c:ext>
          </c:extLst>
        </c:ser>
        <c:ser>
          <c:idx val="3"/>
          <c:order val="3"/>
          <c:tx>
            <c:strRef>
              <c:f>sens3!$Q$2</c:f>
              <c:strCache>
                <c:ptCount val="1"/>
                <c:pt idx="0">
                  <c:v>Flujos FRh2-FRh2S (Hy FEN)</c:v>
                </c:pt>
              </c:strCache>
            </c:strRef>
          </c:tx>
          <c:spPr>
            <a:solidFill>
              <a:srgbClr val="EA3AE2"/>
            </a:solidFill>
            <a:ln>
              <a:noFill/>
            </a:ln>
            <a:effectLst/>
          </c:spPr>
          <c:invertIfNegative val="0"/>
          <c:val>
            <c:numRef>
              <c:f>sens3!$Q$5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95-4EB5-86F8-2E539FBF3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2138751"/>
        <c:axId val="1832128191"/>
      </c:barChart>
      <c:catAx>
        <c:axId val="183213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2128191"/>
        <c:crosses val="autoZero"/>
        <c:auto val="1"/>
        <c:lblAlgn val="ctr"/>
        <c:lblOffset val="100"/>
        <c:noMultiLvlLbl val="0"/>
      </c:catAx>
      <c:valAx>
        <c:axId val="183212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213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335040</xdr:colOff>
      <xdr:row>9</xdr:row>
      <xdr:rowOff>69087</xdr:rowOff>
    </xdr:from>
    <xdr:to>
      <xdr:col>6</xdr:col>
      <xdr:colOff>478118</xdr:colOff>
      <xdr:row>38</xdr:row>
      <xdr:rowOff>117928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60918D-CC6A-9C43-8CC6-3740FFDD9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301493</xdr:colOff>
      <xdr:row>39</xdr:row>
      <xdr:rowOff>111526</xdr:rowOff>
    </xdr:from>
    <xdr:to>
      <xdr:col>7</xdr:col>
      <xdr:colOff>53434</xdr:colOff>
      <xdr:row>69</xdr:row>
      <xdr:rowOff>8821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ABB1C7-8621-48EE-89E5-7D740F83F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703033</xdr:colOff>
      <xdr:row>7</xdr:row>
      <xdr:rowOff>116114</xdr:rowOff>
    </xdr:from>
    <xdr:to>
      <xdr:col>19</xdr:col>
      <xdr:colOff>199573</xdr:colOff>
      <xdr:row>43</xdr:row>
      <xdr:rowOff>54428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E697BC-5923-EFE4-515F-78BF00ECA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612588</xdr:colOff>
      <xdr:row>6</xdr:row>
      <xdr:rowOff>81430</xdr:rowOff>
    </xdr:from>
    <xdr:to>
      <xdr:col>23</xdr:col>
      <xdr:colOff>1434353</xdr:colOff>
      <xdr:row>21</xdr:row>
      <xdr:rowOff>23159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E5C23C0-32C8-00BA-5E69-2F6A37C9C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723900</xdr:colOff>
      <xdr:row>6</xdr:row>
      <xdr:rowOff>120650</xdr:rowOff>
    </xdr:from>
    <xdr:to>
      <xdr:col>31</xdr:col>
      <xdr:colOff>720165</xdr:colOff>
      <xdr:row>21</xdr:row>
      <xdr:rowOff>62379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0DD6F19-E66E-4396-9ECF-52AAE8439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717176</xdr:colOff>
      <xdr:row>6</xdr:row>
      <xdr:rowOff>149412</xdr:rowOff>
    </xdr:from>
    <xdr:to>
      <xdr:col>38</xdr:col>
      <xdr:colOff>713441</xdr:colOff>
      <xdr:row>21</xdr:row>
      <xdr:rowOff>91141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6E64DCA-D036-4CB6-9E77-22767EB77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449033</xdr:colOff>
      <xdr:row>28</xdr:row>
      <xdr:rowOff>143329</xdr:rowOff>
    </xdr:from>
    <xdr:to>
      <xdr:col>24</xdr:col>
      <xdr:colOff>1015999</xdr:colOff>
      <xdr:row>45</xdr:row>
      <xdr:rowOff>9071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4B41BBC-EF4A-E7D6-3776-49C7DC1CE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45357</xdr:colOff>
      <xdr:row>29</xdr:row>
      <xdr:rowOff>81642</xdr:rowOff>
    </xdr:from>
    <xdr:to>
      <xdr:col>32</xdr:col>
      <xdr:colOff>45357</xdr:colOff>
      <xdr:row>44</xdr:row>
      <xdr:rowOff>103414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33B7E61-65D2-4D93-A8F5-61A5E0DB8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140942</xdr:colOff>
      <xdr:row>8</xdr:row>
      <xdr:rowOff>180147</xdr:rowOff>
    </xdr:from>
    <xdr:to>
      <xdr:col>42</xdr:col>
      <xdr:colOff>140942</xdr:colOff>
      <xdr:row>23</xdr:row>
      <xdr:rowOff>161097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A57F95-94C0-4E00-C666-D930F40DF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42</xdr:col>
      <xdr:colOff>336826</xdr:colOff>
      <xdr:row>10</xdr:row>
      <xdr:rowOff>33130</xdr:rowOff>
    </xdr:from>
    <xdr:to>
      <xdr:col>48</xdr:col>
      <xdr:colOff>336826</xdr:colOff>
      <xdr:row>25</xdr:row>
      <xdr:rowOff>14080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AD9AF3C-0D9E-4A43-AF44-EFE212885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566964</xdr:colOff>
      <xdr:row>58</xdr:row>
      <xdr:rowOff>97971</xdr:rowOff>
    </xdr:from>
    <xdr:to>
      <xdr:col>14</xdr:col>
      <xdr:colOff>692150</xdr:colOff>
      <xdr:row>78</xdr:row>
      <xdr:rowOff>25400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6E5F713-AF71-1F6B-EB46-7C6CB7327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222250</xdr:colOff>
      <xdr:row>58</xdr:row>
      <xdr:rowOff>90715</xdr:rowOff>
    </xdr:from>
    <xdr:to>
      <xdr:col>21</xdr:col>
      <xdr:colOff>685800</xdr:colOff>
      <xdr:row>78</xdr:row>
      <xdr:rowOff>19050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C4C57CE-51AA-4A27-BB5E-045D7EB5C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869950</xdr:colOff>
      <xdr:row>54</xdr:row>
      <xdr:rowOff>149224</xdr:rowOff>
    </xdr:from>
    <xdr:to>
      <xdr:col>25</xdr:col>
      <xdr:colOff>692150</xdr:colOff>
      <xdr:row>77</xdr:row>
      <xdr:rowOff>107949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1A9DDAB-4862-CB0D-C79C-9F15FD648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393700</xdr:colOff>
      <xdr:row>74</xdr:row>
      <xdr:rowOff>60325</xdr:rowOff>
    </xdr:from>
    <xdr:to>
      <xdr:col>21</xdr:col>
      <xdr:colOff>1155700</xdr:colOff>
      <xdr:row>89</xdr:row>
      <xdr:rowOff>41275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3975C69-F5A8-2BBB-4B70-D9CA5CEDF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1111250</xdr:colOff>
      <xdr:row>75</xdr:row>
      <xdr:rowOff>19050</xdr:rowOff>
    </xdr:from>
    <xdr:to>
      <xdr:col>24</xdr:col>
      <xdr:colOff>1136650</xdr:colOff>
      <xdr:row>90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14F37A7-8CEF-4328-B66B-022B944A5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6</xdr:row>
      <xdr:rowOff>85725</xdr:rowOff>
    </xdr:from>
    <xdr:to>
      <xdr:col>7</xdr:col>
      <xdr:colOff>371475</xdr:colOff>
      <xdr:row>22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87927C-B65E-05C6-642E-C0D05503D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174625</xdr:rowOff>
    </xdr:from>
    <xdr:to>
      <xdr:col>8</xdr:col>
      <xdr:colOff>152400</xdr:colOff>
      <xdr:row>16</xdr:row>
      <xdr:rowOff>155575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56374E-BACF-E5E8-B9C3-97448AC70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193674</xdr:colOff>
      <xdr:row>4</xdr:row>
      <xdr:rowOff>136525</xdr:rowOff>
    </xdr:from>
    <xdr:to>
      <xdr:col>5</xdr:col>
      <xdr:colOff>179294</xdr:colOff>
      <xdr:row>25</xdr:row>
      <xdr:rowOff>52294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986293-ACD8-8873-D4B8-75606DEA5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197970</xdr:colOff>
      <xdr:row>6</xdr:row>
      <xdr:rowOff>14193</xdr:rowOff>
    </xdr:from>
    <xdr:to>
      <xdr:col>11</xdr:col>
      <xdr:colOff>45358</xdr:colOff>
      <xdr:row>28</xdr:row>
      <xdr:rowOff>141940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1DFCF2-0FB4-EA20-5B5C-440A68731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249465</xdr:colOff>
      <xdr:row>8</xdr:row>
      <xdr:rowOff>25399</xdr:rowOff>
    </xdr:from>
    <xdr:to>
      <xdr:col>23</xdr:col>
      <xdr:colOff>616857</xdr:colOff>
      <xdr:row>28</xdr:row>
      <xdr:rowOff>154213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33D4A0-4D31-D001-03AF-8EA434CD2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CBF6-7C57-4D87-BE2A-AC1D744FD232}">
  <dimension ref="B1:BB57"/>
  <sheetViews>
    <sheetView topLeftCell="O1" zoomScaleNormal="100" workbookViewId="0">
      <selection activeCell="BD9" sqref="BD9"/>
    </sheetView>
  </sheetViews>
  <sheetFormatPr baseColWidth="10" defaultRowHeight="14.5" x14ac:dyDescent="0.35"/>
  <cols>
    <col min="2" max="3" width="26.54296875" bestFit="1" customWidth="1"/>
    <col min="6" max="6" width="18.90625" bestFit="1" customWidth="1"/>
    <col min="10" max="11" width="11.90625" bestFit="1" customWidth="1"/>
    <col min="12" max="13" width="11" bestFit="1" customWidth="1"/>
    <col min="14" max="14" width="11.90625" bestFit="1" customWidth="1"/>
    <col min="22" max="22" width="19.6328125" bestFit="1" customWidth="1"/>
    <col min="23" max="23" width="23.08984375" bestFit="1" customWidth="1"/>
    <col min="24" max="24" width="22.36328125" bestFit="1" customWidth="1"/>
    <col min="25" max="25" width="22.36328125" customWidth="1"/>
  </cols>
  <sheetData>
    <row r="1" spans="2:54" x14ac:dyDescent="0.35">
      <c r="B1" t="s">
        <v>2</v>
      </c>
    </row>
    <row r="2" spans="2:54" x14ac:dyDescent="0.35">
      <c r="B2">
        <v>311</v>
      </c>
    </row>
    <row r="4" spans="2:54" x14ac:dyDescent="0.35">
      <c r="B4" t="s">
        <v>0</v>
      </c>
      <c r="C4" t="s">
        <v>1</v>
      </c>
      <c r="D4" t="s">
        <v>3</v>
      </c>
      <c r="E4" t="s">
        <v>4</v>
      </c>
      <c r="F4" t="s">
        <v>5</v>
      </c>
      <c r="G4" t="s">
        <v>17</v>
      </c>
      <c r="J4" s="2" t="s">
        <v>0</v>
      </c>
      <c r="K4" s="2" t="s">
        <v>1</v>
      </c>
      <c r="L4" s="2" t="s">
        <v>3</v>
      </c>
      <c r="M4" s="2" t="s">
        <v>4</v>
      </c>
      <c r="N4" s="2" t="s">
        <v>5</v>
      </c>
    </row>
    <row r="5" spans="2:54" x14ac:dyDescent="0.35">
      <c r="B5">
        <f>1637-1707</f>
        <v>-70</v>
      </c>
      <c r="C5">
        <f>442-450</f>
        <v>-8</v>
      </c>
      <c r="D5">
        <f>191-198</f>
        <v>-7</v>
      </c>
      <c r="E5">
        <f>81-81</f>
        <v>0</v>
      </c>
      <c r="F5">
        <f>81-80</f>
        <v>1</v>
      </c>
      <c r="G5">
        <f>311-311</f>
        <v>0</v>
      </c>
      <c r="J5" s="3">
        <f>B5/B2</f>
        <v>-0.22508038585209003</v>
      </c>
      <c r="K5" s="3">
        <f>C5/B2</f>
        <v>-2.5723472668810289E-2</v>
      </c>
      <c r="L5" s="3">
        <f>D5/B2</f>
        <v>-2.2508038585209004E-2</v>
      </c>
      <c r="M5" s="3">
        <f>E5/B2</f>
        <v>0</v>
      </c>
      <c r="N5" s="3">
        <f>F5/B2</f>
        <v>3.2154340836012861E-3</v>
      </c>
      <c r="V5" t="s">
        <v>6</v>
      </c>
      <c r="W5" t="s">
        <v>7</v>
      </c>
      <c r="X5" t="s">
        <v>8</v>
      </c>
      <c r="Y5" t="s">
        <v>16</v>
      </c>
      <c r="AA5" t="s">
        <v>12</v>
      </c>
      <c r="AB5" t="s">
        <v>9</v>
      </c>
      <c r="AC5" t="s">
        <v>10</v>
      </c>
      <c r="AD5" t="s">
        <v>11</v>
      </c>
      <c r="AH5" t="s">
        <v>13</v>
      </c>
      <c r="AI5" t="s">
        <v>14</v>
      </c>
      <c r="AJ5" t="s">
        <v>15</v>
      </c>
      <c r="BA5" t="s">
        <v>39</v>
      </c>
      <c r="BB5" t="s">
        <v>28</v>
      </c>
    </row>
    <row r="6" spans="2:54" x14ac:dyDescent="0.35">
      <c r="J6">
        <f>SUM(B5:F5)</f>
        <v>-84</v>
      </c>
      <c r="V6">
        <f>117-149</f>
        <v>-32</v>
      </c>
      <c r="W6">
        <f>3-26</f>
        <v>-23</v>
      </c>
      <c r="X6">
        <f>0-10</f>
        <v>-10</v>
      </c>
      <c r="Y6">
        <f>124-0</f>
        <v>124</v>
      </c>
      <c r="AA6">
        <f>650-719</f>
        <v>-69</v>
      </c>
      <c r="AB6">
        <f>243-174</f>
        <v>69</v>
      </c>
      <c r="AC6">
        <f>89-88</f>
        <v>1</v>
      </c>
      <c r="AD6">
        <f>14-14</f>
        <v>0</v>
      </c>
      <c r="AH6">
        <f>881-881</f>
        <v>0</v>
      </c>
      <c r="AI6">
        <f>0-0</f>
        <v>0</v>
      </c>
      <c r="AJ6">
        <f>14-14</f>
        <v>0</v>
      </c>
      <c r="AQ6" t="s">
        <v>22</v>
      </c>
      <c r="AR6" t="s">
        <v>22</v>
      </c>
      <c r="AZ6" s="12" t="s">
        <v>35</v>
      </c>
      <c r="BA6" s="13">
        <v>7087.5828110000002</v>
      </c>
      <c r="BB6" s="10"/>
    </row>
    <row r="7" spans="2:54" x14ac:dyDescent="0.35">
      <c r="B7" t="s">
        <v>0</v>
      </c>
      <c r="C7" t="s">
        <v>1</v>
      </c>
      <c r="D7" t="s">
        <v>3</v>
      </c>
      <c r="E7" t="s">
        <v>4</v>
      </c>
      <c r="F7" t="s">
        <v>5</v>
      </c>
      <c r="AQ7" s="1">
        <f>10/10</f>
        <v>1</v>
      </c>
      <c r="AR7" s="4">
        <f>10/719</f>
        <v>1.3908205841446454E-2</v>
      </c>
      <c r="AZ7" s="12" t="s">
        <v>36</v>
      </c>
      <c r="BA7" s="12">
        <v>1905.7691279999999</v>
      </c>
    </row>
    <row r="8" spans="2:54" x14ac:dyDescent="0.35">
      <c r="B8" s="1">
        <f>B5/1707</f>
        <v>-4.1007615700058585E-2</v>
      </c>
      <c r="C8" s="1">
        <f>C5/450</f>
        <v>-1.7777777777777778E-2</v>
      </c>
      <c r="D8" s="1">
        <f>21/198</f>
        <v>0.10606060606060606</v>
      </c>
      <c r="E8" s="1">
        <f>0</f>
        <v>0</v>
      </c>
      <c r="F8" s="1">
        <f>F5/80</f>
        <v>1.2500000000000001E-2</v>
      </c>
      <c r="AQ8">
        <v>10</v>
      </c>
      <c r="AR8">
        <v>10</v>
      </c>
      <c r="AZ8" s="12" t="s">
        <v>37</v>
      </c>
      <c r="BA8" s="12">
        <v>1064.3662899999999</v>
      </c>
    </row>
    <row r="9" spans="2:54" x14ac:dyDescent="0.35">
      <c r="AZ9" s="12" t="s">
        <v>38</v>
      </c>
      <c r="BA9" s="12">
        <v>815.84500400000002</v>
      </c>
    </row>
    <row r="10" spans="2:54" x14ac:dyDescent="0.35">
      <c r="AZ10" s="11" t="s">
        <v>29</v>
      </c>
      <c r="BA10" s="11">
        <v>388.43802499999998</v>
      </c>
    </row>
    <row r="11" spans="2:54" ht="31.5" x14ac:dyDescent="0.35">
      <c r="AZ11" s="8" t="s">
        <v>30</v>
      </c>
      <c r="BA11" s="8">
        <v>334.26316600000001</v>
      </c>
    </row>
    <row r="12" spans="2:54" ht="42" x14ac:dyDescent="0.35">
      <c r="AZ12" s="8" t="s">
        <v>31</v>
      </c>
      <c r="BA12" s="8">
        <v>113.266465</v>
      </c>
    </row>
    <row r="13" spans="2:54" ht="21" x14ac:dyDescent="0.35">
      <c r="AY13" t="s">
        <v>23</v>
      </c>
      <c r="AZ13" s="8" t="s">
        <v>32</v>
      </c>
      <c r="BA13" s="8">
        <v>42.039583</v>
      </c>
    </row>
    <row r="14" spans="2:54" ht="21" x14ac:dyDescent="0.35">
      <c r="AZ14" s="8" t="s">
        <v>33</v>
      </c>
      <c r="BA14" s="8">
        <v>25.454386</v>
      </c>
    </row>
    <row r="15" spans="2:54" ht="31.5" x14ac:dyDescent="0.35">
      <c r="AZ15" s="8" t="s">
        <v>34</v>
      </c>
      <c r="BA15" s="8">
        <v>11.73339</v>
      </c>
    </row>
    <row r="25" spans="22:30" x14ac:dyDescent="0.35">
      <c r="V25">
        <f>SUM(V27:Y27)</f>
        <v>995</v>
      </c>
      <c r="AA25">
        <f>SUM(AA27:AD27)</f>
        <v>996</v>
      </c>
    </row>
    <row r="26" spans="22:30" x14ac:dyDescent="0.35">
      <c r="V26" t="s">
        <v>18</v>
      </c>
      <c r="W26" t="s">
        <v>19</v>
      </c>
      <c r="X26" t="s">
        <v>20</v>
      </c>
      <c r="Y26" t="s">
        <v>21</v>
      </c>
      <c r="AA26" t="s">
        <v>18</v>
      </c>
      <c r="AB26" t="s">
        <v>19</v>
      </c>
      <c r="AC26" t="s">
        <v>20</v>
      </c>
      <c r="AD26" t="s">
        <v>21</v>
      </c>
    </row>
    <row r="27" spans="22:30" x14ac:dyDescent="0.35">
      <c r="V27">
        <v>719</v>
      </c>
      <c r="W27">
        <v>174</v>
      </c>
      <c r="X27">
        <v>88</v>
      </c>
      <c r="Y27">
        <v>14</v>
      </c>
      <c r="AA27">
        <v>650</v>
      </c>
      <c r="AB27">
        <v>243</v>
      </c>
      <c r="AC27">
        <v>89</v>
      </c>
      <c r="AD27">
        <v>14</v>
      </c>
    </row>
    <row r="28" spans="22:30" x14ac:dyDescent="0.35">
      <c r="V28" s="1">
        <f>V27/V25</f>
        <v>0.72261306532663316</v>
      </c>
      <c r="W28" s="1">
        <f>W27/V25</f>
        <v>0.1748743718592965</v>
      </c>
      <c r="X28" s="1">
        <f>X27/V25</f>
        <v>8.8442211055276387E-2</v>
      </c>
      <c r="Y28" s="1">
        <f>Y27/V25</f>
        <v>1.407035175879397E-2</v>
      </c>
      <c r="AA28" s="1">
        <f>AA27/AA25</f>
        <v>0.65261044176706828</v>
      </c>
      <c r="AB28" s="1">
        <f>AB27/AA25</f>
        <v>0.24397590361445784</v>
      </c>
      <c r="AC28" s="1">
        <f>AC27/AA25</f>
        <v>8.9357429718875503E-2</v>
      </c>
      <c r="AD28" s="1">
        <f>AD27/AA25</f>
        <v>1.4056224899598393E-2</v>
      </c>
    </row>
    <row r="33" spans="10:21" x14ac:dyDescent="0.35">
      <c r="T33" t="s">
        <v>12</v>
      </c>
      <c r="U33">
        <f>36968-37469</f>
        <v>-501</v>
      </c>
    </row>
    <row r="34" spans="10:21" x14ac:dyDescent="0.35">
      <c r="T34" t="s">
        <v>9</v>
      </c>
      <c r="U34">
        <f>8570-9070</f>
        <v>-500</v>
      </c>
    </row>
    <row r="35" spans="10:21" x14ac:dyDescent="0.35">
      <c r="T35" t="s">
        <v>10</v>
      </c>
      <c r="U35">
        <f>5135-4568</f>
        <v>567</v>
      </c>
    </row>
    <row r="36" spans="10:21" x14ac:dyDescent="0.35">
      <c r="T36" t="s">
        <v>11</v>
      </c>
      <c r="U36">
        <f>1639-726</f>
        <v>913</v>
      </c>
    </row>
    <row r="47" spans="10:21" x14ac:dyDescent="0.35">
      <c r="J47" s="2" t="s">
        <v>26</v>
      </c>
    </row>
    <row r="48" spans="10:21" x14ac:dyDescent="0.35">
      <c r="J48" s="2" t="s">
        <v>0</v>
      </c>
      <c r="K48" s="2" t="s">
        <v>1</v>
      </c>
      <c r="L48" s="2" t="s">
        <v>24</v>
      </c>
      <c r="M48" s="2" t="s">
        <v>3</v>
      </c>
      <c r="N48" s="2" t="s">
        <v>4</v>
      </c>
      <c r="O48" s="2" t="s">
        <v>5</v>
      </c>
      <c r="P48" s="2" t="s">
        <v>25</v>
      </c>
    </row>
    <row r="49" spans="10:24" x14ac:dyDescent="0.35">
      <c r="J49" s="6">
        <v>1706.712857</v>
      </c>
      <c r="K49" s="6">
        <v>450.492345</v>
      </c>
      <c r="L49" s="6">
        <v>310.79384900000002</v>
      </c>
      <c r="M49" s="6">
        <v>198.12491399999999</v>
      </c>
      <c r="N49" s="6">
        <v>80.889629999999997</v>
      </c>
      <c r="O49" s="6">
        <v>79.562590999999998</v>
      </c>
      <c r="P49" s="6">
        <f>SUM(J49:O49)</f>
        <v>2826.5761860000002</v>
      </c>
    </row>
    <row r="50" spans="10:24" x14ac:dyDescent="0.35">
      <c r="J50" s="7">
        <f>J49/$P$49</f>
        <v>0.60380925356030712</v>
      </c>
      <c r="K50" s="7">
        <f t="shared" ref="K50:O50" si="0">K49/$P$49</f>
        <v>0.15937739348094826</v>
      </c>
      <c r="L50" s="7">
        <f t="shared" si="0"/>
        <v>0.10995417372415378</v>
      </c>
      <c r="M50" s="7">
        <f t="shared" si="0"/>
        <v>7.0093604758049835E-2</v>
      </c>
      <c r="N50" s="7">
        <f t="shared" si="0"/>
        <v>2.8617530424492152E-2</v>
      </c>
      <c r="O50" s="7">
        <f t="shared" si="0"/>
        <v>2.8148044052048769E-2</v>
      </c>
    </row>
    <row r="51" spans="10:24" x14ac:dyDescent="0.35">
      <c r="R51" s="2" t="s">
        <v>0</v>
      </c>
      <c r="S51" s="2" t="s">
        <v>1</v>
      </c>
      <c r="T51" s="2" t="s">
        <v>24</v>
      </c>
      <c r="U51" s="2" t="s">
        <v>3</v>
      </c>
      <c r="V51" s="2" t="s">
        <v>4</v>
      </c>
      <c r="W51" s="2" t="s">
        <v>5</v>
      </c>
      <c r="X51" s="2" t="s">
        <v>25</v>
      </c>
    </row>
    <row r="52" spans="10:24" x14ac:dyDescent="0.35">
      <c r="Q52" s="2" t="s">
        <v>26</v>
      </c>
      <c r="R52" s="6">
        <v>1706.712857</v>
      </c>
      <c r="S52" s="6">
        <v>450.492345</v>
      </c>
      <c r="T52" s="6">
        <v>310.79384900000002</v>
      </c>
      <c r="U52" s="6">
        <v>198.12491399999999</v>
      </c>
      <c r="V52" s="6">
        <v>80.889629999999997</v>
      </c>
      <c r="W52" s="6">
        <v>79.562590999999998</v>
      </c>
      <c r="X52" s="6">
        <f>SUM(R52:W52)</f>
        <v>2826.5761860000002</v>
      </c>
    </row>
    <row r="53" spans="10:24" x14ac:dyDescent="0.35">
      <c r="Q53" s="2" t="s">
        <v>27</v>
      </c>
      <c r="R53" s="6">
        <v>1829.6770489999999</v>
      </c>
      <c r="S53" s="6">
        <v>582.51855399999999</v>
      </c>
      <c r="T53" s="6">
        <v>0</v>
      </c>
      <c r="U53" s="6">
        <v>218.80782300000001</v>
      </c>
      <c r="V53" s="6">
        <v>80.889629999999997</v>
      </c>
      <c r="W53" s="6">
        <v>116.16016999999999</v>
      </c>
      <c r="X53" s="6">
        <f>SUM(R53:W53)</f>
        <v>2828.0532260000004</v>
      </c>
    </row>
    <row r="54" spans="10:24" x14ac:dyDescent="0.35">
      <c r="J54" s="2" t="s">
        <v>27</v>
      </c>
      <c r="W54" s="5">
        <f>W52-W53</f>
        <v>-36.597578999999996</v>
      </c>
      <c r="X54">
        <f>W54/W52</f>
        <v>-0.45998475590117466</v>
      </c>
    </row>
    <row r="55" spans="10:24" x14ac:dyDescent="0.35">
      <c r="J55" s="2" t="s">
        <v>0</v>
      </c>
      <c r="K55" s="2" t="s">
        <v>1</v>
      </c>
      <c r="L55" s="2" t="s">
        <v>3</v>
      </c>
      <c r="M55" s="2" t="s">
        <v>4</v>
      </c>
      <c r="N55" s="2" t="s">
        <v>5</v>
      </c>
      <c r="O55" s="2" t="s">
        <v>25</v>
      </c>
    </row>
    <row r="56" spans="10:24" x14ac:dyDescent="0.35">
      <c r="J56" s="6">
        <v>1829.6770489999999</v>
      </c>
      <c r="K56" s="6">
        <v>582.51855399999999</v>
      </c>
      <c r="L56" s="6">
        <v>218.80782300000001</v>
      </c>
      <c r="M56" s="6">
        <v>80.889629999999997</v>
      </c>
      <c r="N56" s="6">
        <v>116.16016999999999</v>
      </c>
      <c r="O56" s="6">
        <f>SUM(J56:N56)</f>
        <v>2828.0532260000004</v>
      </c>
    </row>
    <row r="57" spans="10:24" x14ac:dyDescent="0.35">
      <c r="J57" s="7">
        <f>J56/$O$56</f>
        <v>0.64697404991485818</v>
      </c>
      <c r="K57" s="7">
        <f t="shared" ref="K57:M57" si="1">K56/$O$56</f>
        <v>0.20597863881929637</v>
      </c>
      <c r="L57" s="7">
        <f t="shared" si="1"/>
        <v>7.7370475558369137E-2</v>
      </c>
      <c r="M57" s="7">
        <f t="shared" si="1"/>
        <v>2.8602584016571116E-2</v>
      </c>
      <c r="N57" s="7">
        <f>N56/$O$56</f>
        <v>4.1074251690905048E-2</v>
      </c>
      <c r="O57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98C-DC1E-418F-83D4-CB22CEE47F7C}">
  <dimension ref="C2:L16"/>
  <sheetViews>
    <sheetView workbookViewId="0">
      <selection activeCell="N13" sqref="N13"/>
    </sheetView>
  </sheetViews>
  <sheetFormatPr baseColWidth="10" defaultRowHeight="13.5" x14ac:dyDescent="0.35"/>
  <cols>
    <col min="9" max="9" width="25.453125" bestFit="1" customWidth="1"/>
  </cols>
  <sheetData>
    <row r="2" spans="3:12" ht="14.5" x14ac:dyDescent="0.35">
      <c r="D2" t="s">
        <v>40</v>
      </c>
      <c r="E2" t="s">
        <v>42</v>
      </c>
      <c r="G2" s="17"/>
      <c r="H2" s="18"/>
      <c r="I2" s="18"/>
      <c r="J2" s="18"/>
      <c r="K2" s="18"/>
      <c r="L2" s="19"/>
    </row>
    <row r="3" spans="3:12" ht="14.5" x14ac:dyDescent="0.35">
      <c r="C3" t="s">
        <v>26</v>
      </c>
      <c r="D3">
        <v>1706.7128</v>
      </c>
      <c r="E3">
        <v>450.49</v>
      </c>
      <c r="G3" s="20"/>
      <c r="H3" s="21">
        <v>43.955030000000079</v>
      </c>
      <c r="I3" s="21">
        <v>10.563260000000014</v>
      </c>
      <c r="J3" s="21"/>
      <c r="K3" s="21"/>
      <c r="L3" s="22"/>
    </row>
    <row r="4" spans="3:12" ht="14.5" x14ac:dyDescent="0.35">
      <c r="C4" t="s">
        <v>41</v>
      </c>
      <c r="D4">
        <v>1662.7577699999999</v>
      </c>
      <c r="E4">
        <v>439.92674</v>
      </c>
      <c r="G4" s="23"/>
      <c r="H4" s="24"/>
      <c r="I4" s="24"/>
      <c r="J4" s="24"/>
      <c r="K4" s="24"/>
      <c r="L4" s="25"/>
    </row>
    <row r="5" spans="3:12" ht="14.5" x14ac:dyDescent="0.35">
      <c r="C5" t="s">
        <v>44</v>
      </c>
      <c r="D5">
        <f>D3-D4</f>
        <v>43.955030000000079</v>
      </c>
      <c r="E5">
        <f>E3-E4</f>
        <v>10.563260000000014</v>
      </c>
      <c r="J5" s="4">
        <v>-2.5754204222292163E-2</v>
      </c>
      <c r="K5" s="4">
        <v>-2.3448378432373667E-2</v>
      </c>
    </row>
    <row r="6" spans="3:12" ht="13.5" customHeight="1" x14ac:dyDescent="0.35">
      <c r="D6" s="4">
        <f>-D5/D3</f>
        <v>-2.5754204222292163E-2</v>
      </c>
      <c r="E6" s="4">
        <f>-E5/E3</f>
        <v>-2.3448378432373667E-2</v>
      </c>
      <c r="I6" s="15" t="s">
        <v>43</v>
      </c>
      <c r="J6" s="15"/>
      <c r="K6" s="15"/>
    </row>
    <row r="7" spans="3:12" ht="14.5" x14ac:dyDescent="0.35">
      <c r="I7" s="2" t="s">
        <v>40</v>
      </c>
      <c r="J7" s="16">
        <v>-2.5754204222292163E-2</v>
      </c>
      <c r="K7" s="6" t="s">
        <v>45</v>
      </c>
    </row>
    <row r="8" spans="3:12" x14ac:dyDescent="0.35">
      <c r="I8" s="2" t="s">
        <v>42</v>
      </c>
      <c r="J8" s="16">
        <v>-2.3448378432373667E-2</v>
      </c>
      <c r="K8" s="2" t="s">
        <v>46</v>
      </c>
    </row>
    <row r="13" spans="3:12" ht="14.5" x14ac:dyDescent="0.35"/>
    <row r="14" spans="3:12" ht="14.5" x14ac:dyDescent="0.35">
      <c r="K14" s="14"/>
      <c r="L14" s="14"/>
    </row>
    <row r="15" spans="3:12" ht="14.5" x14ac:dyDescent="0.35">
      <c r="K15" s="14"/>
      <c r="L15" s="14"/>
    </row>
    <row r="16" spans="3:12" ht="14.5" x14ac:dyDescent="0.35"/>
  </sheetData>
  <mergeCells count="1">
    <mergeCell ref="I6:K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0F05-0C98-40D9-87FB-B4DFB1E1610B}">
  <dimension ref="A1:G169"/>
  <sheetViews>
    <sheetView workbookViewId="0">
      <selection activeCell="M8" sqref="M8"/>
    </sheetView>
  </sheetViews>
  <sheetFormatPr baseColWidth="10" defaultRowHeight="14.5" x14ac:dyDescent="0.35"/>
  <sheetData>
    <row r="1" spans="1:7" x14ac:dyDescent="0.35">
      <c r="B1" s="9" t="s">
        <v>26</v>
      </c>
      <c r="C1" t="s">
        <v>28</v>
      </c>
      <c r="D1" s="9" t="s">
        <v>26</v>
      </c>
      <c r="E1" t="s">
        <v>28</v>
      </c>
      <c r="F1" s="9" t="s">
        <v>26</v>
      </c>
      <c r="G1" t="s">
        <v>28</v>
      </c>
    </row>
    <row r="2" spans="1:7" x14ac:dyDescent="0.35">
      <c r="A2">
        <v>65</v>
      </c>
      <c r="B2">
        <v>148.19</v>
      </c>
      <c r="C2">
        <v>146.19</v>
      </c>
      <c r="D2">
        <v>146.19</v>
      </c>
      <c r="E2">
        <v>146.19</v>
      </c>
      <c r="F2">
        <v>148.19999999999999</v>
      </c>
      <c r="G2">
        <v>172.46680529300559</v>
      </c>
    </row>
    <row r="3" spans="1:7" x14ac:dyDescent="0.35">
      <c r="A3">
        <v>66</v>
      </c>
      <c r="B3">
        <v>148.19</v>
      </c>
      <c r="C3">
        <v>12.539986462277909</v>
      </c>
      <c r="D3">
        <v>12</v>
      </c>
      <c r="E3">
        <v>12.539986462277909</v>
      </c>
      <c r="F3">
        <v>148.19999999999999</v>
      </c>
      <c r="G3">
        <v>172.46680529300559</v>
      </c>
    </row>
    <row r="4" spans="1:7" x14ac:dyDescent="0.35">
      <c r="A4">
        <v>67</v>
      </c>
      <c r="B4">
        <v>148.19</v>
      </c>
      <c r="C4">
        <v>12.539986462277909</v>
      </c>
      <c r="D4">
        <v>12</v>
      </c>
      <c r="E4">
        <v>12.539986462277909</v>
      </c>
      <c r="F4">
        <v>148.19999999999999</v>
      </c>
      <c r="G4">
        <v>172.46680529300559</v>
      </c>
    </row>
    <row r="5" spans="1:7" x14ac:dyDescent="0.35">
      <c r="A5">
        <v>68</v>
      </c>
      <c r="B5">
        <v>148.19</v>
      </c>
      <c r="C5">
        <v>12.539986462277909</v>
      </c>
      <c r="D5">
        <v>12</v>
      </c>
      <c r="E5">
        <v>12.539986462277909</v>
      </c>
      <c r="F5">
        <v>148.19999999999999</v>
      </c>
      <c r="G5">
        <v>172.46680529300559</v>
      </c>
    </row>
    <row r="6" spans="1:7" x14ac:dyDescent="0.35">
      <c r="A6">
        <v>69</v>
      </c>
      <c r="B6">
        <v>148.19</v>
      </c>
      <c r="C6">
        <v>12</v>
      </c>
      <c r="D6">
        <v>10</v>
      </c>
      <c r="E6">
        <v>12</v>
      </c>
      <c r="F6">
        <v>148.19999999999999</v>
      </c>
      <c r="G6">
        <v>172.46680529300559</v>
      </c>
    </row>
    <row r="7" spans="1:7" x14ac:dyDescent="0.35">
      <c r="A7">
        <v>70</v>
      </c>
      <c r="B7">
        <v>148.19</v>
      </c>
      <c r="C7">
        <v>10</v>
      </c>
      <c r="D7">
        <v>10</v>
      </c>
      <c r="E7">
        <v>10</v>
      </c>
      <c r="F7">
        <v>148.19999999999999</v>
      </c>
      <c r="G7">
        <v>172.46680529300559</v>
      </c>
    </row>
    <row r="8" spans="1:7" x14ac:dyDescent="0.35">
      <c r="A8">
        <v>79</v>
      </c>
      <c r="B8">
        <v>148.19</v>
      </c>
      <c r="C8">
        <v>10</v>
      </c>
      <c r="D8">
        <v>10</v>
      </c>
      <c r="E8">
        <v>10</v>
      </c>
      <c r="F8">
        <v>148.19999999999999</v>
      </c>
      <c r="G8">
        <v>172.46680529300559</v>
      </c>
    </row>
    <row r="9" spans="1:7" x14ac:dyDescent="0.35">
      <c r="A9">
        <v>80</v>
      </c>
      <c r="B9">
        <v>148.19</v>
      </c>
      <c r="C9">
        <v>12.539986462277909</v>
      </c>
      <c r="D9">
        <v>12</v>
      </c>
      <c r="E9">
        <v>12.539986462277909</v>
      </c>
      <c r="F9">
        <v>148.19999999999999</v>
      </c>
      <c r="G9">
        <v>172.46680529300559</v>
      </c>
    </row>
    <row r="10" spans="1:7" x14ac:dyDescent="0.35">
      <c r="A10">
        <v>0</v>
      </c>
      <c r="B10">
        <v>146.19</v>
      </c>
      <c r="C10">
        <v>12.539986462277909</v>
      </c>
      <c r="D10">
        <v>12</v>
      </c>
      <c r="E10">
        <v>12.539986462277909</v>
      </c>
      <c r="F10">
        <v>146.19999999999999</v>
      </c>
      <c r="G10">
        <v>146.19999999999999</v>
      </c>
    </row>
    <row r="11" spans="1:7" x14ac:dyDescent="0.35">
      <c r="A11">
        <v>17</v>
      </c>
      <c r="B11">
        <v>146.19</v>
      </c>
      <c r="C11">
        <v>12.539986462277909</v>
      </c>
      <c r="D11">
        <v>12</v>
      </c>
      <c r="E11">
        <v>12.539986462277909</v>
      </c>
      <c r="F11">
        <v>146.19999999999999</v>
      </c>
      <c r="G11">
        <v>146.19999999999999</v>
      </c>
    </row>
    <row r="12" spans="1:7" x14ac:dyDescent="0.35">
      <c r="A12">
        <v>18</v>
      </c>
      <c r="B12">
        <v>146.19</v>
      </c>
      <c r="C12">
        <v>8</v>
      </c>
      <c r="D12">
        <v>0.1428571428571429</v>
      </c>
      <c r="E12">
        <v>1.7234734561240019</v>
      </c>
      <c r="F12">
        <v>146.19999999999999</v>
      </c>
      <c r="G12">
        <v>146.19999999999999</v>
      </c>
    </row>
    <row r="13" spans="1:7" x14ac:dyDescent="0.35">
      <c r="A13">
        <v>19</v>
      </c>
      <c r="B13">
        <v>146.19</v>
      </c>
      <c r="C13">
        <v>8</v>
      </c>
      <c r="D13">
        <v>0.1428571428571429</v>
      </c>
      <c r="E13">
        <v>0.72347345612400249</v>
      </c>
      <c r="F13">
        <v>146.19999999999999</v>
      </c>
      <c r="G13">
        <v>146.19999999999999</v>
      </c>
    </row>
    <row r="14" spans="1:7" x14ac:dyDescent="0.35">
      <c r="A14">
        <v>20</v>
      </c>
      <c r="B14">
        <v>146.19</v>
      </c>
      <c r="C14">
        <v>8</v>
      </c>
      <c r="D14">
        <v>0.1428571428571429</v>
      </c>
      <c r="E14">
        <v>0.1428571428571429</v>
      </c>
      <c r="F14">
        <v>146.19999999999999</v>
      </c>
      <c r="G14">
        <v>146.19999999999999</v>
      </c>
    </row>
    <row r="15" spans="1:7" x14ac:dyDescent="0.35">
      <c r="A15">
        <v>23</v>
      </c>
      <c r="B15">
        <v>146.19</v>
      </c>
      <c r="C15">
        <v>8</v>
      </c>
      <c r="D15">
        <v>0.1428571428571429</v>
      </c>
      <c r="E15">
        <v>0.72347345612400249</v>
      </c>
      <c r="F15">
        <v>146.19999999999999</v>
      </c>
      <c r="G15">
        <v>146.19999999999999</v>
      </c>
    </row>
    <row r="16" spans="1:7" x14ac:dyDescent="0.35">
      <c r="A16">
        <v>28</v>
      </c>
      <c r="B16">
        <v>146.19</v>
      </c>
      <c r="C16">
        <v>8</v>
      </c>
      <c r="D16">
        <v>1.142857142857143</v>
      </c>
      <c r="E16">
        <v>1.7234734561240019</v>
      </c>
      <c r="F16">
        <v>146.19999999999999</v>
      </c>
      <c r="G16">
        <v>146.19999999999999</v>
      </c>
    </row>
    <row r="17" spans="1:7" x14ac:dyDescent="0.35">
      <c r="A17">
        <v>29</v>
      </c>
      <c r="B17">
        <v>146.19</v>
      </c>
      <c r="C17">
        <v>146.19</v>
      </c>
      <c r="D17">
        <v>146.19</v>
      </c>
      <c r="E17">
        <v>146.19</v>
      </c>
      <c r="F17">
        <v>146.19999999999999</v>
      </c>
      <c r="G17">
        <v>146.19999999999999</v>
      </c>
    </row>
    <row r="18" spans="1:7" x14ac:dyDescent="0.35">
      <c r="A18">
        <v>30</v>
      </c>
      <c r="B18">
        <v>146.19</v>
      </c>
      <c r="C18">
        <v>146.19</v>
      </c>
      <c r="D18">
        <v>146.19</v>
      </c>
      <c r="E18">
        <v>146.19</v>
      </c>
      <c r="F18">
        <v>146.19999999999999</v>
      </c>
      <c r="G18">
        <v>146.19999999999999</v>
      </c>
    </row>
    <row r="19" spans="1:7" x14ac:dyDescent="0.35">
      <c r="A19">
        <v>31</v>
      </c>
      <c r="B19">
        <v>146.19</v>
      </c>
      <c r="C19">
        <v>146.19</v>
      </c>
      <c r="D19">
        <v>146.19</v>
      </c>
      <c r="E19">
        <v>146.19</v>
      </c>
      <c r="F19">
        <v>146.19999999999999</v>
      </c>
      <c r="G19">
        <v>146.19999999999999</v>
      </c>
    </row>
    <row r="20" spans="1:7" x14ac:dyDescent="0.35">
      <c r="A20">
        <v>32</v>
      </c>
      <c r="B20">
        <v>146.19</v>
      </c>
      <c r="C20">
        <v>146.19</v>
      </c>
      <c r="D20">
        <v>146.19</v>
      </c>
      <c r="E20">
        <v>146.19</v>
      </c>
      <c r="F20">
        <v>146.19999999999999</v>
      </c>
      <c r="G20">
        <v>146.19999999999999</v>
      </c>
    </row>
    <row r="21" spans="1:7" x14ac:dyDescent="0.35">
      <c r="A21">
        <v>33</v>
      </c>
      <c r="B21">
        <v>146.19</v>
      </c>
      <c r="C21">
        <v>146.19</v>
      </c>
      <c r="D21">
        <v>1.162857142857143</v>
      </c>
      <c r="E21">
        <v>146.19</v>
      </c>
      <c r="F21">
        <v>146.19999999999999</v>
      </c>
      <c r="G21">
        <v>146.19999999999999</v>
      </c>
    </row>
    <row r="22" spans="1:7" x14ac:dyDescent="0.35">
      <c r="A22">
        <v>41</v>
      </c>
      <c r="B22">
        <v>146.19</v>
      </c>
      <c r="C22">
        <v>146.19</v>
      </c>
      <c r="D22">
        <v>73.710000000000008</v>
      </c>
      <c r="E22">
        <v>146.19</v>
      </c>
      <c r="F22">
        <v>146.19999999999999</v>
      </c>
      <c r="G22">
        <v>146.19999999999999</v>
      </c>
    </row>
    <row r="23" spans="1:7" x14ac:dyDescent="0.35">
      <c r="A23">
        <v>42</v>
      </c>
      <c r="B23">
        <v>146.19</v>
      </c>
      <c r="C23">
        <v>146.19</v>
      </c>
      <c r="D23">
        <v>146.19</v>
      </c>
      <c r="E23">
        <v>146.19</v>
      </c>
      <c r="F23">
        <v>146.19999999999999</v>
      </c>
      <c r="G23">
        <v>146.19999999999999</v>
      </c>
    </row>
    <row r="24" spans="1:7" x14ac:dyDescent="0.35">
      <c r="A24">
        <v>43</v>
      </c>
      <c r="B24">
        <v>146.19</v>
      </c>
      <c r="C24">
        <v>146.19</v>
      </c>
      <c r="D24">
        <v>123.957776</v>
      </c>
      <c r="E24">
        <v>146.19</v>
      </c>
      <c r="F24">
        <v>146.19999999999999</v>
      </c>
      <c r="G24">
        <v>146.19999999999999</v>
      </c>
    </row>
    <row r="25" spans="1:7" x14ac:dyDescent="0.35">
      <c r="A25">
        <v>54</v>
      </c>
      <c r="B25">
        <v>146.19</v>
      </c>
      <c r="C25">
        <v>10</v>
      </c>
      <c r="D25">
        <v>1.142857142857143</v>
      </c>
      <c r="E25">
        <v>10</v>
      </c>
      <c r="F25">
        <v>146.19999999999999</v>
      </c>
      <c r="G25">
        <v>146.19999999999999</v>
      </c>
    </row>
    <row r="26" spans="1:7" x14ac:dyDescent="0.35">
      <c r="A26">
        <v>55</v>
      </c>
      <c r="B26">
        <v>146.19</v>
      </c>
      <c r="C26">
        <v>10</v>
      </c>
      <c r="D26">
        <v>0.1428571428571429</v>
      </c>
      <c r="E26">
        <v>1.7234734561240019</v>
      </c>
      <c r="F26">
        <v>146.19999999999999</v>
      </c>
      <c r="G26">
        <v>146.19999999999999</v>
      </c>
    </row>
    <row r="27" spans="1:7" x14ac:dyDescent="0.35">
      <c r="A27">
        <v>56</v>
      </c>
      <c r="B27">
        <v>146.19</v>
      </c>
      <c r="C27">
        <v>10</v>
      </c>
      <c r="D27">
        <v>0.1428571428571429</v>
      </c>
      <c r="E27">
        <v>0.72347345612400249</v>
      </c>
      <c r="F27">
        <v>146.19999999999999</v>
      </c>
      <c r="G27">
        <v>146.19999999999999</v>
      </c>
    </row>
    <row r="28" spans="1:7" x14ac:dyDescent="0.35">
      <c r="A28">
        <v>57</v>
      </c>
      <c r="B28">
        <v>146.19</v>
      </c>
      <c r="C28">
        <v>10</v>
      </c>
      <c r="D28">
        <v>0.1428571428571429</v>
      </c>
      <c r="E28">
        <v>0.72347345612400249</v>
      </c>
      <c r="F28">
        <v>146.19999999999999</v>
      </c>
      <c r="G28">
        <v>146.19999999999999</v>
      </c>
    </row>
    <row r="29" spans="1:7" x14ac:dyDescent="0.35">
      <c r="A29">
        <v>71</v>
      </c>
      <c r="B29">
        <v>146.19</v>
      </c>
      <c r="C29">
        <v>10</v>
      </c>
      <c r="D29">
        <v>0.1428571428571429</v>
      </c>
      <c r="E29">
        <v>1.7234734561240019</v>
      </c>
      <c r="F29">
        <v>146.19999999999999</v>
      </c>
      <c r="G29">
        <v>148.19999999999999</v>
      </c>
    </row>
    <row r="30" spans="1:7" x14ac:dyDescent="0.35">
      <c r="A30">
        <v>72</v>
      </c>
      <c r="B30">
        <v>146.19</v>
      </c>
      <c r="C30">
        <v>17.63</v>
      </c>
      <c r="D30">
        <v>1.142857142857143</v>
      </c>
      <c r="E30">
        <v>17.63</v>
      </c>
      <c r="F30">
        <v>146.19999999999999</v>
      </c>
      <c r="G30">
        <v>148.19999999999999</v>
      </c>
    </row>
    <row r="31" spans="1:7" x14ac:dyDescent="0.35">
      <c r="A31">
        <v>77</v>
      </c>
      <c r="B31">
        <v>146.19</v>
      </c>
      <c r="C31">
        <v>146.19</v>
      </c>
      <c r="D31">
        <v>73.710000000000008</v>
      </c>
      <c r="E31">
        <v>146.19</v>
      </c>
      <c r="F31">
        <v>146.19999999999999</v>
      </c>
      <c r="G31">
        <v>146.19999999999999</v>
      </c>
    </row>
    <row r="32" spans="1:7" x14ac:dyDescent="0.35">
      <c r="A32">
        <v>78</v>
      </c>
      <c r="B32">
        <v>146.19</v>
      </c>
      <c r="C32">
        <v>146.19</v>
      </c>
      <c r="D32">
        <v>73.710000000000008</v>
      </c>
      <c r="E32">
        <v>146.19</v>
      </c>
      <c r="F32">
        <v>146.19999999999999</v>
      </c>
      <c r="G32">
        <v>148.19999999999999</v>
      </c>
    </row>
    <row r="33" spans="1:7" x14ac:dyDescent="0.35">
      <c r="A33">
        <v>81</v>
      </c>
      <c r="B33">
        <v>146.19</v>
      </c>
      <c r="C33">
        <v>146.19</v>
      </c>
      <c r="D33">
        <v>73.710000000000008</v>
      </c>
      <c r="E33">
        <v>146.19</v>
      </c>
      <c r="F33">
        <v>146.19999999999999</v>
      </c>
      <c r="G33">
        <v>148.19999999999999</v>
      </c>
    </row>
    <row r="34" spans="1:7" x14ac:dyDescent="0.35">
      <c r="A34">
        <v>24</v>
      </c>
      <c r="B34">
        <v>123.957776</v>
      </c>
      <c r="C34">
        <v>146.19</v>
      </c>
      <c r="D34">
        <v>73.710000000000008</v>
      </c>
      <c r="E34">
        <v>146.19</v>
      </c>
      <c r="F34">
        <v>123.967776</v>
      </c>
      <c r="G34">
        <v>146.19999999999999</v>
      </c>
    </row>
    <row r="35" spans="1:7" x14ac:dyDescent="0.35">
      <c r="A35">
        <v>25</v>
      </c>
      <c r="B35">
        <v>123.957776</v>
      </c>
      <c r="C35">
        <v>146.19</v>
      </c>
      <c r="D35">
        <v>73.710000000000008</v>
      </c>
      <c r="E35">
        <v>146.19</v>
      </c>
      <c r="F35">
        <v>123.967776</v>
      </c>
      <c r="G35">
        <v>123.967776</v>
      </c>
    </row>
    <row r="36" spans="1:7" x14ac:dyDescent="0.35">
      <c r="A36">
        <v>26</v>
      </c>
      <c r="B36">
        <v>123.957776</v>
      </c>
      <c r="C36">
        <v>146.19</v>
      </c>
      <c r="D36">
        <v>73.710000000000008</v>
      </c>
      <c r="E36">
        <v>146.19</v>
      </c>
      <c r="F36">
        <v>123.967776</v>
      </c>
      <c r="G36">
        <v>146.19999999999999</v>
      </c>
    </row>
    <row r="37" spans="1:7" x14ac:dyDescent="0.35">
      <c r="A37">
        <v>27</v>
      </c>
      <c r="B37">
        <v>123.957776</v>
      </c>
      <c r="C37">
        <v>146.19</v>
      </c>
      <c r="D37">
        <v>73.710000000000008</v>
      </c>
      <c r="E37">
        <v>146.19</v>
      </c>
      <c r="F37">
        <v>123.967776</v>
      </c>
      <c r="G37">
        <v>146.19999999999999</v>
      </c>
    </row>
    <row r="38" spans="1:7" x14ac:dyDescent="0.35">
      <c r="A38">
        <v>22</v>
      </c>
      <c r="B38">
        <v>146.19</v>
      </c>
      <c r="C38">
        <v>8</v>
      </c>
      <c r="D38">
        <v>0.1428571428571429</v>
      </c>
      <c r="E38">
        <v>0.1428571428571429</v>
      </c>
      <c r="F38">
        <v>73.720000000000013</v>
      </c>
      <c r="G38">
        <v>146.19999999999999</v>
      </c>
    </row>
    <row r="39" spans="1:7" x14ac:dyDescent="0.35">
      <c r="A39">
        <v>44</v>
      </c>
      <c r="B39">
        <v>146.19</v>
      </c>
      <c r="C39">
        <v>123.957776</v>
      </c>
      <c r="D39">
        <v>123.957776</v>
      </c>
      <c r="E39">
        <v>123.957776</v>
      </c>
      <c r="F39">
        <v>73.720000000000013</v>
      </c>
      <c r="G39">
        <v>146.19999999999999</v>
      </c>
    </row>
    <row r="40" spans="1:7" x14ac:dyDescent="0.35">
      <c r="A40">
        <v>45</v>
      </c>
      <c r="B40">
        <v>146.19</v>
      </c>
      <c r="C40">
        <v>146.19</v>
      </c>
      <c r="D40">
        <v>123.957776</v>
      </c>
      <c r="E40">
        <v>146.19</v>
      </c>
      <c r="F40">
        <v>73.720000000000013</v>
      </c>
      <c r="G40">
        <v>146.19999999999999</v>
      </c>
    </row>
    <row r="41" spans="1:7" x14ac:dyDescent="0.35">
      <c r="A41">
        <v>46</v>
      </c>
      <c r="B41">
        <v>146.19</v>
      </c>
      <c r="C41">
        <v>146.19</v>
      </c>
      <c r="D41">
        <v>123.957776</v>
      </c>
      <c r="E41">
        <v>146.19</v>
      </c>
      <c r="F41">
        <v>73.720000000000013</v>
      </c>
      <c r="G41">
        <v>146.19999999999999</v>
      </c>
    </row>
    <row r="42" spans="1:7" x14ac:dyDescent="0.35">
      <c r="A42">
        <v>47</v>
      </c>
      <c r="B42">
        <v>146.19</v>
      </c>
      <c r="C42">
        <v>146.19</v>
      </c>
      <c r="D42">
        <v>146.19</v>
      </c>
      <c r="E42">
        <v>146.19</v>
      </c>
      <c r="F42">
        <v>73.720000000000013</v>
      </c>
      <c r="G42">
        <v>146.19999999999999</v>
      </c>
    </row>
    <row r="43" spans="1:7" x14ac:dyDescent="0.35">
      <c r="A43">
        <v>48</v>
      </c>
      <c r="B43">
        <v>146.19</v>
      </c>
      <c r="C43">
        <v>146.19</v>
      </c>
      <c r="D43">
        <v>146.19</v>
      </c>
      <c r="E43">
        <v>146.19</v>
      </c>
      <c r="F43">
        <v>73.720000000000013</v>
      </c>
      <c r="G43">
        <v>146.19999999999999</v>
      </c>
    </row>
    <row r="44" spans="1:7" x14ac:dyDescent="0.35">
      <c r="A44">
        <v>49</v>
      </c>
      <c r="B44">
        <v>146.19</v>
      </c>
      <c r="C44">
        <v>146.19</v>
      </c>
      <c r="D44">
        <v>146.19</v>
      </c>
      <c r="E44">
        <v>146.19</v>
      </c>
      <c r="F44">
        <v>73.720000000000013</v>
      </c>
      <c r="G44">
        <v>146.19999999999999</v>
      </c>
    </row>
    <row r="45" spans="1:7" x14ac:dyDescent="0.35">
      <c r="A45">
        <v>50</v>
      </c>
      <c r="B45">
        <v>123.957776</v>
      </c>
      <c r="C45">
        <v>146.19</v>
      </c>
      <c r="D45">
        <v>73.710000000000008</v>
      </c>
      <c r="E45">
        <v>146.19</v>
      </c>
      <c r="F45">
        <v>73.720000000000013</v>
      </c>
      <c r="G45">
        <v>146.19999999999999</v>
      </c>
    </row>
    <row r="46" spans="1:7" x14ac:dyDescent="0.35">
      <c r="A46">
        <v>51</v>
      </c>
      <c r="B46">
        <v>146.19</v>
      </c>
      <c r="C46">
        <v>146.19</v>
      </c>
      <c r="D46">
        <v>146.19</v>
      </c>
      <c r="E46">
        <v>146.19</v>
      </c>
      <c r="F46">
        <v>73.720000000000013</v>
      </c>
      <c r="G46">
        <v>146.19999999999999</v>
      </c>
    </row>
    <row r="47" spans="1:7" x14ac:dyDescent="0.35">
      <c r="A47">
        <v>52</v>
      </c>
      <c r="B47">
        <v>146.19</v>
      </c>
      <c r="C47">
        <v>146.19</v>
      </c>
      <c r="D47">
        <v>146.19</v>
      </c>
      <c r="E47">
        <v>146.19</v>
      </c>
      <c r="F47">
        <v>73.720000000000013</v>
      </c>
      <c r="G47">
        <v>146.19999999999999</v>
      </c>
    </row>
    <row r="48" spans="1:7" x14ac:dyDescent="0.35">
      <c r="A48">
        <v>53</v>
      </c>
      <c r="B48">
        <v>146.19</v>
      </c>
      <c r="C48">
        <v>146.19</v>
      </c>
      <c r="D48">
        <v>146.19</v>
      </c>
      <c r="E48">
        <v>146.19</v>
      </c>
      <c r="F48">
        <v>73.720000000000013</v>
      </c>
      <c r="G48">
        <v>146.19999999999999</v>
      </c>
    </row>
    <row r="49" spans="1:7" x14ac:dyDescent="0.35">
      <c r="A49">
        <v>73</v>
      </c>
      <c r="B49">
        <v>146.19</v>
      </c>
      <c r="C49">
        <v>146.19</v>
      </c>
      <c r="D49">
        <v>146.19</v>
      </c>
      <c r="E49">
        <v>146.19</v>
      </c>
      <c r="F49">
        <v>73.720000000000013</v>
      </c>
      <c r="G49">
        <v>146.19999999999999</v>
      </c>
    </row>
    <row r="50" spans="1:7" x14ac:dyDescent="0.35">
      <c r="A50">
        <v>74</v>
      </c>
      <c r="B50">
        <v>146.19</v>
      </c>
      <c r="C50">
        <v>146.19</v>
      </c>
      <c r="D50">
        <v>146.19</v>
      </c>
      <c r="E50">
        <v>146.19</v>
      </c>
      <c r="F50">
        <v>73.720000000000013</v>
      </c>
      <c r="G50">
        <v>146.19999999999999</v>
      </c>
    </row>
    <row r="51" spans="1:7" x14ac:dyDescent="0.35">
      <c r="A51">
        <v>75</v>
      </c>
      <c r="B51">
        <v>146.19</v>
      </c>
      <c r="C51">
        <v>146.19</v>
      </c>
      <c r="D51">
        <v>146.19</v>
      </c>
      <c r="E51">
        <v>146.19</v>
      </c>
      <c r="F51">
        <v>73.720000000000013</v>
      </c>
      <c r="G51">
        <v>146.19999999999999</v>
      </c>
    </row>
    <row r="52" spans="1:7" x14ac:dyDescent="0.35">
      <c r="A52">
        <v>76</v>
      </c>
      <c r="B52">
        <v>146.19</v>
      </c>
      <c r="C52">
        <v>146.19</v>
      </c>
      <c r="D52">
        <v>73.710000000000008</v>
      </c>
      <c r="E52">
        <v>146.19</v>
      </c>
      <c r="F52">
        <v>73.720000000000013</v>
      </c>
      <c r="G52">
        <v>146.19999999999999</v>
      </c>
    </row>
    <row r="53" spans="1:7" x14ac:dyDescent="0.35">
      <c r="A53">
        <v>82</v>
      </c>
      <c r="B53">
        <v>146.19</v>
      </c>
      <c r="C53">
        <v>146.19</v>
      </c>
      <c r="D53">
        <v>73.710000000000008</v>
      </c>
      <c r="E53">
        <v>146.19</v>
      </c>
      <c r="F53">
        <v>73.720000000000013</v>
      </c>
      <c r="G53">
        <v>146.19999999999999</v>
      </c>
    </row>
    <row r="54" spans="1:7" x14ac:dyDescent="0.35">
      <c r="A54">
        <v>89</v>
      </c>
      <c r="B54">
        <v>73.710000000000008</v>
      </c>
      <c r="C54">
        <v>146.19</v>
      </c>
      <c r="D54">
        <v>146.19</v>
      </c>
      <c r="E54">
        <v>146.19</v>
      </c>
      <c r="F54">
        <v>73.710000000000008</v>
      </c>
      <c r="G54">
        <v>146.19</v>
      </c>
    </row>
    <row r="55" spans="1:7" x14ac:dyDescent="0.35">
      <c r="A55">
        <v>90</v>
      </c>
      <c r="B55">
        <v>73.710000000000008</v>
      </c>
      <c r="C55">
        <v>146.19</v>
      </c>
      <c r="D55">
        <v>146.19</v>
      </c>
      <c r="E55">
        <v>146.19</v>
      </c>
      <c r="F55">
        <v>73.710000000000008</v>
      </c>
      <c r="G55">
        <v>146.19</v>
      </c>
    </row>
    <row r="56" spans="1:7" x14ac:dyDescent="0.35">
      <c r="A56">
        <v>91</v>
      </c>
      <c r="B56">
        <v>73.710000000000008</v>
      </c>
      <c r="C56">
        <v>146.19</v>
      </c>
      <c r="D56">
        <v>146.19</v>
      </c>
      <c r="E56">
        <v>146.19</v>
      </c>
      <c r="F56">
        <v>73.710000000000008</v>
      </c>
      <c r="G56">
        <v>146.19</v>
      </c>
    </row>
    <row r="57" spans="1:7" x14ac:dyDescent="0.35">
      <c r="A57">
        <v>92</v>
      </c>
      <c r="B57">
        <v>73.710000000000008</v>
      </c>
      <c r="C57">
        <v>146.19</v>
      </c>
      <c r="D57">
        <v>146.19</v>
      </c>
      <c r="E57">
        <v>146.19</v>
      </c>
      <c r="F57">
        <v>73.710000000000008</v>
      </c>
      <c r="G57">
        <v>146.19</v>
      </c>
    </row>
    <row r="58" spans="1:7" x14ac:dyDescent="0.35">
      <c r="A58">
        <v>93</v>
      </c>
      <c r="B58">
        <v>73.710000000000008</v>
      </c>
      <c r="C58">
        <v>17.63</v>
      </c>
      <c r="D58">
        <v>1.142857142857143</v>
      </c>
      <c r="E58">
        <v>17.63</v>
      </c>
      <c r="F58">
        <v>73.710000000000008</v>
      </c>
      <c r="G58">
        <v>146.19</v>
      </c>
    </row>
    <row r="59" spans="1:7" x14ac:dyDescent="0.35">
      <c r="A59">
        <v>1</v>
      </c>
      <c r="B59">
        <v>12</v>
      </c>
      <c r="C59">
        <v>148.19</v>
      </c>
      <c r="D59">
        <v>146.19</v>
      </c>
      <c r="E59">
        <v>148.19</v>
      </c>
      <c r="F59">
        <v>12.01</v>
      </c>
      <c r="G59">
        <v>12.549986462277911</v>
      </c>
    </row>
    <row r="60" spans="1:7" x14ac:dyDescent="0.35">
      <c r="A60">
        <v>2</v>
      </c>
      <c r="B60">
        <v>12</v>
      </c>
      <c r="C60">
        <v>146.19</v>
      </c>
      <c r="D60">
        <v>73.710000000000008</v>
      </c>
      <c r="E60">
        <v>146.19</v>
      </c>
      <c r="F60">
        <v>12.01</v>
      </c>
      <c r="G60">
        <v>12.549986462277911</v>
      </c>
    </row>
    <row r="61" spans="1:7" x14ac:dyDescent="0.35">
      <c r="A61">
        <v>3</v>
      </c>
      <c r="B61">
        <v>12</v>
      </c>
      <c r="C61">
        <v>146.19</v>
      </c>
      <c r="D61">
        <v>73.710000000000008</v>
      </c>
      <c r="E61">
        <v>146.19</v>
      </c>
      <c r="F61">
        <v>12.01</v>
      </c>
      <c r="G61">
        <v>12.549986462277911</v>
      </c>
    </row>
    <row r="62" spans="1:7" x14ac:dyDescent="0.35">
      <c r="A62">
        <v>7</v>
      </c>
      <c r="B62">
        <v>12</v>
      </c>
      <c r="C62">
        <v>146.19</v>
      </c>
      <c r="D62">
        <v>73.710000000000008</v>
      </c>
      <c r="E62">
        <v>146.19</v>
      </c>
      <c r="F62">
        <v>12.01</v>
      </c>
      <c r="G62">
        <v>12.549986462277911</v>
      </c>
    </row>
    <row r="63" spans="1:7" x14ac:dyDescent="0.35">
      <c r="A63">
        <v>8</v>
      </c>
      <c r="B63">
        <v>12</v>
      </c>
      <c r="C63">
        <v>146.19</v>
      </c>
      <c r="D63">
        <v>73.710000000000008</v>
      </c>
      <c r="E63">
        <v>146.19</v>
      </c>
      <c r="F63">
        <v>12.01</v>
      </c>
      <c r="G63">
        <v>12.549986462277911</v>
      </c>
    </row>
    <row r="64" spans="1:7" x14ac:dyDescent="0.35">
      <c r="A64">
        <v>9</v>
      </c>
      <c r="B64">
        <v>12</v>
      </c>
      <c r="C64">
        <v>146.19</v>
      </c>
      <c r="D64">
        <v>146.19</v>
      </c>
      <c r="E64">
        <v>146.19</v>
      </c>
      <c r="F64">
        <v>12.01</v>
      </c>
      <c r="G64">
        <v>12.549986462277911</v>
      </c>
    </row>
    <row r="65" spans="1:7" x14ac:dyDescent="0.35">
      <c r="A65">
        <v>4</v>
      </c>
      <c r="B65">
        <v>10</v>
      </c>
      <c r="C65">
        <v>172.4568052930056</v>
      </c>
      <c r="D65">
        <v>148.19</v>
      </c>
      <c r="E65">
        <v>172.4568052930056</v>
      </c>
      <c r="F65">
        <v>10.01</v>
      </c>
      <c r="G65">
        <v>12.01</v>
      </c>
    </row>
    <row r="66" spans="1:7" x14ac:dyDescent="0.35">
      <c r="A66">
        <v>5</v>
      </c>
      <c r="B66">
        <v>10</v>
      </c>
      <c r="C66">
        <v>148.19</v>
      </c>
      <c r="D66">
        <v>146.19</v>
      </c>
      <c r="E66">
        <v>148.19</v>
      </c>
      <c r="F66">
        <v>10.01</v>
      </c>
      <c r="G66">
        <v>10.01</v>
      </c>
    </row>
    <row r="67" spans="1:7" x14ac:dyDescent="0.35">
      <c r="A67">
        <v>6</v>
      </c>
      <c r="B67">
        <v>10</v>
      </c>
      <c r="C67">
        <v>146.19</v>
      </c>
      <c r="D67">
        <v>73.710000000000008</v>
      </c>
      <c r="E67">
        <v>146.19</v>
      </c>
      <c r="F67">
        <v>10.01</v>
      </c>
      <c r="G67">
        <v>10.01</v>
      </c>
    </row>
    <row r="68" spans="1:7" x14ac:dyDescent="0.35">
      <c r="A68">
        <v>21</v>
      </c>
      <c r="B68">
        <v>146.19</v>
      </c>
      <c r="C68">
        <v>8</v>
      </c>
      <c r="D68">
        <v>0.1428571428571429</v>
      </c>
      <c r="E68">
        <v>0.1428571428571429</v>
      </c>
      <c r="F68">
        <v>1.172857142857143</v>
      </c>
      <c r="G68">
        <v>146.19999999999999</v>
      </c>
    </row>
    <row r="69" spans="1:7" x14ac:dyDescent="0.35">
      <c r="A69">
        <v>34</v>
      </c>
      <c r="B69">
        <v>10</v>
      </c>
      <c r="C69">
        <v>117.4358191168394</v>
      </c>
      <c r="D69">
        <v>1.142857142857143</v>
      </c>
      <c r="E69">
        <v>1.7234734561240019</v>
      </c>
      <c r="F69">
        <v>1.152857142857143</v>
      </c>
      <c r="G69">
        <v>10.01</v>
      </c>
    </row>
    <row r="70" spans="1:7" x14ac:dyDescent="0.35">
      <c r="A70">
        <v>58</v>
      </c>
      <c r="B70">
        <v>17.63</v>
      </c>
      <c r="C70">
        <v>172.4568052930056</v>
      </c>
      <c r="D70">
        <v>148.19</v>
      </c>
      <c r="E70">
        <v>172.4568052930056</v>
      </c>
      <c r="F70">
        <v>1.152857142857143</v>
      </c>
      <c r="G70">
        <v>17.64</v>
      </c>
    </row>
    <row r="71" spans="1:7" x14ac:dyDescent="0.35">
      <c r="A71">
        <v>116</v>
      </c>
      <c r="B71">
        <v>10</v>
      </c>
      <c r="C71">
        <v>10</v>
      </c>
      <c r="D71">
        <v>0.1428571428571429</v>
      </c>
      <c r="E71">
        <v>1.7234734561240019</v>
      </c>
      <c r="F71">
        <v>1.152857142857143</v>
      </c>
      <c r="G71">
        <v>1.7334734561240019</v>
      </c>
    </row>
    <row r="72" spans="1:7" x14ac:dyDescent="0.35">
      <c r="A72">
        <v>117</v>
      </c>
      <c r="B72">
        <v>10</v>
      </c>
      <c r="C72">
        <v>10</v>
      </c>
      <c r="D72">
        <v>0.1428571428571429</v>
      </c>
      <c r="E72">
        <v>0.72347345612400227</v>
      </c>
      <c r="F72">
        <v>1.152857142857143</v>
      </c>
      <c r="G72">
        <v>1.7334734561240019</v>
      </c>
    </row>
    <row r="73" spans="1:7" x14ac:dyDescent="0.35">
      <c r="A73">
        <v>118</v>
      </c>
      <c r="B73">
        <v>7.9582080173640266</v>
      </c>
      <c r="C73">
        <v>0</v>
      </c>
      <c r="D73">
        <v>0.1428571428571429</v>
      </c>
      <c r="E73">
        <v>0.1428571428571429</v>
      </c>
      <c r="F73">
        <v>1.152857142857143</v>
      </c>
      <c r="G73">
        <v>1.7334734561240019</v>
      </c>
    </row>
    <row r="74" spans="1:7" x14ac:dyDescent="0.35">
      <c r="A74">
        <v>119</v>
      </c>
      <c r="B74">
        <v>10</v>
      </c>
      <c r="C74">
        <v>10</v>
      </c>
      <c r="D74">
        <v>0.1428571428571429</v>
      </c>
      <c r="E74">
        <v>0.72347345612400227</v>
      </c>
      <c r="F74">
        <v>1.152857142857143</v>
      </c>
      <c r="G74">
        <v>1.7334734561240019</v>
      </c>
    </row>
    <row r="75" spans="1:7" x14ac:dyDescent="0.35">
      <c r="A75">
        <v>16</v>
      </c>
      <c r="B75">
        <v>8</v>
      </c>
      <c r="C75">
        <v>0</v>
      </c>
      <c r="D75">
        <v>0.1428571428571429</v>
      </c>
      <c r="E75">
        <v>0.1428571428571429</v>
      </c>
      <c r="F75">
        <v>1.142857142857143</v>
      </c>
      <c r="G75">
        <v>1.7234734561240019</v>
      </c>
    </row>
    <row r="76" spans="1:7" x14ac:dyDescent="0.35">
      <c r="A76">
        <v>40</v>
      </c>
      <c r="B76">
        <v>17.63</v>
      </c>
      <c r="C76">
        <v>172.4568052930056</v>
      </c>
      <c r="D76">
        <v>148.19</v>
      </c>
      <c r="E76">
        <v>172.4568052930056</v>
      </c>
      <c r="F76">
        <v>1.142857142857143</v>
      </c>
      <c r="G76">
        <v>17.63</v>
      </c>
    </row>
    <row r="77" spans="1:7" x14ac:dyDescent="0.35">
      <c r="A77">
        <v>59</v>
      </c>
      <c r="B77">
        <v>17.63</v>
      </c>
      <c r="C77">
        <v>172.4568052930056</v>
      </c>
      <c r="D77">
        <v>148.19</v>
      </c>
      <c r="E77">
        <v>172.4568052930056</v>
      </c>
      <c r="F77">
        <v>1.142857142857143</v>
      </c>
      <c r="G77">
        <v>1.7234734561240019</v>
      </c>
    </row>
    <row r="78" spans="1:7" x14ac:dyDescent="0.35">
      <c r="A78">
        <v>63</v>
      </c>
      <c r="B78">
        <v>17.63</v>
      </c>
      <c r="C78">
        <v>148.19</v>
      </c>
      <c r="D78">
        <v>146.19</v>
      </c>
      <c r="E78">
        <v>148.19</v>
      </c>
      <c r="F78">
        <v>1.142857142857143</v>
      </c>
      <c r="G78">
        <v>1.7234734561240019</v>
      </c>
    </row>
    <row r="79" spans="1:7" x14ac:dyDescent="0.35">
      <c r="A79">
        <v>64</v>
      </c>
      <c r="B79">
        <v>146.19</v>
      </c>
      <c r="C79">
        <v>10</v>
      </c>
      <c r="D79">
        <v>0.1428571428571429</v>
      </c>
      <c r="E79">
        <v>0.72347345612400249</v>
      </c>
      <c r="F79">
        <v>1.142857142857143</v>
      </c>
      <c r="G79">
        <v>146.19</v>
      </c>
    </row>
    <row r="80" spans="1:7" x14ac:dyDescent="0.35">
      <c r="A80">
        <v>83</v>
      </c>
      <c r="B80">
        <v>59.17209011698646</v>
      </c>
      <c r="C80">
        <v>17.63</v>
      </c>
      <c r="D80">
        <v>1.142857142857143</v>
      </c>
      <c r="E80">
        <v>1.7234734561240019</v>
      </c>
      <c r="F80">
        <v>1.142857142857143</v>
      </c>
      <c r="G80">
        <v>1.7234734561240019</v>
      </c>
    </row>
    <row r="81" spans="1:7" x14ac:dyDescent="0.35">
      <c r="A81">
        <v>88</v>
      </c>
      <c r="B81">
        <v>59.17209011698646</v>
      </c>
      <c r="C81">
        <v>146.19</v>
      </c>
      <c r="D81">
        <v>1.142857142857143</v>
      </c>
      <c r="E81">
        <v>146.19</v>
      </c>
      <c r="F81">
        <v>1.142857142857143</v>
      </c>
      <c r="G81">
        <v>1.7234734561240019</v>
      </c>
    </row>
    <row r="82" spans="1:7" x14ac:dyDescent="0.35">
      <c r="A82">
        <v>94</v>
      </c>
      <c r="B82">
        <v>12</v>
      </c>
      <c r="C82">
        <v>148.19</v>
      </c>
      <c r="D82">
        <v>146.19</v>
      </c>
      <c r="E82">
        <v>148.19</v>
      </c>
      <c r="F82">
        <v>1.142857142857143</v>
      </c>
      <c r="G82">
        <v>17.63</v>
      </c>
    </row>
    <row r="83" spans="1:7" x14ac:dyDescent="0.35">
      <c r="A83">
        <v>95</v>
      </c>
      <c r="B83">
        <v>10</v>
      </c>
      <c r="C83">
        <v>146.19</v>
      </c>
      <c r="D83">
        <v>73.710000000000008</v>
      </c>
      <c r="E83">
        <v>146.19</v>
      </c>
      <c r="F83">
        <v>1.142857142857143</v>
      </c>
      <c r="G83">
        <v>10</v>
      </c>
    </row>
    <row r="84" spans="1:7" x14ac:dyDescent="0.35">
      <c r="A84">
        <v>96</v>
      </c>
      <c r="B84">
        <v>10</v>
      </c>
      <c r="C84">
        <v>146.19</v>
      </c>
      <c r="D84">
        <v>73.710000000000008</v>
      </c>
      <c r="E84">
        <v>146.19</v>
      </c>
      <c r="F84">
        <v>1.142857142857143</v>
      </c>
      <c r="G84">
        <v>1.7234734561240019</v>
      </c>
    </row>
    <row r="85" spans="1:7" x14ac:dyDescent="0.35">
      <c r="A85">
        <v>97</v>
      </c>
      <c r="B85">
        <v>10</v>
      </c>
      <c r="C85">
        <v>146.19</v>
      </c>
      <c r="D85">
        <v>73.710000000000008</v>
      </c>
      <c r="E85">
        <v>146.19</v>
      </c>
      <c r="F85">
        <v>1.142857142857143</v>
      </c>
      <c r="G85">
        <v>10</v>
      </c>
    </row>
    <row r="86" spans="1:7" x14ac:dyDescent="0.35">
      <c r="A86">
        <v>98</v>
      </c>
      <c r="B86">
        <v>12</v>
      </c>
      <c r="C86">
        <v>172.4568052930056</v>
      </c>
      <c r="D86">
        <v>148.19</v>
      </c>
      <c r="E86">
        <v>172.4568052930056</v>
      </c>
      <c r="F86">
        <v>1.142857142857143</v>
      </c>
      <c r="G86">
        <v>12</v>
      </c>
    </row>
    <row r="87" spans="1:7" x14ac:dyDescent="0.35">
      <c r="A87">
        <v>99</v>
      </c>
      <c r="B87">
        <v>10</v>
      </c>
      <c r="C87">
        <v>146.19</v>
      </c>
      <c r="D87">
        <v>73.710000000000008</v>
      </c>
      <c r="E87">
        <v>146.19</v>
      </c>
      <c r="F87">
        <v>1.142857142857143</v>
      </c>
      <c r="G87">
        <v>10</v>
      </c>
    </row>
    <row r="88" spans="1:7" x14ac:dyDescent="0.35">
      <c r="A88">
        <v>100</v>
      </c>
      <c r="B88">
        <v>10</v>
      </c>
      <c r="C88">
        <v>146.19</v>
      </c>
      <c r="D88">
        <v>73.710000000000008</v>
      </c>
      <c r="E88">
        <v>146.19</v>
      </c>
      <c r="F88">
        <v>1.142857142857143</v>
      </c>
      <c r="G88">
        <v>1.7234734561240019</v>
      </c>
    </row>
    <row r="89" spans="1:7" x14ac:dyDescent="0.35">
      <c r="A89">
        <v>120</v>
      </c>
      <c r="B89">
        <v>1</v>
      </c>
      <c r="C89">
        <v>10</v>
      </c>
      <c r="D89">
        <v>0.1428571428571429</v>
      </c>
      <c r="E89">
        <v>0.1428571428571429</v>
      </c>
      <c r="F89">
        <v>1.01</v>
      </c>
      <c r="G89">
        <v>1.01</v>
      </c>
    </row>
    <row r="90" spans="1:7" x14ac:dyDescent="0.35">
      <c r="A90">
        <v>127</v>
      </c>
      <c r="B90">
        <v>1</v>
      </c>
      <c r="C90">
        <v>10</v>
      </c>
      <c r="D90">
        <v>0.1428571428571429</v>
      </c>
      <c r="E90">
        <v>0.72347345612400227</v>
      </c>
      <c r="F90">
        <v>1.01</v>
      </c>
      <c r="G90">
        <v>1.01</v>
      </c>
    </row>
    <row r="91" spans="1:7" x14ac:dyDescent="0.35">
      <c r="A91">
        <v>128</v>
      </c>
      <c r="B91">
        <v>0.99999999999999989</v>
      </c>
      <c r="C91">
        <v>1</v>
      </c>
      <c r="D91">
        <v>1</v>
      </c>
      <c r="E91">
        <v>1</v>
      </c>
      <c r="F91">
        <v>1.01</v>
      </c>
      <c r="G91">
        <v>1.01</v>
      </c>
    </row>
    <row r="92" spans="1:7" x14ac:dyDescent="0.35">
      <c r="A92">
        <v>139</v>
      </c>
      <c r="B92">
        <v>1</v>
      </c>
      <c r="C92">
        <v>10</v>
      </c>
      <c r="D92">
        <v>0.14285714285714299</v>
      </c>
      <c r="E92">
        <v>1.7234734561240019</v>
      </c>
      <c r="F92">
        <v>1</v>
      </c>
      <c r="G92">
        <v>0.99999999999999989</v>
      </c>
    </row>
    <row r="93" spans="1:7" x14ac:dyDescent="0.35">
      <c r="A93">
        <v>141</v>
      </c>
      <c r="B93">
        <v>1</v>
      </c>
      <c r="C93">
        <v>10</v>
      </c>
      <c r="D93">
        <v>1.142857142857143</v>
      </c>
      <c r="E93">
        <v>1.7234734561240019</v>
      </c>
      <c r="F93">
        <v>1</v>
      </c>
      <c r="G93">
        <v>1</v>
      </c>
    </row>
    <row r="94" spans="1:7" x14ac:dyDescent="0.35">
      <c r="A94">
        <v>137</v>
      </c>
      <c r="B94">
        <v>0.99999999999999989</v>
      </c>
      <c r="C94">
        <v>0.72347345612400227</v>
      </c>
      <c r="D94">
        <v>0.72347345612400216</v>
      </c>
      <c r="E94">
        <v>0.72347345612400227</v>
      </c>
      <c r="F94">
        <v>0.99999999999999989</v>
      </c>
      <c r="G94">
        <v>0.99999999999999989</v>
      </c>
    </row>
    <row r="95" spans="1:7" x14ac:dyDescent="0.35">
      <c r="A95">
        <v>138</v>
      </c>
      <c r="B95">
        <v>0.99999999999999989</v>
      </c>
      <c r="C95">
        <v>0.72347345612400227</v>
      </c>
      <c r="D95">
        <v>0.72347345612400216</v>
      </c>
      <c r="E95">
        <v>0.72347345612400227</v>
      </c>
      <c r="F95">
        <v>0.99999999999999989</v>
      </c>
      <c r="G95">
        <v>1</v>
      </c>
    </row>
    <row r="96" spans="1:7" x14ac:dyDescent="0.35">
      <c r="A96">
        <v>140</v>
      </c>
      <c r="B96">
        <v>0.99999999999999989</v>
      </c>
      <c r="C96">
        <v>0.72347345612400227</v>
      </c>
      <c r="D96">
        <v>0.72347345612400216</v>
      </c>
      <c r="E96">
        <v>0.72347345612400227</v>
      </c>
      <c r="F96">
        <v>0.99999999999999989</v>
      </c>
      <c r="G96">
        <v>0.99999999999999989</v>
      </c>
    </row>
    <row r="97" spans="1:7" x14ac:dyDescent="0.35">
      <c r="A97">
        <v>121</v>
      </c>
      <c r="B97">
        <v>0.72347345612400216</v>
      </c>
      <c r="C97">
        <v>0.72347345612400227</v>
      </c>
      <c r="D97">
        <v>0.72347345612400216</v>
      </c>
      <c r="E97">
        <v>0.72347345612400227</v>
      </c>
      <c r="F97">
        <v>0.73347345612400217</v>
      </c>
      <c r="G97">
        <v>0.73347345612400239</v>
      </c>
    </row>
    <row r="98" spans="1:7" x14ac:dyDescent="0.35">
      <c r="A98">
        <v>122</v>
      </c>
      <c r="B98">
        <v>0.72347345612400216</v>
      </c>
      <c r="C98">
        <v>1</v>
      </c>
      <c r="D98">
        <v>0.72347345612400216</v>
      </c>
      <c r="E98">
        <v>1</v>
      </c>
      <c r="F98">
        <v>0.73347345612400217</v>
      </c>
      <c r="G98">
        <v>0.73347345612400239</v>
      </c>
    </row>
    <row r="99" spans="1:7" x14ac:dyDescent="0.35">
      <c r="A99">
        <v>123</v>
      </c>
      <c r="B99">
        <v>0.72347345612400216</v>
      </c>
      <c r="C99">
        <v>1</v>
      </c>
      <c r="D99">
        <v>1</v>
      </c>
      <c r="E99">
        <v>1</v>
      </c>
      <c r="F99">
        <v>0.73347345612400217</v>
      </c>
      <c r="G99">
        <v>0.73347345612400239</v>
      </c>
    </row>
    <row r="100" spans="1:7" x14ac:dyDescent="0.35">
      <c r="A100">
        <v>124</v>
      </c>
      <c r="B100">
        <v>0.72347345612400216</v>
      </c>
      <c r="C100">
        <v>1</v>
      </c>
      <c r="D100">
        <v>0.99999999999999989</v>
      </c>
      <c r="E100">
        <v>1</v>
      </c>
      <c r="F100">
        <v>0.73347345612400217</v>
      </c>
      <c r="G100">
        <v>0.73347345612400239</v>
      </c>
    </row>
    <row r="101" spans="1:7" x14ac:dyDescent="0.35">
      <c r="A101">
        <v>125</v>
      </c>
      <c r="B101">
        <v>0.72347345612400216</v>
      </c>
      <c r="C101">
        <v>0.1428571428571429</v>
      </c>
      <c r="D101">
        <v>0.1428571428571429</v>
      </c>
      <c r="E101">
        <v>0.1428571428571429</v>
      </c>
      <c r="F101">
        <v>0.73347345612400217</v>
      </c>
      <c r="G101">
        <v>0.73347345612400239</v>
      </c>
    </row>
    <row r="102" spans="1:7" x14ac:dyDescent="0.35">
      <c r="A102">
        <v>126</v>
      </c>
      <c r="B102">
        <v>0.72347345612400216</v>
      </c>
      <c r="C102">
        <v>0.1428571428571429</v>
      </c>
      <c r="D102">
        <v>0.1428571428571429</v>
      </c>
      <c r="E102">
        <v>0.1428571428571429</v>
      </c>
      <c r="F102">
        <v>0.73347345612400217</v>
      </c>
      <c r="G102">
        <v>1.01</v>
      </c>
    </row>
    <row r="103" spans="1:7" x14ac:dyDescent="0.35">
      <c r="A103">
        <v>114</v>
      </c>
      <c r="B103">
        <v>10</v>
      </c>
      <c r="C103">
        <v>10</v>
      </c>
      <c r="D103">
        <v>1.142857142857143</v>
      </c>
      <c r="E103">
        <v>10</v>
      </c>
      <c r="F103">
        <v>0.15285714285714291</v>
      </c>
      <c r="G103">
        <v>0.73347345612400239</v>
      </c>
    </row>
    <row r="104" spans="1:7" x14ac:dyDescent="0.35">
      <c r="A104">
        <v>115</v>
      </c>
      <c r="B104">
        <v>10</v>
      </c>
      <c r="C104">
        <v>10</v>
      </c>
      <c r="D104">
        <v>1.142857142857143</v>
      </c>
      <c r="E104">
        <v>1.7234734561240019</v>
      </c>
      <c r="F104">
        <v>0.15285714285714291</v>
      </c>
      <c r="G104">
        <v>1.7334734561240019</v>
      </c>
    </row>
    <row r="105" spans="1:7" x14ac:dyDescent="0.35">
      <c r="A105">
        <v>129</v>
      </c>
      <c r="B105">
        <v>0.1428571428571429</v>
      </c>
      <c r="C105">
        <v>0.1428571428571429</v>
      </c>
      <c r="D105">
        <v>0.1428571428571429</v>
      </c>
      <c r="E105">
        <v>0.1428571428571429</v>
      </c>
      <c r="F105">
        <v>0.15285714285714291</v>
      </c>
      <c r="G105">
        <v>0.15285714285714291</v>
      </c>
    </row>
    <row r="106" spans="1:7" x14ac:dyDescent="0.35">
      <c r="A106">
        <v>130</v>
      </c>
      <c r="B106">
        <v>0.1428571428571429</v>
      </c>
      <c r="C106">
        <v>0.1428571428571429</v>
      </c>
      <c r="D106">
        <v>0.1428571428571429</v>
      </c>
      <c r="E106">
        <v>0.1428571428571429</v>
      </c>
      <c r="F106">
        <v>0.15285714285714291</v>
      </c>
      <c r="G106">
        <v>0.15285714285714291</v>
      </c>
    </row>
    <row r="107" spans="1:7" x14ac:dyDescent="0.35">
      <c r="A107">
        <v>163</v>
      </c>
      <c r="B107">
        <v>0.1428571428571429</v>
      </c>
      <c r="C107">
        <v>0.1428571428571429</v>
      </c>
      <c r="D107">
        <v>0.1428571428571429</v>
      </c>
      <c r="E107">
        <v>0.1428571428571429</v>
      </c>
      <c r="F107">
        <v>0.15285714285714291</v>
      </c>
      <c r="G107">
        <v>0.15285714285714291</v>
      </c>
    </row>
    <row r="108" spans="1:7" x14ac:dyDescent="0.35">
      <c r="A108">
        <v>144</v>
      </c>
      <c r="B108">
        <v>0.72347345612400216</v>
      </c>
      <c r="C108">
        <v>0.1428571428571429</v>
      </c>
      <c r="D108">
        <v>0.1428571428571429</v>
      </c>
      <c r="E108">
        <v>0.1428571428571429</v>
      </c>
      <c r="F108">
        <v>0.14285714285714299</v>
      </c>
      <c r="G108">
        <v>0.72347345612400227</v>
      </c>
    </row>
    <row r="109" spans="1:7" x14ac:dyDescent="0.35">
      <c r="A109">
        <v>10</v>
      </c>
      <c r="B109">
        <v>8</v>
      </c>
      <c r="C109">
        <v>10</v>
      </c>
      <c r="D109">
        <v>0.1428571428571429</v>
      </c>
      <c r="E109">
        <v>0.72347345612400249</v>
      </c>
      <c r="F109">
        <v>0.1428571428571429</v>
      </c>
      <c r="G109">
        <v>1.7234734561240019</v>
      </c>
    </row>
    <row r="110" spans="1:7" x14ac:dyDescent="0.35">
      <c r="A110">
        <v>11</v>
      </c>
      <c r="B110">
        <v>8</v>
      </c>
      <c r="C110">
        <v>1</v>
      </c>
      <c r="D110">
        <v>0.1428571428571429</v>
      </c>
      <c r="E110">
        <v>0.1428571428571429</v>
      </c>
      <c r="F110">
        <v>0.1428571428571429</v>
      </c>
      <c r="G110">
        <v>0.72347345612400249</v>
      </c>
    </row>
    <row r="111" spans="1:7" x14ac:dyDescent="0.35">
      <c r="A111">
        <v>12</v>
      </c>
      <c r="B111">
        <v>8</v>
      </c>
      <c r="C111">
        <v>0.1428571428571429</v>
      </c>
      <c r="D111">
        <v>0.1428571428571429</v>
      </c>
      <c r="E111">
        <v>0.1428571428571429</v>
      </c>
      <c r="F111">
        <v>0.1428571428571429</v>
      </c>
      <c r="G111">
        <v>0.1428571428571429</v>
      </c>
    </row>
    <row r="112" spans="1:7" x14ac:dyDescent="0.35">
      <c r="A112">
        <v>13</v>
      </c>
      <c r="B112">
        <v>8</v>
      </c>
      <c r="C112">
        <v>0</v>
      </c>
      <c r="D112">
        <v>0.1428571428571429</v>
      </c>
      <c r="E112">
        <v>0.1428571428571429</v>
      </c>
      <c r="F112">
        <v>0.1428571428571429</v>
      </c>
      <c r="G112">
        <v>0.1428571428571429</v>
      </c>
    </row>
    <row r="113" spans="1:7" x14ac:dyDescent="0.35">
      <c r="A113">
        <v>14</v>
      </c>
      <c r="B113">
        <v>8</v>
      </c>
      <c r="C113">
        <v>0</v>
      </c>
      <c r="D113">
        <v>0.1428571428571429</v>
      </c>
      <c r="E113">
        <v>0.1428571428571429</v>
      </c>
      <c r="F113">
        <v>0.1428571428571429</v>
      </c>
      <c r="G113">
        <v>0.1428571428571429</v>
      </c>
    </row>
    <row r="114" spans="1:7" x14ac:dyDescent="0.35">
      <c r="A114">
        <v>15</v>
      </c>
      <c r="B114">
        <v>8</v>
      </c>
      <c r="C114">
        <v>0</v>
      </c>
      <c r="D114">
        <v>0.1428571428571429</v>
      </c>
      <c r="E114">
        <v>0.1428571428571429</v>
      </c>
      <c r="F114">
        <v>0.1428571428571429</v>
      </c>
      <c r="G114">
        <v>0.72347345612400249</v>
      </c>
    </row>
    <row r="115" spans="1:7" x14ac:dyDescent="0.35">
      <c r="A115">
        <v>35</v>
      </c>
      <c r="B115">
        <v>10</v>
      </c>
      <c r="C115">
        <v>117.4358191168394</v>
      </c>
      <c r="D115">
        <v>0.1428571428571429</v>
      </c>
      <c r="E115">
        <v>1.7234734561240019</v>
      </c>
      <c r="F115">
        <v>0.1428571428571429</v>
      </c>
      <c r="G115">
        <v>1.7234734561240019</v>
      </c>
    </row>
    <row r="116" spans="1:7" x14ac:dyDescent="0.35">
      <c r="A116">
        <v>36</v>
      </c>
      <c r="B116">
        <v>10</v>
      </c>
      <c r="C116">
        <v>117.4358191168394</v>
      </c>
      <c r="D116">
        <v>0.1428571428571429</v>
      </c>
      <c r="E116">
        <v>0.72347345612400227</v>
      </c>
      <c r="F116">
        <v>0.1428571428571429</v>
      </c>
      <c r="G116">
        <v>0.72347345612400249</v>
      </c>
    </row>
    <row r="117" spans="1:7" x14ac:dyDescent="0.35">
      <c r="A117">
        <v>37</v>
      </c>
      <c r="B117">
        <v>10</v>
      </c>
      <c r="C117">
        <v>117.4358191168394</v>
      </c>
      <c r="D117">
        <v>0.1428571428571429</v>
      </c>
      <c r="E117">
        <v>0.72347345612400227</v>
      </c>
      <c r="F117">
        <v>0.1428571428571429</v>
      </c>
      <c r="G117">
        <v>0.72347345612400249</v>
      </c>
    </row>
    <row r="118" spans="1:7" x14ac:dyDescent="0.35">
      <c r="A118">
        <v>38</v>
      </c>
      <c r="B118">
        <v>10</v>
      </c>
      <c r="C118">
        <v>117.4358191168394</v>
      </c>
      <c r="D118">
        <v>0.1428571428571429</v>
      </c>
      <c r="E118">
        <v>1.7234734561240019</v>
      </c>
      <c r="F118">
        <v>0.1428571428571429</v>
      </c>
      <c r="G118">
        <v>0.72347345612400249</v>
      </c>
    </row>
    <row r="119" spans="1:7" x14ac:dyDescent="0.35">
      <c r="A119">
        <v>39</v>
      </c>
      <c r="B119">
        <v>10</v>
      </c>
      <c r="C119">
        <v>117.4358191168394</v>
      </c>
      <c r="D119">
        <v>1.142857142857143</v>
      </c>
      <c r="E119">
        <v>1.7234734561240019</v>
      </c>
      <c r="F119">
        <v>0.1428571428571429</v>
      </c>
      <c r="G119">
        <v>1.7234734561240019</v>
      </c>
    </row>
    <row r="120" spans="1:7" x14ac:dyDescent="0.35">
      <c r="A120">
        <v>60</v>
      </c>
      <c r="B120">
        <v>17.63</v>
      </c>
      <c r="C120">
        <v>172.4568052930056</v>
      </c>
      <c r="D120">
        <v>148.19</v>
      </c>
      <c r="E120">
        <v>172.4568052930056</v>
      </c>
      <c r="F120">
        <v>0.1428571428571429</v>
      </c>
      <c r="G120">
        <v>1.7234734561240019</v>
      </c>
    </row>
    <row r="121" spans="1:7" x14ac:dyDescent="0.35">
      <c r="A121">
        <v>61</v>
      </c>
      <c r="B121">
        <v>17.63</v>
      </c>
      <c r="C121">
        <v>172.4568052930056</v>
      </c>
      <c r="D121">
        <v>148.19</v>
      </c>
      <c r="E121">
        <v>172.4568052930056</v>
      </c>
      <c r="F121">
        <v>0.1428571428571429</v>
      </c>
      <c r="G121">
        <v>1.7234734561240019</v>
      </c>
    </row>
    <row r="122" spans="1:7" x14ac:dyDescent="0.35">
      <c r="A122">
        <v>62</v>
      </c>
      <c r="B122">
        <v>17.63</v>
      </c>
      <c r="C122">
        <v>172.4568052930056</v>
      </c>
      <c r="D122">
        <v>148.19</v>
      </c>
      <c r="E122">
        <v>172.4568052930056</v>
      </c>
      <c r="F122">
        <v>0.1428571428571429</v>
      </c>
      <c r="G122">
        <v>1.7234734561240019</v>
      </c>
    </row>
    <row r="123" spans="1:7" x14ac:dyDescent="0.35">
      <c r="A123">
        <v>84</v>
      </c>
      <c r="B123">
        <v>59.17209011698646</v>
      </c>
      <c r="C123">
        <v>17.63</v>
      </c>
      <c r="D123">
        <v>0.1428571428571429</v>
      </c>
      <c r="E123">
        <v>1.7234734561240019</v>
      </c>
      <c r="F123">
        <v>0.1428571428571429</v>
      </c>
      <c r="G123">
        <v>1.7234734561240019</v>
      </c>
    </row>
    <row r="124" spans="1:7" x14ac:dyDescent="0.35">
      <c r="A124">
        <v>85</v>
      </c>
      <c r="B124">
        <v>59.17209011698646</v>
      </c>
      <c r="C124">
        <v>17.63</v>
      </c>
      <c r="D124">
        <v>0.1428571428571429</v>
      </c>
      <c r="E124">
        <v>1.7234734561240019</v>
      </c>
      <c r="F124">
        <v>0.1428571428571429</v>
      </c>
      <c r="G124">
        <v>0.72347345612400227</v>
      </c>
    </row>
    <row r="125" spans="1:7" x14ac:dyDescent="0.35">
      <c r="A125">
        <v>86</v>
      </c>
      <c r="B125">
        <v>59.17209011698646</v>
      </c>
      <c r="C125">
        <v>17.63</v>
      </c>
      <c r="D125">
        <v>0.1428571428571429</v>
      </c>
      <c r="E125">
        <v>1.7234734561240019</v>
      </c>
      <c r="F125">
        <v>0.1428571428571429</v>
      </c>
      <c r="G125">
        <v>0.72347345612400227</v>
      </c>
    </row>
    <row r="126" spans="1:7" x14ac:dyDescent="0.35">
      <c r="A126">
        <v>87</v>
      </c>
      <c r="B126">
        <v>59.17209011698646</v>
      </c>
      <c r="C126">
        <v>17.63</v>
      </c>
      <c r="D126">
        <v>1.142857142857143</v>
      </c>
      <c r="E126">
        <v>1.7234734561240019</v>
      </c>
      <c r="F126">
        <v>0.1428571428571429</v>
      </c>
      <c r="G126">
        <v>1.7234734561240019</v>
      </c>
    </row>
    <row r="127" spans="1:7" x14ac:dyDescent="0.35">
      <c r="A127">
        <v>101</v>
      </c>
      <c r="B127">
        <v>10</v>
      </c>
      <c r="C127">
        <v>17.63</v>
      </c>
      <c r="D127">
        <v>1.142857142857143</v>
      </c>
      <c r="E127">
        <v>17.63</v>
      </c>
      <c r="F127">
        <v>0.1428571428571429</v>
      </c>
      <c r="G127">
        <v>1.7234734561240019</v>
      </c>
    </row>
    <row r="128" spans="1:7" x14ac:dyDescent="0.35">
      <c r="A128">
        <v>102</v>
      </c>
      <c r="B128">
        <v>10</v>
      </c>
      <c r="C128">
        <v>10</v>
      </c>
      <c r="D128">
        <v>1.142857142857143</v>
      </c>
      <c r="E128">
        <v>10</v>
      </c>
      <c r="F128">
        <v>0.1428571428571429</v>
      </c>
      <c r="G128">
        <v>0.72347345612400227</v>
      </c>
    </row>
    <row r="129" spans="1:7" x14ac:dyDescent="0.35">
      <c r="A129">
        <v>103</v>
      </c>
      <c r="B129">
        <v>10</v>
      </c>
      <c r="C129">
        <v>10</v>
      </c>
      <c r="D129">
        <v>1.142857142857143</v>
      </c>
      <c r="E129">
        <v>1.7234734561240019</v>
      </c>
      <c r="F129">
        <v>0.1428571428571429</v>
      </c>
      <c r="G129">
        <v>0.72347345612400227</v>
      </c>
    </row>
    <row r="130" spans="1:7" x14ac:dyDescent="0.35">
      <c r="A130">
        <v>104</v>
      </c>
      <c r="B130">
        <v>10</v>
      </c>
      <c r="C130">
        <v>10</v>
      </c>
      <c r="D130">
        <v>1.142857142857143</v>
      </c>
      <c r="E130">
        <v>10</v>
      </c>
      <c r="F130">
        <v>0.1428571428571429</v>
      </c>
      <c r="G130">
        <v>0.72347345612400249</v>
      </c>
    </row>
    <row r="131" spans="1:7" x14ac:dyDescent="0.35">
      <c r="A131">
        <v>105</v>
      </c>
      <c r="B131">
        <v>1</v>
      </c>
      <c r="C131">
        <v>0.1428571428571429</v>
      </c>
      <c r="D131">
        <v>0.1428571428571429</v>
      </c>
      <c r="E131">
        <v>0.1428571428571429</v>
      </c>
      <c r="F131">
        <v>0.1428571428571429</v>
      </c>
      <c r="G131">
        <v>0.1428571428571429</v>
      </c>
    </row>
    <row r="132" spans="1:7" x14ac:dyDescent="0.35">
      <c r="A132">
        <v>106</v>
      </c>
      <c r="B132">
        <v>0.1428571428571429</v>
      </c>
      <c r="C132">
        <v>0.1428571428571429</v>
      </c>
      <c r="D132">
        <v>0.1428571428571429</v>
      </c>
      <c r="E132">
        <v>0.1428571428571429</v>
      </c>
      <c r="F132">
        <v>0.1428571428571429</v>
      </c>
      <c r="G132">
        <v>0.1428571428571429</v>
      </c>
    </row>
    <row r="133" spans="1:7" x14ac:dyDescent="0.35">
      <c r="A133">
        <v>107</v>
      </c>
      <c r="B133">
        <v>0</v>
      </c>
      <c r="C133">
        <v>0.1428571428571429</v>
      </c>
      <c r="D133">
        <v>0.1428571428571429</v>
      </c>
      <c r="E133">
        <v>0.1428571428571429</v>
      </c>
      <c r="F133">
        <v>0.1428571428571429</v>
      </c>
      <c r="G133">
        <v>0.1428571428571429</v>
      </c>
    </row>
    <row r="134" spans="1:7" x14ac:dyDescent="0.35">
      <c r="A134">
        <v>108</v>
      </c>
      <c r="B134">
        <v>0</v>
      </c>
      <c r="C134">
        <v>0.1428571428571429</v>
      </c>
      <c r="D134">
        <v>0.1428571428571429</v>
      </c>
      <c r="E134">
        <v>0.1428571428571429</v>
      </c>
      <c r="F134">
        <v>0.1428571428571429</v>
      </c>
      <c r="G134">
        <v>0.1428571428571429</v>
      </c>
    </row>
    <row r="135" spans="1:7" x14ac:dyDescent="0.35">
      <c r="A135">
        <v>109</v>
      </c>
      <c r="B135">
        <v>0</v>
      </c>
      <c r="C135">
        <v>0.1428571428571429</v>
      </c>
      <c r="D135">
        <v>0.1428571428571429</v>
      </c>
      <c r="E135">
        <v>0.1428571428571429</v>
      </c>
      <c r="F135">
        <v>0.1428571428571429</v>
      </c>
      <c r="G135">
        <v>0.1428571428571429</v>
      </c>
    </row>
    <row r="136" spans="1:7" x14ac:dyDescent="0.35">
      <c r="A136">
        <v>110</v>
      </c>
      <c r="B136">
        <v>0</v>
      </c>
      <c r="C136">
        <v>0.1428571428571429</v>
      </c>
      <c r="D136">
        <v>0.1428571428571429</v>
      </c>
      <c r="E136">
        <v>0.1428571428571429</v>
      </c>
      <c r="F136">
        <v>0.1428571428571429</v>
      </c>
      <c r="G136">
        <v>0.1428571428571429</v>
      </c>
    </row>
    <row r="137" spans="1:7" x14ac:dyDescent="0.35">
      <c r="A137">
        <v>111</v>
      </c>
      <c r="B137">
        <v>0</v>
      </c>
      <c r="C137">
        <v>0.1428571428571429</v>
      </c>
      <c r="D137">
        <v>0.1428571428571429</v>
      </c>
      <c r="E137">
        <v>0.1428571428571429</v>
      </c>
      <c r="F137">
        <v>0.1428571428571429</v>
      </c>
      <c r="G137">
        <v>0.1428571428571429</v>
      </c>
    </row>
    <row r="138" spans="1:7" x14ac:dyDescent="0.35">
      <c r="A138">
        <v>112</v>
      </c>
      <c r="B138">
        <v>0.1428571428571429</v>
      </c>
      <c r="C138">
        <v>0.1428571428571429</v>
      </c>
      <c r="D138">
        <v>0.1428571428571429</v>
      </c>
      <c r="E138">
        <v>0.1428571428571429</v>
      </c>
      <c r="F138">
        <v>0.1428571428571429</v>
      </c>
      <c r="G138">
        <v>0.1428571428571429</v>
      </c>
    </row>
    <row r="139" spans="1:7" x14ac:dyDescent="0.35">
      <c r="A139">
        <v>113</v>
      </c>
      <c r="B139">
        <v>10</v>
      </c>
      <c r="C139">
        <v>12</v>
      </c>
      <c r="D139">
        <v>1.142857142857143</v>
      </c>
      <c r="E139">
        <v>12</v>
      </c>
      <c r="F139">
        <v>0.1428571428571429</v>
      </c>
      <c r="G139">
        <v>0.1428571428571429</v>
      </c>
    </row>
    <row r="140" spans="1:7" x14ac:dyDescent="0.35">
      <c r="A140">
        <v>131</v>
      </c>
      <c r="B140">
        <v>0.1428571428571429</v>
      </c>
      <c r="C140">
        <v>0.1428571428571429</v>
      </c>
      <c r="D140">
        <v>0.1428571428571429</v>
      </c>
      <c r="E140">
        <v>0.1428571428571429</v>
      </c>
      <c r="F140">
        <v>0.1428571428571429</v>
      </c>
      <c r="G140">
        <v>0.1428571428571429</v>
      </c>
    </row>
    <row r="141" spans="1:7" x14ac:dyDescent="0.35">
      <c r="A141">
        <v>132</v>
      </c>
      <c r="B141">
        <v>0.1428571428571429</v>
      </c>
      <c r="C141">
        <v>0.99999999999999989</v>
      </c>
      <c r="D141">
        <v>0.99999999999999989</v>
      </c>
      <c r="E141">
        <v>0.99999999999999989</v>
      </c>
      <c r="F141">
        <v>0.1428571428571429</v>
      </c>
      <c r="G141">
        <v>0.1428571428571429</v>
      </c>
    </row>
    <row r="142" spans="1:7" x14ac:dyDescent="0.35">
      <c r="A142">
        <v>133</v>
      </c>
      <c r="B142">
        <v>0.1428571428571429</v>
      </c>
      <c r="C142">
        <v>1</v>
      </c>
      <c r="D142">
        <v>0.99999999999999989</v>
      </c>
      <c r="E142">
        <v>1</v>
      </c>
      <c r="F142">
        <v>0.1428571428571429</v>
      </c>
      <c r="G142">
        <v>0.1428571428571429</v>
      </c>
    </row>
    <row r="143" spans="1:7" x14ac:dyDescent="0.35">
      <c r="A143">
        <v>134</v>
      </c>
      <c r="B143">
        <v>0.1428571428571429</v>
      </c>
      <c r="C143">
        <v>0.99999999999999989</v>
      </c>
      <c r="D143">
        <v>1</v>
      </c>
      <c r="E143">
        <v>0.99999999999999989</v>
      </c>
      <c r="F143">
        <v>0.1428571428571429</v>
      </c>
      <c r="G143">
        <v>0.1428571428571429</v>
      </c>
    </row>
    <row r="144" spans="1:7" x14ac:dyDescent="0.35">
      <c r="A144">
        <v>135</v>
      </c>
      <c r="B144">
        <v>0.1428571428571429</v>
      </c>
      <c r="C144">
        <v>0.99999999999999989</v>
      </c>
      <c r="D144">
        <v>0.99999999999999989</v>
      </c>
      <c r="E144">
        <v>0.99999999999999989</v>
      </c>
      <c r="F144">
        <v>0.1428571428571429</v>
      </c>
      <c r="G144">
        <v>0.1428571428571429</v>
      </c>
    </row>
    <row r="145" spans="1:7" x14ac:dyDescent="0.35">
      <c r="A145">
        <v>136</v>
      </c>
      <c r="B145">
        <v>0.1428571428571429</v>
      </c>
      <c r="C145">
        <v>1</v>
      </c>
      <c r="D145">
        <v>1</v>
      </c>
      <c r="E145">
        <v>1</v>
      </c>
      <c r="F145">
        <v>0.1428571428571429</v>
      </c>
      <c r="G145">
        <v>0.1428571428571429</v>
      </c>
    </row>
    <row r="146" spans="1:7" x14ac:dyDescent="0.35">
      <c r="A146">
        <v>142</v>
      </c>
      <c r="B146">
        <v>1</v>
      </c>
      <c r="C146">
        <v>10</v>
      </c>
      <c r="D146">
        <v>1.142857142857143</v>
      </c>
      <c r="E146">
        <v>1.7234734561240019</v>
      </c>
      <c r="F146">
        <v>0.1428571428571429</v>
      </c>
      <c r="G146">
        <v>1</v>
      </c>
    </row>
    <row r="147" spans="1:7" x14ac:dyDescent="0.35">
      <c r="A147">
        <v>143</v>
      </c>
      <c r="B147">
        <v>0.99999999999999989</v>
      </c>
      <c r="C147">
        <v>0.72347345612400227</v>
      </c>
      <c r="D147">
        <v>0.72347345612400216</v>
      </c>
      <c r="E147">
        <v>0.72347345612400227</v>
      </c>
      <c r="F147">
        <v>0.1428571428571429</v>
      </c>
      <c r="G147">
        <v>0.72347345612400227</v>
      </c>
    </row>
    <row r="148" spans="1:7" x14ac:dyDescent="0.35">
      <c r="A148">
        <v>145</v>
      </c>
      <c r="B148">
        <v>1</v>
      </c>
      <c r="C148">
        <v>7.9582080173640266</v>
      </c>
      <c r="D148">
        <v>1.142857142857143</v>
      </c>
      <c r="E148">
        <v>1.7234734561240019</v>
      </c>
      <c r="F148">
        <v>0.1428571428571429</v>
      </c>
      <c r="G148">
        <v>0.72347345612400249</v>
      </c>
    </row>
    <row r="149" spans="1:7" x14ac:dyDescent="0.35">
      <c r="A149">
        <v>146</v>
      </c>
      <c r="B149">
        <v>1</v>
      </c>
      <c r="C149">
        <v>10</v>
      </c>
      <c r="D149">
        <v>1.142857142857143</v>
      </c>
      <c r="E149">
        <v>1.7234734561240019</v>
      </c>
      <c r="F149">
        <v>0.1428571428571429</v>
      </c>
      <c r="G149">
        <v>0.1428571428571429</v>
      </c>
    </row>
    <row r="150" spans="1:7" x14ac:dyDescent="0.35">
      <c r="A150">
        <v>147</v>
      </c>
      <c r="B150">
        <v>0.1428571428571429</v>
      </c>
      <c r="C150">
        <v>1</v>
      </c>
      <c r="D150">
        <v>0.1428571428571429</v>
      </c>
      <c r="E150">
        <v>1</v>
      </c>
      <c r="F150">
        <v>0.1428571428571429</v>
      </c>
      <c r="G150">
        <v>0.1428571428571429</v>
      </c>
    </row>
    <row r="151" spans="1:7" x14ac:dyDescent="0.35">
      <c r="A151">
        <v>148</v>
      </c>
      <c r="B151">
        <v>0.1428571428571429</v>
      </c>
      <c r="C151">
        <v>1</v>
      </c>
      <c r="D151">
        <v>0.1428571428571429</v>
      </c>
      <c r="E151">
        <v>0.72347345612400227</v>
      </c>
      <c r="F151">
        <v>0.1428571428571429</v>
      </c>
      <c r="G151">
        <v>0.1428571428571429</v>
      </c>
    </row>
    <row r="152" spans="1:7" x14ac:dyDescent="0.35">
      <c r="A152">
        <v>149</v>
      </c>
      <c r="B152">
        <v>0.1428571428571429</v>
      </c>
      <c r="C152">
        <v>0.72347345612400227</v>
      </c>
      <c r="D152">
        <v>0.14285714285714299</v>
      </c>
      <c r="E152">
        <v>0.72347345612400227</v>
      </c>
      <c r="F152">
        <v>0.1428571428571429</v>
      </c>
      <c r="G152">
        <v>0.1428571428571429</v>
      </c>
    </row>
    <row r="153" spans="1:7" x14ac:dyDescent="0.35">
      <c r="A153">
        <v>150</v>
      </c>
      <c r="B153">
        <v>0.1428571428571429</v>
      </c>
      <c r="C153">
        <v>1</v>
      </c>
      <c r="D153">
        <v>0.1428571428571429</v>
      </c>
      <c r="E153">
        <v>0.72347345612400249</v>
      </c>
      <c r="F153">
        <v>0.1428571428571429</v>
      </c>
      <c r="G153">
        <v>0.1428571428571429</v>
      </c>
    </row>
    <row r="154" spans="1:7" x14ac:dyDescent="0.35">
      <c r="A154">
        <v>151</v>
      </c>
      <c r="B154">
        <v>0.1428571428571429</v>
      </c>
      <c r="C154">
        <v>1</v>
      </c>
      <c r="D154">
        <v>0.1428571428571429</v>
      </c>
      <c r="E154">
        <v>0.1428571428571429</v>
      </c>
      <c r="F154">
        <v>0.1428571428571429</v>
      </c>
      <c r="G154">
        <v>0.1428571428571429</v>
      </c>
    </row>
    <row r="155" spans="1:7" x14ac:dyDescent="0.35">
      <c r="A155">
        <v>152</v>
      </c>
      <c r="B155">
        <v>0.1428571428571429</v>
      </c>
      <c r="C155">
        <v>0.1428571428571429</v>
      </c>
      <c r="D155">
        <v>0.1428571428571429</v>
      </c>
      <c r="E155">
        <v>0.1428571428571429</v>
      </c>
      <c r="F155">
        <v>0.1428571428571429</v>
      </c>
      <c r="G155">
        <v>0.1428571428571429</v>
      </c>
    </row>
    <row r="156" spans="1:7" x14ac:dyDescent="0.35">
      <c r="A156">
        <v>153</v>
      </c>
      <c r="B156">
        <v>0.1428571428571429</v>
      </c>
      <c r="C156">
        <v>0.1428571428571429</v>
      </c>
      <c r="D156">
        <v>0.1428571428571429</v>
      </c>
      <c r="E156">
        <v>0.1428571428571429</v>
      </c>
      <c r="F156">
        <v>0.1428571428571429</v>
      </c>
      <c r="G156">
        <v>0.1428571428571429</v>
      </c>
    </row>
    <row r="157" spans="1:7" x14ac:dyDescent="0.35">
      <c r="A157">
        <v>154</v>
      </c>
      <c r="B157">
        <v>0.1428571428571429</v>
      </c>
      <c r="C157">
        <v>0.1428571428571429</v>
      </c>
      <c r="D157">
        <v>0.1428571428571429</v>
      </c>
      <c r="E157">
        <v>0.1428571428571429</v>
      </c>
      <c r="F157">
        <v>0.1428571428571429</v>
      </c>
      <c r="G157">
        <v>0.1428571428571429</v>
      </c>
    </row>
    <row r="158" spans="1:7" x14ac:dyDescent="0.35">
      <c r="A158">
        <v>155</v>
      </c>
      <c r="B158">
        <v>0.1428571428571429</v>
      </c>
      <c r="C158">
        <v>0.1428571428571429</v>
      </c>
      <c r="D158">
        <v>0.1428571428571429</v>
      </c>
      <c r="E158">
        <v>0.1428571428571429</v>
      </c>
      <c r="F158">
        <v>0.1428571428571429</v>
      </c>
      <c r="G158">
        <v>0.1428571428571429</v>
      </c>
    </row>
    <row r="159" spans="1:7" x14ac:dyDescent="0.35">
      <c r="A159">
        <v>156</v>
      </c>
      <c r="B159">
        <v>0.1428571428571429</v>
      </c>
      <c r="C159">
        <v>0.1428571428571429</v>
      </c>
      <c r="D159">
        <v>0.1428571428571429</v>
      </c>
      <c r="E159">
        <v>0.1428571428571429</v>
      </c>
      <c r="F159">
        <v>0.1428571428571429</v>
      </c>
      <c r="G159">
        <v>0.1428571428571429</v>
      </c>
    </row>
    <row r="160" spans="1:7" x14ac:dyDescent="0.35">
      <c r="A160">
        <v>157</v>
      </c>
      <c r="B160">
        <v>3.4451116958285843E-2</v>
      </c>
      <c r="C160">
        <v>3.4451116958285843E-2</v>
      </c>
      <c r="D160">
        <v>0.1428571428571429</v>
      </c>
      <c r="E160">
        <v>0.1428571428571429</v>
      </c>
      <c r="F160">
        <v>0.1428571428571429</v>
      </c>
      <c r="G160">
        <v>0.1428571428571429</v>
      </c>
    </row>
    <row r="161" spans="1:7" x14ac:dyDescent="0.35">
      <c r="A161">
        <v>158</v>
      </c>
      <c r="B161">
        <v>3.4451116958285843E-2</v>
      </c>
      <c r="C161">
        <v>3.4451116958285843E-2</v>
      </c>
      <c r="D161">
        <v>0.1428571428571429</v>
      </c>
      <c r="E161">
        <v>0.1428571428571429</v>
      </c>
      <c r="F161">
        <v>0.1428571428571429</v>
      </c>
      <c r="G161">
        <v>0.1428571428571429</v>
      </c>
    </row>
    <row r="162" spans="1:7" x14ac:dyDescent="0.35">
      <c r="A162">
        <v>159</v>
      </c>
      <c r="B162">
        <v>3.4451116958285843E-2</v>
      </c>
      <c r="C162">
        <v>3.4451116958285843E-2</v>
      </c>
      <c r="D162">
        <v>0.1428571428571429</v>
      </c>
      <c r="E162">
        <v>0.1428571428571429</v>
      </c>
      <c r="F162">
        <v>0.1428571428571429</v>
      </c>
      <c r="G162">
        <v>0.1428571428571429</v>
      </c>
    </row>
    <row r="163" spans="1:7" x14ac:dyDescent="0.35">
      <c r="A163">
        <v>160</v>
      </c>
      <c r="B163">
        <v>3.4451116958285843E-2</v>
      </c>
      <c r="C163">
        <v>3.4451116958285843E-2</v>
      </c>
      <c r="D163">
        <v>0.1428571428571429</v>
      </c>
      <c r="E163">
        <v>0.1428571428571429</v>
      </c>
      <c r="F163">
        <v>0.1428571428571429</v>
      </c>
      <c r="G163">
        <v>0.1428571428571429</v>
      </c>
    </row>
    <row r="164" spans="1:7" x14ac:dyDescent="0.35">
      <c r="A164">
        <v>161</v>
      </c>
      <c r="B164">
        <v>3.4451116958285843E-2</v>
      </c>
      <c r="C164">
        <v>0.1428571428571429</v>
      </c>
      <c r="D164">
        <v>0.1428571428571429</v>
      </c>
      <c r="E164">
        <v>0.1428571428571429</v>
      </c>
      <c r="F164">
        <v>0.1428571428571429</v>
      </c>
      <c r="G164">
        <v>0.1428571428571429</v>
      </c>
    </row>
    <row r="165" spans="1:7" x14ac:dyDescent="0.35">
      <c r="A165">
        <v>162</v>
      </c>
      <c r="B165">
        <v>0.1428571428571429</v>
      </c>
      <c r="C165">
        <v>0.1428571428571429</v>
      </c>
      <c r="D165">
        <v>0.1428571428571429</v>
      </c>
      <c r="E165">
        <v>0.1428571428571429</v>
      </c>
      <c r="F165">
        <v>0.1428571428571429</v>
      </c>
      <c r="G165">
        <v>0.1428571428571429</v>
      </c>
    </row>
    <row r="166" spans="1:7" x14ac:dyDescent="0.35">
      <c r="A166">
        <v>164</v>
      </c>
      <c r="B166">
        <v>0.1428571428571429</v>
      </c>
      <c r="C166">
        <v>0.1428571428571429</v>
      </c>
      <c r="D166">
        <v>0.1428571428571429</v>
      </c>
      <c r="E166">
        <v>0.1428571428571429</v>
      </c>
      <c r="F166">
        <v>0.1428571428571429</v>
      </c>
      <c r="G166">
        <v>0.1428571428571429</v>
      </c>
    </row>
    <row r="167" spans="1:7" x14ac:dyDescent="0.35">
      <c r="A167">
        <v>165</v>
      </c>
      <c r="B167">
        <v>0.1428571428571429</v>
      </c>
      <c r="C167">
        <v>0.1428571428571429</v>
      </c>
      <c r="D167">
        <v>0.1428571428571429</v>
      </c>
      <c r="E167">
        <v>0.1428571428571429</v>
      </c>
      <c r="F167">
        <v>0.1428571428571429</v>
      </c>
      <c r="G167">
        <v>0.1428571428571429</v>
      </c>
    </row>
    <row r="168" spans="1:7" x14ac:dyDescent="0.35">
      <c r="A168">
        <v>166</v>
      </c>
      <c r="B168">
        <v>0.1428571428571429</v>
      </c>
      <c r="C168">
        <v>0.1428571428571429</v>
      </c>
      <c r="D168">
        <v>0.1428571428571429</v>
      </c>
      <c r="E168">
        <v>0.1428571428571429</v>
      </c>
      <c r="F168">
        <v>0.1428571428571429</v>
      </c>
      <c r="G168">
        <v>0.1428571428571429</v>
      </c>
    </row>
    <row r="169" spans="1:7" x14ac:dyDescent="0.35">
      <c r="A169">
        <v>167</v>
      </c>
      <c r="B169">
        <v>0.1428571428571429</v>
      </c>
      <c r="C169">
        <v>3.4451116958285843E-2</v>
      </c>
      <c r="D169">
        <v>0.1428571428571429</v>
      </c>
      <c r="E169">
        <v>0.1428571428571429</v>
      </c>
      <c r="F169">
        <v>0.1428571428571429</v>
      </c>
      <c r="G169">
        <v>0.1428571428571429</v>
      </c>
    </row>
  </sheetData>
  <autoFilter ref="A1:G169" xr:uid="{1AC70F05-0C98-40D9-87FB-B4DFB1E1610B}">
    <sortState xmlns:xlrd2="http://schemas.microsoft.com/office/spreadsheetml/2017/richdata2" ref="A2:G169">
      <sortCondition descending="1" ref="F1:F169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F408-9677-4CE7-A6B2-A8684A3BC6A0}">
  <dimension ref="B2:Q5"/>
  <sheetViews>
    <sheetView tabSelected="1" topLeftCell="C1" zoomScale="70" zoomScaleNormal="70" workbookViewId="0">
      <selection activeCell="L2" sqref="L2"/>
    </sheetView>
  </sheetViews>
  <sheetFormatPr baseColWidth="10" defaultRowHeight="14.5" x14ac:dyDescent="0.35"/>
  <cols>
    <col min="2" max="2" width="26.54296875" bestFit="1" customWidth="1"/>
    <col min="3" max="3" width="21.36328125" bestFit="1" customWidth="1"/>
    <col min="4" max="4" width="22.54296875" bestFit="1" customWidth="1"/>
    <col min="7" max="7" width="26.54296875" bestFit="1" customWidth="1"/>
    <col min="8" max="8" width="21.36328125" bestFit="1" customWidth="1"/>
    <col min="9" max="9" width="22.54296875" bestFit="1" customWidth="1"/>
  </cols>
  <sheetData>
    <row r="2" spans="2:17" x14ac:dyDescent="0.35">
      <c r="B2" t="s">
        <v>47</v>
      </c>
      <c r="C2" t="s">
        <v>48</v>
      </c>
      <c r="D2" t="s">
        <v>49</v>
      </c>
      <c r="G2" t="s">
        <v>47</v>
      </c>
      <c r="H2" t="s">
        <v>48</v>
      </c>
      <c r="I2" t="s">
        <v>49</v>
      </c>
      <c r="J2" t="s">
        <v>50</v>
      </c>
      <c r="K2" t="s">
        <v>23</v>
      </c>
      <c r="N2" t="s">
        <v>51</v>
      </c>
      <c r="O2" t="s">
        <v>52</v>
      </c>
      <c r="P2" t="s">
        <v>53</v>
      </c>
      <c r="Q2" t="s">
        <v>54</v>
      </c>
    </row>
    <row r="3" spans="2:17" x14ac:dyDescent="0.35">
      <c r="B3">
        <v>10</v>
      </c>
      <c r="C3">
        <v>149</v>
      </c>
      <c r="D3">
        <v>26</v>
      </c>
      <c r="E3">
        <f>SUM(B3:D3)</f>
        <v>185</v>
      </c>
      <c r="G3">
        <v>0</v>
      </c>
      <c r="H3">
        <v>117</v>
      </c>
      <c r="I3">
        <v>3</v>
      </c>
      <c r="J3">
        <v>124</v>
      </c>
      <c r="K3">
        <f>SUM(G3:J3)</f>
        <v>244</v>
      </c>
      <c r="N3">
        <v>719</v>
      </c>
      <c r="O3">
        <v>174</v>
      </c>
      <c r="P3">
        <v>88</v>
      </c>
      <c r="Q3">
        <v>14</v>
      </c>
    </row>
    <row r="4" spans="2:17" x14ac:dyDescent="0.35">
      <c r="B4" s="1">
        <f>B3/E3</f>
        <v>5.4054054054054057E-2</v>
      </c>
      <c r="C4" s="1">
        <f>C3/E3</f>
        <v>0.80540540540540539</v>
      </c>
      <c r="D4" s="1">
        <f>D3/E3</f>
        <v>0.14054054054054055</v>
      </c>
      <c r="G4" s="1">
        <f>G3/K3</f>
        <v>0</v>
      </c>
      <c r="H4" s="1">
        <f>H3/K3</f>
        <v>0.47950819672131145</v>
      </c>
      <c r="I4" s="1">
        <f>I3/K3</f>
        <v>1.2295081967213115E-2</v>
      </c>
      <c r="J4" s="1">
        <f>J3/K3</f>
        <v>0.50819672131147542</v>
      </c>
      <c r="N4">
        <v>650</v>
      </c>
      <c r="O4">
        <v>243</v>
      </c>
      <c r="P4">
        <v>89</v>
      </c>
      <c r="Q4">
        <v>14</v>
      </c>
    </row>
    <row r="5" spans="2:17" x14ac:dyDescent="0.35">
      <c r="N5">
        <f>N4-N3</f>
        <v>-69</v>
      </c>
      <c r="O5">
        <f t="shared" ref="O5:Q5" si="0">O4-O3</f>
        <v>69</v>
      </c>
      <c r="P5">
        <f t="shared" si="0"/>
        <v>1</v>
      </c>
      <c r="Q5">
        <f>Q4-Q3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sen1</vt:lpstr>
      <vt:lpstr>sen2</vt:lpstr>
      <vt:lpstr>precios</vt:lpstr>
      <vt:lpstr>sens3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2026-06-22T09:13:46Z</dcterms:created>
  <dcterms:modified xsi:type="dcterms:W3CDTF">2026-06-26T11:48:56Z</dcterms:modified>
</cp:coreProperties>
</file>