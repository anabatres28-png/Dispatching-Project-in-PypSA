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F7096D91-4609-4AC4-A9AC-A1A5DE5C0DAD}" xr6:coauthVersionLast="47" xr6:coauthVersionMax="47" xr10:uidLastSave="{00000000-0000-0000-0000-000000000000}"/>
  <bookViews>
    <workbookView xWindow="-110" yWindow="-110" windowWidth="19420" windowHeight="10300" xr2:uid="{AB02F813-0E5F-4AB1-B800-99DF3CF8E208}"/>
  </bookViews>
  <sheets>
    <sheet name="capital costs" sheetId="1" r:id="rId1"/>
    <sheet name="marginal costs...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5" i="1"/>
  <c r="I6" i="1"/>
  <c r="I7" i="1"/>
  <c r="I4" i="1"/>
  <c r="I15" i="1"/>
  <c r="I14" i="1"/>
  <c r="I13" i="1"/>
  <c r="I12" i="1"/>
</calcChain>
</file>

<file path=xl/sharedStrings.xml><?xml version="1.0" encoding="utf-8"?>
<sst xmlns="http://schemas.openxmlformats.org/spreadsheetml/2006/main" count="41" uniqueCount="31">
  <si>
    <t>Links</t>
  </si>
  <si>
    <t>SRES_electrolysis</t>
  </si>
  <si>
    <t>SRES_excedentes</t>
  </si>
  <si>
    <t>capex</t>
  </si>
  <si>
    <t>r(wacc)</t>
  </si>
  <si>
    <t>años</t>
  </si>
  <si>
    <t>(OPEX)</t>
  </si>
  <si>
    <t>capital cost</t>
  </si>
  <si>
    <t>electrolysis</t>
  </si>
  <si>
    <t>gas</t>
  </si>
  <si>
    <t>Electrolysis Onshore AEC</t>
  </si>
  <si>
    <t>Gas turbine, combined cycle - extraction - natural gas - large</t>
  </si>
  <si>
    <t>Storage Unit</t>
  </si>
  <si>
    <t>h2 store</t>
  </si>
  <si>
    <t>H2 Storage cavern. Capital cost (eur/MWh)</t>
  </si>
  <si>
    <t>battery</t>
  </si>
  <si>
    <t>Utility-scale Battery Storage - 60 MW - 240 MWh</t>
  </si>
  <si>
    <t>Generator</t>
  </si>
  <si>
    <t>Wind</t>
  </si>
  <si>
    <t>Onshore Wind</t>
  </si>
  <si>
    <t>Solar</t>
  </si>
  <si>
    <t>Utility-scale PV ground mounted single axis tracking</t>
  </si>
  <si>
    <t>Biomasa</t>
  </si>
  <si>
    <t>Doc: tecnology data for el and dh. Hoja 09a wood chips medium financial data 2050</t>
  </si>
  <si>
    <t>Gas</t>
  </si>
  <si>
    <t>water</t>
  </si>
  <si>
    <t>no se añade pq no es extendable</t>
  </si>
  <si>
    <t>doc: tecnology data for el and dh. Hoja 06:financial data-2050</t>
  </si>
  <si>
    <t>CAPITAL COST</t>
  </si>
  <si>
    <t xml:space="preserve">Nuclear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</si>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</sst>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/>
    <xf numFmtId="0" fontId="3" fillId="2" borderId="0" xfId="0" applyFont="1" applyFill="1"/>
    <xf numFmtId="0" fontId="0" fillId="2" borderId="2" xfId="0" applyFill="1" applyBorder="1"/>
    <xf numFmtId="0" fontId="2" fillId="4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7" fontId="0" fillId="2" borderId="0" xfId="0" applyNumberFormat="1" applyFill="1"/>
    <xf numFmtId="167" fontId="0" fillId="2" borderId="1" xfId="0" applyNumberFormat="1" applyFill="1" applyBorder="1" applyAlignment="1">
      <alignment horizontal="right"/>
    </xf>
    <xf numFmtId="167" fontId="0" fillId="2" borderId="1" xfId="0" applyNumberFormat="1" applyFill="1" applyBorder="1"/>
    <xf numFmtId="167" fontId="0" fillId="2" borderId="2" xfId="0" applyNumberFormat="1" applyFill="1" applyBorder="1"/>
    <xf numFmtId="1" fontId="0" fillId="2" borderId="0" xfId="0" applyNumberFormat="1" applyFill="1"/>
    <xf numFmtId="1" fontId="0" fillId="2" borderId="0" xfId="0" applyNumberFormat="1" applyFill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/>
    <xf numFmtId="1" fontId="0" fillId="2" borderId="2" xfId="0" applyNumberFormat="1" applyFill="1" applyBorder="1"/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A418-4FB4-49CC-9C88-8C6D046CABAE}">
  <dimension ref="A1:I15"/>
  <sheetViews>
    <sheetView tabSelected="1" workbookViewId="0">
      <selection activeCell="D17" sqref="D17"/>
    </sheetView>
  </sheetViews>
  <sheetFormatPr baseColWidth="10" defaultRowHeight="14.5" x14ac:dyDescent="0.35"/>
  <cols>
    <col min="1" max="1" width="10.90625" style="1"/>
    <col min="2" max="2" width="11.26953125" style="1" customWidth="1"/>
    <col min="3" max="3" width="17.36328125" style="1" customWidth="1"/>
    <col min="4" max="4" width="71.54296875" style="1" customWidth="1"/>
    <col min="5" max="9" width="10.54296875" style="1" customWidth="1"/>
    <col min="10" max="16384" width="10.90625" style="1"/>
  </cols>
  <sheetData>
    <row r="1" spans="1:9" x14ac:dyDescent="0.35">
      <c r="A1" s="9" t="s">
        <v>28</v>
      </c>
      <c r="B1" s="9"/>
    </row>
    <row r="3" spans="1:9" x14ac:dyDescent="0.35">
      <c r="B3" s="5"/>
      <c r="C3" s="4"/>
      <c r="D3" s="4"/>
      <c r="E3" s="3" t="s">
        <v>3</v>
      </c>
      <c r="F3" s="3" t="s">
        <v>4</v>
      </c>
      <c r="G3" s="3" t="s">
        <v>5</v>
      </c>
      <c r="H3" s="3" t="s">
        <v>6</v>
      </c>
      <c r="I3" s="2" t="s">
        <v>7</v>
      </c>
    </row>
    <row r="4" spans="1:9" x14ac:dyDescent="0.35">
      <c r="B4" s="11" t="s">
        <v>17</v>
      </c>
      <c r="C4" s="1" t="s">
        <v>18</v>
      </c>
      <c r="D4" s="1" t="s">
        <v>19</v>
      </c>
      <c r="E4" s="17">
        <v>1360572</v>
      </c>
      <c r="F4" s="13">
        <v>3.9E-2</v>
      </c>
      <c r="G4" s="17">
        <v>30</v>
      </c>
      <c r="H4" s="17">
        <v>19574</v>
      </c>
      <c r="I4" s="18">
        <f>(E4*(F4*((1+F4)^G4))/(((1+F4)^G4)-1))+H4</f>
        <v>97303.477798362073</v>
      </c>
    </row>
    <row r="5" spans="1:9" x14ac:dyDescent="0.35">
      <c r="B5" s="11"/>
      <c r="C5" s="1" t="s">
        <v>20</v>
      </c>
      <c r="D5" s="1" t="s">
        <v>21</v>
      </c>
      <c r="E5" s="17">
        <v>465911</v>
      </c>
      <c r="F5" s="13">
        <v>3.9E-2</v>
      </c>
      <c r="G5" s="17">
        <v>30</v>
      </c>
      <c r="H5" s="17">
        <v>11525</v>
      </c>
      <c r="I5" s="18">
        <f t="shared" ref="I5:I8" si="0">(E5*(F5*((1+F5)^G5))/(((1+F5)^G5)-1))+H5</f>
        <v>38142.495237674055</v>
      </c>
    </row>
    <row r="6" spans="1:9" x14ac:dyDescent="0.35">
      <c r="B6" s="11"/>
      <c r="C6" s="1" t="s">
        <v>22</v>
      </c>
      <c r="D6" s="1" t="s">
        <v>23</v>
      </c>
      <c r="E6" s="17">
        <v>3402792.6979999999</v>
      </c>
      <c r="F6" s="13">
        <v>3.9E-2</v>
      </c>
      <c r="G6" s="17">
        <v>30</v>
      </c>
      <c r="H6" s="17">
        <v>137175.07999999999</v>
      </c>
      <c r="I6" s="18">
        <f t="shared" si="0"/>
        <v>331576.62543208263</v>
      </c>
    </row>
    <row r="7" spans="1:9" x14ac:dyDescent="0.35">
      <c r="B7" s="11"/>
      <c r="C7" s="1" t="s">
        <v>24</v>
      </c>
      <c r="D7" s="1" t="s">
        <v>27</v>
      </c>
      <c r="E7" s="17">
        <v>903866.81</v>
      </c>
      <c r="F7" s="13">
        <v>3.9E-2</v>
      </c>
      <c r="G7" s="17">
        <v>30</v>
      </c>
      <c r="H7" s="17">
        <v>9038.6681000000008</v>
      </c>
      <c r="I7" s="18">
        <f t="shared" si="0"/>
        <v>60676.578582187896</v>
      </c>
    </row>
    <row r="8" spans="1:9" x14ac:dyDescent="0.35">
      <c r="B8" s="11"/>
      <c r="C8" s="7" t="s">
        <v>29</v>
      </c>
      <c r="D8" s="7"/>
      <c r="E8" s="22">
        <v>5000000</v>
      </c>
      <c r="F8" s="24">
        <v>3.9E-2</v>
      </c>
      <c r="G8" s="22">
        <v>30</v>
      </c>
      <c r="H8" s="22">
        <f>0.02*E8</f>
        <v>100000</v>
      </c>
      <c r="I8" s="23">
        <f t="shared" si="0"/>
        <v>385649.99793602276</v>
      </c>
    </row>
    <row r="9" spans="1:9" x14ac:dyDescent="0.35">
      <c r="B9" s="12"/>
      <c r="C9" s="6" t="s">
        <v>25</v>
      </c>
      <c r="D9" s="6" t="s">
        <v>26</v>
      </c>
      <c r="E9" s="19" t="s">
        <v>30</v>
      </c>
      <c r="F9" s="14" t="s">
        <v>30</v>
      </c>
      <c r="G9" s="19" t="s">
        <v>30</v>
      </c>
      <c r="H9" s="19" t="s">
        <v>30</v>
      </c>
      <c r="I9" s="19" t="s">
        <v>30</v>
      </c>
    </row>
    <row r="10" spans="1:9" x14ac:dyDescent="0.35">
      <c r="B10" s="10" t="s">
        <v>0</v>
      </c>
      <c r="C10" s="1" t="s">
        <v>1</v>
      </c>
      <c r="E10" s="18" t="s">
        <v>30</v>
      </c>
      <c r="F10" s="13">
        <v>3.9E-2</v>
      </c>
      <c r="G10" s="17">
        <v>30</v>
      </c>
      <c r="H10" s="18" t="s">
        <v>30</v>
      </c>
      <c r="I10" s="18" t="s">
        <v>30</v>
      </c>
    </row>
    <row r="11" spans="1:9" x14ac:dyDescent="0.35">
      <c r="B11" s="11"/>
      <c r="C11" s="1" t="s">
        <v>2</v>
      </c>
      <c r="E11" s="18" t="s">
        <v>30</v>
      </c>
      <c r="F11" s="13">
        <v>3.9E-2</v>
      </c>
      <c r="G11" s="17">
        <v>30</v>
      </c>
      <c r="H11" s="18" t="s">
        <v>30</v>
      </c>
      <c r="I11" s="18" t="s">
        <v>30</v>
      </c>
    </row>
    <row r="12" spans="1:9" x14ac:dyDescent="0.35">
      <c r="B12" s="11"/>
      <c r="C12" s="1" t="s">
        <v>8</v>
      </c>
      <c r="D12" s="1" t="s">
        <v>10</v>
      </c>
      <c r="E12" s="17">
        <v>1145831</v>
      </c>
      <c r="F12" s="13">
        <v>3.9E-2</v>
      </c>
      <c r="G12" s="17">
        <v>30</v>
      </c>
      <c r="H12" s="17">
        <v>45833</v>
      </c>
      <c r="I12" s="17">
        <f>(E12*(F12*((1+F12)^G12))/(((1+F12)^G12)-1))+H12</f>
        <v>111294.32455700618</v>
      </c>
    </row>
    <row r="13" spans="1:9" x14ac:dyDescent="0.35">
      <c r="B13" s="12"/>
      <c r="C13" s="6" t="s">
        <v>9</v>
      </c>
      <c r="D13" s="6" t="s">
        <v>11</v>
      </c>
      <c r="E13" s="20">
        <v>1062583</v>
      </c>
      <c r="F13" s="15">
        <v>3.9E-2</v>
      </c>
      <c r="G13" s="20">
        <v>30</v>
      </c>
      <c r="H13" s="20">
        <v>35072</v>
      </c>
      <c r="I13" s="20">
        <f>(E13*(F13*((1+F13)^G13))/(((1+F13)^G13)-1))+H13</f>
        <v>95777.366351370569</v>
      </c>
    </row>
    <row r="14" spans="1:9" x14ac:dyDescent="0.35">
      <c r="B14" s="10" t="s">
        <v>12</v>
      </c>
      <c r="C14" s="8" t="s">
        <v>13</v>
      </c>
      <c r="D14" s="8" t="s">
        <v>14</v>
      </c>
      <c r="E14" s="21">
        <v>1962</v>
      </c>
      <c r="F14" s="16">
        <v>3.9E-2</v>
      </c>
      <c r="G14" s="21">
        <v>30</v>
      </c>
      <c r="H14" s="21">
        <v>42</v>
      </c>
      <c r="I14" s="21">
        <f>(E14*(F14*((1+F14)^G14))/(((1+F14)^G14)-1))+H14</f>
        <v>154.08905919009533</v>
      </c>
    </row>
    <row r="15" spans="1:9" x14ac:dyDescent="0.35">
      <c r="B15" s="12"/>
      <c r="C15" s="6" t="s">
        <v>15</v>
      </c>
      <c r="D15" s="6" t="s">
        <v>16</v>
      </c>
      <c r="E15" s="20">
        <v>1288686</v>
      </c>
      <c r="F15" s="15">
        <v>3.9E-2</v>
      </c>
      <c r="G15" s="20">
        <v>30</v>
      </c>
      <c r="H15" s="20">
        <v>28490</v>
      </c>
      <c r="I15" s="20">
        <f>(E15*(F15*((1+F15)^G15))/(((1+F15)^G15)-1))+H15</f>
        <v>102112.63064803628</v>
      </c>
    </row>
  </sheetData>
  <mergeCells count="4">
    <mergeCell ref="A1:B1"/>
    <mergeCell ref="B10:B13"/>
    <mergeCell ref="B4:B9"/>
    <mergeCell ref="B14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6F73-5240-4C94-8D82-BAB43D2E0110}">
  <dimension ref="A1"/>
  <sheetViews>
    <sheetView workbookViewId="0">
      <selection activeCell="H23" sqref="H23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capital costs</vt:lpstr>
      <vt:lpstr>marginal costs....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2026-01-29T08:26:24Z</dcterms:created>
  <dcterms:modified xsi:type="dcterms:W3CDTF">2026-03-11T07:50:50Z</dcterms:modified>
</cp:coreProperties>
</file>