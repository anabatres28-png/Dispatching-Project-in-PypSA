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C7F00ACB-8D1B-411C-9DF5-859B356F30CA}" xr6:coauthVersionLast="47" xr6:coauthVersionMax="47" xr10:uidLastSave="{00000000-0000-0000-0000-000000000000}"/>
  <bookViews>
    <workbookView xWindow="28680" yWindow="-120" windowWidth="29040" windowHeight="15720" xr2:uid="{D2A47674-8AC4-45F4-9C71-E1AD0F8378BE}"/>
  </bookViews>
  <sheets>
    <sheet name="Datos Benchmark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E8" i="1" s="1"/>
  <c r="C9" i="1"/>
  <c r="E9" i="1" s="1"/>
  <c r="C10" i="1"/>
  <c r="C11" i="1"/>
  <c r="C12" i="1"/>
  <c r="C13" i="1"/>
  <c r="E13" i="1" s="1"/>
  <c r="C14" i="1"/>
  <c r="C15" i="1"/>
  <c r="C16" i="1"/>
  <c r="E16" i="1" s="1"/>
  <c r="C17" i="1"/>
  <c r="C18" i="1"/>
  <c r="C19" i="1"/>
  <c r="C20" i="1"/>
  <c r="C21" i="1"/>
  <c r="E21" i="1" s="1"/>
  <c r="C22" i="1"/>
  <c r="C23" i="1"/>
  <c r="C24" i="1"/>
  <c r="C25" i="1"/>
  <c r="C26" i="1"/>
  <c r="C27" i="1"/>
  <c r="C28" i="1"/>
  <c r="C29" i="1"/>
  <c r="E29" i="1" s="1"/>
  <c r="C30" i="1"/>
  <c r="C31" i="1"/>
  <c r="C32" i="1"/>
  <c r="C33" i="1"/>
  <c r="C34" i="1"/>
  <c r="C35" i="1"/>
  <c r="C36" i="1"/>
  <c r="C37" i="1"/>
  <c r="E37" i="1" s="1"/>
  <c r="C38" i="1"/>
  <c r="C39" i="1"/>
  <c r="C40" i="1"/>
  <c r="C41" i="1"/>
  <c r="C42" i="1"/>
  <c r="C43" i="1"/>
  <c r="C44" i="1"/>
  <c r="C45" i="1"/>
  <c r="E45" i="1" s="1"/>
  <c r="C46" i="1"/>
  <c r="C47" i="1"/>
  <c r="C48" i="1"/>
  <c r="C49" i="1"/>
  <c r="C50" i="1"/>
  <c r="C51" i="1"/>
  <c r="C52" i="1"/>
  <c r="C53" i="1"/>
  <c r="E53" i="1" s="1"/>
  <c r="C54" i="1"/>
  <c r="C55" i="1"/>
  <c r="C56" i="1"/>
  <c r="C57" i="1"/>
  <c r="C58" i="1"/>
  <c r="C59" i="1"/>
  <c r="C60" i="1"/>
  <c r="C61" i="1"/>
  <c r="E61" i="1" s="1"/>
  <c r="C62" i="1"/>
  <c r="C63" i="1"/>
  <c r="C64" i="1"/>
  <c r="C65" i="1"/>
  <c r="C66" i="1"/>
  <c r="C67" i="1"/>
  <c r="C68" i="1"/>
  <c r="C69" i="1"/>
  <c r="E69" i="1" s="1"/>
  <c r="C70" i="1"/>
  <c r="C71" i="1"/>
  <c r="C72" i="1"/>
  <c r="C73" i="1"/>
  <c r="C74" i="1"/>
  <c r="C75" i="1"/>
  <c r="C76" i="1"/>
  <c r="C77" i="1"/>
  <c r="E77" i="1" s="1"/>
  <c r="C78" i="1"/>
  <c r="C79" i="1"/>
  <c r="C80" i="1"/>
  <c r="C81" i="1"/>
  <c r="C82" i="1"/>
  <c r="C83" i="1"/>
  <c r="C84" i="1"/>
  <c r="C85" i="1"/>
  <c r="E85" i="1" s="1"/>
  <c r="C86" i="1"/>
  <c r="C87" i="1"/>
  <c r="C88" i="1"/>
  <c r="C89" i="1"/>
  <c r="C90" i="1"/>
  <c r="C91" i="1"/>
  <c r="C92" i="1"/>
  <c r="C93" i="1"/>
  <c r="E93" i="1" s="1"/>
  <c r="C94" i="1"/>
  <c r="C95" i="1"/>
  <c r="C96" i="1"/>
  <c r="E96" i="1" s="1"/>
  <c r="C97" i="1"/>
  <c r="C98" i="1"/>
  <c r="C99" i="1"/>
  <c r="C100" i="1"/>
  <c r="C101" i="1"/>
  <c r="E101" i="1" s="1"/>
  <c r="C102" i="1"/>
  <c r="C103" i="1"/>
  <c r="C104" i="1"/>
  <c r="C105" i="1"/>
  <c r="C106" i="1"/>
  <c r="C107" i="1"/>
  <c r="C108" i="1"/>
  <c r="C109" i="1"/>
  <c r="E109" i="1" s="1"/>
  <c r="C110" i="1"/>
  <c r="C111" i="1"/>
  <c r="C112" i="1"/>
  <c r="C113" i="1"/>
  <c r="C114" i="1"/>
  <c r="C115" i="1"/>
  <c r="C116" i="1"/>
  <c r="C117" i="1"/>
  <c r="E117" i="1" s="1"/>
  <c r="C118" i="1"/>
  <c r="C119" i="1"/>
  <c r="C120" i="1"/>
  <c r="C121" i="1"/>
  <c r="C122" i="1"/>
  <c r="C123" i="1"/>
  <c r="C124" i="1"/>
  <c r="C125" i="1"/>
  <c r="E125" i="1" s="1"/>
  <c r="C126" i="1"/>
  <c r="C127" i="1"/>
  <c r="C128" i="1"/>
  <c r="C129" i="1"/>
  <c r="C130" i="1"/>
  <c r="C131" i="1"/>
  <c r="C132" i="1"/>
  <c r="C133" i="1"/>
  <c r="E133" i="1" s="1"/>
  <c r="C134" i="1"/>
  <c r="C135" i="1"/>
  <c r="C136" i="1"/>
  <c r="C137" i="1"/>
  <c r="C138" i="1"/>
  <c r="C139" i="1"/>
  <c r="C140" i="1"/>
  <c r="C141" i="1"/>
  <c r="E141" i="1" s="1"/>
  <c r="C142" i="1"/>
  <c r="C143" i="1"/>
  <c r="C144" i="1"/>
  <c r="C145" i="1"/>
  <c r="C146" i="1"/>
  <c r="C147" i="1"/>
  <c r="C148" i="1"/>
  <c r="C149" i="1"/>
  <c r="E149" i="1" s="1"/>
  <c r="C150" i="1"/>
  <c r="C151" i="1"/>
  <c r="C152" i="1"/>
  <c r="C153" i="1"/>
  <c r="C154" i="1"/>
  <c r="C155" i="1"/>
  <c r="C156" i="1"/>
  <c r="C157" i="1"/>
  <c r="E157" i="1" s="1"/>
  <c r="C158" i="1"/>
  <c r="C159" i="1"/>
  <c r="C160" i="1"/>
  <c r="C161" i="1"/>
  <c r="C162" i="1"/>
  <c r="C163" i="1"/>
  <c r="C164" i="1"/>
  <c r="C165" i="1"/>
  <c r="E165" i="1" s="1"/>
  <c r="C166" i="1"/>
  <c r="C167" i="1"/>
  <c r="C168" i="1"/>
  <c r="C169" i="1"/>
  <c r="C170" i="1"/>
  <c r="C171" i="1"/>
  <c r="C172" i="1"/>
  <c r="C5" i="1"/>
  <c r="E5" i="1"/>
  <c r="D5" i="1"/>
  <c r="X2" i="1"/>
  <c r="G5" i="1"/>
  <c r="I5" i="1"/>
  <c r="J5" i="1" s="1"/>
  <c r="L5" i="1"/>
  <c r="M5" i="1"/>
  <c r="N5" i="1"/>
  <c r="Q5" i="1"/>
  <c r="T5" i="1"/>
  <c r="U5" i="1"/>
  <c r="W5" i="1"/>
  <c r="Y5" i="1"/>
  <c r="AA5" i="1"/>
  <c r="AD5" i="1"/>
  <c r="E6" i="1"/>
  <c r="D6" i="1"/>
  <c r="G6" i="1"/>
  <c r="I6" i="1"/>
  <c r="J6" i="1" s="1"/>
  <c r="L6" i="1"/>
  <c r="M6" i="1"/>
  <c r="N6" i="1"/>
  <c r="Q6" i="1"/>
  <c r="T6" i="1"/>
  <c r="U6" i="1"/>
  <c r="W6" i="1"/>
  <c r="Y6" i="1"/>
  <c r="AA6" i="1"/>
  <c r="AD6" i="1"/>
  <c r="E7" i="1"/>
  <c r="D7" i="1"/>
  <c r="G7" i="1"/>
  <c r="I7" i="1"/>
  <c r="J7" i="1" s="1"/>
  <c r="L7" i="1"/>
  <c r="M7" i="1"/>
  <c r="N7" i="1"/>
  <c r="Q7" i="1"/>
  <c r="T7" i="1"/>
  <c r="U7" i="1"/>
  <c r="W7" i="1"/>
  <c r="Y7" i="1"/>
  <c r="AA7" i="1"/>
  <c r="AD7" i="1"/>
  <c r="D8" i="1"/>
  <c r="G8" i="1"/>
  <c r="I8" i="1"/>
  <c r="J8" i="1" s="1"/>
  <c r="L8" i="1"/>
  <c r="M8" i="1"/>
  <c r="N8" i="1"/>
  <c r="Q8" i="1"/>
  <c r="T8" i="1"/>
  <c r="U8" i="1"/>
  <c r="W8" i="1"/>
  <c r="Y8" i="1"/>
  <c r="AA8" i="1"/>
  <c r="AD8" i="1"/>
  <c r="D9" i="1"/>
  <c r="G9" i="1"/>
  <c r="I9" i="1"/>
  <c r="J9" i="1" s="1"/>
  <c r="L9" i="1"/>
  <c r="M9" i="1"/>
  <c r="N9" i="1"/>
  <c r="Q9" i="1"/>
  <c r="T9" i="1"/>
  <c r="U9" i="1"/>
  <c r="W9" i="1"/>
  <c r="Y9" i="1"/>
  <c r="AA9" i="1"/>
  <c r="AD9" i="1"/>
  <c r="E10" i="1"/>
  <c r="D10" i="1"/>
  <c r="G10" i="1"/>
  <c r="I10" i="1"/>
  <c r="J10" i="1" s="1"/>
  <c r="L10" i="1"/>
  <c r="M10" i="1"/>
  <c r="N10" i="1"/>
  <c r="Q10" i="1"/>
  <c r="T10" i="1"/>
  <c r="U10" i="1"/>
  <c r="W10" i="1"/>
  <c r="Y10" i="1"/>
  <c r="AA10" i="1"/>
  <c r="AD10" i="1"/>
  <c r="E11" i="1"/>
  <c r="D11" i="1"/>
  <c r="G11" i="1"/>
  <c r="I11" i="1"/>
  <c r="J11" i="1" s="1"/>
  <c r="L11" i="1"/>
  <c r="M11" i="1"/>
  <c r="N11" i="1"/>
  <c r="Q11" i="1"/>
  <c r="T11" i="1"/>
  <c r="U11" i="1"/>
  <c r="W11" i="1"/>
  <c r="Y11" i="1"/>
  <c r="AA11" i="1"/>
  <c r="AD11" i="1"/>
  <c r="E12" i="1"/>
  <c r="D12" i="1"/>
  <c r="G12" i="1"/>
  <c r="I12" i="1"/>
  <c r="J12" i="1" s="1"/>
  <c r="L12" i="1"/>
  <c r="M12" i="1"/>
  <c r="N12" i="1"/>
  <c r="Q12" i="1"/>
  <c r="T12" i="1"/>
  <c r="U12" i="1"/>
  <c r="W12" i="1"/>
  <c r="Y12" i="1"/>
  <c r="AA12" i="1"/>
  <c r="AD12" i="1"/>
  <c r="D13" i="1"/>
  <c r="G13" i="1"/>
  <c r="I13" i="1"/>
  <c r="J13" i="1" s="1"/>
  <c r="L13" i="1"/>
  <c r="M13" i="1"/>
  <c r="N13" i="1"/>
  <c r="Q13" i="1"/>
  <c r="T13" i="1"/>
  <c r="U13" i="1"/>
  <c r="W13" i="1"/>
  <c r="Y13" i="1"/>
  <c r="AA13" i="1"/>
  <c r="AD13" i="1"/>
  <c r="D14" i="1"/>
  <c r="E14" i="1"/>
  <c r="G14" i="1"/>
  <c r="I14" i="1"/>
  <c r="J14" i="1" s="1"/>
  <c r="L14" i="1"/>
  <c r="M14" i="1"/>
  <c r="N14" i="1"/>
  <c r="Q14" i="1"/>
  <c r="T14" i="1"/>
  <c r="U14" i="1"/>
  <c r="W14" i="1"/>
  <c r="Y14" i="1"/>
  <c r="AA14" i="1"/>
  <c r="AD14" i="1"/>
  <c r="D15" i="1"/>
  <c r="E15" i="1"/>
  <c r="G15" i="1"/>
  <c r="I15" i="1"/>
  <c r="J15" i="1" s="1"/>
  <c r="L15" i="1"/>
  <c r="M15" i="1"/>
  <c r="N15" i="1"/>
  <c r="Q15" i="1"/>
  <c r="T15" i="1"/>
  <c r="U15" i="1"/>
  <c r="W15" i="1"/>
  <c r="Y15" i="1"/>
  <c r="AA15" i="1"/>
  <c r="AD15" i="1"/>
  <c r="D16" i="1"/>
  <c r="G16" i="1"/>
  <c r="I16" i="1"/>
  <c r="J16" i="1" s="1"/>
  <c r="L16" i="1"/>
  <c r="M16" i="1"/>
  <c r="N16" i="1"/>
  <c r="Q16" i="1"/>
  <c r="T16" i="1"/>
  <c r="U16" i="1"/>
  <c r="W16" i="1"/>
  <c r="Y16" i="1"/>
  <c r="AA16" i="1"/>
  <c r="AD16" i="1"/>
  <c r="E17" i="1"/>
  <c r="D17" i="1"/>
  <c r="G17" i="1"/>
  <c r="I17" i="1"/>
  <c r="J17" i="1" s="1"/>
  <c r="L17" i="1"/>
  <c r="M17" i="1"/>
  <c r="N17" i="1"/>
  <c r="Q17" i="1"/>
  <c r="T17" i="1"/>
  <c r="U17" i="1"/>
  <c r="W17" i="1"/>
  <c r="Y17" i="1"/>
  <c r="AA17" i="1"/>
  <c r="AD17" i="1"/>
  <c r="E18" i="1"/>
  <c r="D18" i="1"/>
  <c r="G18" i="1"/>
  <c r="I18" i="1"/>
  <c r="J18" i="1" s="1"/>
  <c r="L18" i="1"/>
  <c r="M18" i="1"/>
  <c r="N18" i="1"/>
  <c r="Q18" i="1"/>
  <c r="T18" i="1"/>
  <c r="U18" i="1"/>
  <c r="W18" i="1"/>
  <c r="Y18" i="1"/>
  <c r="AA18" i="1"/>
  <c r="AD18" i="1"/>
  <c r="D19" i="1"/>
  <c r="E19" i="1"/>
  <c r="G19" i="1"/>
  <c r="I19" i="1"/>
  <c r="J19" i="1" s="1"/>
  <c r="L19" i="1"/>
  <c r="M19" i="1"/>
  <c r="N19" i="1"/>
  <c r="Q19" i="1"/>
  <c r="T19" i="1"/>
  <c r="U19" i="1"/>
  <c r="W19" i="1"/>
  <c r="Y19" i="1"/>
  <c r="AA19" i="1"/>
  <c r="AD19" i="1"/>
  <c r="D20" i="1"/>
  <c r="E20" i="1"/>
  <c r="G20" i="1"/>
  <c r="I20" i="1"/>
  <c r="J20" i="1" s="1"/>
  <c r="L20" i="1"/>
  <c r="M20" i="1"/>
  <c r="N20" i="1"/>
  <c r="Q20" i="1"/>
  <c r="T20" i="1"/>
  <c r="U20" i="1"/>
  <c r="W20" i="1"/>
  <c r="Y20" i="1"/>
  <c r="AA20" i="1"/>
  <c r="AD20" i="1"/>
  <c r="D21" i="1"/>
  <c r="G21" i="1"/>
  <c r="I21" i="1"/>
  <c r="J21" i="1" s="1"/>
  <c r="L21" i="1"/>
  <c r="M21" i="1"/>
  <c r="N21" i="1"/>
  <c r="Q21" i="1"/>
  <c r="T21" i="1"/>
  <c r="U21" i="1"/>
  <c r="W21" i="1"/>
  <c r="Y21" i="1"/>
  <c r="AA21" i="1"/>
  <c r="AD21" i="1"/>
  <c r="D22" i="1"/>
  <c r="E22" i="1"/>
  <c r="G22" i="1"/>
  <c r="I22" i="1"/>
  <c r="J22" i="1" s="1"/>
  <c r="L22" i="1"/>
  <c r="M22" i="1"/>
  <c r="N22" i="1"/>
  <c r="Q22" i="1"/>
  <c r="T22" i="1"/>
  <c r="U22" i="1"/>
  <c r="W22" i="1"/>
  <c r="Y22" i="1"/>
  <c r="AA22" i="1"/>
  <c r="AD22" i="1"/>
  <c r="D23" i="1"/>
  <c r="E23" i="1"/>
  <c r="G23" i="1"/>
  <c r="I23" i="1"/>
  <c r="J23" i="1" s="1"/>
  <c r="L23" i="1"/>
  <c r="M23" i="1"/>
  <c r="N23" i="1"/>
  <c r="Q23" i="1"/>
  <c r="T23" i="1"/>
  <c r="U23" i="1"/>
  <c r="W23" i="1"/>
  <c r="Y23" i="1"/>
  <c r="AA23" i="1"/>
  <c r="AD23" i="1"/>
  <c r="D24" i="1"/>
  <c r="E24" i="1"/>
  <c r="G24" i="1"/>
  <c r="I24" i="1"/>
  <c r="J24" i="1" s="1"/>
  <c r="L24" i="1"/>
  <c r="M24" i="1"/>
  <c r="N24" i="1"/>
  <c r="Q24" i="1"/>
  <c r="T24" i="1"/>
  <c r="U24" i="1"/>
  <c r="W24" i="1"/>
  <c r="Y24" i="1"/>
  <c r="AA24" i="1"/>
  <c r="AD24" i="1"/>
  <c r="E25" i="1"/>
  <c r="D25" i="1"/>
  <c r="G25" i="1"/>
  <c r="I25" i="1"/>
  <c r="J25" i="1" s="1"/>
  <c r="L25" i="1"/>
  <c r="M25" i="1"/>
  <c r="N25" i="1"/>
  <c r="Q25" i="1"/>
  <c r="T25" i="1"/>
  <c r="U25" i="1"/>
  <c r="W25" i="1"/>
  <c r="Y25" i="1"/>
  <c r="AA25" i="1"/>
  <c r="AD25" i="1"/>
  <c r="E26" i="1"/>
  <c r="D26" i="1"/>
  <c r="G26" i="1"/>
  <c r="I26" i="1"/>
  <c r="J26" i="1" s="1"/>
  <c r="L26" i="1"/>
  <c r="M26" i="1"/>
  <c r="N26" i="1"/>
  <c r="Q26" i="1"/>
  <c r="T26" i="1"/>
  <c r="U26" i="1"/>
  <c r="W26" i="1"/>
  <c r="Y26" i="1"/>
  <c r="AA26" i="1"/>
  <c r="AD26" i="1"/>
  <c r="D27" i="1"/>
  <c r="E27" i="1"/>
  <c r="G27" i="1"/>
  <c r="I27" i="1"/>
  <c r="J27" i="1" s="1"/>
  <c r="L27" i="1"/>
  <c r="M27" i="1"/>
  <c r="N27" i="1"/>
  <c r="Q27" i="1"/>
  <c r="T27" i="1"/>
  <c r="U27" i="1"/>
  <c r="W27" i="1"/>
  <c r="Y27" i="1"/>
  <c r="AA27" i="1"/>
  <c r="AD27" i="1"/>
  <c r="D28" i="1"/>
  <c r="E28" i="1"/>
  <c r="G28" i="1"/>
  <c r="I28" i="1"/>
  <c r="J28" i="1" s="1"/>
  <c r="L28" i="1"/>
  <c r="M28" i="1"/>
  <c r="N28" i="1"/>
  <c r="Q28" i="1"/>
  <c r="T28" i="1"/>
  <c r="U28" i="1"/>
  <c r="W28" i="1"/>
  <c r="Y28" i="1"/>
  <c r="AA28" i="1"/>
  <c r="AD28" i="1"/>
  <c r="D29" i="1"/>
  <c r="G29" i="1"/>
  <c r="I29" i="1"/>
  <c r="J29" i="1" s="1"/>
  <c r="L29" i="1"/>
  <c r="M29" i="1"/>
  <c r="N29" i="1"/>
  <c r="Q29" i="1"/>
  <c r="T29" i="1"/>
  <c r="U29" i="1"/>
  <c r="W29" i="1"/>
  <c r="Y29" i="1"/>
  <c r="AA29" i="1"/>
  <c r="AD29" i="1"/>
  <c r="D30" i="1"/>
  <c r="E30" i="1"/>
  <c r="G30" i="1"/>
  <c r="I30" i="1"/>
  <c r="J30" i="1" s="1"/>
  <c r="L30" i="1"/>
  <c r="M30" i="1"/>
  <c r="N30" i="1"/>
  <c r="Q30" i="1"/>
  <c r="T30" i="1"/>
  <c r="U30" i="1"/>
  <c r="W30" i="1"/>
  <c r="Y30" i="1"/>
  <c r="AA30" i="1"/>
  <c r="AD30" i="1"/>
  <c r="D31" i="1"/>
  <c r="E31" i="1"/>
  <c r="G31" i="1"/>
  <c r="I31" i="1"/>
  <c r="J31" i="1" s="1"/>
  <c r="L31" i="1"/>
  <c r="M31" i="1"/>
  <c r="N31" i="1"/>
  <c r="Q31" i="1"/>
  <c r="T31" i="1"/>
  <c r="U31" i="1"/>
  <c r="W31" i="1"/>
  <c r="Y31" i="1"/>
  <c r="AA31" i="1"/>
  <c r="AD31" i="1"/>
  <c r="D32" i="1"/>
  <c r="E32" i="1"/>
  <c r="G32" i="1"/>
  <c r="I32" i="1"/>
  <c r="J32" i="1" s="1"/>
  <c r="L32" i="1"/>
  <c r="M32" i="1"/>
  <c r="N32" i="1"/>
  <c r="Q32" i="1"/>
  <c r="T32" i="1"/>
  <c r="U32" i="1"/>
  <c r="W32" i="1"/>
  <c r="Y32" i="1"/>
  <c r="AA32" i="1"/>
  <c r="AD32" i="1"/>
  <c r="E33" i="1"/>
  <c r="D33" i="1"/>
  <c r="G33" i="1"/>
  <c r="I33" i="1"/>
  <c r="J33" i="1" s="1"/>
  <c r="L33" i="1"/>
  <c r="M33" i="1"/>
  <c r="N33" i="1"/>
  <c r="Q33" i="1"/>
  <c r="T33" i="1"/>
  <c r="U33" i="1"/>
  <c r="W33" i="1"/>
  <c r="Y33" i="1"/>
  <c r="AA33" i="1"/>
  <c r="AD33" i="1"/>
  <c r="E34" i="1"/>
  <c r="D34" i="1"/>
  <c r="G34" i="1"/>
  <c r="I34" i="1"/>
  <c r="J34" i="1" s="1"/>
  <c r="L34" i="1"/>
  <c r="M34" i="1"/>
  <c r="N34" i="1"/>
  <c r="Q34" i="1"/>
  <c r="T34" i="1"/>
  <c r="U34" i="1"/>
  <c r="W34" i="1"/>
  <c r="Y34" i="1"/>
  <c r="AA34" i="1"/>
  <c r="AD34" i="1"/>
  <c r="D35" i="1"/>
  <c r="E35" i="1"/>
  <c r="G35" i="1"/>
  <c r="I35" i="1"/>
  <c r="J35" i="1" s="1"/>
  <c r="L35" i="1"/>
  <c r="M35" i="1"/>
  <c r="N35" i="1"/>
  <c r="Q35" i="1"/>
  <c r="T35" i="1"/>
  <c r="U35" i="1"/>
  <c r="W35" i="1"/>
  <c r="Y35" i="1"/>
  <c r="AA35" i="1"/>
  <c r="AD35" i="1"/>
  <c r="D36" i="1"/>
  <c r="E36" i="1"/>
  <c r="G36" i="1"/>
  <c r="I36" i="1"/>
  <c r="J36" i="1" s="1"/>
  <c r="L36" i="1"/>
  <c r="M36" i="1"/>
  <c r="N36" i="1"/>
  <c r="Q36" i="1"/>
  <c r="T36" i="1"/>
  <c r="U36" i="1"/>
  <c r="W36" i="1"/>
  <c r="Y36" i="1"/>
  <c r="AA36" i="1"/>
  <c r="AD36" i="1"/>
  <c r="D37" i="1"/>
  <c r="G37" i="1"/>
  <c r="I37" i="1"/>
  <c r="J37" i="1" s="1"/>
  <c r="L37" i="1"/>
  <c r="M37" i="1"/>
  <c r="N37" i="1"/>
  <c r="Q37" i="1"/>
  <c r="T37" i="1"/>
  <c r="U37" i="1"/>
  <c r="W37" i="1"/>
  <c r="Y37" i="1"/>
  <c r="AA37" i="1"/>
  <c r="AD37" i="1"/>
  <c r="E38" i="1"/>
  <c r="D38" i="1"/>
  <c r="G38" i="1"/>
  <c r="I38" i="1"/>
  <c r="J38" i="1" s="1"/>
  <c r="L38" i="1"/>
  <c r="M38" i="1"/>
  <c r="N38" i="1"/>
  <c r="Q38" i="1"/>
  <c r="T38" i="1"/>
  <c r="U38" i="1"/>
  <c r="W38" i="1"/>
  <c r="Y38" i="1"/>
  <c r="AA38" i="1"/>
  <c r="AD38" i="1"/>
  <c r="D39" i="1"/>
  <c r="E39" i="1"/>
  <c r="G39" i="1"/>
  <c r="I39" i="1"/>
  <c r="J39" i="1" s="1"/>
  <c r="L39" i="1"/>
  <c r="M39" i="1"/>
  <c r="N39" i="1"/>
  <c r="Q39" i="1"/>
  <c r="T39" i="1"/>
  <c r="U39" i="1"/>
  <c r="W39" i="1"/>
  <c r="Y39" i="1"/>
  <c r="AA39" i="1"/>
  <c r="AD39" i="1"/>
  <c r="D40" i="1"/>
  <c r="E40" i="1"/>
  <c r="G40" i="1"/>
  <c r="I40" i="1"/>
  <c r="J40" i="1" s="1"/>
  <c r="L40" i="1"/>
  <c r="M40" i="1"/>
  <c r="N40" i="1"/>
  <c r="Q40" i="1"/>
  <c r="T40" i="1"/>
  <c r="U40" i="1"/>
  <c r="W40" i="1"/>
  <c r="Y40" i="1"/>
  <c r="AA40" i="1"/>
  <c r="AD40" i="1"/>
  <c r="E41" i="1"/>
  <c r="D41" i="1"/>
  <c r="G41" i="1"/>
  <c r="I41" i="1"/>
  <c r="J41" i="1" s="1"/>
  <c r="L41" i="1"/>
  <c r="M41" i="1"/>
  <c r="N41" i="1"/>
  <c r="Q41" i="1"/>
  <c r="T41" i="1"/>
  <c r="U41" i="1"/>
  <c r="W41" i="1"/>
  <c r="Y41" i="1"/>
  <c r="AA41" i="1"/>
  <c r="AD41" i="1"/>
  <c r="E42" i="1"/>
  <c r="D42" i="1"/>
  <c r="G42" i="1"/>
  <c r="I42" i="1"/>
  <c r="J42" i="1" s="1"/>
  <c r="L42" i="1"/>
  <c r="M42" i="1"/>
  <c r="N42" i="1"/>
  <c r="Q42" i="1"/>
  <c r="T42" i="1"/>
  <c r="U42" i="1"/>
  <c r="W42" i="1"/>
  <c r="Y42" i="1"/>
  <c r="AA42" i="1"/>
  <c r="AD42" i="1"/>
  <c r="D43" i="1"/>
  <c r="E43" i="1"/>
  <c r="G43" i="1"/>
  <c r="I43" i="1"/>
  <c r="J43" i="1" s="1"/>
  <c r="L43" i="1"/>
  <c r="M43" i="1"/>
  <c r="N43" i="1"/>
  <c r="Q43" i="1"/>
  <c r="T43" i="1"/>
  <c r="U43" i="1"/>
  <c r="W43" i="1"/>
  <c r="Y43" i="1"/>
  <c r="AA43" i="1"/>
  <c r="AD43" i="1"/>
  <c r="D44" i="1"/>
  <c r="E44" i="1"/>
  <c r="G44" i="1"/>
  <c r="I44" i="1"/>
  <c r="J44" i="1" s="1"/>
  <c r="L44" i="1"/>
  <c r="M44" i="1"/>
  <c r="N44" i="1"/>
  <c r="Q44" i="1"/>
  <c r="T44" i="1"/>
  <c r="U44" i="1"/>
  <c r="W44" i="1"/>
  <c r="Y44" i="1"/>
  <c r="AA44" i="1"/>
  <c r="AD44" i="1"/>
  <c r="D45" i="1"/>
  <c r="G45" i="1"/>
  <c r="I45" i="1"/>
  <c r="J45" i="1" s="1"/>
  <c r="L45" i="1"/>
  <c r="M45" i="1"/>
  <c r="N45" i="1"/>
  <c r="Q45" i="1"/>
  <c r="T45" i="1"/>
  <c r="U45" i="1"/>
  <c r="W45" i="1"/>
  <c r="Y45" i="1"/>
  <c r="AA45" i="1"/>
  <c r="AD45" i="1"/>
  <c r="E46" i="1"/>
  <c r="D46" i="1"/>
  <c r="G46" i="1"/>
  <c r="I46" i="1"/>
  <c r="J46" i="1" s="1"/>
  <c r="L46" i="1"/>
  <c r="M46" i="1"/>
  <c r="N46" i="1"/>
  <c r="Q46" i="1"/>
  <c r="T46" i="1"/>
  <c r="U46" i="1"/>
  <c r="W46" i="1"/>
  <c r="Y46" i="1"/>
  <c r="AA46" i="1"/>
  <c r="AD46" i="1"/>
  <c r="D47" i="1"/>
  <c r="E47" i="1"/>
  <c r="G47" i="1"/>
  <c r="I47" i="1"/>
  <c r="J47" i="1" s="1"/>
  <c r="L47" i="1"/>
  <c r="M47" i="1"/>
  <c r="N47" i="1"/>
  <c r="Q47" i="1"/>
  <c r="T47" i="1"/>
  <c r="U47" i="1"/>
  <c r="W47" i="1"/>
  <c r="Y47" i="1"/>
  <c r="AA47" i="1"/>
  <c r="AD47" i="1"/>
  <c r="D48" i="1"/>
  <c r="E48" i="1"/>
  <c r="G48" i="1"/>
  <c r="I48" i="1"/>
  <c r="J48" i="1" s="1"/>
  <c r="L48" i="1"/>
  <c r="M48" i="1"/>
  <c r="N48" i="1"/>
  <c r="Q48" i="1"/>
  <c r="T48" i="1"/>
  <c r="U48" i="1"/>
  <c r="W48" i="1"/>
  <c r="Y48" i="1"/>
  <c r="AA48" i="1"/>
  <c r="AD48" i="1"/>
  <c r="E49" i="1"/>
  <c r="D49" i="1"/>
  <c r="G49" i="1"/>
  <c r="I49" i="1"/>
  <c r="J49" i="1" s="1"/>
  <c r="L49" i="1"/>
  <c r="M49" i="1"/>
  <c r="N49" i="1"/>
  <c r="Q49" i="1"/>
  <c r="T49" i="1"/>
  <c r="U49" i="1"/>
  <c r="W49" i="1"/>
  <c r="Y49" i="1"/>
  <c r="AA49" i="1"/>
  <c r="AD49" i="1"/>
  <c r="E50" i="1"/>
  <c r="D50" i="1"/>
  <c r="G50" i="1"/>
  <c r="I50" i="1"/>
  <c r="J50" i="1" s="1"/>
  <c r="L50" i="1"/>
  <c r="M50" i="1"/>
  <c r="N50" i="1"/>
  <c r="Q50" i="1"/>
  <c r="T50" i="1"/>
  <c r="U50" i="1"/>
  <c r="W50" i="1"/>
  <c r="Y50" i="1"/>
  <c r="AA50" i="1"/>
  <c r="AD50" i="1"/>
  <c r="D51" i="1"/>
  <c r="E51" i="1"/>
  <c r="G51" i="1"/>
  <c r="I51" i="1"/>
  <c r="J51" i="1" s="1"/>
  <c r="L51" i="1"/>
  <c r="M51" i="1"/>
  <c r="N51" i="1"/>
  <c r="Q51" i="1"/>
  <c r="T51" i="1"/>
  <c r="U51" i="1"/>
  <c r="W51" i="1"/>
  <c r="Y51" i="1"/>
  <c r="AA51" i="1"/>
  <c r="AD51" i="1"/>
  <c r="D52" i="1"/>
  <c r="E52" i="1"/>
  <c r="G52" i="1"/>
  <c r="I52" i="1"/>
  <c r="J52" i="1" s="1"/>
  <c r="L52" i="1"/>
  <c r="M52" i="1"/>
  <c r="N52" i="1"/>
  <c r="Q52" i="1"/>
  <c r="T52" i="1"/>
  <c r="U52" i="1"/>
  <c r="W52" i="1"/>
  <c r="Y52" i="1"/>
  <c r="AA52" i="1"/>
  <c r="AD52" i="1"/>
  <c r="D53" i="1"/>
  <c r="G53" i="1"/>
  <c r="I53" i="1"/>
  <c r="J53" i="1" s="1"/>
  <c r="L53" i="1"/>
  <c r="M53" i="1"/>
  <c r="N53" i="1"/>
  <c r="Q53" i="1"/>
  <c r="T53" i="1"/>
  <c r="U53" i="1"/>
  <c r="W53" i="1"/>
  <c r="Y53" i="1"/>
  <c r="AA53" i="1"/>
  <c r="AD53" i="1"/>
  <c r="E54" i="1"/>
  <c r="D54" i="1"/>
  <c r="G54" i="1"/>
  <c r="I54" i="1"/>
  <c r="J54" i="1" s="1"/>
  <c r="L54" i="1"/>
  <c r="M54" i="1"/>
  <c r="N54" i="1"/>
  <c r="Q54" i="1"/>
  <c r="T54" i="1"/>
  <c r="U54" i="1"/>
  <c r="W54" i="1"/>
  <c r="Y54" i="1"/>
  <c r="AA54" i="1"/>
  <c r="AD54" i="1"/>
  <c r="D55" i="1"/>
  <c r="E55" i="1"/>
  <c r="G55" i="1"/>
  <c r="I55" i="1"/>
  <c r="J55" i="1" s="1"/>
  <c r="L55" i="1"/>
  <c r="M55" i="1"/>
  <c r="N55" i="1"/>
  <c r="Q55" i="1"/>
  <c r="T55" i="1"/>
  <c r="U55" i="1"/>
  <c r="W55" i="1"/>
  <c r="Y55" i="1"/>
  <c r="AA55" i="1"/>
  <c r="AD55" i="1"/>
  <c r="D56" i="1"/>
  <c r="E56" i="1"/>
  <c r="G56" i="1"/>
  <c r="I56" i="1"/>
  <c r="J56" i="1" s="1"/>
  <c r="L56" i="1"/>
  <c r="M56" i="1"/>
  <c r="N56" i="1"/>
  <c r="Q56" i="1"/>
  <c r="T56" i="1"/>
  <c r="U56" i="1"/>
  <c r="W56" i="1"/>
  <c r="Y56" i="1"/>
  <c r="AA56" i="1"/>
  <c r="AD56" i="1"/>
  <c r="E57" i="1"/>
  <c r="D57" i="1"/>
  <c r="G57" i="1"/>
  <c r="I57" i="1"/>
  <c r="J57" i="1" s="1"/>
  <c r="L57" i="1"/>
  <c r="M57" i="1"/>
  <c r="N57" i="1"/>
  <c r="Q57" i="1"/>
  <c r="T57" i="1"/>
  <c r="U57" i="1"/>
  <c r="W57" i="1"/>
  <c r="Y57" i="1"/>
  <c r="AA57" i="1"/>
  <c r="AD57" i="1"/>
  <c r="E58" i="1"/>
  <c r="D58" i="1"/>
  <c r="G58" i="1"/>
  <c r="I58" i="1"/>
  <c r="J58" i="1" s="1"/>
  <c r="L58" i="1"/>
  <c r="M58" i="1"/>
  <c r="N58" i="1"/>
  <c r="Q58" i="1"/>
  <c r="T58" i="1"/>
  <c r="U58" i="1"/>
  <c r="W58" i="1"/>
  <c r="Y58" i="1"/>
  <c r="AA58" i="1"/>
  <c r="AD58" i="1"/>
  <c r="D59" i="1"/>
  <c r="E59" i="1"/>
  <c r="G59" i="1"/>
  <c r="I59" i="1"/>
  <c r="J59" i="1" s="1"/>
  <c r="L59" i="1"/>
  <c r="M59" i="1"/>
  <c r="N59" i="1"/>
  <c r="Q59" i="1"/>
  <c r="T59" i="1"/>
  <c r="U59" i="1"/>
  <c r="W59" i="1"/>
  <c r="Y59" i="1"/>
  <c r="AA59" i="1"/>
  <c r="AD59" i="1"/>
  <c r="D60" i="1"/>
  <c r="E60" i="1"/>
  <c r="G60" i="1"/>
  <c r="I60" i="1"/>
  <c r="J60" i="1" s="1"/>
  <c r="L60" i="1"/>
  <c r="M60" i="1"/>
  <c r="N60" i="1"/>
  <c r="Q60" i="1"/>
  <c r="T60" i="1"/>
  <c r="U60" i="1"/>
  <c r="W60" i="1"/>
  <c r="Y60" i="1"/>
  <c r="AA60" i="1"/>
  <c r="AD60" i="1"/>
  <c r="D61" i="1"/>
  <c r="G61" i="1"/>
  <c r="I61" i="1"/>
  <c r="J61" i="1" s="1"/>
  <c r="L61" i="1"/>
  <c r="M61" i="1"/>
  <c r="N61" i="1"/>
  <c r="Q61" i="1"/>
  <c r="T61" i="1"/>
  <c r="U61" i="1"/>
  <c r="W61" i="1"/>
  <c r="Y61" i="1"/>
  <c r="AA61" i="1"/>
  <c r="AD61" i="1"/>
  <c r="E62" i="1"/>
  <c r="D62" i="1"/>
  <c r="G62" i="1"/>
  <c r="I62" i="1"/>
  <c r="J62" i="1" s="1"/>
  <c r="L62" i="1"/>
  <c r="M62" i="1"/>
  <c r="N62" i="1"/>
  <c r="Q62" i="1"/>
  <c r="T62" i="1"/>
  <c r="U62" i="1"/>
  <c r="W62" i="1"/>
  <c r="Y62" i="1"/>
  <c r="AA62" i="1"/>
  <c r="AD62" i="1"/>
  <c r="D63" i="1"/>
  <c r="E63" i="1"/>
  <c r="G63" i="1"/>
  <c r="I63" i="1"/>
  <c r="J63" i="1" s="1"/>
  <c r="L63" i="1"/>
  <c r="M63" i="1"/>
  <c r="N63" i="1"/>
  <c r="Q63" i="1"/>
  <c r="T63" i="1"/>
  <c r="U63" i="1"/>
  <c r="W63" i="1"/>
  <c r="Y63" i="1"/>
  <c r="AA63" i="1"/>
  <c r="AD63" i="1"/>
  <c r="D64" i="1"/>
  <c r="E64" i="1"/>
  <c r="G64" i="1"/>
  <c r="I64" i="1"/>
  <c r="J64" i="1" s="1"/>
  <c r="L64" i="1"/>
  <c r="M64" i="1"/>
  <c r="N64" i="1"/>
  <c r="Q64" i="1"/>
  <c r="T64" i="1"/>
  <c r="U64" i="1"/>
  <c r="W64" i="1"/>
  <c r="Y64" i="1"/>
  <c r="AA64" i="1"/>
  <c r="AD64" i="1"/>
  <c r="E65" i="1"/>
  <c r="D65" i="1"/>
  <c r="G65" i="1"/>
  <c r="I65" i="1"/>
  <c r="J65" i="1" s="1"/>
  <c r="L65" i="1"/>
  <c r="M65" i="1"/>
  <c r="N65" i="1"/>
  <c r="Q65" i="1"/>
  <c r="T65" i="1"/>
  <c r="U65" i="1"/>
  <c r="W65" i="1"/>
  <c r="Y65" i="1"/>
  <c r="AA65" i="1"/>
  <c r="AD65" i="1"/>
  <c r="E66" i="1"/>
  <c r="D66" i="1"/>
  <c r="G66" i="1"/>
  <c r="I66" i="1"/>
  <c r="J66" i="1" s="1"/>
  <c r="L66" i="1"/>
  <c r="M66" i="1"/>
  <c r="N66" i="1"/>
  <c r="Q66" i="1"/>
  <c r="T66" i="1"/>
  <c r="U66" i="1"/>
  <c r="W66" i="1"/>
  <c r="Y66" i="1"/>
  <c r="AA66" i="1"/>
  <c r="AD66" i="1"/>
  <c r="D67" i="1"/>
  <c r="E67" i="1"/>
  <c r="G67" i="1"/>
  <c r="I67" i="1"/>
  <c r="J67" i="1" s="1"/>
  <c r="L67" i="1"/>
  <c r="M67" i="1"/>
  <c r="N67" i="1"/>
  <c r="Q67" i="1"/>
  <c r="T67" i="1"/>
  <c r="U67" i="1"/>
  <c r="W67" i="1"/>
  <c r="Y67" i="1"/>
  <c r="AA67" i="1"/>
  <c r="AD67" i="1"/>
  <c r="D68" i="1"/>
  <c r="E68" i="1"/>
  <c r="G68" i="1"/>
  <c r="I68" i="1"/>
  <c r="J68" i="1" s="1"/>
  <c r="L68" i="1"/>
  <c r="M68" i="1"/>
  <c r="N68" i="1"/>
  <c r="Q68" i="1"/>
  <c r="T68" i="1"/>
  <c r="U68" i="1"/>
  <c r="W68" i="1"/>
  <c r="Y68" i="1"/>
  <c r="AA68" i="1"/>
  <c r="AD68" i="1"/>
  <c r="D69" i="1"/>
  <c r="G69" i="1"/>
  <c r="I69" i="1"/>
  <c r="J69" i="1" s="1"/>
  <c r="L69" i="1"/>
  <c r="M69" i="1"/>
  <c r="N69" i="1"/>
  <c r="Q69" i="1"/>
  <c r="T69" i="1"/>
  <c r="U69" i="1"/>
  <c r="W69" i="1"/>
  <c r="Y69" i="1"/>
  <c r="AA69" i="1"/>
  <c r="AD69" i="1"/>
  <c r="E70" i="1"/>
  <c r="D70" i="1"/>
  <c r="G70" i="1"/>
  <c r="I70" i="1"/>
  <c r="J70" i="1" s="1"/>
  <c r="L70" i="1"/>
  <c r="M70" i="1"/>
  <c r="N70" i="1"/>
  <c r="Q70" i="1"/>
  <c r="T70" i="1"/>
  <c r="U70" i="1"/>
  <c r="W70" i="1"/>
  <c r="Y70" i="1"/>
  <c r="AA70" i="1"/>
  <c r="AD70" i="1"/>
  <c r="D71" i="1"/>
  <c r="E71" i="1"/>
  <c r="G71" i="1"/>
  <c r="I71" i="1"/>
  <c r="J71" i="1" s="1"/>
  <c r="L71" i="1"/>
  <c r="M71" i="1"/>
  <c r="N71" i="1"/>
  <c r="Q71" i="1"/>
  <c r="T71" i="1"/>
  <c r="U71" i="1"/>
  <c r="W71" i="1"/>
  <c r="Y71" i="1"/>
  <c r="AA71" i="1"/>
  <c r="AD71" i="1"/>
  <c r="D72" i="1"/>
  <c r="E72" i="1"/>
  <c r="G72" i="1"/>
  <c r="I72" i="1"/>
  <c r="J72" i="1" s="1"/>
  <c r="L72" i="1"/>
  <c r="M72" i="1"/>
  <c r="N72" i="1"/>
  <c r="Q72" i="1"/>
  <c r="T72" i="1"/>
  <c r="U72" i="1"/>
  <c r="W72" i="1"/>
  <c r="Y72" i="1"/>
  <c r="AA72" i="1"/>
  <c r="AD72" i="1"/>
  <c r="E73" i="1"/>
  <c r="D73" i="1"/>
  <c r="G73" i="1"/>
  <c r="I73" i="1"/>
  <c r="J73" i="1" s="1"/>
  <c r="L73" i="1"/>
  <c r="M73" i="1"/>
  <c r="N73" i="1"/>
  <c r="Q73" i="1"/>
  <c r="T73" i="1"/>
  <c r="U73" i="1"/>
  <c r="W73" i="1"/>
  <c r="Y73" i="1"/>
  <c r="AA73" i="1"/>
  <c r="AD73" i="1"/>
  <c r="E74" i="1"/>
  <c r="D74" i="1"/>
  <c r="G74" i="1"/>
  <c r="I74" i="1"/>
  <c r="J74" i="1" s="1"/>
  <c r="L74" i="1"/>
  <c r="M74" i="1"/>
  <c r="N74" i="1"/>
  <c r="Q74" i="1"/>
  <c r="T74" i="1"/>
  <c r="U74" i="1"/>
  <c r="W74" i="1"/>
  <c r="Y74" i="1"/>
  <c r="AA74" i="1"/>
  <c r="AD74" i="1"/>
  <c r="D75" i="1"/>
  <c r="E75" i="1"/>
  <c r="G75" i="1"/>
  <c r="I75" i="1"/>
  <c r="J75" i="1" s="1"/>
  <c r="L75" i="1"/>
  <c r="M75" i="1"/>
  <c r="N75" i="1"/>
  <c r="Q75" i="1"/>
  <c r="T75" i="1"/>
  <c r="U75" i="1"/>
  <c r="W75" i="1"/>
  <c r="Y75" i="1"/>
  <c r="AA75" i="1"/>
  <c r="AD75" i="1"/>
  <c r="D76" i="1"/>
  <c r="E76" i="1"/>
  <c r="G76" i="1"/>
  <c r="I76" i="1"/>
  <c r="J76" i="1" s="1"/>
  <c r="L76" i="1"/>
  <c r="M76" i="1"/>
  <c r="N76" i="1"/>
  <c r="Q76" i="1"/>
  <c r="T76" i="1"/>
  <c r="U76" i="1"/>
  <c r="W76" i="1"/>
  <c r="Y76" i="1"/>
  <c r="AA76" i="1"/>
  <c r="AD76" i="1"/>
  <c r="D77" i="1"/>
  <c r="G77" i="1"/>
  <c r="I77" i="1"/>
  <c r="J77" i="1" s="1"/>
  <c r="L77" i="1"/>
  <c r="M77" i="1"/>
  <c r="N77" i="1"/>
  <c r="Q77" i="1"/>
  <c r="T77" i="1"/>
  <c r="U77" i="1"/>
  <c r="W77" i="1"/>
  <c r="Y77" i="1"/>
  <c r="AA77" i="1"/>
  <c r="AD77" i="1"/>
  <c r="E78" i="1"/>
  <c r="D78" i="1"/>
  <c r="G78" i="1"/>
  <c r="I78" i="1"/>
  <c r="J78" i="1" s="1"/>
  <c r="L78" i="1"/>
  <c r="M78" i="1"/>
  <c r="N78" i="1"/>
  <c r="Q78" i="1"/>
  <c r="T78" i="1"/>
  <c r="U78" i="1"/>
  <c r="W78" i="1"/>
  <c r="Y78" i="1"/>
  <c r="AA78" i="1"/>
  <c r="AD78" i="1"/>
  <c r="D79" i="1"/>
  <c r="E79" i="1"/>
  <c r="G79" i="1"/>
  <c r="I79" i="1"/>
  <c r="J79" i="1" s="1"/>
  <c r="L79" i="1"/>
  <c r="M79" i="1"/>
  <c r="N79" i="1"/>
  <c r="Q79" i="1"/>
  <c r="T79" i="1"/>
  <c r="U79" i="1"/>
  <c r="W79" i="1"/>
  <c r="Y79" i="1"/>
  <c r="AA79" i="1"/>
  <c r="AD79" i="1"/>
  <c r="D80" i="1"/>
  <c r="E80" i="1"/>
  <c r="G80" i="1"/>
  <c r="I80" i="1"/>
  <c r="J80" i="1" s="1"/>
  <c r="L80" i="1"/>
  <c r="M80" i="1"/>
  <c r="N80" i="1"/>
  <c r="Q80" i="1"/>
  <c r="T80" i="1"/>
  <c r="U80" i="1"/>
  <c r="W80" i="1"/>
  <c r="Y80" i="1"/>
  <c r="AA80" i="1"/>
  <c r="AD80" i="1"/>
  <c r="E81" i="1"/>
  <c r="D81" i="1"/>
  <c r="G81" i="1"/>
  <c r="I81" i="1"/>
  <c r="J81" i="1" s="1"/>
  <c r="L81" i="1"/>
  <c r="M81" i="1"/>
  <c r="N81" i="1"/>
  <c r="Q81" i="1"/>
  <c r="T81" i="1"/>
  <c r="U81" i="1"/>
  <c r="W81" i="1"/>
  <c r="Y81" i="1"/>
  <c r="AA81" i="1"/>
  <c r="AD81" i="1"/>
  <c r="E82" i="1"/>
  <c r="D82" i="1"/>
  <c r="G82" i="1"/>
  <c r="I82" i="1"/>
  <c r="J82" i="1" s="1"/>
  <c r="L82" i="1"/>
  <c r="M82" i="1"/>
  <c r="N82" i="1"/>
  <c r="Q82" i="1"/>
  <c r="T82" i="1"/>
  <c r="U82" i="1"/>
  <c r="W82" i="1"/>
  <c r="Y82" i="1"/>
  <c r="AA82" i="1"/>
  <c r="AD82" i="1"/>
  <c r="D83" i="1"/>
  <c r="E83" i="1"/>
  <c r="G83" i="1"/>
  <c r="I83" i="1"/>
  <c r="J83" i="1" s="1"/>
  <c r="L83" i="1"/>
  <c r="M83" i="1"/>
  <c r="N83" i="1"/>
  <c r="Q83" i="1"/>
  <c r="T83" i="1"/>
  <c r="U83" i="1"/>
  <c r="W83" i="1"/>
  <c r="Y83" i="1"/>
  <c r="AA83" i="1"/>
  <c r="AD83" i="1"/>
  <c r="D84" i="1"/>
  <c r="E84" i="1"/>
  <c r="G84" i="1"/>
  <c r="I84" i="1"/>
  <c r="J84" i="1" s="1"/>
  <c r="L84" i="1"/>
  <c r="M84" i="1"/>
  <c r="N84" i="1"/>
  <c r="Q84" i="1"/>
  <c r="T84" i="1"/>
  <c r="U84" i="1"/>
  <c r="W84" i="1"/>
  <c r="Y84" i="1"/>
  <c r="AA84" i="1"/>
  <c r="AD84" i="1"/>
  <c r="D85" i="1"/>
  <c r="G85" i="1"/>
  <c r="I85" i="1"/>
  <c r="J85" i="1" s="1"/>
  <c r="L85" i="1"/>
  <c r="M85" i="1"/>
  <c r="N85" i="1"/>
  <c r="Q85" i="1"/>
  <c r="T85" i="1"/>
  <c r="U85" i="1"/>
  <c r="W85" i="1"/>
  <c r="Y85" i="1"/>
  <c r="AA85" i="1"/>
  <c r="AD85" i="1"/>
  <c r="E86" i="1"/>
  <c r="D86" i="1"/>
  <c r="G86" i="1"/>
  <c r="I86" i="1"/>
  <c r="J86" i="1" s="1"/>
  <c r="L86" i="1"/>
  <c r="M86" i="1"/>
  <c r="N86" i="1"/>
  <c r="Q86" i="1"/>
  <c r="T86" i="1"/>
  <c r="U86" i="1"/>
  <c r="W86" i="1"/>
  <c r="Y86" i="1"/>
  <c r="AA86" i="1"/>
  <c r="AD86" i="1"/>
  <c r="D87" i="1"/>
  <c r="E87" i="1"/>
  <c r="G87" i="1"/>
  <c r="I87" i="1"/>
  <c r="J87" i="1" s="1"/>
  <c r="L87" i="1"/>
  <c r="M87" i="1"/>
  <c r="N87" i="1"/>
  <c r="Q87" i="1"/>
  <c r="T87" i="1"/>
  <c r="U87" i="1"/>
  <c r="W87" i="1"/>
  <c r="Y87" i="1"/>
  <c r="AA87" i="1"/>
  <c r="AD87" i="1"/>
  <c r="D88" i="1"/>
  <c r="E88" i="1"/>
  <c r="G88" i="1"/>
  <c r="I88" i="1"/>
  <c r="J88" i="1" s="1"/>
  <c r="L88" i="1"/>
  <c r="M88" i="1"/>
  <c r="N88" i="1"/>
  <c r="Q88" i="1"/>
  <c r="T88" i="1"/>
  <c r="U88" i="1"/>
  <c r="W88" i="1"/>
  <c r="Y88" i="1"/>
  <c r="AA88" i="1"/>
  <c r="AD88" i="1"/>
  <c r="E89" i="1"/>
  <c r="D89" i="1"/>
  <c r="G89" i="1"/>
  <c r="I89" i="1"/>
  <c r="J89" i="1" s="1"/>
  <c r="L89" i="1"/>
  <c r="M89" i="1"/>
  <c r="N89" i="1"/>
  <c r="Q89" i="1"/>
  <c r="T89" i="1"/>
  <c r="U89" i="1"/>
  <c r="W89" i="1"/>
  <c r="Y89" i="1"/>
  <c r="AA89" i="1"/>
  <c r="AD89" i="1"/>
  <c r="E90" i="1"/>
  <c r="D90" i="1"/>
  <c r="G90" i="1"/>
  <c r="I90" i="1"/>
  <c r="J90" i="1" s="1"/>
  <c r="L90" i="1"/>
  <c r="M90" i="1"/>
  <c r="N90" i="1"/>
  <c r="Q90" i="1"/>
  <c r="T90" i="1"/>
  <c r="U90" i="1"/>
  <c r="W90" i="1"/>
  <c r="Y90" i="1"/>
  <c r="AA90" i="1"/>
  <c r="AD90" i="1"/>
  <c r="E91" i="1"/>
  <c r="D91" i="1"/>
  <c r="G91" i="1"/>
  <c r="I91" i="1"/>
  <c r="J91" i="1"/>
  <c r="L91" i="1"/>
  <c r="M91" i="1"/>
  <c r="N91" i="1"/>
  <c r="Q91" i="1"/>
  <c r="T91" i="1"/>
  <c r="U91" i="1"/>
  <c r="W91" i="1"/>
  <c r="Y91" i="1"/>
  <c r="AA91" i="1"/>
  <c r="AD91" i="1"/>
  <c r="E92" i="1"/>
  <c r="D92" i="1"/>
  <c r="G92" i="1"/>
  <c r="I92" i="1"/>
  <c r="J92" i="1"/>
  <c r="L92" i="1"/>
  <c r="M92" i="1"/>
  <c r="N92" i="1"/>
  <c r="Q92" i="1"/>
  <c r="T92" i="1"/>
  <c r="U92" i="1"/>
  <c r="W92" i="1"/>
  <c r="Y92" i="1"/>
  <c r="AA92" i="1"/>
  <c r="AD92" i="1"/>
  <c r="D93" i="1"/>
  <c r="G93" i="1"/>
  <c r="I93" i="1"/>
  <c r="J93" i="1" s="1"/>
  <c r="L93" i="1"/>
  <c r="M93" i="1"/>
  <c r="N93" i="1"/>
  <c r="Q93" i="1"/>
  <c r="T93" i="1"/>
  <c r="U93" i="1"/>
  <c r="W93" i="1"/>
  <c r="Y93" i="1"/>
  <c r="AA93" i="1"/>
  <c r="AD93" i="1"/>
  <c r="E94" i="1"/>
  <c r="D94" i="1"/>
  <c r="G94" i="1"/>
  <c r="I94" i="1"/>
  <c r="J94" i="1" s="1"/>
  <c r="L94" i="1"/>
  <c r="M94" i="1"/>
  <c r="N94" i="1"/>
  <c r="Q94" i="1"/>
  <c r="T94" i="1"/>
  <c r="U94" i="1"/>
  <c r="W94" i="1"/>
  <c r="Y94" i="1"/>
  <c r="AA94" i="1"/>
  <c r="AD94" i="1"/>
  <c r="E95" i="1"/>
  <c r="D95" i="1"/>
  <c r="G95" i="1"/>
  <c r="I95" i="1"/>
  <c r="J95" i="1" s="1"/>
  <c r="L95" i="1"/>
  <c r="M95" i="1"/>
  <c r="N95" i="1"/>
  <c r="Q95" i="1"/>
  <c r="T95" i="1"/>
  <c r="U95" i="1"/>
  <c r="W95" i="1"/>
  <c r="Y95" i="1"/>
  <c r="AA95" i="1"/>
  <c r="AD95" i="1"/>
  <c r="D96" i="1"/>
  <c r="G96" i="1"/>
  <c r="I96" i="1"/>
  <c r="J96" i="1" s="1"/>
  <c r="L96" i="1"/>
  <c r="M96" i="1"/>
  <c r="N96" i="1"/>
  <c r="Q96" i="1"/>
  <c r="T96" i="1"/>
  <c r="U96" i="1"/>
  <c r="W96" i="1"/>
  <c r="Y96" i="1"/>
  <c r="AA96" i="1"/>
  <c r="AD96" i="1"/>
  <c r="E97" i="1"/>
  <c r="D97" i="1"/>
  <c r="G97" i="1"/>
  <c r="I97" i="1"/>
  <c r="J97" i="1" s="1"/>
  <c r="L97" i="1"/>
  <c r="M97" i="1"/>
  <c r="N97" i="1"/>
  <c r="Q97" i="1"/>
  <c r="T97" i="1"/>
  <c r="U97" i="1"/>
  <c r="W97" i="1"/>
  <c r="Y97" i="1"/>
  <c r="AA97" i="1"/>
  <c r="AD97" i="1"/>
  <c r="E98" i="1"/>
  <c r="D98" i="1"/>
  <c r="G98" i="1"/>
  <c r="I98" i="1"/>
  <c r="J98" i="1" s="1"/>
  <c r="L98" i="1"/>
  <c r="M98" i="1"/>
  <c r="N98" i="1"/>
  <c r="Q98" i="1"/>
  <c r="T98" i="1"/>
  <c r="U98" i="1"/>
  <c r="W98" i="1"/>
  <c r="Y98" i="1"/>
  <c r="AA98" i="1"/>
  <c r="AD98" i="1"/>
  <c r="E99" i="1"/>
  <c r="D99" i="1"/>
  <c r="G99" i="1"/>
  <c r="I99" i="1"/>
  <c r="J99" i="1" s="1"/>
  <c r="L99" i="1"/>
  <c r="M99" i="1"/>
  <c r="N99" i="1"/>
  <c r="Q99" i="1"/>
  <c r="T99" i="1"/>
  <c r="U99" i="1"/>
  <c r="W99" i="1"/>
  <c r="Y99" i="1"/>
  <c r="AA99" i="1"/>
  <c r="AD99" i="1"/>
  <c r="E100" i="1"/>
  <c r="D100" i="1"/>
  <c r="G100" i="1"/>
  <c r="I100" i="1"/>
  <c r="J100" i="1" s="1"/>
  <c r="L100" i="1"/>
  <c r="M100" i="1"/>
  <c r="N100" i="1"/>
  <c r="Q100" i="1"/>
  <c r="T100" i="1"/>
  <c r="U100" i="1"/>
  <c r="W100" i="1"/>
  <c r="Y100" i="1"/>
  <c r="AA100" i="1"/>
  <c r="AD100" i="1"/>
  <c r="D101" i="1"/>
  <c r="G101" i="1"/>
  <c r="I101" i="1"/>
  <c r="J101" i="1" s="1"/>
  <c r="L101" i="1"/>
  <c r="M101" i="1"/>
  <c r="N101" i="1"/>
  <c r="Q101" i="1"/>
  <c r="T101" i="1"/>
  <c r="U101" i="1"/>
  <c r="W101" i="1"/>
  <c r="Y101" i="1"/>
  <c r="AA101" i="1"/>
  <c r="AD101" i="1"/>
  <c r="E102" i="1"/>
  <c r="D102" i="1"/>
  <c r="G102" i="1"/>
  <c r="I102" i="1"/>
  <c r="J102" i="1" s="1"/>
  <c r="L102" i="1"/>
  <c r="M102" i="1"/>
  <c r="N102" i="1"/>
  <c r="Q102" i="1"/>
  <c r="T102" i="1"/>
  <c r="U102" i="1"/>
  <c r="W102" i="1"/>
  <c r="Y102" i="1"/>
  <c r="AA102" i="1"/>
  <c r="AD102" i="1"/>
  <c r="E103" i="1"/>
  <c r="D103" i="1"/>
  <c r="G103" i="1"/>
  <c r="I103" i="1"/>
  <c r="J103" i="1" s="1"/>
  <c r="L103" i="1"/>
  <c r="M103" i="1"/>
  <c r="N103" i="1"/>
  <c r="Q103" i="1"/>
  <c r="T103" i="1"/>
  <c r="U103" i="1"/>
  <c r="W103" i="1"/>
  <c r="Y103" i="1"/>
  <c r="AA103" i="1"/>
  <c r="AD103" i="1"/>
  <c r="E104" i="1"/>
  <c r="D104" i="1"/>
  <c r="G104" i="1"/>
  <c r="I104" i="1"/>
  <c r="J104" i="1" s="1"/>
  <c r="L104" i="1"/>
  <c r="M104" i="1"/>
  <c r="N104" i="1"/>
  <c r="Q104" i="1"/>
  <c r="T104" i="1"/>
  <c r="U104" i="1"/>
  <c r="W104" i="1"/>
  <c r="Y104" i="1"/>
  <c r="AA104" i="1"/>
  <c r="AD104" i="1"/>
  <c r="E105" i="1"/>
  <c r="D105" i="1"/>
  <c r="G105" i="1"/>
  <c r="I105" i="1"/>
  <c r="J105" i="1" s="1"/>
  <c r="L105" i="1"/>
  <c r="M105" i="1"/>
  <c r="N105" i="1"/>
  <c r="Q105" i="1"/>
  <c r="T105" i="1"/>
  <c r="U105" i="1"/>
  <c r="W105" i="1"/>
  <c r="Y105" i="1"/>
  <c r="AA105" i="1"/>
  <c r="AD105" i="1"/>
  <c r="E106" i="1"/>
  <c r="D106" i="1"/>
  <c r="G106" i="1"/>
  <c r="I106" i="1"/>
  <c r="J106" i="1" s="1"/>
  <c r="L106" i="1"/>
  <c r="M106" i="1"/>
  <c r="N106" i="1"/>
  <c r="Q106" i="1"/>
  <c r="T106" i="1"/>
  <c r="U106" i="1"/>
  <c r="W106" i="1"/>
  <c r="Y106" i="1"/>
  <c r="AA106" i="1"/>
  <c r="AD106" i="1"/>
  <c r="E107" i="1"/>
  <c r="D107" i="1"/>
  <c r="G107" i="1"/>
  <c r="I107" i="1"/>
  <c r="J107" i="1" s="1"/>
  <c r="L107" i="1"/>
  <c r="M107" i="1"/>
  <c r="N107" i="1"/>
  <c r="Q107" i="1"/>
  <c r="T107" i="1"/>
  <c r="U107" i="1"/>
  <c r="W107" i="1"/>
  <c r="Y107" i="1"/>
  <c r="AA107" i="1"/>
  <c r="AD107" i="1"/>
  <c r="E108" i="1"/>
  <c r="D108" i="1"/>
  <c r="G108" i="1"/>
  <c r="I108" i="1"/>
  <c r="J108" i="1" s="1"/>
  <c r="L108" i="1"/>
  <c r="M108" i="1"/>
  <c r="N108" i="1"/>
  <c r="Q108" i="1"/>
  <c r="T108" i="1"/>
  <c r="U108" i="1"/>
  <c r="W108" i="1"/>
  <c r="Y108" i="1"/>
  <c r="AA108" i="1"/>
  <c r="AD108" i="1"/>
  <c r="D109" i="1"/>
  <c r="G109" i="1"/>
  <c r="I109" i="1"/>
  <c r="J109" i="1" s="1"/>
  <c r="L109" i="1"/>
  <c r="M109" i="1"/>
  <c r="N109" i="1"/>
  <c r="Q109" i="1"/>
  <c r="T109" i="1"/>
  <c r="U109" i="1"/>
  <c r="W109" i="1"/>
  <c r="Y109" i="1"/>
  <c r="AA109" i="1"/>
  <c r="AD109" i="1"/>
  <c r="E110" i="1"/>
  <c r="D110" i="1"/>
  <c r="G110" i="1"/>
  <c r="I110" i="1"/>
  <c r="J110" i="1" s="1"/>
  <c r="L110" i="1"/>
  <c r="M110" i="1"/>
  <c r="N110" i="1"/>
  <c r="Q110" i="1"/>
  <c r="T110" i="1"/>
  <c r="U110" i="1"/>
  <c r="W110" i="1"/>
  <c r="Y110" i="1"/>
  <c r="AA110" i="1"/>
  <c r="AD110" i="1"/>
  <c r="E111" i="1"/>
  <c r="D111" i="1"/>
  <c r="G111" i="1"/>
  <c r="I111" i="1"/>
  <c r="J111" i="1" s="1"/>
  <c r="L111" i="1"/>
  <c r="M111" i="1"/>
  <c r="N111" i="1"/>
  <c r="Q111" i="1"/>
  <c r="T111" i="1"/>
  <c r="U111" i="1"/>
  <c r="W111" i="1"/>
  <c r="Y111" i="1"/>
  <c r="AA111" i="1"/>
  <c r="AD111" i="1"/>
  <c r="E112" i="1"/>
  <c r="D112" i="1"/>
  <c r="G112" i="1"/>
  <c r="I112" i="1"/>
  <c r="J112" i="1" s="1"/>
  <c r="L112" i="1"/>
  <c r="M112" i="1"/>
  <c r="N112" i="1"/>
  <c r="Q112" i="1"/>
  <c r="T112" i="1"/>
  <c r="U112" i="1"/>
  <c r="W112" i="1"/>
  <c r="Y112" i="1"/>
  <c r="AA112" i="1"/>
  <c r="AD112" i="1"/>
  <c r="E113" i="1"/>
  <c r="D113" i="1"/>
  <c r="G113" i="1"/>
  <c r="I113" i="1"/>
  <c r="J113" i="1" s="1"/>
  <c r="L113" i="1"/>
  <c r="M113" i="1"/>
  <c r="N113" i="1"/>
  <c r="Q113" i="1"/>
  <c r="T113" i="1"/>
  <c r="U113" i="1"/>
  <c r="W113" i="1"/>
  <c r="Y113" i="1"/>
  <c r="AA113" i="1"/>
  <c r="AD113" i="1"/>
  <c r="E114" i="1"/>
  <c r="D114" i="1"/>
  <c r="G114" i="1"/>
  <c r="I114" i="1"/>
  <c r="J114" i="1" s="1"/>
  <c r="L114" i="1"/>
  <c r="M114" i="1"/>
  <c r="N114" i="1"/>
  <c r="Q114" i="1"/>
  <c r="T114" i="1"/>
  <c r="U114" i="1"/>
  <c r="W114" i="1"/>
  <c r="Y114" i="1"/>
  <c r="AA114" i="1"/>
  <c r="AD114" i="1"/>
  <c r="E115" i="1"/>
  <c r="D115" i="1"/>
  <c r="G115" i="1"/>
  <c r="I115" i="1"/>
  <c r="J115" i="1" s="1"/>
  <c r="L115" i="1"/>
  <c r="M115" i="1"/>
  <c r="N115" i="1"/>
  <c r="Q115" i="1"/>
  <c r="T115" i="1"/>
  <c r="U115" i="1"/>
  <c r="W115" i="1"/>
  <c r="Y115" i="1"/>
  <c r="AA115" i="1"/>
  <c r="AD115" i="1"/>
  <c r="E116" i="1"/>
  <c r="D116" i="1"/>
  <c r="G116" i="1"/>
  <c r="I116" i="1"/>
  <c r="J116" i="1" s="1"/>
  <c r="L116" i="1"/>
  <c r="M116" i="1"/>
  <c r="N116" i="1"/>
  <c r="Q116" i="1"/>
  <c r="T116" i="1"/>
  <c r="U116" i="1"/>
  <c r="W116" i="1"/>
  <c r="Y116" i="1"/>
  <c r="AA116" i="1"/>
  <c r="AD116" i="1"/>
  <c r="D117" i="1"/>
  <c r="G117" i="1"/>
  <c r="I117" i="1"/>
  <c r="J117" i="1" s="1"/>
  <c r="L117" i="1"/>
  <c r="M117" i="1"/>
  <c r="N117" i="1"/>
  <c r="Q117" i="1"/>
  <c r="T117" i="1"/>
  <c r="U117" i="1"/>
  <c r="W117" i="1"/>
  <c r="Y117" i="1"/>
  <c r="AA117" i="1"/>
  <c r="AD117" i="1"/>
  <c r="E118" i="1"/>
  <c r="D118" i="1"/>
  <c r="G118" i="1"/>
  <c r="I118" i="1"/>
  <c r="J118" i="1" s="1"/>
  <c r="L118" i="1"/>
  <c r="M118" i="1"/>
  <c r="N118" i="1"/>
  <c r="Q118" i="1"/>
  <c r="T118" i="1"/>
  <c r="U118" i="1"/>
  <c r="W118" i="1"/>
  <c r="Y118" i="1"/>
  <c r="AA118" i="1"/>
  <c r="AD118" i="1"/>
  <c r="E119" i="1"/>
  <c r="D119" i="1"/>
  <c r="G119" i="1"/>
  <c r="I119" i="1"/>
  <c r="J119" i="1" s="1"/>
  <c r="L119" i="1"/>
  <c r="M119" i="1"/>
  <c r="N119" i="1"/>
  <c r="Q119" i="1"/>
  <c r="T119" i="1"/>
  <c r="U119" i="1"/>
  <c r="W119" i="1"/>
  <c r="Y119" i="1"/>
  <c r="AA119" i="1"/>
  <c r="AD119" i="1"/>
  <c r="E120" i="1"/>
  <c r="D120" i="1"/>
  <c r="G120" i="1"/>
  <c r="I120" i="1"/>
  <c r="J120" i="1" s="1"/>
  <c r="L120" i="1"/>
  <c r="M120" i="1"/>
  <c r="N120" i="1"/>
  <c r="Q120" i="1"/>
  <c r="T120" i="1"/>
  <c r="U120" i="1"/>
  <c r="W120" i="1"/>
  <c r="Y120" i="1"/>
  <c r="AA120" i="1"/>
  <c r="AD120" i="1"/>
  <c r="E121" i="1"/>
  <c r="D121" i="1"/>
  <c r="G121" i="1"/>
  <c r="I121" i="1"/>
  <c r="J121" i="1" s="1"/>
  <c r="L121" i="1"/>
  <c r="M121" i="1"/>
  <c r="N121" i="1"/>
  <c r="Q121" i="1"/>
  <c r="T121" i="1"/>
  <c r="U121" i="1"/>
  <c r="W121" i="1"/>
  <c r="Y121" i="1"/>
  <c r="AA121" i="1"/>
  <c r="AD121" i="1"/>
  <c r="E122" i="1"/>
  <c r="D122" i="1"/>
  <c r="G122" i="1"/>
  <c r="I122" i="1"/>
  <c r="J122" i="1" s="1"/>
  <c r="L122" i="1"/>
  <c r="M122" i="1"/>
  <c r="N122" i="1"/>
  <c r="Q122" i="1"/>
  <c r="T122" i="1"/>
  <c r="U122" i="1"/>
  <c r="W122" i="1"/>
  <c r="Y122" i="1"/>
  <c r="AA122" i="1"/>
  <c r="AD122" i="1"/>
  <c r="E123" i="1"/>
  <c r="D123" i="1"/>
  <c r="G123" i="1"/>
  <c r="I123" i="1"/>
  <c r="J123" i="1" s="1"/>
  <c r="L123" i="1"/>
  <c r="M123" i="1"/>
  <c r="N123" i="1"/>
  <c r="Q123" i="1"/>
  <c r="T123" i="1"/>
  <c r="U123" i="1"/>
  <c r="W123" i="1"/>
  <c r="Y123" i="1"/>
  <c r="AA123" i="1"/>
  <c r="AD123" i="1"/>
  <c r="E124" i="1"/>
  <c r="D124" i="1"/>
  <c r="G124" i="1"/>
  <c r="I124" i="1"/>
  <c r="J124" i="1" s="1"/>
  <c r="L124" i="1"/>
  <c r="M124" i="1"/>
  <c r="N124" i="1"/>
  <c r="Q124" i="1"/>
  <c r="T124" i="1"/>
  <c r="U124" i="1"/>
  <c r="W124" i="1"/>
  <c r="Y124" i="1"/>
  <c r="AA124" i="1"/>
  <c r="AD124" i="1"/>
  <c r="D125" i="1"/>
  <c r="G125" i="1"/>
  <c r="I125" i="1"/>
  <c r="J125" i="1" s="1"/>
  <c r="L125" i="1"/>
  <c r="M125" i="1"/>
  <c r="N125" i="1"/>
  <c r="Q125" i="1"/>
  <c r="T125" i="1"/>
  <c r="U125" i="1"/>
  <c r="W125" i="1"/>
  <c r="Y125" i="1"/>
  <c r="AA125" i="1"/>
  <c r="AD125" i="1"/>
  <c r="E126" i="1"/>
  <c r="D126" i="1"/>
  <c r="G126" i="1"/>
  <c r="I126" i="1"/>
  <c r="J126" i="1" s="1"/>
  <c r="L126" i="1"/>
  <c r="M126" i="1"/>
  <c r="N126" i="1"/>
  <c r="Q126" i="1"/>
  <c r="T126" i="1"/>
  <c r="U126" i="1"/>
  <c r="W126" i="1"/>
  <c r="Y126" i="1"/>
  <c r="AA126" i="1"/>
  <c r="AD126" i="1"/>
  <c r="E127" i="1"/>
  <c r="D127" i="1"/>
  <c r="G127" i="1"/>
  <c r="I127" i="1"/>
  <c r="J127" i="1" s="1"/>
  <c r="L127" i="1"/>
  <c r="M127" i="1"/>
  <c r="N127" i="1"/>
  <c r="Q127" i="1"/>
  <c r="T127" i="1"/>
  <c r="U127" i="1"/>
  <c r="W127" i="1"/>
  <c r="Y127" i="1"/>
  <c r="AA127" i="1"/>
  <c r="AD127" i="1"/>
  <c r="E128" i="1"/>
  <c r="D128" i="1"/>
  <c r="G128" i="1"/>
  <c r="I128" i="1"/>
  <c r="J128" i="1" s="1"/>
  <c r="L128" i="1"/>
  <c r="M128" i="1"/>
  <c r="N128" i="1"/>
  <c r="Q128" i="1"/>
  <c r="T128" i="1"/>
  <c r="U128" i="1"/>
  <c r="W128" i="1"/>
  <c r="Y128" i="1"/>
  <c r="AA128" i="1"/>
  <c r="AD128" i="1"/>
  <c r="E129" i="1"/>
  <c r="D129" i="1"/>
  <c r="G129" i="1"/>
  <c r="I129" i="1"/>
  <c r="J129" i="1" s="1"/>
  <c r="L129" i="1"/>
  <c r="M129" i="1"/>
  <c r="N129" i="1"/>
  <c r="Q129" i="1"/>
  <c r="T129" i="1"/>
  <c r="U129" i="1"/>
  <c r="W129" i="1"/>
  <c r="Y129" i="1"/>
  <c r="AA129" i="1"/>
  <c r="AD129" i="1"/>
  <c r="E130" i="1"/>
  <c r="D130" i="1"/>
  <c r="G130" i="1"/>
  <c r="I130" i="1"/>
  <c r="J130" i="1" s="1"/>
  <c r="L130" i="1"/>
  <c r="M130" i="1"/>
  <c r="N130" i="1"/>
  <c r="Q130" i="1"/>
  <c r="T130" i="1"/>
  <c r="U130" i="1"/>
  <c r="W130" i="1"/>
  <c r="Y130" i="1"/>
  <c r="AA130" i="1"/>
  <c r="AD130" i="1"/>
  <c r="E131" i="1"/>
  <c r="D131" i="1"/>
  <c r="G131" i="1"/>
  <c r="I131" i="1"/>
  <c r="J131" i="1" s="1"/>
  <c r="L131" i="1"/>
  <c r="M131" i="1"/>
  <c r="N131" i="1"/>
  <c r="Q131" i="1"/>
  <c r="T131" i="1"/>
  <c r="U131" i="1"/>
  <c r="W131" i="1"/>
  <c r="Y131" i="1"/>
  <c r="AA131" i="1"/>
  <c r="AD131" i="1"/>
  <c r="E132" i="1"/>
  <c r="D132" i="1"/>
  <c r="G132" i="1"/>
  <c r="I132" i="1"/>
  <c r="J132" i="1" s="1"/>
  <c r="L132" i="1"/>
  <c r="M132" i="1"/>
  <c r="N132" i="1"/>
  <c r="Q132" i="1"/>
  <c r="T132" i="1"/>
  <c r="U132" i="1"/>
  <c r="W132" i="1"/>
  <c r="Y132" i="1"/>
  <c r="AA132" i="1"/>
  <c r="AD132" i="1"/>
  <c r="D133" i="1"/>
  <c r="G133" i="1"/>
  <c r="I133" i="1"/>
  <c r="J133" i="1" s="1"/>
  <c r="L133" i="1"/>
  <c r="M133" i="1"/>
  <c r="N133" i="1"/>
  <c r="Q133" i="1"/>
  <c r="T133" i="1"/>
  <c r="U133" i="1"/>
  <c r="W133" i="1"/>
  <c r="Y133" i="1"/>
  <c r="AA133" i="1"/>
  <c r="AD133" i="1"/>
  <c r="E134" i="1"/>
  <c r="D134" i="1"/>
  <c r="G134" i="1"/>
  <c r="I134" i="1"/>
  <c r="J134" i="1" s="1"/>
  <c r="L134" i="1"/>
  <c r="M134" i="1"/>
  <c r="N134" i="1"/>
  <c r="Q134" i="1"/>
  <c r="T134" i="1"/>
  <c r="U134" i="1"/>
  <c r="W134" i="1"/>
  <c r="Y134" i="1"/>
  <c r="AA134" i="1"/>
  <c r="AD134" i="1"/>
  <c r="E135" i="1"/>
  <c r="D135" i="1"/>
  <c r="G135" i="1"/>
  <c r="I135" i="1"/>
  <c r="J135" i="1" s="1"/>
  <c r="L135" i="1"/>
  <c r="M135" i="1"/>
  <c r="N135" i="1"/>
  <c r="Q135" i="1"/>
  <c r="T135" i="1"/>
  <c r="U135" i="1"/>
  <c r="W135" i="1"/>
  <c r="Y135" i="1"/>
  <c r="AA135" i="1"/>
  <c r="AD135" i="1"/>
  <c r="E136" i="1"/>
  <c r="D136" i="1"/>
  <c r="G136" i="1"/>
  <c r="I136" i="1"/>
  <c r="J136" i="1" s="1"/>
  <c r="L136" i="1"/>
  <c r="M136" i="1"/>
  <c r="N136" i="1"/>
  <c r="Q136" i="1"/>
  <c r="T136" i="1"/>
  <c r="U136" i="1"/>
  <c r="W136" i="1"/>
  <c r="Y136" i="1"/>
  <c r="AA136" i="1"/>
  <c r="AD136" i="1"/>
  <c r="E137" i="1"/>
  <c r="D137" i="1"/>
  <c r="G137" i="1"/>
  <c r="I137" i="1"/>
  <c r="J137" i="1" s="1"/>
  <c r="L137" i="1"/>
  <c r="M137" i="1"/>
  <c r="N137" i="1"/>
  <c r="Q137" i="1"/>
  <c r="T137" i="1"/>
  <c r="U137" i="1"/>
  <c r="W137" i="1"/>
  <c r="Y137" i="1"/>
  <c r="AA137" i="1"/>
  <c r="AD137" i="1"/>
  <c r="E138" i="1"/>
  <c r="D138" i="1"/>
  <c r="G138" i="1"/>
  <c r="I138" i="1"/>
  <c r="J138" i="1" s="1"/>
  <c r="L138" i="1"/>
  <c r="M138" i="1"/>
  <c r="N138" i="1"/>
  <c r="Q138" i="1"/>
  <c r="T138" i="1"/>
  <c r="U138" i="1"/>
  <c r="W138" i="1"/>
  <c r="Y138" i="1"/>
  <c r="AA138" i="1"/>
  <c r="AD138" i="1"/>
  <c r="E139" i="1"/>
  <c r="D139" i="1"/>
  <c r="G139" i="1"/>
  <c r="I139" i="1"/>
  <c r="J139" i="1" s="1"/>
  <c r="L139" i="1"/>
  <c r="M139" i="1"/>
  <c r="N139" i="1"/>
  <c r="Q139" i="1"/>
  <c r="T139" i="1"/>
  <c r="U139" i="1"/>
  <c r="W139" i="1"/>
  <c r="Y139" i="1"/>
  <c r="AA139" i="1"/>
  <c r="AD139" i="1"/>
  <c r="E140" i="1"/>
  <c r="D140" i="1"/>
  <c r="G140" i="1"/>
  <c r="I140" i="1"/>
  <c r="J140" i="1" s="1"/>
  <c r="L140" i="1"/>
  <c r="M140" i="1"/>
  <c r="N140" i="1"/>
  <c r="Q140" i="1"/>
  <c r="T140" i="1"/>
  <c r="U140" i="1"/>
  <c r="W140" i="1"/>
  <c r="Y140" i="1"/>
  <c r="AA140" i="1"/>
  <c r="AD140" i="1"/>
  <c r="D141" i="1"/>
  <c r="G141" i="1"/>
  <c r="I141" i="1"/>
  <c r="J141" i="1" s="1"/>
  <c r="L141" i="1"/>
  <c r="M141" i="1"/>
  <c r="N141" i="1"/>
  <c r="Q141" i="1"/>
  <c r="T141" i="1"/>
  <c r="U141" i="1"/>
  <c r="W141" i="1"/>
  <c r="Y141" i="1"/>
  <c r="AA141" i="1"/>
  <c r="AD141" i="1"/>
  <c r="E142" i="1"/>
  <c r="D142" i="1"/>
  <c r="G142" i="1"/>
  <c r="I142" i="1"/>
  <c r="J142" i="1" s="1"/>
  <c r="L142" i="1"/>
  <c r="M142" i="1"/>
  <c r="N142" i="1"/>
  <c r="Q142" i="1"/>
  <c r="T142" i="1"/>
  <c r="U142" i="1"/>
  <c r="W142" i="1"/>
  <c r="Y142" i="1"/>
  <c r="AA142" i="1"/>
  <c r="AD142" i="1"/>
  <c r="E143" i="1"/>
  <c r="D143" i="1"/>
  <c r="G143" i="1"/>
  <c r="I143" i="1"/>
  <c r="J143" i="1" s="1"/>
  <c r="L143" i="1"/>
  <c r="M143" i="1"/>
  <c r="N143" i="1"/>
  <c r="Q143" i="1"/>
  <c r="T143" i="1"/>
  <c r="U143" i="1"/>
  <c r="W143" i="1"/>
  <c r="Y143" i="1"/>
  <c r="AA143" i="1"/>
  <c r="AD143" i="1"/>
  <c r="E144" i="1"/>
  <c r="D144" i="1"/>
  <c r="G144" i="1"/>
  <c r="I144" i="1"/>
  <c r="J144" i="1" s="1"/>
  <c r="L144" i="1"/>
  <c r="M144" i="1"/>
  <c r="N144" i="1"/>
  <c r="Q144" i="1"/>
  <c r="T144" i="1"/>
  <c r="U144" i="1"/>
  <c r="W144" i="1"/>
  <c r="Y144" i="1"/>
  <c r="AA144" i="1"/>
  <c r="AD144" i="1"/>
  <c r="E145" i="1"/>
  <c r="D145" i="1"/>
  <c r="G145" i="1"/>
  <c r="I145" i="1"/>
  <c r="J145" i="1" s="1"/>
  <c r="L145" i="1"/>
  <c r="M145" i="1"/>
  <c r="N145" i="1"/>
  <c r="Q145" i="1"/>
  <c r="T145" i="1"/>
  <c r="U145" i="1"/>
  <c r="W145" i="1"/>
  <c r="Y145" i="1"/>
  <c r="AA145" i="1"/>
  <c r="AD145" i="1"/>
  <c r="E146" i="1"/>
  <c r="D146" i="1"/>
  <c r="G146" i="1"/>
  <c r="I146" i="1"/>
  <c r="J146" i="1" s="1"/>
  <c r="L146" i="1"/>
  <c r="M146" i="1"/>
  <c r="N146" i="1"/>
  <c r="Q146" i="1"/>
  <c r="T146" i="1"/>
  <c r="U146" i="1"/>
  <c r="W146" i="1"/>
  <c r="Y146" i="1"/>
  <c r="AA146" i="1"/>
  <c r="AD146" i="1"/>
  <c r="E147" i="1"/>
  <c r="D147" i="1"/>
  <c r="G147" i="1"/>
  <c r="I147" i="1"/>
  <c r="J147" i="1" s="1"/>
  <c r="L147" i="1"/>
  <c r="M147" i="1"/>
  <c r="N147" i="1"/>
  <c r="Q147" i="1"/>
  <c r="T147" i="1"/>
  <c r="U147" i="1"/>
  <c r="W147" i="1"/>
  <c r="Y147" i="1"/>
  <c r="AA147" i="1"/>
  <c r="AD147" i="1"/>
  <c r="E148" i="1"/>
  <c r="D148" i="1"/>
  <c r="G148" i="1"/>
  <c r="I148" i="1"/>
  <c r="J148" i="1" s="1"/>
  <c r="L148" i="1"/>
  <c r="M148" i="1"/>
  <c r="N148" i="1"/>
  <c r="Q148" i="1"/>
  <c r="T148" i="1"/>
  <c r="U148" i="1"/>
  <c r="W148" i="1"/>
  <c r="Y148" i="1"/>
  <c r="AA148" i="1"/>
  <c r="AD148" i="1"/>
  <c r="D149" i="1"/>
  <c r="G149" i="1"/>
  <c r="I149" i="1"/>
  <c r="J149" i="1" s="1"/>
  <c r="L149" i="1"/>
  <c r="M149" i="1"/>
  <c r="N149" i="1"/>
  <c r="Q149" i="1"/>
  <c r="T149" i="1"/>
  <c r="U149" i="1"/>
  <c r="W149" i="1"/>
  <c r="Y149" i="1"/>
  <c r="AA149" i="1"/>
  <c r="AD149" i="1"/>
  <c r="E150" i="1"/>
  <c r="D150" i="1"/>
  <c r="G150" i="1"/>
  <c r="I150" i="1"/>
  <c r="J150" i="1" s="1"/>
  <c r="L150" i="1"/>
  <c r="M150" i="1"/>
  <c r="N150" i="1"/>
  <c r="Q150" i="1"/>
  <c r="T150" i="1"/>
  <c r="U150" i="1"/>
  <c r="W150" i="1"/>
  <c r="Y150" i="1"/>
  <c r="AA150" i="1"/>
  <c r="AD150" i="1"/>
  <c r="E151" i="1"/>
  <c r="D151" i="1"/>
  <c r="G151" i="1"/>
  <c r="I151" i="1"/>
  <c r="J151" i="1" s="1"/>
  <c r="L151" i="1"/>
  <c r="M151" i="1"/>
  <c r="N151" i="1"/>
  <c r="Q151" i="1"/>
  <c r="T151" i="1"/>
  <c r="U151" i="1"/>
  <c r="W151" i="1"/>
  <c r="Y151" i="1"/>
  <c r="AA151" i="1"/>
  <c r="AD151" i="1"/>
  <c r="E152" i="1"/>
  <c r="D152" i="1"/>
  <c r="G152" i="1"/>
  <c r="I152" i="1"/>
  <c r="J152" i="1" s="1"/>
  <c r="L152" i="1"/>
  <c r="M152" i="1"/>
  <c r="N152" i="1"/>
  <c r="Q152" i="1"/>
  <c r="T152" i="1"/>
  <c r="U152" i="1"/>
  <c r="W152" i="1"/>
  <c r="Y152" i="1"/>
  <c r="AA152" i="1"/>
  <c r="AD152" i="1"/>
  <c r="E153" i="1"/>
  <c r="D153" i="1"/>
  <c r="G153" i="1"/>
  <c r="I153" i="1"/>
  <c r="J153" i="1" s="1"/>
  <c r="L153" i="1"/>
  <c r="M153" i="1"/>
  <c r="N153" i="1"/>
  <c r="Q153" i="1"/>
  <c r="T153" i="1"/>
  <c r="U153" i="1"/>
  <c r="W153" i="1"/>
  <c r="Y153" i="1"/>
  <c r="AA153" i="1"/>
  <c r="AD153" i="1"/>
  <c r="E154" i="1"/>
  <c r="D154" i="1"/>
  <c r="G154" i="1"/>
  <c r="I154" i="1"/>
  <c r="J154" i="1" s="1"/>
  <c r="L154" i="1"/>
  <c r="M154" i="1"/>
  <c r="N154" i="1"/>
  <c r="Q154" i="1"/>
  <c r="T154" i="1"/>
  <c r="U154" i="1"/>
  <c r="W154" i="1"/>
  <c r="Y154" i="1"/>
  <c r="AA154" i="1"/>
  <c r="AD154" i="1"/>
  <c r="E155" i="1"/>
  <c r="D155" i="1"/>
  <c r="G155" i="1"/>
  <c r="I155" i="1"/>
  <c r="J155" i="1" s="1"/>
  <c r="L155" i="1"/>
  <c r="M155" i="1"/>
  <c r="N155" i="1"/>
  <c r="Q155" i="1"/>
  <c r="T155" i="1"/>
  <c r="U155" i="1"/>
  <c r="W155" i="1"/>
  <c r="Y155" i="1"/>
  <c r="AA155" i="1"/>
  <c r="AD155" i="1"/>
  <c r="E156" i="1"/>
  <c r="D156" i="1"/>
  <c r="G156" i="1"/>
  <c r="I156" i="1"/>
  <c r="J156" i="1" s="1"/>
  <c r="L156" i="1"/>
  <c r="M156" i="1"/>
  <c r="N156" i="1"/>
  <c r="Q156" i="1"/>
  <c r="T156" i="1"/>
  <c r="U156" i="1"/>
  <c r="W156" i="1"/>
  <c r="Y156" i="1"/>
  <c r="AA156" i="1"/>
  <c r="AD156" i="1"/>
  <c r="D157" i="1"/>
  <c r="G157" i="1"/>
  <c r="I157" i="1"/>
  <c r="J157" i="1" s="1"/>
  <c r="L157" i="1"/>
  <c r="M157" i="1"/>
  <c r="N157" i="1"/>
  <c r="Q157" i="1"/>
  <c r="T157" i="1"/>
  <c r="U157" i="1"/>
  <c r="W157" i="1"/>
  <c r="Y157" i="1"/>
  <c r="AA157" i="1"/>
  <c r="AD157" i="1"/>
  <c r="E158" i="1"/>
  <c r="D158" i="1"/>
  <c r="G158" i="1"/>
  <c r="I158" i="1"/>
  <c r="J158" i="1" s="1"/>
  <c r="L158" i="1"/>
  <c r="M158" i="1"/>
  <c r="N158" i="1"/>
  <c r="Q158" i="1"/>
  <c r="T158" i="1"/>
  <c r="U158" i="1"/>
  <c r="W158" i="1"/>
  <c r="Y158" i="1"/>
  <c r="AA158" i="1"/>
  <c r="AD158" i="1"/>
  <c r="E159" i="1"/>
  <c r="D159" i="1"/>
  <c r="G159" i="1"/>
  <c r="I159" i="1"/>
  <c r="J159" i="1" s="1"/>
  <c r="L159" i="1"/>
  <c r="M159" i="1"/>
  <c r="N159" i="1"/>
  <c r="Q159" i="1"/>
  <c r="T159" i="1"/>
  <c r="U159" i="1"/>
  <c r="W159" i="1"/>
  <c r="Y159" i="1"/>
  <c r="AA159" i="1"/>
  <c r="AD159" i="1"/>
  <c r="E160" i="1"/>
  <c r="D160" i="1"/>
  <c r="G160" i="1"/>
  <c r="I160" i="1"/>
  <c r="J160" i="1" s="1"/>
  <c r="L160" i="1"/>
  <c r="M160" i="1"/>
  <c r="N160" i="1"/>
  <c r="Q160" i="1"/>
  <c r="T160" i="1"/>
  <c r="U160" i="1"/>
  <c r="W160" i="1"/>
  <c r="Y160" i="1"/>
  <c r="AA160" i="1"/>
  <c r="AD160" i="1"/>
  <c r="E161" i="1"/>
  <c r="D161" i="1"/>
  <c r="G161" i="1"/>
  <c r="I161" i="1"/>
  <c r="J161" i="1" s="1"/>
  <c r="L161" i="1"/>
  <c r="M161" i="1"/>
  <c r="N161" i="1"/>
  <c r="Q161" i="1"/>
  <c r="T161" i="1"/>
  <c r="U161" i="1"/>
  <c r="W161" i="1"/>
  <c r="Y161" i="1"/>
  <c r="AA161" i="1"/>
  <c r="AD161" i="1"/>
  <c r="E162" i="1"/>
  <c r="D162" i="1"/>
  <c r="G162" i="1"/>
  <c r="I162" i="1"/>
  <c r="J162" i="1" s="1"/>
  <c r="L162" i="1"/>
  <c r="M162" i="1"/>
  <c r="N162" i="1"/>
  <c r="Q162" i="1"/>
  <c r="T162" i="1"/>
  <c r="U162" i="1"/>
  <c r="W162" i="1"/>
  <c r="Y162" i="1"/>
  <c r="AA162" i="1"/>
  <c r="AD162" i="1"/>
  <c r="E163" i="1"/>
  <c r="D163" i="1"/>
  <c r="G163" i="1"/>
  <c r="I163" i="1"/>
  <c r="J163" i="1" s="1"/>
  <c r="L163" i="1"/>
  <c r="M163" i="1"/>
  <c r="N163" i="1"/>
  <c r="Q163" i="1"/>
  <c r="T163" i="1"/>
  <c r="U163" i="1"/>
  <c r="W163" i="1"/>
  <c r="Y163" i="1"/>
  <c r="AA163" i="1"/>
  <c r="AD163" i="1"/>
  <c r="E164" i="1"/>
  <c r="D164" i="1"/>
  <c r="G164" i="1"/>
  <c r="I164" i="1"/>
  <c r="J164" i="1" s="1"/>
  <c r="L164" i="1"/>
  <c r="M164" i="1"/>
  <c r="N164" i="1"/>
  <c r="Q164" i="1"/>
  <c r="T164" i="1"/>
  <c r="U164" i="1"/>
  <c r="W164" i="1"/>
  <c r="Y164" i="1"/>
  <c r="AA164" i="1"/>
  <c r="AD164" i="1"/>
  <c r="D165" i="1"/>
  <c r="G165" i="1"/>
  <c r="I165" i="1"/>
  <c r="J165" i="1" s="1"/>
  <c r="L165" i="1"/>
  <c r="M165" i="1"/>
  <c r="N165" i="1"/>
  <c r="Q165" i="1"/>
  <c r="T165" i="1"/>
  <c r="U165" i="1"/>
  <c r="W165" i="1"/>
  <c r="Y165" i="1"/>
  <c r="AA165" i="1"/>
  <c r="AD165" i="1"/>
  <c r="E166" i="1"/>
  <c r="D166" i="1"/>
  <c r="G166" i="1"/>
  <c r="I166" i="1"/>
  <c r="J166" i="1" s="1"/>
  <c r="L166" i="1"/>
  <c r="M166" i="1"/>
  <c r="N166" i="1"/>
  <c r="Q166" i="1"/>
  <c r="T166" i="1"/>
  <c r="U166" i="1"/>
  <c r="W166" i="1"/>
  <c r="Y166" i="1"/>
  <c r="AA166" i="1"/>
  <c r="AD166" i="1"/>
  <c r="E167" i="1"/>
  <c r="D167" i="1"/>
  <c r="G167" i="1"/>
  <c r="I167" i="1"/>
  <c r="J167" i="1" s="1"/>
  <c r="L167" i="1"/>
  <c r="M167" i="1"/>
  <c r="N167" i="1"/>
  <c r="Q167" i="1"/>
  <c r="T167" i="1"/>
  <c r="U167" i="1"/>
  <c r="W167" i="1"/>
  <c r="Y167" i="1"/>
  <c r="AA167" i="1"/>
  <c r="AD167" i="1"/>
  <c r="E168" i="1"/>
  <c r="D168" i="1"/>
  <c r="G168" i="1"/>
  <c r="I168" i="1"/>
  <c r="J168" i="1" s="1"/>
  <c r="L168" i="1"/>
  <c r="M168" i="1"/>
  <c r="N168" i="1"/>
  <c r="Q168" i="1"/>
  <c r="T168" i="1"/>
  <c r="U168" i="1"/>
  <c r="W168" i="1"/>
  <c r="Y168" i="1"/>
  <c r="AA168" i="1"/>
  <c r="AD168" i="1"/>
  <c r="E169" i="1"/>
  <c r="D169" i="1"/>
  <c r="G169" i="1"/>
  <c r="I169" i="1"/>
  <c r="J169" i="1" s="1"/>
  <c r="L169" i="1"/>
  <c r="M169" i="1"/>
  <c r="N169" i="1"/>
  <c r="Q169" i="1"/>
  <c r="T169" i="1"/>
  <c r="U169" i="1"/>
  <c r="W169" i="1"/>
  <c r="Y169" i="1"/>
  <c r="AA169" i="1"/>
  <c r="AD169" i="1"/>
  <c r="E170" i="1"/>
  <c r="D170" i="1"/>
  <c r="G170" i="1"/>
  <c r="I170" i="1"/>
  <c r="J170" i="1" s="1"/>
  <c r="L170" i="1"/>
  <c r="M170" i="1"/>
  <c r="N170" i="1"/>
  <c r="Q170" i="1"/>
  <c r="T170" i="1"/>
  <c r="U170" i="1"/>
  <c r="W170" i="1"/>
  <c r="Y170" i="1"/>
  <c r="AA170" i="1"/>
  <c r="AD170" i="1"/>
  <c r="E171" i="1"/>
  <c r="D171" i="1"/>
  <c r="G171" i="1"/>
  <c r="I171" i="1"/>
  <c r="J171" i="1" s="1"/>
  <c r="L171" i="1"/>
  <c r="M171" i="1"/>
  <c r="N171" i="1"/>
  <c r="Q171" i="1"/>
  <c r="T171" i="1"/>
  <c r="U171" i="1"/>
  <c r="W171" i="1"/>
  <c r="Y171" i="1"/>
  <c r="AA171" i="1"/>
  <c r="AD171" i="1"/>
  <c r="E172" i="1"/>
  <c r="D172" i="1"/>
  <c r="G172" i="1"/>
  <c r="I172" i="1"/>
  <c r="J172" i="1" s="1"/>
  <c r="L172" i="1"/>
  <c r="M172" i="1"/>
  <c r="N172" i="1"/>
  <c r="Q172" i="1"/>
  <c r="T172" i="1"/>
  <c r="U172" i="1"/>
  <c r="W172" i="1"/>
  <c r="Y172" i="1"/>
  <c r="AA172" i="1"/>
  <c r="AD172" i="1"/>
</calcChain>
</file>

<file path=xl/sharedStrings.xml><?xml version="1.0" encoding="utf-8"?>
<sst xmlns="http://schemas.openxmlformats.org/spreadsheetml/2006/main" count="49" uniqueCount="48">
  <si>
    <t>Perfil</t>
  </si>
  <si>
    <t>ES00 Solar CSP</t>
  </si>
  <si>
    <t>ES00 Solar PV Utility</t>
  </si>
  <si>
    <t>Perfil FR RoR</t>
  </si>
  <si>
    <t>Generación FR RoR</t>
  </si>
  <si>
    <t>Perfil PT RoR</t>
  </si>
  <si>
    <t>Generación PT RoR</t>
  </si>
  <si>
    <t>Perfil ES RoR</t>
  </si>
  <si>
    <t>Generation ES Run of River</t>
  </si>
  <si>
    <t>Perfil MA Low Band</t>
  </si>
  <si>
    <t>Perfil MA High Band</t>
  </si>
  <si>
    <t>Gen. MA Low Band</t>
  </si>
  <si>
    <t xml:space="preserve"> Generation MA High Band</t>
  </si>
  <si>
    <t>ESh2 Total Demand</t>
  </si>
  <si>
    <t>ESh2 demand</t>
  </si>
  <si>
    <t>ESh2 e-liquids</t>
  </si>
  <si>
    <t>Perfil Generación FRh2SW</t>
  </si>
  <si>
    <t>Demanda FRh2</t>
  </si>
  <si>
    <t>Line Flow FRh2-FRh2S</t>
  </si>
  <si>
    <t>Line Flow  FRh2S-FRh2SW</t>
  </si>
  <si>
    <t>Line Flow ESh2-FRh2SW</t>
  </si>
  <si>
    <t>Perfil Generación</t>
  </si>
  <si>
    <t>Demanda FR00</t>
  </si>
  <si>
    <t>Line.Flow ES00-FR00</t>
  </si>
  <si>
    <t>Horas</t>
  </si>
  <si>
    <t>Demasiado bajo mejor nos quedamos con el que teníamos</t>
  </si>
  <si>
    <t>pq no cambiar el perfil de MA de generación como el procedimiento que está en FR.</t>
  </si>
  <si>
    <t>Installed Capacity</t>
  </si>
  <si>
    <t>Capacidad Instalada</t>
  </si>
  <si>
    <t xml:space="preserve">ES Solar </t>
  </si>
  <si>
    <t>FR Run of River</t>
  </si>
  <si>
    <t>PT Run of River</t>
  </si>
  <si>
    <t>ES Run of River</t>
  </si>
  <si>
    <t>MA Low Band</t>
  </si>
  <si>
    <t>MA High Band</t>
  </si>
  <si>
    <t>FRh2S-FRh2SW</t>
  </si>
  <si>
    <t>FRh2S-FRh2</t>
  </si>
  <si>
    <t>Irun Larrau</t>
  </si>
  <si>
    <t>BarMar</t>
  </si>
  <si>
    <t>ES00-FR00</t>
  </si>
  <si>
    <t>Generación FR00</t>
  </si>
  <si>
    <t>Demanda FRh2SW</t>
  </si>
  <si>
    <t>Generación FRh2SW</t>
  </si>
  <si>
    <t>Generación FRh2</t>
  </si>
  <si>
    <t>Storage Discharge FRh2S</t>
  </si>
  <si>
    <t>Storage Charge FRh2S</t>
  </si>
  <si>
    <t>Storage Discharge FRh2SW</t>
  </si>
  <si>
    <t>Storage Charge FRh2SW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</si>
</sst>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0" tint="-0.499984740745262"/>
      <name val="Tahoma"/>
      <family val="2"/>
    </font>
    <font>
      <i/>
      <u/>
      <sz val="11"/>
      <color theme="1"/>
      <name val="Tahoma"/>
      <family val="2"/>
    </font>
    <font>
      <i/>
      <sz val="11"/>
      <color theme="0" tint="-0.499984740745262"/>
      <name val="Tahoma"/>
      <family val="2"/>
    </font>
    <font>
      <b/>
      <sz val="11"/>
      <color theme="1"/>
      <name val="Tahoma"/>
      <family val="2"/>
    </font>
    <font>
      <sz val="11"/>
      <color rgb="FF0070C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4" fillId="2" borderId="0" xfId="0" applyFont="1" applyFill="1"/>
    <xf numFmtId="0" fontId="5" fillId="2" borderId="0" xfId="0" applyFont="1" applyFill="1"/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Generación vs Demanda FR00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'Datos Benchmarking'!$C$4</c:f>
              <c:strCache>
                <c:ptCount val="1"/>
                <c:pt idx="0">
                  <c:v>Generación FR00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Benchmarking'!$C$5:$C$172</c:f>
              <c:numCache>
                <c:formatCode>General</c:formatCode>
                <c:ptCount val="168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-5000</c:v>
                </c:pt>
                <c:pt idx="35">
                  <c:v>0</c:v>
                </c:pt>
                <c:pt idx="36">
                  <c:v>0</c:v>
                </c:pt>
                <c:pt idx="37">
                  <c:v>-1024.6925293199999</c:v>
                </c:pt>
                <c:pt idx="38">
                  <c:v>-2020.1101721099999</c:v>
                </c:pt>
                <c:pt idx="39">
                  <c:v>-3682.2798601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-5000</c:v>
                </c:pt>
                <c:pt idx="59">
                  <c:v>-5000</c:v>
                </c:pt>
                <c:pt idx="60">
                  <c:v>-5000</c:v>
                </c:pt>
                <c:pt idx="61">
                  <c:v>-5000</c:v>
                </c:pt>
                <c:pt idx="62">
                  <c:v>-5000</c:v>
                </c:pt>
                <c:pt idx="63">
                  <c:v>-5000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C-49F1-8E2C-37FD996ECAC3}"/>
            </c:ext>
          </c:extLst>
        </c:ser>
        <c:ser>
          <c:idx val="1"/>
          <c:order val="1"/>
          <c:tx>
            <c:strRef>
              <c:f>'Datos Benchmarking'!$D$4</c:f>
              <c:strCache>
                <c:ptCount val="1"/>
                <c:pt idx="0">
                  <c:v>Demanda FR00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Benchmarking'!$D$5:$D$172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C-49F1-8E2C-37FD996E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56320"/>
        <c:axId val="1042653440"/>
      </c:areaChart>
      <c:catAx>
        <c:axId val="1042656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3440"/>
        <c:crosses val="autoZero"/>
        <c:auto val="1"/>
        <c:lblAlgn val="ctr"/>
        <c:lblOffset val="100"/>
        <c:noMultiLvlLbl val="0"/>
      </c:catAx>
      <c:valAx>
        <c:axId val="1042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ES" sz="1400" b="1">
                <a:solidFill>
                  <a:schemeClr val="bg2">
                    <a:lumMod val="50000"/>
                  </a:schemeClr>
                </a:solidFill>
              </a:rPr>
              <a:t>Generación vs Demanda FRh2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'Datos Benchmarking'!$L$4</c:f>
              <c:strCache>
                <c:ptCount val="1"/>
                <c:pt idx="0">
                  <c:v>Generación FRh2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68.184797750000001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175.14902681000001</c:v>
                </c:pt>
                <c:pt idx="69">
                  <c:v>1219.5891448899999</c:v>
                </c:pt>
                <c:pt idx="70">
                  <c:v>2264.0292629800001</c:v>
                </c:pt>
                <c:pt idx="71">
                  <c:v>1982.3732839500001</c:v>
                </c:pt>
                <c:pt idx="72">
                  <c:v>1859.63639734</c:v>
                </c:pt>
                <c:pt idx="73">
                  <c:v>1812.7316673400001</c:v>
                </c:pt>
                <c:pt idx="74">
                  <c:v>1661.3880673399999</c:v>
                </c:pt>
                <c:pt idx="75">
                  <c:v>1440.95081734</c:v>
                </c:pt>
                <c:pt idx="76">
                  <c:v>1147.9433901</c:v>
                </c:pt>
                <c:pt idx="77">
                  <c:v>281.75628548999998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B-4053-A378-62AB10182EB5}"/>
            </c:ext>
          </c:extLst>
        </c:ser>
        <c:ser>
          <c:idx val="1"/>
          <c:order val="1"/>
          <c:tx>
            <c:strRef>
              <c:f>'Datos Benchmarking'!$M$4</c:f>
              <c:strCache>
                <c:ptCount val="1"/>
                <c:pt idx="0">
                  <c:v>Demanda FRh2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Benchmarking'!$M$5:$M$172</c:f>
              <c:numCache>
                <c:formatCode>General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3645.8807808299998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2856.033394</c:v>
                </c:pt>
                <c:pt idx="43">
                  <c:v>1811.5932759100001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174.87043702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0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B-4053-A378-62AB10182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682512"/>
        <c:axId val="2119683472"/>
      </c:areaChart>
      <c:catAx>
        <c:axId val="21196825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2119683472"/>
        <c:crosses val="autoZero"/>
        <c:auto val="1"/>
        <c:lblAlgn val="ctr"/>
        <c:lblOffset val="100"/>
        <c:noMultiLvlLbl val="0"/>
      </c:catAx>
      <c:valAx>
        <c:axId val="21196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211968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ES" sz="1400" b="1">
                <a:solidFill>
                  <a:schemeClr val="bg2">
                    <a:lumMod val="50000"/>
                  </a:schemeClr>
                </a:solidFill>
              </a:rPr>
              <a:t>Generación vs Demanda FRh2SW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'Datos Benchmarking'!$I$4</c:f>
              <c:strCache>
                <c:ptCount val="1"/>
                <c:pt idx="0">
                  <c:v>Generación FRh2SW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Benchmarking'!$H$5:$H$172</c:f>
              <c:numCache>
                <c:formatCode>General</c:formatCode>
                <c:ptCount val="168"/>
                <c:pt idx="0">
                  <c:v>-1553.672292</c:v>
                </c:pt>
                <c:pt idx="1">
                  <c:v>-1553.672292</c:v>
                </c:pt>
                <c:pt idx="2">
                  <c:v>-1553.672292</c:v>
                </c:pt>
                <c:pt idx="3">
                  <c:v>-1553.672292</c:v>
                </c:pt>
                <c:pt idx="4">
                  <c:v>-1553.672292</c:v>
                </c:pt>
                <c:pt idx="5">
                  <c:v>-1553.672292</c:v>
                </c:pt>
                <c:pt idx="6">
                  <c:v>-1553.672292</c:v>
                </c:pt>
                <c:pt idx="7">
                  <c:v>-1553.672292</c:v>
                </c:pt>
                <c:pt idx="8">
                  <c:v>-1553.672292</c:v>
                </c:pt>
                <c:pt idx="9">
                  <c:v>-1553.672292</c:v>
                </c:pt>
                <c:pt idx="10">
                  <c:v>-1553.672292</c:v>
                </c:pt>
                <c:pt idx="11">
                  <c:v>-1521.4124100900001</c:v>
                </c:pt>
                <c:pt idx="12">
                  <c:v>-504.93229200000002</c:v>
                </c:pt>
                <c:pt idx="13">
                  <c:v>-757.72198806999995</c:v>
                </c:pt>
                <c:pt idx="14">
                  <c:v>-1521.4124100900001</c:v>
                </c:pt>
                <c:pt idx="15">
                  <c:v>-1553.672292</c:v>
                </c:pt>
                <c:pt idx="16">
                  <c:v>-1553.672292</c:v>
                </c:pt>
                <c:pt idx="17">
                  <c:v>-1553.672292</c:v>
                </c:pt>
                <c:pt idx="18">
                  <c:v>-1553.672292</c:v>
                </c:pt>
                <c:pt idx="19">
                  <c:v>-1553.672292</c:v>
                </c:pt>
                <c:pt idx="20">
                  <c:v>-1553.672292</c:v>
                </c:pt>
                <c:pt idx="21">
                  <c:v>-1553.672292</c:v>
                </c:pt>
                <c:pt idx="22">
                  <c:v>-1553.672292</c:v>
                </c:pt>
                <c:pt idx="23">
                  <c:v>-1553.672292</c:v>
                </c:pt>
                <c:pt idx="24">
                  <c:v>-1553.672292</c:v>
                </c:pt>
                <c:pt idx="25">
                  <c:v>-1553.672292</c:v>
                </c:pt>
                <c:pt idx="26">
                  <c:v>-1553.672292</c:v>
                </c:pt>
                <c:pt idx="27">
                  <c:v>-1553.672292</c:v>
                </c:pt>
                <c:pt idx="28">
                  <c:v>-1553.672292</c:v>
                </c:pt>
                <c:pt idx="29">
                  <c:v>-1553.672292</c:v>
                </c:pt>
                <c:pt idx="30">
                  <c:v>-1553.672292</c:v>
                </c:pt>
                <c:pt idx="31">
                  <c:v>-1553.672292</c:v>
                </c:pt>
                <c:pt idx="32">
                  <c:v>-1553.672292</c:v>
                </c:pt>
                <c:pt idx="33">
                  <c:v>-1553.672292</c:v>
                </c:pt>
                <c:pt idx="34">
                  <c:v>-1553.672292</c:v>
                </c:pt>
                <c:pt idx="35">
                  <c:v>-1553.672292</c:v>
                </c:pt>
                <c:pt idx="36">
                  <c:v>-702.95252817000005</c:v>
                </c:pt>
                <c:pt idx="37">
                  <c:v>-1492.3400330899999</c:v>
                </c:pt>
                <c:pt idx="38">
                  <c:v>-1553.672292</c:v>
                </c:pt>
                <c:pt idx="39">
                  <c:v>-1553.672292</c:v>
                </c:pt>
                <c:pt idx="40">
                  <c:v>-1553.672292</c:v>
                </c:pt>
                <c:pt idx="41">
                  <c:v>-1553.672292</c:v>
                </c:pt>
                <c:pt idx="42">
                  <c:v>-1553.672292</c:v>
                </c:pt>
                <c:pt idx="43">
                  <c:v>-1553.672292</c:v>
                </c:pt>
                <c:pt idx="44">
                  <c:v>-1553.672292</c:v>
                </c:pt>
                <c:pt idx="45">
                  <c:v>-1553.672292</c:v>
                </c:pt>
                <c:pt idx="46">
                  <c:v>-1553.672292</c:v>
                </c:pt>
                <c:pt idx="47">
                  <c:v>-1553.672292</c:v>
                </c:pt>
                <c:pt idx="48">
                  <c:v>-1553.672292</c:v>
                </c:pt>
                <c:pt idx="49">
                  <c:v>-1553.672292</c:v>
                </c:pt>
                <c:pt idx="50">
                  <c:v>-1553.672292</c:v>
                </c:pt>
                <c:pt idx="51">
                  <c:v>-1553.672292</c:v>
                </c:pt>
                <c:pt idx="52">
                  <c:v>-1553.672292</c:v>
                </c:pt>
                <c:pt idx="53">
                  <c:v>-1553.672292</c:v>
                </c:pt>
                <c:pt idx="54">
                  <c:v>-1553.672292</c:v>
                </c:pt>
                <c:pt idx="55">
                  <c:v>-1553.672292</c:v>
                </c:pt>
                <c:pt idx="56">
                  <c:v>-1553.672292</c:v>
                </c:pt>
                <c:pt idx="57">
                  <c:v>-1553.672292</c:v>
                </c:pt>
                <c:pt idx="58">
                  <c:v>-1553.672292</c:v>
                </c:pt>
                <c:pt idx="59">
                  <c:v>-1553.672292</c:v>
                </c:pt>
                <c:pt idx="60">
                  <c:v>-1553.672292</c:v>
                </c:pt>
                <c:pt idx="61">
                  <c:v>-1553.672292</c:v>
                </c:pt>
                <c:pt idx="62">
                  <c:v>-1553.672292</c:v>
                </c:pt>
                <c:pt idx="63">
                  <c:v>-1553.672292</c:v>
                </c:pt>
                <c:pt idx="64">
                  <c:v>-1553.672292</c:v>
                </c:pt>
                <c:pt idx="65">
                  <c:v>-1553.672292</c:v>
                </c:pt>
                <c:pt idx="66">
                  <c:v>-902.91521667999996</c:v>
                </c:pt>
                <c:pt idx="67">
                  <c:v>-969.38497426000004</c:v>
                </c:pt>
                <c:pt idx="68">
                  <c:v>-1553.672292</c:v>
                </c:pt>
                <c:pt idx="69">
                  <c:v>-1553.672292</c:v>
                </c:pt>
                <c:pt idx="70">
                  <c:v>-1553.672292</c:v>
                </c:pt>
                <c:pt idx="71">
                  <c:v>-1553.672292</c:v>
                </c:pt>
                <c:pt idx="72">
                  <c:v>-1553.672292</c:v>
                </c:pt>
                <c:pt idx="73">
                  <c:v>-1553.672292</c:v>
                </c:pt>
                <c:pt idx="74">
                  <c:v>-1553.672292</c:v>
                </c:pt>
                <c:pt idx="75">
                  <c:v>-1553.672292</c:v>
                </c:pt>
                <c:pt idx="76">
                  <c:v>-1553.672292</c:v>
                </c:pt>
                <c:pt idx="77">
                  <c:v>-1553.672292</c:v>
                </c:pt>
                <c:pt idx="78">
                  <c:v>-1553.672292</c:v>
                </c:pt>
                <c:pt idx="79">
                  <c:v>-1553.672292</c:v>
                </c:pt>
                <c:pt idx="80">
                  <c:v>-1553.672292</c:v>
                </c:pt>
                <c:pt idx="81">
                  <c:v>-1553.672292</c:v>
                </c:pt>
                <c:pt idx="82">
                  <c:v>-1553.672292</c:v>
                </c:pt>
                <c:pt idx="83">
                  <c:v>-1553.672292</c:v>
                </c:pt>
                <c:pt idx="84">
                  <c:v>-1553.672292</c:v>
                </c:pt>
                <c:pt idx="85">
                  <c:v>-1495.88959449</c:v>
                </c:pt>
                <c:pt idx="86">
                  <c:v>-902.91620273000001</c:v>
                </c:pt>
                <c:pt idx="87">
                  <c:v>-902.45632081999997</c:v>
                </c:pt>
                <c:pt idx="88">
                  <c:v>-1553.672292</c:v>
                </c:pt>
                <c:pt idx="89">
                  <c:v>-1358.5722920000001</c:v>
                </c:pt>
                <c:pt idx="90">
                  <c:v>-1553.672292</c:v>
                </c:pt>
                <c:pt idx="91">
                  <c:v>-1553.672292</c:v>
                </c:pt>
                <c:pt idx="92">
                  <c:v>-1553.672292</c:v>
                </c:pt>
                <c:pt idx="93">
                  <c:v>-1553.672292</c:v>
                </c:pt>
                <c:pt idx="94">
                  <c:v>-1553.672292</c:v>
                </c:pt>
                <c:pt idx="95">
                  <c:v>-703.41241008999998</c:v>
                </c:pt>
                <c:pt idx="96">
                  <c:v>-904.75671642999998</c:v>
                </c:pt>
                <c:pt idx="97">
                  <c:v>-904.75671642999998</c:v>
                </c:pt>
                <c:pt idx="98">
                  <c:v>-672.09336856000004</c:v>
                </c:pt>
                <c:pt idx="99">
                  <c:v>-574.75671642999998</c:v>
                </c:pt>
                <c:pt idx="100">
                  <c:v>-904.29683451999995</c:v>
                </c:pt>
                <c:pt idx="101">
                  <c:v>-903.37707068999998</c:v>
                </c:pt>
                <c:pt idx="102">
                  <c:v>-572.91718877999995</c:v>
                </c:pt>
                <c:pt idx="103">
                  <c:v>-572.45730687000002</c:v>
                </c:pt>
                <c:pt idx="104">
                  <c:v>-572.45730687000002</c:v>
                </c:pt>
                <c:pt idx="105">
                  <c:v>-242.45730687</c:v>
                </c:pt>
                <c:pt idx="106">
                  <c:v>-242.45730687</c:v>
                </c:pt>
                <c:pt idx="107">
                  <c:v>-242.91718878</c:v>
                </c:pt>
                <c:pt idx="108">
                  <c:v>-243.37707069000001</c:v>
                </c:pt>
                <c:pt idx="109">
                  <c:v>-243.37707069000001</c:v>
                </c:pt>
                <c:pt idx="110">
                  <c:v>-242.91718878</c:v>
                </c:pt>
                <c:pt idx="111">
                  <c:v>-242.45730687</c:v>
                </c:pt>
                <c:pt idx="112">
                  <c:v>-242.45730687</c:v>
                </c:pt>
                <c:pt idx="113">
                  <c:v>-572.45730687000002</c:v>
                </c:pt>
                <c:pt idx="114">
                  <c:v>-572.91718877999995</c:v>
                </c:pt>
                <c:pt idx="115">
                  <c:v>-903.37707068999998</c:v>
                </c:pt>
                <c:pt idx="116">
                  <c:v>-903.83695260000002</c:v>
                </c:pt>
                <c:pt idx="117">
                  <c:v>-574.29683451999995</c:v>
                </c:pt>
                <c:pt idx="118">
                  <c:v>-904.75671642999998</c:v>
                </c:pt>
                <c:pt idx="119">
                  <c:v>-574.75671642999998</c:v>
                </c:pt>
                <c:pt idx="120">
                  <c:v>-244.84032626999999</c:v>
                </c:pt>
                <c:pt idx="121">
                  <c:v>-282.01795542000002</c:v>
                </c:pt>
                <c:pt idx="122">
                  <c:v>-574.84032626999999</c:v>
                </c:pt>
                <c:pt idx="123">
                  <c:v>-244.84032626999999</c:v>
                </c:pt>
                <c:pt idx="124">
                  <c:v>-243.91259235000001</c:v>
                </c:pt>
                <c:pt idx="125">
                  <c:v>-242.98485844000001</c:v>
                </c:pt>
                <c:pt idx="126">
                  <c:v>-242.52099147999999</c:v>
                </c:pt>
                <c:pt idx="127">
                  <c:v>-572.98485844000004</c:v>
                </c:pt>
                <c:pt idx="128">
                  <c:v>-572.98485844000004</c:v>
                </c:pt>
                <c:pt idx="129">
                  <c:v>-242.98485844000001</c:v>
                </c:pt>
                <c:pt idx="130">
                  <c:v>-242.98485844000001</c:v>
                </c:pt>
                <c:pt idx="131">
                  <c:v>-242.52099147999999</c:v>
                </c:pt>
                <c:pt idx="132">
                  <c:v>-242.98485844000001</c:v>
                </c:pt>
                <c:pt idx="133">
                  <c:v>-242.98485844000001</c:v>
                </c:pt>
                <c:pt idx="134">
                  <c:v>-242.52099147999999</c:v>
                </c:pt>
                <c:pt idx="135">
                  <c:v>-242.98485844000001</c:v>
                </c:pt>
                <c:pt idx="136">
                  <c:v>-242.98485844000001</c:v>
                </c:pt>
                <c:pt idx="137">
                  <c:v>-468.95712451999998</c:v>
                </c:pt>
                <c:pt idx="138">
                  <c:v>-242.52099147999999</c:v>
                </c:pt>
                <c:pt idx="139">
                  <c:v>-572.98485844000004</c:v>
                </c:pt>
                <c:pt idx="140">
                  <c:v>-243.4487254</c:v>
                </c:pt>
                <c:pt idx="141">
                  <c:v>-573.91259234999995</c:v>
                </c:pt>
                <c:pt idx="142">
                  <c:v>-244.84032626999999</c:v>
                </c:pt>
                <c:pt idx="143">
                  <c:v>-574.84032626999999</c:v>
                </c:pt>
                <c:pt idx="144">
                  <c:v>-244.84131231999999</c:v>
                </c:pt>
                <c:pt idx="145">
                  <c:v>-244.84131231999999</c:v>
                </c:pt>
                <c:pt idx="146">
                  <c:v>-244.84131231999999</c:v>
                </c:pt>
                <c:pt idx="147">
                  <c:v>-244.84131231999999</c:v>
                </c:pt>
                <c:pt idx="148">
                  <c:v>-243.91357840000001</c:v>
                </c:pt>
                <c:pt idx="149">
                  <c:v>-242.98584449000001</c:v>
                </c:pt>
                <c:pt idx="150">
                  <c:v>-242.52197752999999</c:v>
                </c:pt>
                <c:pt idx="151">
                  <c:v>-242.98584449000001</c:v>
                </c:pt>
                <c:pt idx="152">
                  <c:v>-242.98584449000001</c:v>
                </c:pt>
                <c:pt idx="153">
                  <c:v>-242.98584449000001</c:v>
                </c:pt>
                <c:pt idx="154">
                  <c:v>-242.98584449000001</c:v>
                </c:pt>
                <c:pt idx="155">
                  <c:v>-242.52197752999999</c:v>
                </c:pt>
                <c:pt idx="156">
                  <c:v>-242.98584449000001</c:v>
                </c:pt>
                <c:pt idx="157">
                  <c:v>-242.98584449000001</c:v>
                </c:pt>
                <c:pt idx="158">
                  <c:v>-242.52197752999999</c:v>
                </c:pt>
                <c:pt idx="159">
                  <c:v>-242.98584449000001</c:v>
                </c:pt>
                <c:pt idx="160">
                  <c:v>-242.98584449000001</c:v>
                </c:pt>
                <c:pt idx="161">
                  <c:v>-242.98584449000001</c:v>
                </c:pt>
                <c:pt idx="162">
                  <c:v>-242.52197752999999</c:v>
                </c:pt>
                <c:pt idx="163">
                  <c:v>-242.98584449000001</c:v>
                </c:pt>
                <c:pt idx="164">
                  <c:v>-243.44971145</c:v>
                </c:pt>
                <c:pt idx="165">
                  <c:v>-243.91357840000001</c:v>
                </c:pt>
                <c:pt idx="166">
                  <c:v>-244.84131231999999</c:v>
                </c:pt>
                <c:pt idx="167">
                  <c:v>-244.84131231999999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B2C-8D16-E586046A7DB0}"/>
            </c:ext>
          </c:extLst>
        </c:ser>
        <c:ser>
          <c:idx val="1"/>
          <c:order val="1"/>
          <c:tx>
            <c:strRef>
              <c:f>'Datos Benchmarking'!$G$4</c:f>
              <c:strCache>
                <c:ptCount val="1"/>
                <c:pt idx="0">
                  <c:v>Demanda FRh2SW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'Datos Benchmarking'!$F$5:$F$172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651.21892933000004</c:v>
                </c:pt>
                <c:pt idx="11">
                  <c:v>948.49916551000001</c:v>
                </c:pt>
                <c:pt idx="12">
                  <c:v>261.55916551000001</c:v>
                </c:pt>
                <c:pt idx="13">
                  <c:v>261.55916551000001</c:v>
                </c:pt>
                <c:pt idx="14">
                  <c:v>948.49916551000001</c:v>
                </c:pt>
                <c:pt idx="15">
                  <c:v>981.21892933000004</c:v>
                </c:pt>
                <c:pt idx="16">
                  <c:v>294.27892932999998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588.96592054999996</c:v>
                </c:pt>
                <c:pt idx="38">
                  <c:v>650.75806136999995</c:v>
                </c:pt>
                <c:pt idx="39">
                  <c:v>651.21794327999999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165.50463893</c:v>
                </c:pt>
                <c:pt idx="60">
                  <c:v>650.29719340999998</c:v>
                </c:pt>
                <c:pt idx="61">
                  <c:v>650.29719340999998</c:v>
                </c:pt>
                <c:pt idx="62">
                  <c:v>650.75707532000001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650.29620736000004</c:v>
                </c:pt>
                <c:pt idx="85">
                  <c:v>592.51350984999999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6-4B2C-8D16-E586046A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682512"/>
        <c:axId val="2119683472"/>
      </c:areaChart>
      <c:catAx>
        <c:axId val="21196825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2119683472"/>
        <c:crosses val="autoZero"/>
        <c:auto val="1"/>
        <c:lblAlgn val="ctr"/>
        <c:lblOffset val="100"/>
        <c:noMultiLvlLbl val="0"/>
      </c:catAx>
      <c:valAx>
        <c:axId val="21196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211968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Carga vs Descarga Almacenamientos FRh2S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'Datos Benchmarking'!$I$2</c:f>
              <c:strCache>
                <c:ptCount val="1"/>
                <c:pt idx="0">
                  <c:v>Storage Charge FRh2S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[1]demands!$H$2:$H$169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818</c:v>
                </c:pt>
                <c:pt idx="12">
                  <c:v>818</c:v>
                </c:pt>
                <c:pt idx="13">
                  <c:v>818</c:v>
                </c:pt>
                <c:pt idx="14">
                  <c:v>818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103.1</c:v>
                </c:pt>
                <c:pt idx="105">
                  <c:v>818</c:v>
                </c:pt>
                <c:pt idx="106">
                  <c:v>818</c:v>
                </c:pt>
                <c:pt idx="107">
                  <c:v>818</c:v>
                </c:pt>
                <c:pt idx="108">
                  <c:v>818</c:v>
                </c:pt>
                <c:pt idx="109">
                  <c:v>818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167.00042579999999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818</c:v>
                </c:pt>
                <c:pt idx="122">
                  <c:v>818</c:v>
                </c:pt>
                <c:pt idx="123">
                  <c:v>818</c:v>
                </c:pt>
                <c:pt idx="124">
                  <c:v>818</c:v>
                </c:pt>
                <c:pt idx="125">
                  <c:v>0</c:v>
                </c:pt>
                <c:pt idx="126">
                  <c:v>818</c:v>
                </c:pt>
                <c:pt idx="127">
                  <c:v>818</c:v>
                </c:pt>
                <c:pt idx="128">
                  <c:v>818</c:v>
                </c:pt>
                <c:pt idx="129">
                  <c:v>818</c:v>
                </c:pt>
                <c:pt idx="130">
                  <c:v>818</c:v>
                </c:pt>
                <c:pt idx="131">
                  <c:v>818</c:v>
                </c:pt>
                <c:pt idx="132">
                  <c:v>818</c:v>
                </c:pt>
                <c:pt idx="133">
                  <c:v>818</c:v>
                </c:pt>
                <c:pt idx="134">
                  <c:v>818</c:v>
                </c:pt>
                <c:pt idx="135">
                  <c:v>818</c:v>
                </c:pt>
                <c:pt idx="136">
                  <c:v>818</c:v>
                </c:pt>
                <c:pt idx="137">
                  <c:v>0</c:v>
                </c:pt>
                <c:pt idx="138">
                  <c:v>818</c:v>
                </c:pt>
                <c:pt idx="139">
                  <c:v>818</c:v>
                </c:pt>
                <c:pt idx="140">
                  <c:v>818</c:v>
                </c:pt>
                <c:pt idx="141">
                  <c:v>818</c:v>
                </c:pt>
                <c:pt idx="142">
                  <c:v>0</c:v>
                </c:pt>
                <c:pt idx="143">
                  <c:v>818</c:v>
                </c:pt>
                <c:pt idx="144">
                  <c:v>818</c:v>
                </c:pt>
                <c:pt idx="145">
                  <c:v>818</c:v>
                </c:pt>
                <c:pt idx="146">
                  <c:v>818</c:v>
                </c:pt>
                <c:pt idx="147">
                  <c:v>818</c:v>
                </c:pt>
                <c:pt idx="148">
                  <c:v>818</c:v>
                </c:pt>
                <c:pt idx="149">
                  <c:v>818</c:v>
                </c:pt>
                <c:pt idx="150">
                  <c:v>818</c:v>
                </c:pt>
                <c:pt idx="151">
                  <c:v>818</c:v>
                </c:pt>
                <c:pt idx="152">
                  <c:v>818</c:v>
                </c:pt>
                <c:pt idx="153">
                  <c:v>818</c:v>
                </c:pt>
                <c:pt idx="154">
                  <c:v>818</c:v>
                </c:pt>
                <c:pt idx="155">
                  <c:v>818</c:v>
                </c:pt>
                <c:pt idx="156">
                  <c:v>818</c:v>
                </c:pt>
                <c:pt idx="157">
                  <c:v>818</c:v>
                </c:pt>
                <c:pt idx="158">
                  <c:v>818</c:v>
                </c:pt>
                <c:pt idx="159">
                  <c:v>818</c:v>
                </c:pt>
                <c:pt idx="160">
                  <c:v>818</c:v>
                </c:pt>
                <c:pt idx="161">
                  <c:v>818</c:v>
                </c:pt>
                <c:pt idx="162">
                  <c:v>818</c:v>
                </c:pt>
                <c:pt idx="163">
                  <c:v>818</c:v>
                </c:pt>
                <c:pt idx="164">
                  <c:v>818</c:v>
                </c:pt>
                <c:pt idx="165">
                  <c:v>818</c:v>
                </c:pt>
                <c:pt idx="166">
                  <c:v>818</c:v>
                </c:pt>
                <c:pt idx="167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3-4E4F-A524-8519A9339B12}"/>
            </c:ext>
          </c:extLst>
        </c:ser>
        <c:ser>
          <c:idx val="1"/>
          <c:order val="1"/>
          <c:tx>
            <c:strRef>
              <c:f>'Datos Benchmarking'!$I$1</c:f>
              <c:strCache>
                <c:ptCount val="1"/>
                <c:pt idx="0">
                  <c:v>Storage Discharge FRh2S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val>
            <c:numRef>
              <c:f>[1]profiles!$N$2:$N$170</c:f>
              <c:numCache>
                <c:formatCode>General</c:formatCode>
                <c:ptCount val="169"/>
                <c:pt idx="0">
                  <c:v>1240</c:v>
                </c:pt>
                <c:pt idx="1">
                  <c:v>1240</c:v>
                </c:pt>
                <c:pt idx="2">
                  <c:v>1240</c:v>
                </c:pt>
                <c:pt idx="3">
                  <c:v>1240</c:v>
                </c:pt>
                <c:pt idx="4">
                  <c:v>1240</c:v>
                </c:pt>
                <c:pt idx="5">
                  <c:v>1240</c:v>
                </c:pt>
                <c:pt idx="6">
                  <c:v>1240</c:v>
                </c:pt>
                <c:pt idx="7">
                  <c:v>1240</c:v>
                </c:pt>
                <c:pt idx="8">
                  <c:v>1240</c:v>
                </c:pt>
                <c:pt idx="9">
                  <c:v>1240</c:v>
                </c:pt>
                <c:pt idx="10">
                  <c:v>195.1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195.1</c:v>
                </c:pt>
                <c:pt idx="16">
                  <c:v>1240</c:v>
                </c:pt>
                <c:pt idx="17">
                  <c:v>1240</c:v>
                </c:pt>
                <c:pt idx="18">
                  <c:v>1240</c:v>
                </c:pt>
                <c:pt idx="19">
                  <c:v>1240</c:v>
                </c:pt>
                <c:pt idx="20">
                  <c:v>1240</c:v>
                </c:pt>
                <c:pt idx="21">
                  <c:v>1240</c:v>
                </c:pt>
                <c:pt idx="22">
                  <c:v>1240</c:v>
                </c:pt>
                <c:pt idx="23">
                  <c:v>1240</c:v>
                </c:pt>
                <c:pt idx="24">
                  <c:v>1240</c:v>
                </c:pt>
                <c:pt idx="25">
                  <c:v>1240</c:v>
                </c:pt>
                <c:pt idx="26">
                  <c:v>1240</c:v>
                </c:pt>
                <c:pt idx="27">
                  <c:v>1240</c:v>
                </c:pt>
                <c:pt idx="28">
                  <c:v>1240</c:v>
                </c:pt>
                <c:pt idx="29">
                  <c:v>1240</c:v>
                </c:pt>
                <c:pt idx="30">
                  <c:v>1240</c:v>
                </c:pt>
                <c:pt idx="31">
                  <c:v>1240</c:v>
                </c:pt>
                <c:pt idx="32">
                  <c:v>1240</c:v>
                </c:pt>
                <c:pt idx="33">
                  <c:v>1240</c:v>
                </c:pt>
                <c:pt idx="34">
                  <c:v>1240</c:v>
                </c:pt>
                <c:pt idx="35">
                  <c:v>194.64011808999999</c:v>
                </c:pt>
                <c:pt idx="36">
                  <c:v>0</c:v>
                </c:pt>
                <c:pt idx="37">
                  <c:v>0</c:v>
                </c:pt>
                <c:pt idx="38">
                  <c:v>984.02762299999995</c:v>
                </c:pt>
                <c:pt idx="39">
                  <c:v>1240</c:v>
                </c:pt>
                <c:pt idx="40">
                  <c:v>1240</c:v>
                </c:pt>
                <c:pt idx="41">
                  <c:v>1240</c:v>
                </c:pt>
                <c:pt idx="42">
                  <c:v>1240</c:v>
                </c:pt>
                <c:pt idx="43">
                  <c:v>1240</c:v>
                </c:pt>
                <c:pt idx="44">
                  <c:v>1240</c:v>
                </c:pt>
                <c:pt idx="45">
                  <c:v>1240</c:v>
                </c:pt>
                <c:pt idx="46">
                  <c:v>1240</c:v>
                </c:pt>
                <c:pt idx="47">
                  <c:v>1240</c:v>
                </c:pt>
                <c:pt idx="48">
                  <c:v>1240</c:v>
                </c:pt>
                <c:pt idx="49">
                  <c:v>1240</c:v>
                </c:pt>
                <c:pt idx="50">
                  <c:v>1240</c:v>
                </c:pt>
                <c:pt idx="51">
                  <c:v>1240</c:v>
                </c:pt>
                <c:pt idx="52">
                  <c:v>1240</c:v>
                </c:pt>
                <c:pt idx="53">
                  <c:v>1240</c:v>
                </c:pt>
                <c:pt idx="54">
                  <c:v>1240</c:v>
                </c:pt>
                <c:pt idx="55">
                  <c:v>1240</c:v>
                </c:pt>
                <c:pt idx="56">
                  <c:v>1240</c:v>
                </c:pt>
                <c:pt idx="57">
                  <c:v>1240</c:v>
                </c:pt>
                <c:pt idx="58">
                  <c:v>1240</c:v>
                </c:pt>
                <c:pt idx="59">
                  <c:v>1240</c:v>
                </c:pt>
                <c:pt idx="60">
                  <c:v>1231.96830185</c:v>
                </c:pt>
                <c:pt idx="61">
                  <c:v>880.96992571999999</c:v>
                </c:pt>
                <c:pt idx="62">
                  <c:v>1240</c:v>
                </c:pt>
                <c:pt idx="63">
                  <c:v>1240</c:v>
                </c:pt>
                <c:pt idx="64">
                  <c:v>1240</c:v>
                </c:pt>
                <c:pt idx="65">
                  <c:v>1240</c:v>
                </c:pt>
                <c:pt idx="66">
                  <c:v>1240</c:v>
                </c:pt>
                <c:pt idx="67">
                  <c:v>1240</c:v>
                </c:pt>
                <c:pt idx="68">
                  <c:v>1240</c:v>
                </c:pt>
                <c:pt idx="69">
                  <c:v>1240</c:v>
                </c:pt>
                <c:pt idx="70">
                  <c:v>1240</c:v>
                </c:pt>
                <c:pt idx="71">
                  <c:v>1240</c:v>
                </c:pt>
                <c:pt idx="72">
                  <c:v>1240</c:v>
                </c:pt>
                <c:pt idx="73">
                  <c:v>1240</c:v>
                </c:pt>
                <c:pt idx="74">
                  <c:v>1240</c:v>
                </c:pt>
                <c:pt idx="75">
                  <c:v>1240</c:v>
                </c:pt>
                <c:pt idx="76">
                  <c:v>1240</c:v>
                </c:pt>
                <c:pt idx="77">
                  <c:v>1240</c:v>
                </c:pt>
                <c:pt idx="78">
                  <c:v>1240</c:v>
                </c:pt>
                <c:pt idx="79">
                  <c:v>1240</c:v>
                </c:pt>
                <c:pt idx="80">
                  <c:v>1240</c:v>
                </c:pt>
                <c:pt idx="81">
                  <c:v>1240</c:v>
                </c:pt>
                <c:pt idx="82">
                  <c:v>1240</c:v>
                </c:pt>
                <c:pt idx="83">
                  <c:v>1240</c:v>
                </c:pt>
                <c:pt idx="84">
                  <c:v>987.11730249000004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1240</c:v>
                </c:pt>
                <c:pt idx="90">
                  <c:v>1240</c:v>
                </c:pt>
                <c:pt idx="91">
                  <c:v>1240</c:v>
                </c:pt>
                <c:pt idx="92">
                  <c:v>1240</c:v>
                </c:pt>
                <c:pt idx="93">
                  <c:v>1240</c:v>
                </c:pt>
                <c:pt idx="94">
                  <c:v>194.64011808999999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3-4E4F-A524-8519A9339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56320"/>
        <c:axId val="1042653440"/>
      </c:areaChart>
      <c:catAx>
        <c:axId val="1042656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3440"/>
        <c:crosses val="autoZero"/>
        <c:auto val="1"/>
        <c:lblAlgn val="ctr"/>
        <c:lblOffset val="100"/>
        <c:noMultiLvlLbl val="0"/>
      </c:catAx>
      <c:valAx>
        <c:axId val="1042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Carga vs Descarga Almacenamientos FRh2SW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'Datos Benchmarking'!$J$2</c:f>
              <c:strCache>
                <c:ptCount val="1"/>
                <c:pt idx="0">
                  <c:v>Storage Charge FRh2SW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val>
            <c:numRef>
              <c:f>[1]demands!$I$2:$I$169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330</c:v>
                </c:pt>
                <c:pt idx="13">
                  <c:v>77.210303929999995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330</c:v>
                </c:pt>
                <c:pt idx="106">
                  <c:v>330</c:v>
                </c:pt>
                <c:pt idx="107">
                  <c:v>330</c:v>
                </c:pt>
                <c:pt idx="108">
                  <c:v>330</c:v>
                </c:pt>
                <c:pt idx="109">
                  <c:v>330</c:v>
                </c:pt>
                <c:pt idx="110">
                  <c:v>330</c:v>
                </c:pt>
                <c:pt idx="111">
                  <c:v>330</c:v>
                </c:pt>
                <c:pt idx="112">
                  <c:v>330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330</c:v>
                </c:pt>
                <c:pt idx="121">
                  <c:v>292.82237085000003</c:v>
                </c:pt>
                <c:pt idx="122">
                  <c:v>0</c:v>
                </c:pt>
                <c:pt idx="123">
                  <c:v>330</c:v>
                </c:pt>
                <c:pt idx="124">
                  <c:v>330</c:v>
                </c:pt>
                <c:pt idx="125">
                  <c:v>330</c:v>
                </c:pt>
                <c:pt idx="126">
                  <c:v>330</c:v>
                </c:pt>
                <c:pt idx="127">
                  <c:v>0</c:v>
                </c:pt>
                <c:pt idx="128">
                  <c:v>0</c:v>
                </c:pt>
                <c:pt idx="129">
                  <c:v>330</c:v>
                </c:pt>
                <c:pt idx="130">
                  <c:v>330</c:v>
                </c:pt>
                <c:pt idx="131">
                  <c:v>330</c:v>
                </c:pt>
                <c:pt idx="132">
                  <c:v>330</c:v>
                </c:pt>
                <c:pt idx="133">
                  <c:v>330</c:v>
                </c:pt>
                <c:pt idx="134">
                  <c:v>330</c:v>
                </c:pt>
                <c:pt idx="135">
                  <c:v>330</c:v>
                </c:pt>
                <c:pt idx="136">
                  <c:v>330</c:v>
                </c:pt>
                <c:pt idx="137">
                  <c:v>104.02773392</c:v>
                </c:pt>
                <c:pt idx="138">
                  <c:v>330</c:v>
                </c:pt>
                <c:pt idx="139">
                  <c:v>0</c:v>
                </c:pt>
                <c:pt idx="140">
                  <c:v>330</c:v>
                </c:pt>
                <c:pt idx="141">
                  <c:v>0</c:v>
                </c:pt>
                <c:pt idx="142">
                  <c:v>330</c:v>
                </c:pt>
                <c:pt idx="143">
                  <c:v>0</c:v>
                </c:pt>
                <c:pt idx="144">
                  <c:v>330</c:v>
                </c:pt>
                <c:pt idx="145">
                  <c:v>330</c:v>
                </c:pt>
                <c:pt idx="146">
                  <c:v>330</c:v>
                </c:pt>
                <c:pt idx="147">
                  <c:v>330</c:v>
                </c:pt>
                <c:pt idx="148">
                  <c:v>330</c:v>
                </c:pt>
                <c:pt idx="149">
                  <c:v>330</c:v>
                </c:pt>
                <c:pt idx="150">
                  <c:v>330</c:v>
                </c:pt>
                <c:pt idx="151">
                  <c:v>330</c:v>
                </c:pt>
                <c:pt idx="152">
                  <c:v>330</c:v>
                </c:pt>
                <c:pt idx="153">
                  <c:v>330</c:v>
                </c:pt>
                <c:pt idx="154">
                  <c:v>330</c:v>
                </c:pt>
                <c:pt idx="155">
                  <c:v>330</c:v>
                </c:pt>
                <c:pt idx="156">
                  <c:v>330</c:v>
                </c:pt>
                <c:pt idx="157">
                  <c:v>330</c:v>
                </c:pt>
                <c:pt idx="158">
                  <c:v>330</c:v>
                </c:pt>
                <c:pt idx="159">
                  <c:v>330</c:v>
                </c:pt>
                <c:pt idx="160">
                  <c:v>330</c:v>
                </c:pt>
                <c:pt idx="161">
                  <c:v>330</c:v>
                </c:pt>
                <c:pt idx="162">
                  <c:v>330</c:v>
                </c:pt>
                <c:pt idx="163">
                  <c:v>330</c:v>
                </c:pt>
                <c:pt idx="164">
                  <c:v>330</c:v>
                </c:pt>
                <c:pt idx="165">
                  <c:v>330</c:v>
                </c:pt>
                <c:pt idx="166">
                  <c:v>330</c:v>
                </c:pt>
                <c:pt idx="167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0-4C0D-B4EB-F759F8B8D1A4}"/>
            </c:ext>
          </c:extLst>
        </c:ser>
        <c:ser>
          <c:idx val="1"/>
          <c:order val="1"/>
          <c:tx>
            <c:strRef>
              <c:f>'Datos Benchmarking'!$J$1</c:f>
              <c:strCache>
                <c:ptCount val="1"/>
                <c:pt idx="0">
                  <c:v>Storage Discharge FRh2SW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val>
            <c:numRef>
              <c:f>[1]profiles!$O$2:$O$170</c:f>
              <c:numCache>
                <c:formatCode>General</c:formatCode>
                <c:ptCount val="169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  <c:pt idx="5">
                  <c:v>330</c:v>
                </c:pt>
                <c:pt idx="6">
                  <c:v>330</c:v>
                </c:pt>
                <c:pt idx="7">
                  <c:v>330</c:v>
                </c:pt>
                <c:pt idx="8">
                  <c:v>330</c:v>
                </c:pt>
                <c:pt idx="9">
                  <c:v>330</c:v>
                </c:pt>
                <c:pt idx="10">
                  <c:v>330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330</c:v>
                </c:pt>
                <c:pt idx="17">
                  <c:v>330</c:v>
                </c:pt>
                <c:pt idx="18">
                  <c:v>330</c:v>
                </c:pt>
                <c:pt idx="19">
                  <c:v>330</c:v>
                </c:pt>
                <c:pt idx="20">
                  <c:v>330</c:v>
                </c:pt>
                <c:pt idx="21">
                  <c:v>330</c:v>
                </c:pt>
                <c:pt idx="22">
                  <c:v>330</c:v>
                </c:pt>
                <c:pt idx="23">
                  <c:v>330</c:v>
                </c:pt>
                <c:pt idx="24">
                  <c:v>330</c:v>
                </c:pt>
                <c:pt idx="25">
                  <c:v>330</c:v>
                </c:pt>
                <c:pt idx="26">
                  <c:v>330</c:v>
                </c:pt>
                <c:pt idx="27">
                  <c:v>330</c:v>
                </c:pt>
                <c:pt idx="28">
                  <c:v>330</c:v>
                </c:pt>
                <c:pt idx="29">
                  <c:v>330</c:v>
                </c:pt>
                <c:pt idx="30">
                  <c:v>330</c:v>
                </c:pt>
                <c:pt idx="31">
                  <c:v>330</c:v>
                </c:pt>
                <c:pt idx="32">
                  <c:v>330</c:v>
                </c:pt>
                <c:pt idx="33">
                  <c:v>330</c:v>
                </c:pt>
                <c:pt idx="34">
                  <c:v>330</c:v>
                </c:pt>
                <c:pt idx="35">
                  <c:v>330</c:v>
                </c:pt>
                <c:pt idx="36">
                  <c:v>129.57841562999999</c:v>
                </c:pt>
                <c:pt idx="37">
                  <c:v>330</c:v>
                </c:pt>
                <c:pt idx="38">
                  <c:v>330</c:v>
                </c:pt>
                <c:pt idx="39">
                  <c:v>330</c:v>
                </c:pt>
                <c:pt idx="40">
                  <c:v>330</c:v>
                </c:pt>
                <c:pt idx="41">
                  <c:v>330</c:v>
                </c:pt>
                <c:pt idx="42">
                  <c:v>330</c:v>
                </c:pt>
                <c:pt idx="43">
                  <c:v>330</c:v>
                </c:pt>
                <c:pt idx="44">
                  <c:v>330</c:v>
                </c:pt>
                <c:pt idx="45">
                  <c:v>330</c:v>
                </c:pt>
                <c:pt idx="46">
                  <c:v>330</c:v>
                </c:pt>
                <c:pt idx="47">
                  <c:v>330</c:v>
                </c:pt>
                <c:pt idx="48">
                  <c:v>330</c:v>
                </c:pt>
                <c:pt idx="49">
                  <c:v>330</c:v>
                </c:pt>
                <c:pt idx="50">
                  <c:v>330</c:v>
                </c:pt>
                <c:pt idx="51">
                  <c:v>330</c:v>
                </c:pt>
                <c:pt idx="52">
                  <c:v>330</c:v>
                </c:pt>
                <c:pt idx="53">
                  <c:v>330</c:v>
                </c:pt>
                <c:pt idx="54">
                  <c:v>55.778239650000003</c:v>
                </c:pt>
                <c:pt idx="55">
                  <c:v>330</c:v>
                </c:pt>
                <c:pt idx="56">
                  <c:v>330</c:v>
                </c:pt>
                <c:pt idx="57">
                  <c:v>330</c:v>
                </c:pt>
                <c:pt idx="58">
                  <c:v>330</c:v>
                </c:pt>
                <c:pt idx="59">
                  <c:v>330</c:v>
                </c:pt>
                <c:pt idx="60">
                  <c:v>330</c:v>
                </c:pt>
                <c:pt idx="61">
                  <c:v>330</c:v>
                </c:pt>
                <c:pt idx="62">
                  <c:v>330</c:v>
                </c:pt>
                <c:pt idx="63">
                  <c:v>330</c:v>
                </c:pt>
                <c:pt idx="64">
                  <c:v>330</c:v>
                </c:pt>
                <c:pt idx="65">
                  <c:v>330</c:v>
                </c:pt>
                <c:pt idx="66">
                  <c:v>330</c:v>
                </c:pt>
                <c:pt idx="67">
                  <c:v>330</c:v>
                </c:pt>
                <c:pt idx="68">
                  <c:v>330</c:v>
                </c:pt>
                <c:pt idx="69">
                  <c:v>330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330</c:v>
                </c:pt>
                <c:pt idx="74">
                  <c:v>330</c:v>
                </c:pt>
                <c:pt idx="75">
                  <c:v>330</c:v>
                </c:pt>
                <c:pt idx="76">
                  <c:v>330</c:v>
                </c:pt>
                <c:pt idx="77">
                  <c:v>330</c:v>
                </c:pt>
                <c:pt idx="78">
                  <c:v>330</c:v>
                </c:pt>
                <c:pt idx="79">
                  <c:v>330</c:v>
                </c:pt>
                <c:pt idx="80">
                  <c:v>330</c:v>
                </c:pt>
                <c:pt idx="81">
                  <c:v>330</c:v>
                </c:pt>
                <c:pt idx="82">
                  <c:v>330</c:v>
                </c:pt>
                <c:pt idx="83">
                  <c:v>330</c:v>
                </c:pt>
                <c:pt idx="84">
                  <c:v>330</c:v>
                </c:pt>
                <c:pt idx="85">
                  <c:v>330</c:v>
                </c:pt>
                <c:pt idx="86">
                  <c:v>330</c:v>
                </c:pt>
                <c:pt idx="87">
                  <c:v>330</c:v>
                </c:pt>
                <c:pt idx="88">
                  <c:v>330</c:v>
                </c:pt>
                <c:pt idx="89">
                  <c:v>330</c:v>
                </c:pt>
                <c:pt idx="90">
                  <c:v>330</c:v>
                </c:pt>
                <c:pt idx="91">
                  <c:v>330</c:v>
                </c:pt>
                <c:pt idx="92">
                  <c:v>330</c:v>
                </c:pt>
                <c:pt idx="93">
                  <c:v>330</c:v>
                </c:pt>
                <c:pt idx="94">
                  <c:v>330</c:v>
                </c:pt>
                <c:pt idx="95">
                  <c:v>128.65667970999999</c:v>
                </c:pt>
                <c:pt idx="96">
                  <c:v>330</c:v>
                </c:pt>
                <c:pt idx="97">
                  <c:v>330</c:v>
                </c:pt>
                <c:pt idx="98">
                  <c:v>97.336652130000004</c:v>
                </c:pt>
                <c:pt idx="99">
                  <c:v>0</c:v>
                </c:pt>
                <c:pt idx="100">
                  <c:v>330</c:v>
                </c:pt>
                <c:pt idx="101">
                  <c:v>330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330</c:v>
                </c:pt>
                <c:pt idx="116">
                  <c:v>330</c:v>
                </c:pt>
                <c:pt idx="117">
                  <c:v>0</c:v>
                </c:pt>
                <c:pt idx="118">
                  <c:v>330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0-4C0D-B4EB-F759F8B8D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56320"/>
        <c:axId val="1042653440"/>
      </c:areaChart>
      <c:catAx>
        <c:axId val="1042656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3440"/>
        <c:crosses val="autoZero"/>
        <c:auto val="1"/>
        <c:lblAlgn val="ctr"/>
        <c:lblOffset val="100"/>
        <c:noMultiLvlLbl val="0"/>
      </c:catAx>
      <c:valAx>
        <c:axId val="1042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ES"/>
          </a:p>
        </c:txPr>
        <c:crossAx val="104265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3117</xdr:colOff>
      <xdr:row>23</xdr:row>
      <xdr:rowOff>142590</xdr:rowOff>
    </xdr:from>
    <xdr:to>
      <xdr:col>7</xdr:col>
      <xdr:colOff>1607003</xdr:colOff>
      <xdr:row>47</xdr:row>
      <xdr:rowOff>114753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5169FA-9BF0-F130-C913-8B2C5ED53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326116</xdr:colOff>
      <xdr:row>14</xdr:row>
      <xdr:rowOff>109310</xdr:rowOff>
    </xdr:from>
    <xdr:to>
      <xdr:col>15</xdr:col>
      <xdr:colOff>337003</xdr:colOff>
      <xdr:row>38</xdr:row>
      <xdr:rowOff>81643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FDF930-ABD5-74B9-F9E6-992826F18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309789</xdr:colOff>
      <xdr:row>39</xdr:row>
      <xdr:rowOff>51253</xdr:rowOff>
    </xdr:from>
    <xdr:to>
      <xdr:col>15</xdr:col>
      <xdr:colOff>320676</xdr:colOff>
      <xdr:row>63</xdr:row>
      <xdr:rowOff>39461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673DD4-7C15-44AB-ADEC-9A0616B5A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699622</xdr:colOff>
      <xdr:row>6</xdr:row>
      <xdr:rowOff>107203</xdr:rowOff>
    </xdr:from>
    <xdr:to>
      <xdr:col>7</xdr:col>
      <xdr:colOff>950771</xdr:colOff>
      <xdr:row>30</xdr:row>
      <xdr:rowOff>63491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59C3CB-1004-40B1-AAB9-6FAFDB071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762001</xdr:colOff>
      <xdr:row>30</xdr:row>
      <xdr:rowOff>168088</xdr:rowOff>
    </xdr:from>
    <xdr:to>
      <xdr:col>7</xdr:col>
      <xdr:colOff>1013150</xdr:colOff>
      <xdr:row>54</xdr:row>
      <xdr:rowOff>133902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AF7426F-98BF-4BEB-A369-83CBE6BF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te%20III.%20Modelo%20Espa&#241;a-Portugal-Francia/modelo%20BenchMarking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modelo%20BenchMarking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modelo%20BenchMa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uide Sheet"/>
      <sheetName val="carriers"/>
      <sheetName val="buses_1busSRES"/>
      <sheetName val="buses_2busSRES"/>
      <sheetName val="generators_1busSRES"/>
      <sheetName val="generators_2busSRES"/>
      <sheetName val="links_1busSRES"/>
      <sheetName val="loads"/>
      <sheetName val="links_2busSRES"/>
      <sheetName val="run_of_river_inflow"/>
      <sheetName val="store"/>
      <sheetName val="storage_units"/>
      <sheetName val="demands"/>
      <sheetName val="profile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H1" t="str">
            <v>FRh2S_storage</v>
          </cell>
        </row>
        <row r="2">
          <cell r="H2">
            <v>0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>
            <v>0</v>
          </cell>
          <cell r="I4">
            <v>0</v>
          </cell>
        </row>
        <row r="5">
          <cell r="H5">
            <v>0</v>
          </cell>
          <cell r="I5">
            <v>0</v>
          </cell>
        </row>
        <row r="6">
          <cell r="H6">
            <v>0</v>
          </cell>
          <cell r="I6">
            <v>0</v>
          </cell>
        </row>
        <row r="7">
          <cell r="H7">
            <v>0</v>
          </cell>
          <cell r="I7">
            <v>0</v>
          </cell>
        </row>
        <row r="8">
          <cell r="H8">
            <v>0</v>
          </cell>
          <cell r="I8">
            <v>0</v>
          </cell>
        </row>
        <row r="9">
          <cell r="H9">
            <v>0</v>
          </cell>
          <cell r="I9">
            <v>0</v>
          </cell>
        </row>
        <row r="10">
          <cell r="H10">
            <v>0</v>
          </cell>
          <cell r="I10">
            <v>0</v>
          </cell>
        </row>
        <row r="11">
          <cell r="H11">
            <v>0</v>
          </cell>
          <cell r="I11">
            <v>0</v>
          </cell>
        </row>
        <row r="12">
          <cell r="H12">
            <v>0</v>
          </cell>
          <cell r="I12">
            <v>0</v>
          </cell>
        </row>
        <row r="13">
          <cell r="H13">
            <v>818</v>
          </cell>
          <cell r="I13">
            <v>0</v>
          </cell>
        </row>
        <row r="14">
          <cell r="H14">
            <v>818</v>
          </cell>
          <cell r="I14">
            <v>330</v>
          </cell>
        </row>
        <row r="15">
          <cell r="H15">
            <v>818</v>
          </cell>
          <cell r="I15">
            <v>77.210303929999995</v>
          </cell>
        </row>
        <row r="16">
          <cell r="H16">
            <v>818</v>
          </cell>
          <cell r="I16">
            <v>0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19">
          <cell r="H19">
            <v>0</v>
          </cell>
          <cell r="I19">
            <v>0</v>
          </cell>
        </row>
        <row r="20">
          <cell r="H20">
            <v>0</v>
          </cell>
          <cell r="I20">
            <v>0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  <row r="23"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0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  <row r="33">
          <cell r="H33">
            <v>0</v>
          </cell>
          <cell r="I33">
            <v>0</v>
          </cell>
        </row>
        <row r="34">
          <cell r="H34">
            <v>0</v>
          </cell>
          <cell r="I34">
            <v>0</v>
          </cell>
        </row>
        <row r="35">
          <cell r="H35">
            <v>0</v>
          </cell>
          <cell r="I35">
            <v>0</v>
          </cell>
        </row>
        <row r="36">
          <cell r="H36">
            <v>0</v>
          </cell>
          <cell r="I36">
            <v>0</v>
          </cell>
        </row>
        <row r="37">
          <cell r="H37">
            <v>0</v>
          </cell>
          <cell r="I37">
            <v>0</v>
          </cell>
        </row>
        <row r="38">
          <cell r="H38">
            <v>0</v>
          </cell>
          <cell r="I38">
            <v>0</v>
          </cell>
        </row>
        <row r="39">
          <cell r="H39">
            <v>0</v>
          </cell>
          <cell r="I39">
            <v>0</v>
          </cell>
        </row>
        <row r="40">
          <cell r="H40">
            <v>0</v>
          </cell>
          <cell r="I40">
            <v>0</v>
          </cell>
        </row>
        <row r="41">
          <cell r="H41">
            <v>0</v>
          </cell>
          <cell r="I41">
            <v>0</v>
          </cell>
        </row>
        <row r="42">
          <cell r="H42">
            <v>0</v>
          </cell>
          <cell r="I42">
            <v>0</v>
          </cell>
        </row>
        <row r="43">
          <cell r="H43">
            <v>0</v>
          </cell>
          <cell r="I43">
            <v>0</v>
          </cell>
        </row>
        <row r="44">
          <cell r="H44">
            <v>0</v>
          </cell>
          <cell r="I44">
            <v>0</v>
          </cell>
        </row>
        <row r="45">
          <cell r="H45">
            <v>0</v>
          </cell>
          <cell r="I45">
            <v>0</v>
          </cell>
        </row>
        <row r="46">
          <cell r="H46">
            <v>0</v>
          </cell>
          <cell r="I46">
            <v>0</v>
          </cell>
        </row>
        <row r="47">
          <cell r="H47">
            <v>0</v>
          </cell>
          <cell r="I47">
            <v>0</v>
          </cell>
        </row>
        <row r="48">
          <cell r="H48">
            <v>0</v>
          </cell>
          <cell r="I48">
            <v>0</v>
          </cell>
        </row>
        <row r="49">
          <cell r="H49">
            <v>0</v>
          </cell>
          <cell r="I49">
            <v>0</v>
          </cell>
        </row>
        <row r="50">
          <cell r="H50">
            <v>0</v>
          </cell>
          <cell r="I50">
            <v>0</v>
          </cell>
        </row>
        <row r="51">
          <cell r="H51">
            <v>0</v>
          </cell>
          <cell r="I51">
            <v>0</v>
          </cell>
        </row>
        <row r="52">
          <cell r="H52">
            <v>0</v>
          </cell>
          <cell r="I52">
            <v>0</v>
          </cell>
        </row>
        <row r="53">
          <cell r="H53">
            <v>0</v>
          </cell>
          <cell r="I53">
            <v>0</v>
          </cell>
        </row>
        <row r="54">
          <cell r="H54">
            <v>0</v>
          </cell>
          <cell r="I54">
            <v>0</v>
          </cell>
        </row>
        <row r="55">
          <cell r="H55">
            <v>0</v>
          </cell>
          <cell r="I55">
            <v>0</v>
          </cell>
        </row>
        <row r="56">
          <cell r="H56">
            <v>0</v>
          </cell>
          <cell r="I56">
            <v>0</v>
          </cell>
        </row>
        <row r="57">
          <cell r="H57">
            <v>0</v>
          </cell>
          <cell r="I57">
            <v>0</v>
          </cell>
        </row>
        <row r="58">
          <cell r="H58">
            <v>0</v>
          </cell>
          <cell r="I58">
            <v>0</v>
          </cell>
        </row>
        <row r="59">
          <cell r="H59">
            <v>0</v>
          </cell>
          <cell r="I59">
            <v>0</v>
          </cell>
        </row>
        <row r="60">
          <cell r="H60">
            <v>0</v>
          </cell>
          <cell r="I60">
            <v>0</v>
          </cell>
        </row>
        <row r="61">
          <cell r="H61">
            <v>0</v>
          </cell>
          <cell r="I61">
            <v>0</v>
          </cell>
        </row>
        <row r="62">
          <cell r="H62">
            <v>0</v>
          </cell>
          <cell r="I62">
            <v>0</v>
          </cell>
        </row>
        <row r="63">
          <cell r="H63">
            <v>0</v>
          </cell>
          <cell r="I63">
            <v>0</v>
          </cell>
        </row>
        <row r="64">
          <cell r="H64">
            <v>0</v>
          </cell>
          <cell r="I64">
            <v>0</v>
          </cell>
        </row>
        <row r="65">
          <cell r="H65">
            <v>0</v>
          </cell>
          <cell r="I65">
            <v>0</v>
          </cell>
        </row>
        <row r="66">
          <cell r="H66">
            <v>0</v>
          </cell>
          <cell r="I66">
            <v>0</v>
          </cell>
        </row>
        <row r="67">
          <cell r="H67">
            <v>0</v>
          </cell>
          <cell r="I67">
            <v>0</v>
          </cell>
        </row>
        <row r="68">
          <cell r="H68">
            <v>0</v>
          </cell>
          <cell r="I68">
            <v>0</v>
          </cell>
        </row>
        <row r="69">
          <cell r="H69">
            <v>0</v>
          </cell>
          <cell r="I69">
            <v>0</v>
          </cell>
        </row>
        <row r="70">
          <cell r="H70">
            <v>0</v>
          </cell>
          <cell r="I70">
            <v>0</v>
          </cell>
        </row>
        <row r="71">
          <cell r="H71">
            <v>0</v>
          </cell>
          <cell r="I71">
            <v>0</v>
          </cell>
        </row>
        <row r="72">
          <cell r="H72">
            <v>0</v>
          </cell>
          <cell r="I72">
            <v>0</v>
          </cell>
        </row>
        <row r="73">
          <cell r="H73">
            <v>0</v>
          </cell>
          <cell r="I73">
            <v>0</v>
          </cell>
        </row>
        <row r="74">
          <cell r="H74">
            <v>0</v>
          </cell>
          <cell r="I74">
            <v>0</v>
          </cell>
        </row>
        <row r="75">
          <cell r="H75">
            <v>0</v>
          </cell>
          <cell r="I75">
            <v>0</v>
          </cell>
        </row>
        <row r="76">
          <cell r="H76">
            <v>0</v>
          </cell>
          <cell r="I76">
            <v>0</v>
          </cell>
        </row>
        <row r="77">
          <cell r="H77">
            <v>0</v>
          </cell>
          <cell r="I77">
            <v>0</v>
          </cell>
        </row>
        <row r="78">
          <cell r="H78">
            <v>0</v>
          </cell>
          <cell r="I78">
            <v>0</v>
          </cell>
        </row>
        <row r="79">
          <cell r="H79">
            <v>0</v>
          </cell>
          <cell r="I79">
            <v>0</v>
          </cell>
        </row>
        <row r="80">
          <cell r="H80">
            <v>0</v>
          </cell>
          <cell r="I80">
            <v>0</v>
          </cell>
        </row>
        <row r="81">
          <cell r="H81">
            <v>0</v>
          </cell>
          <cell r="I81">
            <v>0</v>
          </cell>
        </row>
        <row r="82">
          <cell r="H82">
            <v>0</v>
          </cell>
          <cell r="I82">
            <v>0</v>
          </cell>
        </row>
        <row r="83">
          <cell r="H83">
            <v>0</v>
          </cell>
          <cell r="I83">
            <v>0</v>
          </cell>
        </row>
        <row r="84">
          <cell r="H84">
            <v>0</v>
          </cell>
          <cell r="I84">
            <v>0</v>
          </cell>
        </row>
        <row r="85">
          <cell r="H85">
            <v>0</v>
          </cell>
          <cell r="I85">
            <v>0</v>
          </cell>
        </row>
        <row r="86">
          <cell r="H86">
            <v>0</v>
          </cell>
          <cell r="I86">
            <v>0</v>
          </cell>
        </row>
        <row r="87">
          <cell r="H87">
            <v>0</v>
          </cell>
          <cell r="I87">
            <v>0</v>
          </cell>
        </row>
        <row r="88">
          <cell r="H88">
            <v>0</v>
          </cell>
          <cell r="I88">
            <v>0</v>
          </cell>
        </row>
        <row r="89">
          <cell r="H89">
            <v>0</v>
          </cell>
          <cell r="I89">
            <v>0</v>
          </cell>
        </row>
        <row r="90">
          <cell r="H90">
            <v>0</v>
          </cell>
          <cell r="I90">
            <v>0</v>
          </cell>
        </row>
        <row r="91">
          <cell r="H91">
            <v>0</v>
          </cell>
          <cell r="I91">
            <v>0</v>
          </cell>
        </row>
        <row r="92">
          <cell r="H92">
            <v>0</v>
          </cell>
          <cell r="I92">
            <v>0</v>
          </cell>
        </row>
        <row r="93">
          <cell r="H93">
            <v>0</v>
          </cell>
          <cell r="I93">
            <v>0</v>
          </cell>
        </row>
        <row r="94">
          <cell r="H94">
            <v>0</v>
          </cell>
          <cell r="I94">
            <v>0</v>
          </cell>
        </row>
        <row r="95">
          <cell r="H95">
            <v>0</v>
          </cell>
          <cell r="I95">
            <v>0</v>
          </cell>
        </row>
        <row r="96">
          <cell r="H96">
            <v>0</v>
          </cell>
          <cell r="I96">
            <v>0</v>
          </cell>
        </row>
        <row r="97">
          <cell r="H97">
            <v>0</v>
          </cell>
          <cell r="I97">
            <v>0</v>
          </cell>
        </row>
        <row r="98">
          <cell r="H98">
            <v>0</v>
          </cell>
          <cell r="I98">
            <v>0</v>
          </cell>
        </row>
        <row r="99">
          <cell r="H99">
            <v>0</v>
          </cell>
          <cell r="I99">
            <v>0</v>
          </cell>
        </row>
        <row r="100">
          <cell r="H100">
            <v>0</v>
          </cell>
          <cell r="I100">
            <v>0</v>
          </cell>
        </row>
        <row r="101">
          <cell r="H101">
            <v>0</v>
          </cell>
          <cell r="I101">
            <v>0</v>
          </cell>
        </row>
        <row r="102">
          <cell r="H102">
            <v>0</v>
          </cell>
          <cell r="I102">
            <v>0</v>
          </cell>
        </row>
        <row r="103">
          <cell r="H103">
            <v>0</v>
          </cell>
          <cell r="I103">
            <v>0</v>
          </cell>
        </row>
        <row r="104">
          <cell r="H104">
            <v>0</v>
          </cell>
          <cell r="I104">
            <v>0</v>
          </cell>
        </row>
        <row r="105">
          <cell r="H105">
            <v>0</v>
          </cell>
          <cell r="I105">
            <v>0</v>
          </cell>
        </row>
        <row r="106">
          <cell r="H106">
            <v>103.1</v>
          </cell>
          <cell r="I106">
            <v>0</v>
          </cell>
        </row>
        <row r="107">
          <cell r="H107">
            <v>818</v>
          </cell>
          <cell r="I107">
            <v>330</v>
          </cell>
        </row>
        <row r="108">
          <cell r="H108">
            <v>818</v>
          </cell>
          <cell r="I108">
            <v>330</v>
          </cell>
        </row>
        <row r="109">
          <cell r="H109">
            <v>818</v>
          </cell>
          <cell r="I109">
            <v>330</v>
          </cell>
        </row>
        <row r="110">
          <cell r="H110">
            <v>818</v>
          </cell>
          <cell r="I110">
            <v>330</v>
          </cell>
        </row>
        <row r="111">
          <cell r="H111">
            <v>818</v>
          </cell>
          <cell r="I111">
            <v>330</v>
          </cell>
        </row>
        <row r="112">
          <cell r="H112">
            <v>818</v>
          </cell>
          <cell r="I112">
            <v>330</v>
          </cell>
        </row>
        <row r="113">
          <cell r="H113">
            <v>818</v>
          </cell>
          <cell r="I113">
            <v>330</v>
          </cell>
        </row>
        <row r="114">
          <cell r="H114">
            <v>818</v>
          </cell>
          <cell r="I114">
            <v>330</v>
          </cell>
        </row>
        <row r="115">
          <cell r="H115">
            <v>818</v>
          </cell>
          <cell r="I115">
            <v>0</v>
          </cell>
        </row>
        <row r="116">
          <cell r="H116">
            <v>167.00042579999999</v>
          </cell>
          <cell r="I116">
            <v>0</v>
          </cell>
        </row>
        <row r="117">
          <cell r="H117">
            <v>0</v>
          </cell>
          <cell r="I117">
            <v>0</v>
          </cell>
        </row>
        <row r="118">
          <cell r="H118">
            <v>0</v>
          </cell>
          <cell r="I118">
            <v>0</v>
          </cell>
        </row>
        <row r="119">
          <cell r="H119">
            <v>0</v>
          </cell>
          <cell r="I119">
            <v>0</v>
          </cell>
        </row>
        <row r="120">
          <cell r="H120">
            <v>0</v>
          </cell>
          <cell r="I120">
            <v>0</v>
          </cell>
        </row>
        <row r="121">
          <cell r="H121">
            <v>0</v>
          </cell>
          <cell r="I121">
            <v>0</v>
          </cell>
        </row>
        <row r="122">
          <cell r="H122">
            <v>0</v>
          </cell>
          <cell r="I122">
            <v>330</v>
          </cell>
        </row>
        <row r="123">
          <cell r="H123">
            <v>818</v>
          </cell>
          <cell r="I123">
            <v>292.82237085000003</v>
          </cell>
        </row>
        <row r="124">
          <cell r="H124">
            <v>818</v>
          </cell>
          <cell r="I124">
            <v>0</v>
          </cell>
        </row>
        <row r="125">
          <cell r="H125">
            <v>818</v>
          </cell>
          <cell r="I125">
            <v>330</v>
          </cell>
        </row>
        <row r="126">
          <cell r="H126">
            <v>818</v>
          </cell>
          <cell r="I126">
            <v>330</v>
          </cell>
        </row>
        <row r="127">
          <cell r="H127">
            <v>0</v>
          </cell>
          <cell r="I127">
            <v>330</v>
          </cell>
        </row>
        <row r="128">
          <cell r="H128">
            <v>818</v>
          </cell>
          <cell r="I128">
            <v>330</v>
          </cell>
        </row>
        <row r="129">
          <cell r="H129">
            <v>818</v>
          </cell>
          <cell r="I129">
            <v>0</v>
          </cell>
        </row>
        <row r="130">
          <cell r="H130">
            <v>818</v>
          </cell>
          <cell r="I130">
            <v>0</v>
          </cell>
        </row>
        <row r="131">
          <cell r="H131">
            <v>818</v>
          </cell>
          <cell r="I131">
            <v>330</v>
          </cell>
        </row>
        <row r="132">
          <cell r="H132">
            <v>818</v>
          </cell>
          <cell r="I132">
            <v>330</v>
          </cell>
        </row>
        <row r="133">
          <cell r="H133">
            <v>818</v>
          </cell>
          <cell r="I133">
            <v>330</v>
          </cell>
        </row>
        <row r="134">
          <cell r="H134">
            <v>818</v>
          </cell>
          <cell r="I134">
            <v>330</v>
          </cell>
        </row>
        <row r="135">
          <cell r="H135">
            <v>818</v>
          </cell>
          <cell r="I135">
            <v>330</v>
          </cell>
        </row>
        <row r="136">
          <cell r="H136">
            <v>818</v>
          </cell>
          <cell r="I136">
            <v>330</v>
          </cell>
        </row>
        <row r="137">
          <cell r="H137">
            <v>818</v>
          </cell>
          <cell r="I137">
            <v>330</v>
          </cell>
        </row>
        <row r="138">
          <cell r="H138">
            <v>818</v>
          </cell>
          <cell r="I138">
            <v>330</v>
          </cell>
        </row>
        <row r="139">
          <cell r="H139">
            <v>0</v>
          </cell>
          <cell r="I139">
            <v>104.02773392</v>
          </cell>
        </row>
        <row r="140">
          <cell r="H140">
            <v>818</v>
          </cell>
          <cell r="I140">
            <v>330</v>
          </cell>
        </row>
        <row r="141">
          <cell r="H141">
            <v>818</v>
          </cell>
          <cell r="I141">
            <v>0</v>
          </cell>
        </row>
        <row r="142">
          <cell r="H142">
            <v>818</v>
          </cell>
          <cell r="I142">
            <v>330</v>
          </cell>
        </row>
        <row r="143">
          <cell r="H143">
            <v>818</v>
          </cell>
          <cell r="I143">
            <v>0</v>
          </cell>
        </row>
        <row r="144">
          <cell r="H144">
            <v>0</v>
          </cell>
          <cell r="I144">
            <v>330</v>
          </cell>
        </row>
        <row r="145">
          <cell r="H145">
            <v>818</v>
          </cell>
          <cell r="I145">
            <v>0</v>
          </cell>
        </row>
        <row r="146">
          <cell r="H146">
            <v>818</v>
          </cell>
          <cell r="I146">
            <v>330</v>
          </cell>
        </row>
        <row r="147">
          <cell r="H147">
            <v>818</v>
          </cell>
          <cell r="I147">
            <v>330</v>
          </cell>
        </row>
        <row r="148">
          <cell r="H148">
            <v>818</v>
          </cell>
          <cell r="I148">
            <v>330</v>
          </cell>
        </row>
        <row r="149">
          <cell r="H149">
            <v>818</v>
          </cell>
          <cell r="I149">
            <v>330</v>
          </cell>
        </row>
        <row r="150">
          <cell r="H150">
            <v>818</v>
          </cell>
          <cell r="I150">
            <v>330</v>
          </cell>
        </row>
        <row r="151">
          <cell r="H151">
            <v>818</v>
          </cell>
          <cell r="I151">
            <v>330</v>
          </cell>
        </row>
        <row r="152">
          <cell r="H152">
            <v>818</v>
          </cell>
          <cell r="I152">
            <v>330</v>
          </cell>
        </row>
        <row r="153">
          <cell r="H153">
            <v>818</v>
          </cell>
          <cell r="I153">
            <v>330</v>
          </cell>
        </row>
        <row r="154">
          <cell r="H154">
            <v>818</v>
          </cell>
          <cell r="I154">
            <v>330</v>
          </cell>
        </row>
        <row r="155">
          <cell r="H155">
            <v>818</v>
          </cell>
          <cell r="I155">
            <v>330</v>
          </cell>
        </row>
        <row r="156">
          <cell r="H156">
            <v>818</v>
          </cell>
          <cell r="I156">
            <v>330</v>
          </cell>
        </row>
        <row r="157">
          <cell r="H157">
            <v>818</v>
          </cell>
          <cell r="I157">
            <v>330</v>
          </cell>
        </row>
        <row r="158">
          <cell r="H158">
            <v>818</v>
          </cell>
          <cell r="I158">
            <v>330</v>
          </cell>
        </row>
        <row r="159">
          <cell r="H159">
            <v>818</v>
          </cell>
          <cell r="I159">
            <v>330</v>
          </cell>
        </row>
        <row r="160">
          <cell r="H160">
            <v>818</v>
          </cell>
          <cell r="I160">
            <v>330</v>
          </cell>
        </row>
        <row r="161">
          <cell r="H161">
            <v>818</v>
          </cell>
          <cell r="I161">
            <v>330</v>
          </cell>
        </row>
        <row r="162">
          <cell r="H162">
            <v>818</v>
          </cell>
          <cell r="I162">
            <v>330</v>
          </cell>
        </row>
        <row r="163">
          <cell r="H163">
            <v>818</v>
          </cell>
          <cell r="I163">
            <v>330</v>
          </cell>
        </row>
        <row r="164">
          <cell r="H164">
            <v>818</v>
          </cell>
          <cell r="I164">
            <v>330</v>
          </cell>
        </row>
        <row r="165">
          <cell r="H165">
            <v>818</v>
          </cell>
          <cell r="I165">
            <v>330</v>
          </cell>
        </row>
        <row r="166">
          <cell r="H166">
            <v>818</v>
          </cell>
          <cell r="I166">
            <v>330</v>
          </cell>
        </row>
        <row r="167">
          <cell r="H167">
            <v>818</v>
          </cell>
          <cell r="I167">
            <v>330</v>
          </cell>
        </row>
        <row r="168">
          <cell r="H168">
            <v>818</v>
          </cell>
          <cell r="I168">
            <v>330</v>
          </cell>
        </row>
        <row r="169">
          <cell r="H169">
            <v>818</v>
          </cell>
          <cell r="I169">
            <v>330</v>
          </cell>
        </row>
      </sheetData>
      <sheetData sheetId="13">
        <row r="2">
          <cell r="N2">
            <v>1240</v>
          </cell>
          <cell r="O2">
            <v>330</v>
          </cell>
        </row>
        <row r="3">
          <cell r="N3">
            <v>1240</v>
          </cell>
          <cell r="O3">
            <v>330</v>
          </cell>
        </row>
        <row r="4">
          <cell r="N4">
            <v>1240</v>
          </cell>
          <cell r="O4">
            <v>330</v>
          </cell>
        </row>
        <row r="5">
          <cell r="N5">
            <v>1240</v>
          </cell>
          <cell r="O5">
            <v>330</v>
          </cell>
        </row>
        <row r="6">
          <cell r="N6">
            <v>1240</v>
          </cell>
          <cell r="O6">
            <v>330</v>
          </cell>
        </row>
        <row r="7">
          <cell r="N7">
            <v>1240</v>
          </cell>
          <cell r="O7">
            <v>330</v>
          </cell>
        </row>
        <row r="8">
          <cell r="N8">
            <v>1240</v>
          </cell>
          <cell r="O8">
            <v>330</v>
          </cell>
        </row>
        <row r="9">
          <cell r="N9">
            <v>1240</v>
          </cell>
          <cell r="O9">
            <v>330</v>
          </cell>
        </row>
        <row r="10">
          <cell r="N10">
            <v>1240</v>
          </cell>
          <cell r="O10">
            <v>330</v>
          </cell>
        </row>
        <row r="11">
          <cell r="N11">
            <v>1240</v>
          </cell>
          <cell r="O11">
            <v>330</v>
          </cell>
        </row>
        <row r="12">
          <cell r="N12">
            <v>195.1</v>
          </cell>
          <cell r="O12">
            <v>330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195.1</v>
          </cell>
          <cell r="O17">
            <v>0</v>
          </cell>
        </row>
        <row r="18">
          <cell r="N18">
            <v>1240</v>
          </cell>
          <cell r="O18">
            <v>330</v>
          </cell>
        </row>
        <row r="19">
          <cell r="N19">
            <v>1240</v>
          </cell>
          <cell r="O19">
            <v>330</v>
          </cell>
        </row>
        <row r="20">
          <cell r="N20">
            <v>1240</v>
          </cell>
          <cell r="O20">
            <v>330</v>
          </cell>
        </row>
        <row r="21">
          <cell r="N21">
            <v>1240</v>
          </cell>
          <cell r="O21">
            <v>330</v>
          </cell>
        </row>
        <row r="22">
          <cell r="N22">
            <v>1240</v>
          </cell>
          <cell r="O22">
            <v>330</v>
          </cell>
        </row>
        <row r="23">
          <cell r="N23">
            <v>1240</v>
          </cell>
          <cell r="O23">
            <v>330</v>
          </cell>
        </row>
        <row r="24">
          <cell r="N24">
            <v>1240</v>
          </cell>
          <cell r="O24">
            <v>330</v>
          </cell>
        </row>
        <row r="25">
          <cell r="N25">
            <v>1240</v>
          </cell>
          <cell r="O25">
            <v>330</v>
          </cell>
        </row>
        <row r="26">
          <cell r="N26">
            <v>1240</v>
          </cell>
          <cell r="O26">
            <v>330</v>
          </cell>
        </row>
        <row r="27">
          <cell r="N27">
            <v>1240</v>
          </cell>
          <cell r="O27">
            <v>330</v>
          </cell>
        </row>
        <row r="28">
          <cell r="N28">
            <v>1240</v>
          </cell>
          <cell r="O28">
            <v>330</v>
          </cell>
        </row>
        <row r="29">
          <cell r="N29">
            <v>1240</v>
          </cell>
          <cell r="O29">
            <v>330</v>
          </cell>
        </row>
        <row r="30">
          <cell r="N30">
            <v>1240</v>
          </cell>
          <cell r="O30">
            <v>330</v>
          </cell>
        </row>
        <row r="31">
          <cell r="N31">
            <v>1240</v>
          </cell>
          <cell r="O31">
            <v>330</v>
          </cell>
        </row>
        <row r="32">
          <cell r="N32">
            <v>1240</v>
          </cell>
          <cell r="O32">
            <v>330</v>
          </cell>
        </row>
        <row r="33">
          <cell r="N33">
            <v>1240</v>
          </cell>
          <cell r="O33">
            <v>330</v>
          </cell>
        </row>
        <row r="34">
          <cell r="N34">
            <v>1240</v>
          </cell>
          <cell r="O34">
            <v>330</v>
          </cell>
        </row>
        <row r="35">
          <cell r="N35">
            <v>1240</v>
          </cell>
          <cell r="O35">
            <v>330</v>
          </cell>
        </row>
        <row r="36">
          <cell r="N36">
            <v>1240</v>
          </cell>
          <cell r="O36">
            <v>330</v>
          </cell>
        </row>
        <row r="37">
          <cell r="N37">
            <v>194.64011808999999</v>
          </cell>
          <cell r="O37">
            <v>330</v>
          </cell>
        </row>
        <row r="38">
          <cell r="N38">
            <v>0</v>
          </cell>
          <cell r="O38">
            <v>129.57841562999999</v>
          </cell>
        </row>
        <row r="39">
          <cell r="N39">
            <v>0</v>
          </cell>
          <cell r="O39">
            <v>330</v>
          </cell>
        </row>
        <row r="40">
          <cell r="N40">
            <v>984.02762299999995</v>
          </cell>
          <cell r="O40">
            <v>330</v>
          </cell>
        </row>
        <row r="41">
          <cell r="N41">
            <v>1240</v>
          </cell>
          <cell r="O41">
            <v>330</v>
          </cell>
        </row>
        <row r="42">
          <cell r="N42">
            <v>1240</v>
          </cell>
          <cell r="O42">
            <v>330</v>
          </cell>
        </row>
        <row r="43">
          <cell r="N43">
            <v>1240</v>
          </cell>
          <cell r="O43">
            <v>330</v>
          </cell>
        </row>
        <row r="44">
          <cell r="N44">
            <v>1240</v>
          </cell>
          <cell r="O44">
            <v>330</v>
          </cell>
        </row>
        <row r="45">
          <cell r="N45">
            <v>1240</v>
          </cell>
          <cell r="O45">
            <v>330</v>
          </cell>
        </row>
        <row r="46">
          <cell r="N46">
            <v>1240</v>
          </cell>
          <cell r="O46">
            <v>330</v>
          </cell>
        </row>
        <row r="47">
          <cell r="N47">
            <v>1240</v>
          </cell>
          <cell r="O47">
            <v>330</v>
          </cell>
        </row>
        <row r="48">
          <cell r="N48">
            <v>1240</v>
          </cell>
          <cell r="O48">
            <v>330</v>
          </cell>
        </row>
        <row r="49">
          <cell r="N49">
            <v>1240</v>
          </cell>
          <cell r="O49">
            <v>330</v>
          </cell>
        </row>
        <row r="50">
          <cell r="N50">
            <v>1240</v>
          </cell>
          <cell r="O50">
            <v>330</v>
          </cell>
        </row>
        <row r="51">
          <cell r="N51">
            <v>1240</v>
          </cell>
          <cell r="O51">
            <v>330</v>
          </cell>
        </row>
        <row r="52">
          <cell r="N52">
            <v>1240</v>
          </cell>
          <cell r="O52">
            <v>330</v>
          </cell>
        </row>
        <row r="53">
          <cell r="N53">
            <v>1240</v>
          </cell>
          <cell r="O53">
            <v>330</v>
          </cell>
        </row>
        <row r="54">
          <cell r="N54">
            <v>1240</v>
          </cell>
          <cell r="O54">
            <v>330</v>
          </cell>
        </row>
        <row r="55">
          <cell r="N55">
            <v>1240</v>
          </cell>
          <cell r="O55">
            <v>330</v>
          </cell>
        </row>
        <row r="56">
          <cell r="N56">
            <v>1240</v>
          </cell>
          <cell r="O56">
            <v>55.778239650000003</v>
          </cell>
        </row>
        <row r="57">
          <cell r="N57">
            <v>1240</v>
          </cell>
          <cell r="O57">
            <v>330</v>
          </cell>
        </row>
        <row r="58">
          <cell r="N58">
            <v>1240</v>
          </cell>
          <cell r="O58">
            <v>330</v>
          </cell>
        </row>
        <row r="59">
          <cell r="N59">
            <v>1240</v>
          </cell>
          <cell r="O59">
            <v>330</v>
          </cell>
        </row>
        <row r="60">
          <cell r="N60">
            <v>1240</v>
          </cell>
          <cell r="O60">
            <v>330</v>
          </cell>
        </row>
        <row r="61">
          <cell r="N61">
            <v>1240</v>
          </cell>
          <cell r="O61">
            <v>330</v>
          </cell>
        </row>
        <row r="62">
          <cell r="N62">
            <v>1231.96830185</v>
          </cell>
          <cell r="O62">
            <v>330</v>
          </cell>
        </row>
        <row r="63">
          <cell r="N63">
            <v>880.96992571999999</v>
          </cell>
          <cell r="O63">
            <v>330</v>
          </cell>
        </row>
        <row r="64">
          <cell r="N64">
            <v>1240</v>
          </cell>
          <cell r="O64">
            <v>330</v>
          </cell>
        </row>
        <row r="65">
          <cell r="N65">
            <v>1240</v>
          </cell>
          <cell r="O65">
            <v>330</v>
          </cell>
        </row>
        <row r="66">
          <cell r="N66">
            <v>1240</v>
          </cell>
          <cell r="O66">
            <v>330</v>
          </cell>
        </row>
        <row r="67">
          <cell r="N67">
            <v>1240</v>
          </cell>
          <cell r="O67">
            <v>330</v>
          </cell>
        </row>
        <row r="68">
          <cell r="N68">
            <v>1240</v>
          </cell>
          <cell r="O68">
            <v>330</v>
          </cell>
        </row>
        <row r="69">
          <cell r="N69">
            <v>1240</v>
          </cell>
          <cell r="O69">
            <v>330</v>
          </cell>
        </row>
        <row r="70">
          <cell r="N70">
            <v>1240</v>
          </cell>
          <cell r="O70">
            <v>330</v>
          </cell>
        </row>
        <row r="71">
          <cell r="N71">
            <v>1240</v>
          </cell>
          <cell r="O71">
            <v>330</v>
          </cell>
        </row>
        <row r="72">
          <cell r="N72">
            <v>1240</v>
          </cell>
          <cell r="O72">
            <v>330</v>
          </cell>
        </row>
        <row r="73">
          <cell r="N73">
            <v>1240</v>
          </cell>
          <cell r="O73">
            <v>330</v>
          </cell>
        </row>
        <row r="74">
          <cell r="N74">
            <v>1240</v>
          </cell>
          <cell r="O74">
            <v>330</v>
          </cell>
        </row>
        <row r="75">
          <cell r="N75">
            <v>1240</v>
          </cell>
          <cell r="O75">
            <v>330</v>
          </cell>
        </row>
        <row r="76">
          <cell r="N76">
            <v>1240</v>
          </cell>
          <cell r="O76">
            <v>330</v>
          </cell>
        </row>
        <row r="77">
          <cell r="N77">
            <v>1240</v>
          </cell>
          <cell r="O77">
            <v>330</v>
          </cell>
        </row>
        <row r="78">
          <cell r="N78">
            <v>1240</v>
          </cell>
          <cell r="O78">
            <v>330</v>
          </cell>
        </row>
        <row r="79">
          <cell r="N79">
            <v>1240</v>
          </cell>
          <cell r="O79">
            <v>330</v>
          </cell>
        </row>
        <row r="80">
          <cell r="N80">
            <v>1240</v>
          </cell>
          <cell r="O80">
            <v>330</v>
          </cell>
        </row>
        <row r="81">
          <cell r="N81">
            <v>1240</v>
          </cell>
          <cell r="O81">
            <v>330</v>
          </cell>
        </row>
        <row r="82">
          <cell r="N82">
            <v>1240</v>
          </cell>
          <cell r="O82">
            <v>330</v>
          </cell>
        </row>
        <row r="83">
          <cell r="N83">
            <v>1240</v>
          </cell>
          <cell r="O83">
            <v>330</v>
          </cell>
        </row>
        <row r="84">
          <cell r="N84">
            <v>1240</v>
          </cell>
          <cell r="O84">
            <v>330</v>
          </cell>
        </row>
        <row r="85">
          <cell r="N85">
            <v>1240</v>
          </cell>
          <cell r="O85">
            <v>330</v>
          </cell>
        </row>
        <row r="86">
          <cell r="N86">
            <v>987.11730249000004</v>
          </cell>
          <cell r="O86">
            <v>330</v>
          </cell>
        </row>
        <row r="87">
          <cell r="N87">
            <v>0</v>
          </cell>
          <cell r="O87">
            <v>330</v>
          </cell>
        </row>
        <row r="88">
          <cell r="N88">
            <v>0</v>
          </cell>
          <cell r="O88">
            <v>330</v>
          </cell>
        </row>
        <row r="89">
          <cell r="N89">
            <v>0</v>
          </cell>
          <cell r="O89">
            <v>330</v>
          </cell>
        </row>
        <row r="90">
          <cell r="N90">
            <v>0</v>
          </cell>
          <cell r="O90">
            <v>330</v>
          </cell>
        </row>
        <row r="91">
          <cell r="N91">
            <v>1240</v>
          </cell>
          <cell r="O91">
            <v>330</v>
          </cell>
        </row>
        <row r="92">
          <cell r="N92">
            <v>1240</v>
          </cell>
          <cell r="O92">
            <v>330</v>
          </cell>
        </row>
        <row r="93">
          <cell r="N93">
            <v>1240</v>
          </cell>
          <cell r="O93">
            <v>330</v>
          </cell>
        </row>
        <row r="94">
          <cell r="N94">
            <v>1240</v>
          </cell>
          <cell r="O94">
            <v>330</v>
          </cell>
        </row>
        <row r="95">
          <cell r="N95">
            <v>1240</v>
          </cell>
          <cell r="O95">
            <v>330</v>
          </cell>
        </row>
        <row r="96">
          <cell r="N96">
            <v>194.64011808999999</v>
          </cell>
          <cell r="O96">
            <v>330</v>
          </cell>
        </row>
        <row r="97">
          <cell r="N97">
            <v>0</v>
          </cell>
          <cell r="O97">
            <v>128.65667970999999</v>
          </cell>
        </row>
        <row r="98">
          <cell r="N98">
            <v>0</v>
          </cell>
          <cell r="O98">
            <v>330</v>
          </cell>
        </row>
        <row r="99">
          <cell r="N99">
            <v>0</v>
          </cell>
          <cell r="O99">
            <v>330</v>
          </cell>
        </row>
        <row r="100">
          <cell r="N100">
            <v>0</v>
          </cell>
          <cell r="O100">
            <v>97.336652130000004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330</v>
          </cell>
        </row>
        <row r="103">
          <cell r="N103">
            <v>0</v>
          </cell>
          <cell r="O103">
            <v>330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330</v>
          </cell>
        </row>
        <row r="118">
          <cell r="N118">
            <v>0</v>
          </cell>
          <cell r="O118">
            <v>330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330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0</v>
          </cell>
          <cell r="O167">
            <v>0</v>
          </cell>
        </row>
        <row r="168">
          <cell r="N168">
            <v>0</v>
          </cell>
          <cell r="O168">
            <v>0</v>
          </cell>
        </row>
        <row r="169">
          <cell r="N169">
            <v>0</v>
          </cell>
          <cell r="O169">
            <v>0</v>
          </cell>
        </row>
        <row r="170">
          <cell r="N170">
            <v>0</v>
          </cell>
          <cell r="O170">
            <v>0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049C-57C5-4C17-ACAA-0858BC105995}">
  <sheetPr>
    <tabColor theme="4" tint="0.79998168889431442"/>
  </sheetPr>
  <dimension ref="A1:AD172"/>
  <sheetViews>
    <sheetView tabSelected="1" topLeftCell="A29" zoomScale="145" zoomScaleNormal="145" workbookViewId="0">
      <selection activeCell="H15" sqref="H15"/>
    </sheetView>
  </sheetViews>
  <sheetFormatPr baseColWidth="10" defaultRowHeight="14" x14ac:dyDescent="0.3"/>
  <cols>
    <col min="1" max="1" width="10.90625" style="1"/>
    <col min="2" max="2" width="19.36328125" style="1" bestFit="1" customWidth="1"/>
    <col min="3" max="3" width="10.81640625" style="1" bestFit="1" customWidth="1"/>
    <col min="4" max="4" width="16.7265625" style="1" bestFit="1" customWidth="1"/>
    <col min="5" max="5" width="22.90625" style="1" bestFit="1" customWidth="1"/>
    <col min="6" max="6" width="23.90625" style="1" customWidth="1"/>
    <col min="7" max="7" width="22.90625" style="1" bestFit="1" customWidth="1"/>
    <col min="8" max="8" width="24.1796875" style="1" bestFit="1" customWidth="1"/>
    <col min="9" max="9" width="23.453125" style="1" bestFit="1" customWidth="1"/>
    <col min="10" max="10" width="26.54296875" style="1" bestFit="1" customWidth="1"/>
    <col min="11" max="11" width="22.7265625" style="1" bestFit="1" customWidth="1"/>
    <col min="12" max="12" width="16.90625" style="1" customWidth="1"/>
    <col min="13" max="13" width="15.453125" style="1" customWidth="1"/>
    <col min="14" max="14" width="24.81640625" style="1" bestFit="1" customWidth="1"/>
    <col min="15" max="15" width="13.1796875" style="1" bestFit="1" customWidth="1"/>
    <col min="16" max="16" width="13.453125" style="1" bestFit="1" customWidth="1"/>
    <col min="17" max="17" width="24.81640625" style="1" bestFit="1" customWidth="1"/>
    <col min="18" max="18" width="24.81640625" style="1" customWidth="1"/>
    <col min="19" max="19" width="17.81640625" style="1" bestFit="1" customWidth="1"/>
    <col min="20" max="20" width="18.81640625" style="1" bestFit="1" customWidth="1"/>
    <col min="21" max="21" width="18.26953125" style="1" bestFit="1" customWidth="1"/>
    <col min="22" max="22" width="17.08984375" style="1" customWidth="1"/>
    <col min="23" max="23" width="18.26953125" style="1" bestFit="1" customWidth="1"/>
    <col min="24" max="24" width="11.81640625" style="1" customWidth="1"/>
    <col min="25" max="25" width="12.453125" style="1" bestFit="1" customWidth="1"/>
    <col min="26" max="26" width="18.08984375" style="1" bestFit="1" customWidth="1"/>
    <col min="27" max="27" width="18.26953125" style="1" bestFit="1" customWidth="1"/>
    <col min="28" max="28" width="13.26953125" style="2" customWidth="1"/>
    <col min="29" max="29" width="10.7265625" style="2" customWidth="1"/>
    <col min="30" max="30" width="10.90625" style="2"/>
    <col min="31" max="16384" width="10.90625" style="1"/>
  </cols>
  <sheetData>
    <row r="1" spans="1:30" x14ac:dyDescent="0.3">
      <c r="B1" s="3"/>
      <c r="C1" s="21" t="s">
        <v>39</v>
      </c>
      <c r="D1" s="21" t="s">
        <v>38</v>
      </c>
      <c r="E1" s="21" t="s">
        <v>37</v>
      </c>
      <c r="F1" s="21" t="s">
        <v>36</v>
      </c>
      <c r="G1" s="20" t="s">
        <v>35</v>
      </c>
      <c r="I1" s="1" t="s">
        <v>44</v>
      </c>
      <c r="J1" s="1" t="s">
        <v>46</v>
      </c>
      <c r="S1" s="19" t="s">
        <v>34</v>
      </c>
      <c r="T1" s="18" t="s">
        <v>33</v>
      </c>
      <c r="U1" s="18" t="s">
        <v>32</v>
      </c>
      <c r="V1" s="18" t="s">
        <v>31</v>
      </c>
      <c r="W1" s="10" t="s">
        <v>30</v>
      </c>
      <c r="X1" s="1" t="s">
        <v>29</v>
      </c>
    </row>
    <row r="2" spans="1:30" x14ac:dyDescent="0.3">
      <c r="B2" s="15" t="s">
        <v>28</v>
      </c>
      <c r="C2" s="17">
        <v>5000</v>
      </c>
      <c r="D2" s="17">
        <v>7627.1186459999999</v>
      </c>
      <c r="E2" s="17">
        <v>5014.1242920000004</v>
      </c>
      <c r="F2" s="17">
        <v>6779.6610170000004</v>
      </c>
      <c r="G2" s="16">
        <v>1553.672292</v>
      </c>
      <c r="I2" s="1" t="s">
        <v>45</v>
      </c>
      <c r="J2" s="1" t="s">
        <v>47</v>
      </c>
      <c r="R2" s="15" t="s">
        <v>27</v>
      </c>
      <c r="S2" s="14">
        <v>1422.3673185099999</v>
      </c>
      <c r="T2" s="14">
        <v>1517.77579117</v>
      </c>
      <c r="U2" s="14">
        <v>3117.92</v>
      </c>
      <c r="V2" s="14">
        <v>508.3</v>
      </c>
      <c r="W2" s="13">
        <v>11600</v>
      </c>
      <c r="X2" s="1">
        <f>83000+4805</f>
        <v>87805</v>
      </c>
    </row>
    <row r="3" spans="1:30" x14ac:dyDescent="0.3">
      <c r="H3" s="12"/>
      <c r="R3" s="1" t="s">
        <v>26</v>
      </c>
      <c r="AB3" s="11" t="s">
        <v>25</v>
      </c>
    </row>
    <row r="4" spans="1:30" x14ac:dyDescent="0.3">
      <c r="A4" s="10" t="s">
        <v>24</v>
      </c>
      <c r="B4" s="6" t="s">
        <v>23</v>
      </c>
      <c r="C4" s="6" t="s">
        <v>40</v>
      </c>
      <c r="D4" s="8" t="s">
        <v>22</v>
      </c>
      <c r="E4" s="7" t="s">
        <v>21</v>
      </c>
      <c r="F4" s="9" t="s">
        <v>20</v>
      </c>
      <c r="G4" s="7" t="s">
        <v>41</v>
      </c>
      <c r="H4" s="9" t="s">
        <v>19</v>
      </c>
      <c r="I4" s="6" t="s">
        <v>42</v>
      </c>
      <c r="J4" s="7" t="s">
        <v>16</v>
      </c>
      <c r="K4" s="6" t="s">
        <v>18</v>
      </c>
      <c r="L4" s="6" t="s">
        <v>43</v>
      </c>
      <c r="M4" s="8" t="s">
        <v>17</v>
      </c>
      <c r="N4" s="7" t="s">
        <v>16</v>
      </c>
      <c r="O4" s="6" t="s">
        <v>15</v>
      </c>
      <c r="P4" s="6" t="s">
        <v>14</v>
      </c>
      <c r="Q4" s="7" t="s">
        <v>13</v>
      </c>
      <c r="R4" s="6" t="s">
        <v>12</v>
      </c>
      <c r="S4" s="6" t="s">
        <v>11</v>
      </c>
      <c r="T4" s="6" t="s">
        <v>10</v>
      </c>
      <c r="U4" s="5" t="s">
        <v>9</v>
      </c>
      <c r="V4" s="6" t="s">
        <v>8</v>
      </c>
      <c r="W4" s="5" t="s">
        <v>7</v>
      </c>
      <c r="X4" s="6" t="s">
        <v>6</v>
      </c>
      <c r="Y4" s="5" t="s">
        <v>5</v>
      </c>
      <c r="Z4" s="6" t="s">
        <v>4</v>
      </c>
      <c r="AA4" s="5" t="s">
        <v>3</v>
      </c>
      <c r="AB4" s="2" t="s">
        <v>2</v>
      </c>
      <c r="AC4" s="2" t="s">
        <v>1</v>
      </c>
      <c r="AD4" s="2" t="s">
        <v>0</v>
      </c>
    </row>
    <row r="5" spans="1:30" x14ac:dyDescent="0.3">
      <c r="A5" s="1">
        <v>1</v>
      </c>
      <c r="B5" s="4">
        <v>-5000</v>
      </c>
      <c r="C5" s="1">
        <f>IF(B5&lt;0,B5,0)</f>
        <v>-5000</v>
      </c>
      <c r="D5" s="1">
        <f>IF(B5&gt;0,B5,0)</f>
        <v>0</v>
      </c>
      <c r="E5" s="1">
        <f>C5/$C$2</f>
        <v>-1</v>
      </c>
      <c r="F5" s="4">
        <v>0</v>
      </c>
      <c r="G5" s="1">
        <f t="shared" ref="G5:G36" si="0">IF(F5&gt;0,F5,0)</f>
        <v>0</v>
      </c>
      <c r="H5" s="4">
        <v>-1553.672292</v>
      </c>
      <c r="I5" s="1">
        <f t="shared" ref="I5:I36" si="1">IF(H5&lt;0,-H5,0)</f>
        <v>1553.672292</v>
      </c>
      <c r="J5" s="3">
        <f t="shared" ref="J5:J36" si="2">I5/$G$2</f>
        <v>1</v>
      </c>
      <c r="K5" s="4">
        <v>-6779.6610170000004</v>
      </c>
      <c r="L5" s="1">
        <f t="shared" ref="L5:L36" si="3">IF(K5&gt;0,K5,0)</f>
        <v>0</v>
      </c>
      <c r="M5" s="1">
        <f t="shared" ref="M5:M36" si="4">IF(K5&lt;0,-K5,0)</f>
        <v>6779.6610170000004</v>
      </c>
      <c r="N5" s="3">
        <f t="shared" ref="N5:N36" si="5">L5/$F$2</f>
        <v>0</v>
      </c>
      <c r="O5" s="1">
        <v>1342.4069999999999</v>
      </c>
      <c r="P5" s="1">
        <v>10493.065839999999</v>
      </c>
      <c r="Q5" s="3">
        <f t="shared" ref="Q5:Q36" si="6">O5+P5</f>
        <v>11835.472839999999</v>
      </c>
      <c r="R5" s="1">
        <v>1100.37359042</v>
      </c>
      <c r="S5" s="1">
        <v>1517.77579117</v>
      </c>
      <c r="T5" s="1">
        <f t="shared" ref="T5:T36" si="7">R5/$S$2</f>
        <v>0.77362125528354786</v>
      </c>
      <c r="U5" s="3">
        <f t="shared" ref="U5:U36" si="8">S5/$T$2</f>
        <v>1</v>
      </c>
      <c r="V5" s="1">
        <v>794.88</v>
      </c>
      <c r="W5" s="3">
        <f t="shared" ref="W5:W36" si="9">V5/$U$2</f>
        <v>0.25493919022938366</v>
      </c>
      <c r="X5" s="1">
        <v>367.01</v>
      </c>
      <c r="Y5" s="3">
        <f t="shared" ref="Y5:Y36" si="10">X5/$V$2</f>
        <v>0.72203423175290182</v>
      </c>
      <c r="Z5" s="1">
        <v>5832</v>
      </c>
      <c r="AA5" s="3">
        <f t="shared" ref="AA5:AA36" si="11">Z5/$W$2</f>
        <v>0.50275862068965516</v>
      </c>
      <c r="AB5" s="2">
        <v>0</v>
      </c>
      <c r="AC5" s="2">
        <v>0</v>
      </c>
      <c r="AD5" s="2">
        <f t="shared" ref="AD5:AD36" si="12">SUM(AB5:AC5)/$X$2</f>
        <v>0</v>
      </c>
    </row>
    <row r="6" spans="1:30" x14ac:dyDescent="0.3">
      <c r="A6" s="1">
        <v>2</v>
      </c>
      <c r="B6" s="4">
        <v>-5000</v>
      </c>
      <c r="C6" s="1">
        <f t="shared" ref="C6:C69" si="13">IF(B6&lt;0,B6,0)</f>
        <v>-5000</v>
      </c>
      <c r="D6" s="1">
        <f t="shared" ref="D6:D36" si="14">IF(B6&gt;0,B6,0)</f>
        <v>0</v>
      </c>
      <c r="E6" s="3">
        <f t="shared" ref="E6:E36" si="15">C6/$C$2</f>
        <v>-1</v>
      </c>
      <c r="F6" s="1">
        <v>0</v>
      </c>
      <c r="G6" s="3">
        <f t="shared" si="0"/>
        <v>0</v>
      </c>
      <c r="H6" s="1">
        <v>-1553.672292</v>
      </c>
      <c r="I6" s="1">
        <f t="shared" si="1"/>
        <v>1553.672292</v>
      </c>
      <c r="J6" s="3">
        <f t="shared" si="2"/>
        <v>1</v>
      </c>
      <c r="K6" s="4">
        <v>-6779.6610170000004</v>
      </c>
      <c r="L6" s="1">
        <f t="shared" si="3"/>
        <v>0</v>
      </c>
      <c r="M6" s="1">
        <f t="shared" si="4"/>
        <v>6779.6610170000004</v>
      </c>
      <c r="N6" s="3">
        <f t="shared" si="5"/>
        <v>0</v>
      </c>
      <c r="O6" s="1">
        <v>1342.4069999999999</v>
      </c>
      <c r="P6" s="1">
        <v>10493.065839999999</v>
      </c>
      <c r="Q6" s="3">
        <f t="shared" si="6"/>
        <v>11835.472839999999</v>
      </c>
      <c r="R6" s="1">
        <v>1100.37359042</v>
      </c>
      <c r="S6" s="1">
        <v>1517.77579117</v>
      </c>
      <c r="T6" s="1">
        <f t="shared" si="7"/>
        <v>0.77362125528354786</v>
      </c>
      <c r="U6" s="3">
        <f t="shared" si="8"/>
        <v>1</v>
      </c>
      <c r="V6" s="1">
        <v>794.88</v>
      </c>
      <c r="W6" s="3">
        <f t="shared" si="9"/>
        <v>0.25493919022938366</v>
      </c>
      <c r="X6" s="1">
        <v>367.01</v>
      </c>
      <c r="Y6" s="3">
        <f t="shared" si="10"/>
        <v>0.72203423175290182</v>
      </c>
      <c r="Z6" s="1">
        <v>5832</v>
      </c>
      <c r="AA6" s="3">
        <f t="shared" si="11"/>
        <v>0.50275862068965516</v>
      </c>
      <c r="AB6" s="2">
        <v>0</v>
      </c>
      <c r="AC6" s="2">
        <v>0</v>
      </c>
      <c r="AD6" s="2">
        <f t="shared" si="12"/>
        <v>0</v>
      </c>
    </row>
    <row r="7" spans="1:30" x14ac:dyDescent="0.3">
      <c r="A7" s="1">
        <v>3</v>
      </c>
      <c r="B7" s="4">
        <v>-5000</v>
      </c>
      <c r="C7" s="1">
        <f t="shared" si="13"/>
        <v>-5000</v>
      </c>
      <c r="D7" s="1">
        <f t="shared" si="14"/>
        <v>0</v>
      </c>
      <c r="E7" s="3">
        <f t="shared" si="15"/>
        <v>-1</v>
      </c>
      <c r="F7" s="1">
        <v>0</v>
      </c>
      <c r="G7" s="3">
        <f t="shared" si="0"/>
        <v>0</v>
      </c>
      <c r="H7" s="1">
        <v>-1553.672292</v>
      </c>
      <c r="I7" s="1">
        <f t="shared" si="1"/>
        <v>1553.672292</v>
      </c>
      <c r="J7" s="3">
        <f t="shared" si="2"/>
        <v>1</v>
      </c>
      <c r="K7" s="4">
        <v>-6779.6610170000004</v>
      </c>
      <c r="L7" s="1">
        <f t="shared" si="3"/>
        <v>0</v>
      </c>
      <c r="M7" s="1">
        <f t="shared" si="4"/>
        <v>6779.6610170000004</v>
      </c>
      <c r="N7" s="3">
        <f t="shared" si="5"/>
        <v>0</v>
      </c>
      <c r="O7" s="1">
        <v>1342.4069999999999</v>
      </c>
      <c r="P7" s="1">
        <v>10493.065839999999</v>
      </c>
      <c r="Q7" s="3">
        <f t="shared" si="6"/>
        <v>11835.472839999999</v>
      </c>
      <c r="R7" s="1">
        <v>1100.37359042</v>
      </c>
      <c r="S7" s="1">
        <v>1517.77579117</v>
      </c>
      <c r="T7" s="1">
        <f t="shared" si="7"/>
        <v>0.77362125528354786</v>
      </c>
      <c r="U7" s="3">
        <f t="shared" si="8"/>
        <v>1</v>
      </c>
      <c r="V7" s="1">
        <v>794.88</v>
      </c>
      <c r="W7" s="3">
        <f t="shared" si="9"/>
        <v>0.25493919022938366</v>
      </c>
      <c r="X7" s="1">
        <v>367.01</v>
      </c>
      <c r="Y7" s="3">
        <f t="shared" si="10"/>
        <v>0.72203423175290182</v>
      </c>
      <c r="Z7" s="1">
        <v>5832</v>
      </c>
      <c r="AA7" s="3">
        <f t="shared" si="11"/>
        <v>0.50275862068965516</v>
      </c>
      <c r="AB7" s="2">
        <v>0</v>
      </c>
      <c r="AC7" s="2">
        <v>0</v>
      </c>
      <c r="AD7" s="2">
        <f t="shared" si="12"/>
        <v>0</v>
      </c>
    </row>
    <row r="8" spans="1:30" x14ac:dyDescent="0.3">
      <c r="A8" s="1">
        <v>4</v>
      </c>
      <c r="B8" s="4">
        <v>-5000</v>
      </c>
      <c r="C8" s="1">
        <f t="shared" si="13"/>
        <v>-5000</v>
      </c>
      <c r="D8" s="1">
        <f t="shared" si="14"/>
        <v>0</v>
      </c>
      <c r="E8" s="3">
        <f t="shared" si="15"/>
        <v>-1</v>
      </c>
      <c r="F8" s="1">
        <v>0</v>
      </c>
      <c r="G8" s="3">
        <f t="shared" si="0"/>
        <v>0</v>
      </c>
      <c r="H8" s="1">
        <v>-1553.672292</v>
      </c>
      <c r="I8" s="1">
        <f t="shared" si="1"/>
        <v>1553.672292</v>
      </c>
      <c r="J8" s="3">
        <f t="shared" si="2"/>
        <v>1</v>
      </c>
      <c r="K8" s="4">
        <v>-6779.6610170000004</v>
      </c>
      <c r="L8" s="1">
        <f t="shared" si="3"/>
        <v>0</v>
      </c>
      <c r="M8" s="1">
        <f t="shared" si="4"/>
        <v>6779.6610170000004</v>
      </c>
      <c r="N8" s="3">
        <f t="shared" si="5"/>
        <v>0</v>
      </c>
      <c r="O8" s="1">
        <v>1342.4069999999999</v>
      </c>
      <c r="P8" s="1">
        <v>10493.065839999999</v>
      </c>
      <c r="Q8" s="3">
        <f t="shared" si="6"/>
        <v>11835.472839999999</v>
      </c>
      <c r="R8" s="1">
        <v>1100.37359042</v>
      </c>
      <c r="S8" s="1">
        <v>1517.77579117</v>
      </c>
      <c r="T8" s="1">
        <f t="shared" si="7"/>
        <v>0.77362125528354786</v>
      </c>
      <c r="U8" s="3">
        <f t="shared" si="8"/>
        <v>1</v>
      </c>
      <c r="V8" s="1">
        <v>794.88</v>
      </c>
      <c r="W8" s="3">
        <f t="shared" si="9"/>
        <v>0.25493919022938366</v>
      </c>
      <c r="X8" s="1">
        <v>367.01</v>
      </c>
      <c r="Y8" s="3">
        <f t="shared" si="10"/>
        <v>0.72203423175290182</v>
      </c>
      <c r="Z8" s="1">
        <v>5832</v>
      </c>
      <c r="AA8" s="3">
        <f t="shared" si="11"/>
        <v>0.50275862068965516</v>
      </c>
      <c r="AB8" s="2">
        <v>0</v>
      </c>
      <c r="AC8" s="2">
        <v>0</v>
      </c>
      <c r="AD8" s="2">
        <f t="shared" si="12"/>
        <v>0</v>
      </c>
    </row>
    <row r="9" spans="1:30" x14ac:dyDescent="0.3">
      <c r="A9" s="1">
        <v>5</v>
      </c>
      <c r="B9" s="4">
        <v>-5000</v>
      </c>
      <c r="C9" s="1">
        <f t="shared" si="13"/>
        <v>-5000</v>
      </c>
      <c r="D9" s="1">
        <f t="shared" si="14"/>
        <v>0</v>
      </c>
      <c r="E9" s="3">
        <f t="shared" si="15"/>
        <v>-1</v>
      </c>
      <c r="F9" s="1">
        <v>0</v>
      </c>
      <c r="G9" s="3">
        <f t="shared" si="0"/>
        <v>0</v>
      </c>
      <c r="H9" s="1">
        <v>-1553.672292</v>
      </c>
      <c r="I9" s="1">
        <f t="shared" si="1"/>
        <v>1553.672292</v>
      </c>
      <c r="J9" s="3">
        <f t="shared" si="2"/>
        <v>1</v>
      </c>
      <c r="K9" s="4">
        <v>-6779.6610170000004</v>
      </c>
      <c r="L9" s="1">
        <f t="shared" si="3"/>
        <v>0</v>
      </c>
      <c r="M9" s="1">
        <f t="shared" si="4"/>
        <v>6779.6610170000004</v>
      </c>
      <c r="N9" s="3">
        <f t="shared" si="5"/>
        <v>0</v>
      </c>
      <c r="O9" s="1">
        <v>1342.4069999999999</v>
      </c>
      <c r="P9" s="1">
        <v>10508.77584</v>
      </c>
      <c r="Q9" s="3">
        <f t="shared" si="6"/>
        <v>11851.182839999999</v>
      </c>
      <c r="R9" s="1">
        <v>1100.37359042</v>
      </c>
      <c r="S9" s="1">
        <v>1517.77579117</v>
      </c>
      <c r="T9" s="1">
        <f t="shared" si="7"/>
        <v>0.77362125528354786</v>
      </c>
      <c r="U9" s="3">
        <f t="shared" si="8"/>
        <v>1</v>
      </c>
      <c r="V9" s="1">
        <v>794.88</v>
      </c>
      <c r="W9" s="3">
        <f t="shared" si="9"/>
        <v>0.25493919022938366</v>
      </c>
      <c r="X9" s="1">
        <v>367.01</v>
      </c>
      <c r="Y9" s="3">
        <f t="shared" si="10"/>
        <v>0.72203423175290182</v>
      </c>
      <c r="Z9" s="1">
        <v>5832</v>
      </c>
      <c r="AA9" s="3">
        <f t="shared" si="11"/>
        <v>0.50275862068965516</v>
      </c>
      <c r="AB9" s="2">
        <v>0</v>
      </c>
      <c r="AC9" s="2">
        <v>0</v>
      </c>
      <c r="AD9" s="2">
        <f t="shared" si="12"/>
        <v>0</v>
      </c>
    </row>
    <row r="10" spans="1:30" x14ac:dyDescent="0.3">
      <c r="A10" s="1">
        <v>6</v>
      </c>
      <c r="B10" s="4">
        <v>-5000</v>
      </c>
      <c r="C10" s="1">
        <f t="shared" si="13"/>
        <v>-5000</v>
      </c>
      <c r="D10" s="1">
        <f t="shared" si="14"/>
        <v>0</v>
      </c>
      <c r="E10" s="3">
        <f t="shared" si="15"/>
        <v>-1</v>
      </c>
      <c r="F10" s="1">
        <v>0</v>
      </c>
      <c r="G10" s="3">
        <f t="shared" si="0"/>
        <v>0</v>
      </c>
      <c r="H10" s="1">
        <v>-1553.672292</v>
      </c>
      <c r="I10" s="1">
        <f t="shared" si="1"/>
        <v>1553.672292</v>
      </c>
      <c r="J10" s="3">
        <f t="shared" si="2"/>
        <v>1</v>
      </c>
      <c r="K10" s="4">
        <v>-6779.6610170000004</v>
      </c>
      <c r="L10" s="1">
        <f t="shared" si="3"/>
        <v>0</v>
      </c>
      <c r="M10" s="1">
        <f t="shared" si="4"/>
        <v>6779.6610170000004</v>
      </c>
      <c r="N10" s="3">
        <f t="shared" si="5"/>
        <v>0</v>
      </c>
      <c r="O10" s="1">
        <v>1342.4069999999999</v>
      </c>
      <c r="P10" s="1">
        <v>10540.19585</v>
      </c>
      <c r="Q10" s="3">
        <f t="shared" si="6"/>
        <v>11882.602849999999</v>
      </c>
      <c r="R10" s="1">
        <v>1100.37359042</v>
      </c>
      <c r="S10" s="1">
        <v>1517.77579117</v>
      </c>
      <c r="T10" s="1">
        <f t="shared" si="7"/>
        <v>0.77362125528354786</v>
      </c>
      <c r="U10" s="3">
        <f t="shared" si="8"/>
        <v>1</v>
      </c>
      <c r="V10" s="1">
        <v>794.88</v>
      </c>
      <c r="W10" s="3">
        <f t="shared" si="9"/>
        <v>0.25493919022938366</v>
      </c>
      <c r="X10" s="1">
        <v>367.01</v>
      </c>
      <c r="Y10" s="3">
        <f t="shared" si="10"/>
        <v>0.72203423175290182</v>
      </c>
      <c r="Z10" s="1">
        <v>5832</v>
      </c>
      <c r="AA10" s="3">
        <f t="shared" si="11"/>
        <v>0.50275862068965516</v>
      </c>
      <c r="AB10" s="2">
        <v>0</v>
      </c>
      <c r="AC10" s="2">
        <v>0</v>
      </c>
      <c r="AD10" s="2">
        <f t="shared" si="12"/>
        <v>0</v>
      </c>
    </row>
    <row r="11" spans="1:30" x14ac:dyDescent="0.3">
      <c r="A11" s="1">
        <v>7</v>
      </c>
      <c r="B11" s="4">
        <v>-5000</v>
      </c>
      <c r="C11" s="1">
        <f t="shared" si="13"/>
        <v>-5000</v>
      </c>
      <c r="D11" s="1">
        <f t="shared" si="14"/>
        <v>0</v>
      </c>
      <c r="E11" s="3">
        <f t="shared" si="15"/>
        <v>-1</v>
      </c>
      <c r="F11" s="1">
        <v>0</v>
      </c>
      <c r="G11" s="3">
        <f t="shared" si="0"/>
        <v>0</v>
      </c>
      <c r="H11" s="1">
        <v>-1553.672292</v>
      </c>
      <c r="I11" s="1">
        <f t="shared" si="1"/>
        <v>1553.672292</v>
      </c>
      <c r="J11" s="3">
        <f t="shared" si="2"/>
        <v>1</v>
      </c>
      <c r="K11" s="4">
        <v>-6779.6610170000004</v>
      </c>
      <c r="L11" s="1">
        <f t="shared" si="3"/>
        <v>0</v>
      </c>
      <c r="M11" s="1">
        <f t="shared" si="4"/>
        <v>6779.6610170000004</v>
      </c>
      <c r="N11" s="3">
        <f t="shared" si="5"/>
        <v>0</v>
      </c>
      <c r="O11" s="1">
        <v>1342.4069999999999</v>
      </c>
      <c r="P11" s="1">
        <v>10555.905849999999</v>
      </c>
      <c r="Q11" s="3">
        <f t="shared" si="6"/>
        <v>11898.312849999998</v>
      </c>
      <c r="R11" s="1">
        <v>1100.37359042</v>
      </c>
      <c r="S11" s="1">
        <v>1517.77579117</v>
      </c>
      <c r="T11" s="1">
        <f t="shared" si="7"/>
        <v>0.77362125528354786</v>
      </c>
      <c r="U11" s="3">
        <f t="shared" si="8"/>
        <v>1</v>
      </c>
      <c r="V11" s="1">
        <v>794.88</v>
      </c>
      <c r="W11" s="3">
        <f t="shared" si="9"/>
        <v>0.25493919022938366</v>
      </c>
      <c r="X11" s="1">
        <v>367.01</v>
      </c>
      <c r="Y11" s="3">
        <f t="shared" si="10"/>
        <v>0.72203423175290182</v>
      </c>
      <c r="Z11" s="1">
        <v>5832</v>
      </c>
      <c r="AA11" s="3">
        <f t="shared" si="11"/>
        <v>0.50275862068965516</v>
      </c>
      <c r="AB11" s="2">
        <v>0</v>
      </c>
      <c r="AC11" s="2">
        <v>0</v>
      </c>
      <c r="AD11" s="2">
        <f t="shared" si="12"/>
        <v>0</v>
      </c>
    </row>
    <row r="12" spans="1:30" x14ac:dyDescent="0.3">
      <c r="A12" s="1">
        <v>8</v>
      </c>
      <c r="B12" s="4">
        <v>-5000</v>
      </c>
      <c r="C12" s="1">
        <f t="shared" si="13"/>
        <v>-5000</v>
      </c>
      <c r="D12" s="1">
        <f t="shared" si="14"/>
        <v>0</v>
      </c>
      <c r="E12" s="3">
        <f t="shared" si="15"/>
        <v>-1</v>
      </c>
      <c r="F12" s="1">
        <v>0</v>
      </c>
      <c r="G12" s="3">
        <f t="shared" si="0"/>
        <v>0</v>
      </c>
      <c r="H12" s="1">
        <v>-1553.672292</v>
      </c>
      <c r="I12" s="1">
        <f t="shared" si="1"/>
        <v>1553.672292</v>
      </c>
      <c r="J12" s="3">
        <f t="shared" si="2"/>
        <v>1</v>
      </c>
      <c r="K12" s="4">
        <v>-6779.6610170000004</v>
      </c>
      <c r="L12" s="1">
        <f t="shared" si="3"/>
        <v>0</v>
      </c>
      <c r="M12" s="1">
        <f t="shared" si="4"/>
        <v>6779.6610170000004</v>
      </c>
      <c r="N12" s="3">
        <f t="shared" si="5"/>
        <v>0</v>
      </c>
      <c r="O12" s="1">
        <v>1342.4069999999999</v>
      </c>
      <c r="P12" s="1">
        <v>10571.61585</v>
      </c>
      <c r="Q12" s="3">
        <f t="shared" si="6"/>
        <v>11914.022849999999</v>
      </c>
      <c r="R12" s="1">
        <v>1100.37359042</v>
      </c>
      <c r="S12" s="1">
        <v>1517.77579117</v>
      </c>
      <c r="T12" s="1">
        <f t="shared" si="7"/>
        <v>0.77362125528354786</v>
      </c>
      <c r="U12" s="3">
        <f t="shared" si="8"/>
        <v>1</v>
      </c>
      <c r="V12" s="1">
        <v>794.88</v>
      </c>
      <c r="W12" s="3">
        <f t="shared" si="9"/>
        <v>0.25493919022938366</v>
      </c>
      <c r="X12" s="1">
        <v>367.01</v>
      </c>
      <c r="Y12" s="3">
        <f t="shared" si="10"/>
        <v>0.72203423175290182</v>
      </c>
      <c r="Z12" s="1">
        <v>5832</v>
      </c>
      <c r="AA12" s="3">
        <f t="shared" si="11"/>
        <v>0.50275862068965516</v>
      </c>
      <c r="AB12" s="2">
        <v>0</v>
      </c>
      <c r="AC12" s="2">
        <v>0</v>
      </c>
      <c r="AD12" s="2">
        <f t="shared" si="12"/>
        <v>0</v>
      </c>
    </row>
    <row r="13" spans="1:30" x14ac:dyDescent="0.3">
      <c r="A13" s="1">
        <v>9</v>
      </c>
      <c r="B13" s="4">
        <v>-5000</v>
      </c>
      <c r="C13" s="1">
        <f t="shared" si="13"/>
        <v>-5000</v>
      </c>
      <c r="D13" s="1">
        <f t="shared" si="14"/>
        <v>0</v>
      </c>
      <c r="E13" s="3">
        <f t="shared" si="15"/>
        <v>-1</v>
      </c>
      <c r="F13" s="1">
        <v>0</v>
      </c>
      <c r="G13" s="3">
        <f t="shared" si="0"/>
        <v>0</v>
      </c>
      <c r="H13" s="1">
        <v>-1553.672292</v>
      </c>
      <c r="I13" s="1">
        <f t="shared" si="1"/>
        <v>1553.672292</v>
      </c>
      <c r="J13" s="3">
        <f t="shared" si="2"/>
        <v>1</v>
      </c>
      <c r="K13" s="4">
        <v>-6779.6610170000004</v>
      </c>
      <c r="L13" s="1">
        <f t="shared" si="3"/>
        <v>0</v>
      </c>
      <c r="M13" s="1">
        <f t="shared" si="4"/>
        <v>6779.6610170000004</v>
      </c>
      <c r="N13" s="3">
        <f t="shared" si="5"/>
        <v>0</v>
      </c>
      <c r="O13" s="1">
        <v>1342.4069999999999</v>
      </c>
      <c r="P13" s="1">
        <v>10571.61585</v>
      </c>
      <c r="Q13" s="3">
        <f t="shared" si="6"/>
        <v>11914.022849999999</v>
      </c>
      <c r="R13" s="1">
        <v>1100.37359042</v>
      </c>
      <c r="S13" s="1">
        <v>1517.77579117</v>
      </c>
      <c r="T13" s="1">
        <f t="shared" si="7"/>
        <v>0.77362125528354786</v>
      </c>
      <c r="U13" s="3">
        <f t="shared" si="8"/>
        <v>1</v>
      </c>
      <c r="V13" s="1">
        <v>794.88</v>
      </c>
      <c r="W13" s="3">
        <f t="shared" si="9"/>
        <v>0.25493919022938366</v>
      </c>
      <c r="X13" s="1">
        <v>367.01</v>
      </c>
      <c r="Y13" s="3">
        <f t="shared" si="10"/>
        <v>0.72203423175290182</v>
      </c>
      <c r="Z13" s="1">
        <v>5832</v>
      </c>
      <c r="AA13" s="3">
        <f t="shared" si="11"/>
        <v>0.50275862068965516</v>
      </c>
      <c r="AB13" s="2">
        <v>0</v>
      </c>
      <c r="AC13" s="2">
        <v>0</v>
      </c>
      <c r="AD13" s="2">
        <f t="shared" si="12"/>
        <v>0</v>
      </c>
    </row>
    <row r="14" spans="1:30" x14ac:dyDescent="0.3">
      <c r="A14" s="1">
        <v>10</v>
      </c>
      <c r="B14" s="4">
        <v>-5000</v>
      </c>
      <c r="C14" s="1">
        <f t="shared" si="13"/>
        <v>-5000</v>
      </c>
      <c r="D14" s="1">
        <f t="shared" si="14"/>
        <v>0</v>
      </c>
      <c r="E14" s="3">
        <f t="shared" si="15"/>
        <v>-1</v>
      </c>
      <c r="F14" s="1">
        <v>0</v>
      </c>
      <c r="G14" s="3">
        <f t="shared" si="0"/>
        <v>0</v>
      </c>
      <c r="H14" s="1">
        <v>-1553.672292</v>
      </c>
      <c r="I14" s="1">
        <f t="shared" si="1"/>
        <v>1553.672292</v>
      </c>
      <c r="J14" s="3">
        <f t="shared" si="2"/>
        <v>1</v>
      </c>
      <c r="K14" s="4">
        <v>-6779.6610170000004</v>
      </c>
      <c r="L14" s="1">
        <f t="shared" si="3"/>
        <v>0</v>
      </c>
      <c r="M14" s="1">
        <f t="shared" si="4"/>
        <v>6779.6610170000004</v>
      </c>
      <c r="N14" s="3">
        <f t="shared" si="5"/>
        <v>0</v>
      </c>
      <c r="O14" s="1">
        <v>1342.4069999999999</v>
      </c>
      <c r="P14" s="1">
        <v>10571.61585</v>
      </c>
      <c r="Q14" s="3">
        <f t="shared" si="6"/>
        <v>11914.022849999999</v>
      </c>
      <c r="R14" s="1">
        <v>1100.37359042</v>
      </c>
      <c r="S14" s="1">
        <v>1517.77579117</v>
      </c>
      <c r="T14" s="1">
        <f t="shared" si="7"/>
        <v>0.77362125528354786</v>
      </c>
      <c r="U14" s="3">
        <f t="shared" si="8"/>
        <v>1</v>
      </c>
      <c r="V14" s="1">
        <v>794.88</v>
      </c>
      <c r="W14" s="3">
        <f t="shared" si="9"/>
        <v>0.25493919022938366</v>
      </c>
      <c r="X14" s="1">
        <v>367.01</v>
      </c>
      <c r="Y14" s="3">
        <f t="shared" si="10"/>
        <v>0.72203423175290182</v>
      </c>
      <c r="Z14" s="1">
        <v>5832</v>
      </c>
      <c r="AA14" s="3">
        <f t="shared" si="11"/>
        <v>0.50275862068965516</v>
      </c>
      <c r="AB14" s="2">
        <v>10126</v>
      </c>
      <c r="AC14" s="2">
        <v>341.15499999999997</v>
      </c>
      <c r="AD14" s="2">
        <f t="shared" si="12"/>
        <v>0.11920909970958374</v>
      </c>
    </row>
    <row r="15" spans="1:30" x14ac:dyDescent="0.3">
      <c r="A15" s="1">
        <v>11</v>
      </c>
      <c r="B15" s="4">
        <v>578.16100895</v>
      </c>
      <c r="C15" s="1">
        <f t="shared" si="13"/>
        <v>0</v>
      </c>
      <c r="D15" s="1">
        <f t="shared" si="14"/>
        <v>578.16100895</v>
      </c>
      <c r="E15" s="3">
        <f t="shared" si="15"/>
        <v>0</v>
      </c>
      <c r="F15" s="1">
        <v>651.21892933000004</v>
      </c>
      <c r="G15" s="3">
        <f t="shared" si="0"/>
        <v>651.21892933000004</v>
      </c>
      <c r="H15" s="1">
        <v>-1553.672292</v>
      </c>
      <c r="I15" s="1">
        <f t="shared" si="1"/>
        <v>1553.672292</v>
      </c>
      <c r="J15" s="3">
        <f t="shared" si="2"/>
        <v>1</v>
      </c>
      <c r="K15" s="4">
        <v>-6779.6610170000004</v>
      </c>
      <c r="L15" s="1">
        <f t="shared" si="3"/>
        <v>0</v>
      </c>
      <c r="M15" s="1">
        <f t="shared" si="4"/>
        <v>6779.6610170000004</v>
      </c>
      <c r="N15" s="3">
        <f t="shared" si="5"/>
        <v>0</v>
      </c>
      <c r="O15" s="1">
        <v>1342.4069999999999</v>
      </c>
      <c r="P15" s="1">
        <v>10571.61585</v>
      </c>
      <c r="Q15" s="3">
        <f t="shared" si="6"/>
        <v>11914.022849999999</v>
      </c>
      <c r="R15" s="1">
        <v>0</v>
      </c>
      <c r="S15" s="1">
        <v>1517.77579117</v>
      </c>
      <c r="T15" s="1">
        <f t="shared" si="7"/>
        <v>0</v>
      </c>
      <c r="U15" s="3">
        <f t="shared" si="8"/>
        <v>1</v>
      </c>
      <c r="V15" s="1">
        <v>794.88</v>
      </c>
      <c r="W15" s="3">
        <f t="shared" si="9"/>
        <v>0.25493919022938366</v>
      </c>
      <c r="X15" s="1">
        <v>367.01</v>
      </c>
      <c r="Y15" s="3">
        <f t="shared" si="10"/>
        <v>0.72203423175290182</v>
      </c>
      <c r="Z15" s="1">
        <v>5832</v>
      </c>
      <c r="AA15" s="3">
        <f t="shared" si="11"/>
        <v>0.50275862068965516</v>
      </c>
      <c r="AB15" s="2">
        <v>25979</v>
      </c>
      <c r="AC15" s="2">
        <v>903.34</v>
      </c>
      <c r="AD15" s="2">
        <f t="shared" si="12"/>
        <v>0.30615955811172485</v>
      </c>
    </row>
    <row r="16" spans="1:30" x14ac:dyDescent="0.3">
      <c r="A16" s="1">
        <v>12</v>
      </c>
      <c r="B16" s="4">
        <v>5000</v>
      </c>
      <c r="C16" s="1">
        <f t="shared" si="13"/>
        <v>0</v>
      </c>
      <c r="D16" s="1">
        <f t="shared" si="14"/>
        <v>5000</v>
      </c>
      <c r="E16" s="3">
        <f t="shared" si="15"/>
        <v>0</v>
      </c>
      <c r="F16" s="1">
        <v>948.49916551000001</v>
      </c>
      <c r="G16" s="3">
        <f t="shared" si="0"/>
        <v>948.49916551000001</v>
      </c>
      <c r="H16" s="1">
        <v>-1521.4124100900001</v>
      </c>
      <c r="I16" s="1">
        <f t="shared" si="1"/>
        <v>1521.4124100900001</v>
      </c>
      <c r="J16" s="3">
        <f t="shared" si="2"/>
        <v>0.97923636659023339</v>
      </c>
      <c r="K16" s="4">
        <v>-6779.6610170000004</v>
      </c>
      <c r="L16" s="1">
        <f t="shared" si="3"/>
        <v>0</v>
      </c>
      <c r="M16" s="1">
        <f t="shared" si="4"/>
        <v>6779.6610170000004</v>
      </c>
      <c r="N16" s="3">
        <f t="shared" si="5"/>
        <v>0</v>
      </c>
      <c r="O16" s="1">
        <v>1342.4069999999999</v>
      </c>
      <c r="P16" s="1">
        <v>10555.905849999999</v>
      </c>
      <c r="Q16" s="3">
        <f t="shared" si="6"/>
        <v>11898.312849999998</v>
      </c>
      <c r="R16" s="1">
        <v>0</v>
      </c>
      <c r="S16" s="1">
        <v>1517.77579117</v>
      </c>
      <c r="T16" s="1">
        <f t="shared" si="7"/>
        <v>0</v>
      </c>
      <c r="U16" s="3">
        <f t="shared" si="8"/>
        <v>1</v>
      </c>
      <c r="V16" s="1">
        <v>794.88</v>
      </c>
      <c r="W16" s="3">
        <f t="shared" si="9"/>
        <v>0.25493919022938366</v>
      </c>
      <c r="X16" s="1">
        <v>367.01</v>
      </c>
      <c r="Y16" s="3">
        <f t="shared" si="10"/>
        <v>0.72203423175290182</v>
      </c>
      <c r="Z16" s="1">
        <v>5832</v>
      </c>
      <c r="AA16" s="3">
        <f t="shared" si="11"/>
        <v>0.50275862068965516</v>
      </c>
      <c r="AB16" s="2">
        <v>31457</v>
      </c>
      <c r="AC16" s="2">
        <v>1489.55</v>
      </c>
      <c r="AD16" s="2">
        <f t="shared" si="12"/>
        <v>0.37522407607767216</v>
      </c>
    </row>
    <row r="17" spans="1:30" x14ac:dyDescent="0.3">
      <c r="A17" s="1">
        <v>13</v>
      </c>
      <c r="B17" s="4">
        <v>5000</v>
      </c>
      <c r="C17" s="1">
        <f t="shared" si="13"/>
        <v>0</v>
      </c>
      <c r="D17" s="1">
        <f t="shared" si="14"/>
        <v>5000</v>
      </c>
      <c r="E17" s="3">
        <f t="shared" si="15"/>
        <v>0</v>
      </c>
      <c r="F17" s="1">
        <v>261.55916551000001</v>
      </c>
      <c r="G17" s="3">
        <f t="shared" si="0"/>
        <v>261.55916551000001</v>
      </c>
      <c r="H17" s="1">
        <v>-504.93229200000002</v>
      </c>
      <c r="I17" s="1">
        <f t="shared" si="1"/>
        <v>504.93229200000002</v>
      </c>
      <c r="J17" s="3">
        <f t="shared" si="2"/>
        <v>0.32499278940606868</v>
      </c>
      <c r="K17" s="4">
        <v>-6779.6610170000004</v>
      </c>
      <c r="L17" s="1">
        <f t="shared" si="3"/>
        <v>0</v>
      </c>
      <c r="M17" s="1">
        <f t="shared" si="4"/>
        <v>6779.6610170000004</v>
      </c>
      <c r="N17" s="3">
        <f t="shared" si="5"/>
        <v>0</v>
      </c>
      <c r="O17" s="1">
        <v>1342.4069999999999</v>
      </c>
      <c r="P17" s="1">
        <v>10540.19585</v>
      </c>
      <c r="Q17" s="3">
        <f t="shared" si="6"/>
        <v>11882.602849999999</v>
      </c>
      <c r="R17" s="1">
        <v>0</v>
      </c>
      <c r="S17" s="1">
        <v>1517.77579117</v>
      </c>
      <c r="T17" s="1">
        <f t="shared" si="7"/>
        <v>0</v>
      </c>
      <c r="U17" s="3">
        <f t="shared" si="8"/>
        <v>1</v>
      </c>
      <c r="V17" s="1">
        <v>794.88</v>
      </c>
      <c r="W17" s="3">
        <f t="shared" si="9"/>
        <v>0.25493919022938366</v>
      </c>
      <c r="X17" s="1">
        <v>367.01</v>
      </c>
      <c r="Y17" s="3">
        <f t="shared" si="10"/>
        <v>0.72203423175290182</v>
      </c>
      <c r="Z17" s="1">
        <v>5832</v>
      </c>
      <c r="AA17" s="3">
        <f t="shared" si="11"/>
        <v>0.50275862068965516</v>
      </c>
      <c r="AB17" s="2">
        <v>32453</v>
      </c>
      <c r="AC17" s="2">
        <v>1869.145</v>
      </c>
      <c r="AD17" s="2">
        <f t="shared" si="12"/>
        <v>0.39089055292978758</v>
      </c>
    </row>
    <row r="18" spans="1:30" x14ac:dyDescent="0.3">
      <c r="A18" s="1">
        <v>14</v>
      </c>
      <c r="B18" s="4">
        <v>5000</v>
      </c>
      <c r="C18" s="1">
        <f t="shared" si="13"/>
        <v>0</v>
      </c>
      <c r="D18" s="1">
        <f t="shared" si="14"/>
        <v>5000</v>
      </c>
      <c r="E18" s="3">
        <f t="shared" si="15"/>
        <v>0</v>
      </c>
      <c r="F18" s="1">
        <v>261.55916551000001</v>
      </c>
      <c r="G18" s="3">
        <f t="shared" si="0"/>
        <v>261.55916551000001</v>
      </c>
      <c r="H18" s="1">
        <v>-757.72198806999995</v>
      </c>
      <c r="I18" s="1">
        <f t="shared" si="1"/>
        <v>757.72198806999995</v>
      </c>
      <c r="J18" s="3">
        <f t="shared" si="2"/>
        <v>0.48769743270288041</v>
      </c>
      <c r="K18" s="4">
        <v>-6779.6610170000004</v>
      </c>
      <c r="L18" s="1">
        <f t="shared" si="3"/>
        <v>0</v>
      </c>
      <c r="M18" s="1">
        <f t="shared" si="4"/>
        <v>6779.6610170000004</v>
      </c>
      <c r="N18" s="3">
        <f t="shared" si="5"/>
        <v>0</v>
      </c>
      <c r="O18" s="1">
        <v>1342.4069999999999</v>
      </c>
      <c r="P18" s="1">
        <v>10540.19585</v>
      </c>
      <c r="Q18" s="3">
        <f t="shared" si="6"/>
        <v>11882.602849999999</v>
      </c>
      <c r="R18" s="1">
        <v>0</v>
      </c>
      <c r="S18" s="1">
        <v>1517.77579117</v>
      </c>
      <c r="T18" s="1">
        <f t="shared" si="7"/>
        <v>0</v>
      </c>
      <c r="U18" s="3">
        <f t="shared" si="8"/>
        <v>1</v>
      </c>
      <c r="V18" s="1">
        <v>794.88</v>
      </c>
      <c r="W18" s="3">
        <f t="shared" si="9"/>
        <v>0.25493919022938366</v>
      </c>
      <c r="X18" s="1">
        <v>367.01</v>
      </c>
      <c r="Y18" s="3">
        <f t="shared" si="10"/>
        <v>0.72203423175290182</v>
      </c>
      <c r="Z18" s="1">
        <v>5832</v>
      </c>
      <c r="AA18" s="3">
        <f t="shared" si="11"/>
        <v>0.50275862068965516</v>
      </c>
      <c r="AB18" s="2">
        <v>32287</v>
      </c>
      <c r="AC18" s="2">
        <v>1917.1949999999999</v>
      </c>
      <c r="AD18" s="2">
        <f t="shared" si="12"/>
        <v>0.389547235351062</v>
      </c>
    </row>
    <row r="19" spans="1:30" x14ac:dyDescent="0.3">
      <c r="A19" s="1">
        <v>15</v>
      </c>
      <c r="B19" s="4">
        <v>5000</v>
      </c>
      <c r="C19" s="1">
        <f t="shared" si="13"/>
        <v>0</v>
      </c>
      <c r="D19" s="1">
        <f t="shared" si="14"/>
        <v>5000</v>
      </c>
      <c r="E19" s="3">
        <f t="shared" si="15"/>
        <v>0</v>
      </c>
      <c r="F19" s="1">
        <v>948.49916551000001</v>
      </c>
      <c r="G19" s="3">
        <f t="shared" si="0"/>
        <v>948.49916551000001</v>
      </c>
      <c r="H19" s="1">
        <v>-1521.4124100900001</v>
      </c>
      <c r="I19" s="1">
        <f t="shared" si="1"/>
        <v>1521.4124100900001</v>
      </c>
      <c r="J19" s="3">
        <f t="shared" si="2"/>
        <v>0.97923636659023339</v>
      </c>
      <c r="K19" s="4">
        <v>-6779.6610170000004</v>
      </c>
      <c r="L19" s="1">
        <f t="shared" si="3"/>
        <v>0</v>
      </c>
      <c r="M19" s="1">
        <f t="shared" si="4"/>
        <v>6779.6610170000004</v>
      </c>
      <c r="N19" s="3">
        <f t="shared" si="5"/>
        <v>0</v>
      </c>
      <c r="O19" s="1">
        <v>1342.4069999999999</v>
      </c>
      <c r="P19" s="1">
        <v>10555.905849999999</v>
      </c>
      <c r="Q19" s="3">
        <f t="shared" si="6"/>
        <v>11898.312849999998</v>
      </c>
      <c r="R19" s="1">
        <v>0</v>
      </c>
      <c r="S19" s="1">
        <v>1517.77579117</v>
      </c>
      <c r="T19" s="1">
        <f t="shared" si="7"/>
        <v>0</v>
      </c>
      <c r="U19" s="3">
        <f t="shared" si="8"/>
        <v>1</v>
      </c>
      <c r="V19" s="1">
        <v>794.88</v>
      </c>
      <c r="W19" s="3">
        <f t="shared" si="9"/>
        <v>0.25493919022938366</v>
      </c>
      <c r="X19" s="1">
        <v>367.01</v>
      </c>
      <c r="Y19" s="3">
        <f t="shared" si="10"/>
        <v>0.72203423175290182</v>
      </c>
      <c r="Z19" s="1">
        <v>5832</v>
      </c>
      <c r="AA19" s="3">
        <f t="shared" si="11"/>
        <v>0.50275862068965516</v>
      </c>
      <c r="AB19" s="2">
        <v>31374</v>
      </c>
      <c r="AC19" s="2">
        <v>1672.14</v>
      </c>
      <c r="AD19" s="2">
        <f t="shared" si="12"/>
        <v>0.37635829394681397</v>
      </c>
    </row>
    <row r="20" spans="1:30" x14ac:dyDescent="0.3">
      <c r="A20" s="1">
        <v>16</v>
      </c>
      <c r="B20" s="4">
        <v>5000</v>
      </c>
      <c r="C20" s="1">
        <f t="shared" si="13"/>
        <v>0</v>
      </c>
      <c r="D20" s="1">
        <f t="shared" si="14"/>
        <v>5000</v>
      </c>
      <c r="E20" s="3">
        <f t="shared" si="15"/>
        <v>0</v>
      </c>
      <c r="F20" s="1">
        <v>981.21892933000004</v>
      </c>
      <c r="G20" s="3">
        <f t="shared" si="0"/>
        <v>981.21892933000004</v>
      </c>
      <c r="H20" s="1">
        <v>-1553.672292</v>
      </c>
      <c r="I20" s="1">
        <f t="shared" si="1"/>
        <v>1553.672292</v>
      </c>
      <c r="J20" s="3">
        <f t="shared" si="2"/>
        <v>1</v>
      </c>
      <c r="K20" s="4">
        <v>-6779.6610170000004</v>
      </c>
      <c r="L20" s="1">
        <f t="shared" si="3"/>
        <v>0</v>
      </c>
      <c r="M20" s="1">
        <f t="shared" si="4"/>
        <v>6779.6610170000004</v>
      </c>
      <c r="N20" s="3">
        <f t="shared" si="5"/>
        <v>0</v>
      </c>
      <c r="O20" s="1">
        <v>1342.4069999999999</v>
      </c>
      <c r="P20" s="1">
        <v>10571.61585</v>
      </c>
      <c r="Q20" s="3">
        <f t="shared" si="6"/>
        <v>11914.022849999999</v>
      </c>
      <c r="R20" s="1">
        <v>0</v>
      </c>
      <c r="S20" s="1">
        <v>1517.77579117</v>
      </c>
      <c r="T20" s="1">
        <f t="shared" si="7"/>
        <v>0</v>
      </c>
      <c r="U20" s="3">
        <f t="shared" si="8"/>
        <v>1</v>
      </c>
      <c r="V20" s="1">
        <v>794.88</v>
      </c>
      <c r="W20" s="3">
        <f t="shared" si="9"/>
        <v>0.25493919022938366</v>
      </c>
      <c r="X20" s="1">
        <v>367.01</v>
      </c>
      <c r="Y20" s="3">
        <f t="shared" si="10"/>
        <v>0.72203423175290182</v>
      </c>
      <c r="Z20" s="1">
        <v>5832</v>
      </c>
      <c r="AA20" s="3">
        <f t="shared" si="11"/>
        <v>0.50275862068965516</v>
      </c>
      <c r="AB20" s="2">
        <v>29465</v>
      </c>
      <c r="AC20" s="2">
        <v>1215.665</v>
      </c>
      <c r="AD20" s="2">
        <f t="shared" si="12"/>
        <v>0.34941819941916746</v>
      </c>
    </row>
    <row r="21" spans="1:30" x14ac:dyDescent="0.3">
      <c r="A21" s="1">
        <v>17</v>
      </c>
      <c r="B21" s="4">
        <v>0</v>
      </c>
      <c r="C21" s="1">
        <f t="shared" si="13"/>
        <v>0</v>
      </c>
      <c r="D21" s="1">
        <f t="shared" si="14"/>
        <v>0</v>
      </c>
      <c r="E21" s="3">
        <f t="shared" si="15"/>
        <v>0</v>
      </c>
      <c r="F21" s="1">
        <v>294.27892932999998</v>
      </c>
      <c r="G21" s="3">
        <f t="shared" si="0"/>
        <v>294.27892932999998</v>
      </c>
      <c r="H21" s="1">
        <v>-1553.672292</v>
      </c>
      <c r="I21" s="1">
        <f t="shared" si="1"/>
        <v>1553.672292</v>
      </c>
      <c r="J21" s="3">
        <f t="shared" si="2"/>
        <v>1</v>
      </c>
      <c r="K21" s="4">
        <v>-6779.6610170000004</v>
      </c>
      <c r="L21" s="1">
        <f t="shared" si="3"/>
        <v>0</v>
      </c>
      <c r="M21" s="1">
        <f t="shared" si="4"/>
        <v>6779.6610170000004</v>
      </c>
      <c r="N21" s="3">
        <f t="shared" si="5"/>
        <v>0</v>
      </c>
      <c r="O21" s="1">
        <v>1342.4069999999999</v>
      </c>
      <c r="P21" s="1">
        <v>10571.61585</v>
      </c>
      <c r="Q21" s="3">
        <f t="shared" si="6"/>
        <v>11914.022849999999</v>
      </c>
      <c r="R21" s="1">
        <v>0</v>
      </c>
      <c r="S21" s="1">
        <v>1517.77579117</v>
      </c>
      <c r="T21" s="1">
        <f t="shared" si="7"/>
        <v>0</v>
      </c>
      <c r="U21" s="3">
        <f t="shared" si="8"/>
        <v>1</v>
      </c>
      <c r="V21" s="1">
        <v>794.88</v>
      </c>
      <c r="W21" s="3">
        <f t="shared" si="9"/>
        <v>0.25493919022938366</v>
      </c>
      <c r="X21" s="1">
        <v>367.01</v>
      </c>
      <c r="Y21" s="3">
        <f t="shared" si="10"/>
        <v>0.72203423175290182</v>
      </c>
      <c r="Z21" s="1">
        <v>5832</v>
      </c>
      <c r="AA21" s="3">
        <f t="shared" si="11"/>
        <v>0.50275862068965516</v>
      </c>
      <c r="AB21" s="2">
        <v>20916</v>
      </c>
      <c r="AC21" s="2">
        <v>615.04</v>
      </c>
      <c r="AD21" s="2">
        <f t="shared" si="12"/>
        <v>0.24521428164683107</v>
      </c>
    </row>
    <row r="22" spans="1:30" x14ac:dyDescent="0.3">
      <c r="A22" s="1">
        <v>18</v>
      </c>
      <c r="B22" s="4">
        <v>-5000</v>
      </c>
      <c r="C22" s="1">
        <f t="shared" si="13"/>
        <v>-5000</v>
      </c>
      <c r="D22" s="1">
        <f t="shared" si="14"/>
        <v>0</v>
      </c>
      <c r="E22" s="3">
        <f t="shared" si="15"/>
        <v>-1</v>
      </c>
      <c r="F22" s="1">
        <v>0</v>
      </c>
      <c r="G22" s="3">
        <f t="shared" si="0"/>
        <v>0</v>
      </c>
      <c r="H22" s="1">
        <v>-1553.672292</v>
      </c>
      <c r="I22" s="1">
        <f t="shared" si="1"/>
        <v>1553.672292</v>
      </c>
      <c r="J22" s="3">
        <f t="shared" si="2"/>
        <v>1</v>
      </c>
      <c r="K22" s="4">
        <v>-5734.7610169999998</v>
      </c>
      <c r="L22" s="1">
        <f t="shared" si="3"/>
        <v>0</v>
      </c>
      <c r="M22" s="1">
        <f t="shared" si="4"/>
        <v>5734.7610169999998</v>
      </c>
      <c r="N22" s="3">
        <f t="shared" si="5"/>
        <v>0</v>
      </c>
      <c r="O22" s="1">
        <v>0</v>
      </c>
      <c r="P22" s="1">
        <v>10571.61585</v>
      </c>
      <c r="Q22" s="3">
        <f t="shared" si="6"/>
        <v>10571.61585</v>
      </c>
      <c r="R22" s="1">
        <v>1100.37359042</v>
      </c>
      <c r="S22" s="1">
        <v>1517.77579117</v>
      </c>
      <c r="T22" s="1">
        <f t="shared" si="7"/>
        <v>0.77362125528354786</v>
      </c>
      <c r="U22" s="3">
        <f t="shared" si="8"/>
        <v>1</v>
      </c>
      <c r="V22" s="1">
        <v>794.88</v>
      </c>
      <c r="W22" s="3">
        <f t="shared" si="9"/>
        <v>0.25493919022938366</v>
      </c>
      <c r="X22" s="1">
        <v>367.01</v>
      </c>
      <c r="Y22" s="3">
        <f t="shared" si="10"/>
        <v>0.72203423175290182</v>
      </c>
      <c r="Z22" s="1">
        <v>5832</v>
      </c>
      <c r="AA22" s="3">
        <f t="shared" si="11"/>
        <v>0.50275862068965516</v>
      </c>
      <c r="AB22" s="2">
        <v>4565</v>
      </c>
      <c r="AC22" s="2">
        <v>62.465000000000003</v>
      </c>
      <c r="AD22" s="2">
        <f t="shared" si="12"/>
        <v>5.2701611525539552E-2</v>
      </c>
    </row>
    <row r="23" spans="1:30" x14ac:dyDescent="0.3">
      <c r="A23" s="1">
        <v>19</v>
      </c>
      <c r="B23" s="4">
        <v>-5000</v>
      </c>
      <c r="C23" s="1">
        <f t="shared" si="13"/>
        <v>-5000</v>
      </c>
      <c r="D23" s="1">
        <f t="shared" si="14"/>
        <v>0</v>
      </c>
      <c r="E23" s="3">
        <f t="shared" si="15"/>
        <v>-1</v>
      </c>
      <c r="F23" s="1">
        <v>0</v>
      </c>
      <c r="G23" s="3">
        <f t="shared" si="0"/>
        <v>0</v>
      </c>
      <c r="H23" s="1">
        <v>-1553.672292</v>
      </c>
      <c r="I23" s="1">
        <f t="shared" si="1"/>
        <v>1553.672292</v>
      </c>
      <c r="J23" s="3">
        <f t="shared" si="2"/>
        <v>1</v>
      </c>
      <c r="K23" s="4">
        <v>-4690.3208989100003</v>
      </c>
      <c r="L23" s="1">
        <f t="shared" si="3"/>
        <v>0</v>
      </c>
      <c r="M23" s="1">
        <f t="shared" si="4"/>
        <v>4690.3208989100003</v>
      </c>
      <c r="N23" s="3">
        <f t="shared" si="5"/>
        <v>0</v>
      </c>
      <c r="O23" s="1">
        <v>0</v>
      </c>
      <c r="P23" s="1">
        <v>10555.905849999999</v>
      </c>
      <c r="Q23" s="3">
        <f t="shared" si="6"/>
        <v>10555.905849999999</v>
      </c>
      <c r="R23" s="1">
        <v>1100.37359042</v>
      </c>
      <c r="S23" s="1">
        <v>1517.77579117</v>
      </c>
      <c r="T23" s="1">
        <f t="shared" si="7"/>
        <v>0.77362125528354786</v>
      </c>
      <c r="U23" s="3">
        <f t="shared" si="8"/>
        <v>1</v>
      </c>
      <c r="V23" s="1">
        <v>794.88</v>
      </c>
      <c r="W23" s="3">
        <f t="shared" si="9"/>
        <v>0.25493919022938366</v>
      </c>
      <c r="X23" s="1">
        <v>367.01</v>
      </c>
      <c r="Y23" s="3">
        <f t="shared" si="10"/>
        <v>0.72203423175290182</v>
      </c>
      <c r="Z23" s="1">
        <v>5832</v>
      </c>
      <c r="AA23" s="3">
        <f t="shared" si="11"/>
        <v>0.50275862068965516</v>
      </c>
      <c r="AB23" s="2">
        <v>0</v>
      </c>
      <c r="AC23" s="2">
        <v>0</v>
      </c>
      <c r="AD23" s="2">
        <f t="shared" si="12"/>
        <v>0</v>
      </c>
    </row>
    <row r="24" spans="1:30" x14ac:dyDescent="0.3">
      <c r="A24" s="1">
        <v>20</v>
      </c>
      <c r="B24" s="4">
        <v>-5000</v>
      </c>
      <c r="C24" s="1">
        <f t="shared" si="13"/>
        <v>-5000</v>
      </c>
      <c r="D24" s="1">
        <f t="shared" si="14"/>
        <v>0</v>
      </c>
      <c r="E24" s="3">
        <f t="shared" si="15"/>
        <v>-1</v>
      </c>
      <c r="F24" s="1">
        <v>0</v>
      </c>
      <c r="G24" s="3">
        <f t="shared" si="0"/>
        <v>0</v>
      </c>
      <c r="H24" s="1">
        <v>-1553.672292</v>
      </c>
      <c r="I24" s="1">
        <f t="shared" si="1"/>
        <v>1553.672292</v>
      </c>
      <c r="J24" s="3">
        <f t="shared" si="2"/>
        <v>1</v>
      </c>
      <c r="K24" s="4">
        <v>-3645.8807808299998</v>
      </c>
      <c r="L24" s="1">
        <f t="shared" si="3"/>
        <v>0</v>
      </c>
      <c r="M24" s="1">
        <f t="shared" si="4"/>
        <v>3645.8807808299998</v>
      </c>
      <c r="N24" s="3">
        <f t="shared" si="5"/>
        <v>0</v>
      </c>
      <c r="O24" s="1">
        <v>0</v>
      </c>
      <c r="P24" s="1">
        <v>10540.19585</v>
      </c>
      <c r="Q24" s="3">
        <f t="shared" si="6"/>
        <v>10540.19585</v>
      </c>
      <c r="R24" s="1">
        <v>1100.37359042</v>
      </c>
      <c r="S24" s="1">
        <v>1517.77579117</v>
      </c>
      <c r="T24" s="1">
        <f t="shared" si="7"/>
        <v>0.77362125528354786</v>
      </c>
      <c r="U24" s="3">
        <f t="shared" si="8"/>
        <v>1</v>
      </c>
      <c r="V24" s="1">
        <v>794.88</v>
      </c>
      <c r="W24" s="3">
        <f t="shared" si="9"/>
        <v>0.25493919022938366</v>
      </c>
      <c r="X24" s="1">
        <v>367.01</v>
      </c>
      <c r="Y24" s="3">
        <f t="shared" si="10"/>
        <v>0.72203423175290182</v>
      </c>
      <c r="Z24" s="1">
        <v>5832</v>
      </c>
      <c r="AA24" s="3">
        <f t="shared" si="11"/>
        <v>0.50275862068965516</v>
      </c>
      <c r="AB24" s="2">
        <v>0</v>
      </c>
      <c r="AC24" s="2">
        <v>0</v>
      </c>
      <c r="AD24" s="2">
        <f t="shared" si="12"/>
        <v>0</v>
      </c>
    </row>
    <row r="25" spans="1:30" x14ac:dyDescent="0.3">
      <c r="A25" s="1">
        <v>21</v>
      </c>
      <c r="B25" s="4">
        <v>-5000</v>
      </c>
      <c r="C25" s="1">
        <f t="shared" si="13"/>
        <v>-5000</v>
      </c>
      <c r="D25" s="1">
        <f t="shared" si="14"/>
        <v>0</v>
      </c>
      <c r="E25" s="3">
        <f t="shared" si="15"/>
        <v>-1</v>
      </c>
      <c r="F25" s="1">
        <v>0</v>
      </c>
      <c r="G25" s="3">
        <f t="shared" si="0"/>
        <v>0</v>
      </c>
      <c r="H25" s="1">
        <v>-1553.672292</v>
      </c>
      <c r="I25" s="1">
        <f t="shared" si="1"/>
        <v>1553.672292</v>
      </c>
      <c r="J25" s="3">
        <f t="shared" si="2"/>
        <v>1</v>
      </c>
      <c r="K25" s="4">
        <v>-2601.4406627399999</v>
      </c>
      <c r="L25" s="1">
        <f t="shared" si="3"/>
        <v>0</v>
      </c>
      <c r="M25" s="1">
        <f t="shared" si="4"/>
        <v>2601.4406627399999</v>
      </c>
      <c r="N25" s="3">
        <f t="shared" si="5"/>
        <v>0</v>
      </c>
      <c r="O25" s="1">
        <v>0</v>
      </c>
      <c r="P25" s="1">
        <v>10524.485839999999</v>
      </c>
      <c r="Q25" s="3">
        <f t="shared" si="6"/>
        <v>10524.485839999999</v>
      </c>
      <c r="R25" s="1">
        <v>1100.37359042</v>
      </c>
      <c r="S25" s="1">
        <v>1517.77579117</v>
      </c>
      <c r="T25" s="1">
        <f t="shared" si="7"/>
        <v>0.77362125528354786</v>
      </c>
      <c r="U25" s="3">
        <f t="shared" si="8"/>
        <v>1</v>
      </c>
      <c r="V25" s="1">
        <v>794.88</v>
      </c>
      <c r="W25" s="3">
        <f t="shared" si="9"/>
        <v>0.25493919022938366</v>
      </c>
      <c r="X25" s="1">
        <v>367.01</v>
      </c>
      <c r="Y25" s="3">
        <f t="shared" si="10"/>
        <v>0.72203423175290182</v>
      </c>
      <c r="Z25" s="1">
        <v>5832</v>
      </c>
      <c r="AA25" s="3">
        <f t="shared" si="11"/>
        <v>0.50275862068965516</v>
      </c>
      <c r="AB25" s="2">
        <v>0</v>
      </c>
      <c r="AC25" s="2">
        <v>0</v>
      </c>
      <c r="AD25" s="2">
        <f t="shared" si="12"/>
        <v>0</v>
      </c>
    </row>
    <row r="26" spans="1:30" x14ac:dyDescent="0.3">
      <c r="A26" s="1">
        <v>22</v>
      </c>
      <c r="B26" s="4">
        <v>-5000</v>
      </c>
      <c r="C26" s="1">
        <f t="shared" si="13"/>
        <v>-5000</v>
      </c>
      <c r="D26" s="1">
        <f t="shared" si="14"/>
        <v>0</v>
      </c>
      <c r="E26" s="3">
        <f t="shared" si="15"/>
        <v>-1</v>
      </c>
      <c r="F26" s="1">
        <v>0</v>
      </c>
      <c r="G26" s="3">
        <f t="shared" si="0"/>
        <v>0</v>
      </c>
      <c r="H26" s="1">
        <v>-1553.672292</v>
      </c>
      <c r="I26" s="1">
        <f t="shared" si="1"/>
        <v>1553.672292</v>
      </c>
      <c r="J26" s="3">
        <f t="shared" si="2"/>
        <v>1</v>
      </c>
      <c r="K26" s="4">
        <v>-1557.0005446499999</v>
      </c>
      <c r="L26" s="1">
        <f t="shared" si="3"/>
        <v>0</v>
      </c>
      <c r="M26" s="1">
        <f t="shared" si="4"/>
        <v>1557.0005446499999</v>
      </c>
      <c r="N26" s="3">
        <f t="shared" si="5"/>
        <v>0</v>
      </c>
      <c r="O26" s="1">
        <v>0</v>
      </c>
      <c r="P26" s="1">
        <v>10508.77584</v>
      </c>
      <c r="Q26" s="3">
        <f t="shared" si="6"/>
        <v>10508.77584</v>
      </c>
      <c r="R26" s="1">
        <v>1100.37359042</v>
      </c>
      <c r="S26" s="1">
        <v>1517.77579117</v>
      </c>
      <c r="T26" s="1">
        <f t="shared" si="7"/>
        <v>0.77362125528354786</v>
      </c>
      <c r="U26" s="3">
        <f t="shared" si="8"/>
        <v>1</v>
      </c>
      <c r="V26" s="1">
        <v>794.88</v>
      </c>
      <c r="W26" s="3">
        <f t="shared" si="9"/>
        <v>0.25493919022938366</v>
      </c>
      <c r="X26" s="1">
        <v>367.01</v>
      </c>
      <c r="Y26" s="3">
        <f t="shared" si="10"/>
        <v>0.72203423175290182</v>
      </c>
      <c r="Z26" s="1">
        <v>5832</v>
      </c>
      <c r="AA26" s="3">
        <f t="shared" si="11"/>
        <v>0.50275862068965516</v>
      </c>
      <c r="AB26" s="2">
        <v>0</v>
      </c>
      <c r="AC26" s="2">
        <v>0</v>
      </c>
      <c r="AD26" s="2">
        <f t="shared" si="12"/>
        <v>0</v>
      </c>
    </row>
    <row r="27" spans="1:30" x14ac:dyDescent="0.3">
      <c r="A27" s="1">
        <v>23</v>
      </c>
      <c r="B27" s="4">
        <v>-5000</v>
      </c>
      <c r="C27" s="1">
        <f t="shared" si="13"/>
        <v>-5000</v>
      </c>
      <c r="D27" s="1">
        <f t="shared" si="14"/>
        <v>0</v>
      </c>
      <c r="E27" s="3">
        <f t="shared" si="15"/>
        <v>-1</v>
      </c>
      <c r="F27" s="1">
        <v>0</v>
      </c>
      <c r="G27" s="3">
        <f t="shared" si="0"/>
        <v>0</v>
      </c>
      <c r="H27" s="1">
        <v>-1553.672292</v>
      </c>
      <c r="I27" s="1">
        <f t="shared" si="1"/>
        <v>1553.672292</v>
      </c>
      <c r="J27" s="3">
        <f t="shared" si="2"/>
        <v>1</v>
      </c>
      <c r="K27" s="4">
        <v>-2412.11279491</v>
      </c>
      <c r="L27" s="1">
        <f t="shared" si="3"/>
        <v>0</v>
      </c>
      <c r="M27" s="1">
        <f t="shared" si="4"/>
        <v>2412.11279491</v>
      </c>
      <c r="N27" s="3">
        <f t="shared" si="5"/>
        <v>0</v>
      </c>
      <c r="O27" s="1">
        <v>0</v>
      </c>
      <c r="P27" s="1">
        <v>10493.065839999999</v>
      </c>
      <c r="Q27" s="3">
        <f t="shared" si="6"/>
        <v>10493.065839999999</v>
      </c>
      <c r="R27" s="1">
        <v>1100.37359042</v>
      </c>
      <c r="S27" s="1">
        <v>1517.77579117</v>
      </c>
      <c r="T27" s="1">
        <f t="shared" si="7"/>
        <v>0.77362125528354786</v>
      </c>
      <c r="U27" s="3">
        <f t="shared" si="8"/>
        <v>1</v>
      </c>
      <c r="V27" s="1">
        <v>794.88</v>
      </c>
      <c r="W27" s="3">
        <f t="shared" si="9"/>
        <v>0.25493919022938366</v>
      </c>
      <c r="X27" s="1">
        <v>367.01</v>
      </c>
      <c r="Y27" s="3">
        <f t="shared" si="10"/>
        <v>0.72203423175290182</v>
      </c>
      <c r="Z27" s="1">
        <v>5832</v>
      </c>
      <c r="AA27" s="3">
        <f t="shared" si="11"/>
        <v>0.50275862068965516</v>
      </c>
      <c r="AB27" s="2">
        <v>0</v>
      </c>
      <c r="AC27" s="2">
        <v>0</v>
      </c>
      <c r="AD27" s="2">
        <f t="shared" si="12"/>
        <v>0</v>
      </c>
    </row>
    <row r="28" spans="1:30" x14ac:dyDescent="0.3">
      <c r="A28" s="1">
        <v>24</v>
      </c>
      <c r="B28" s="4">
        <v>-5000</v>
      </c>
      <c r="C28" s="1">
        <f t="shared" si="13"/>
        <v>-5000</v>
      </c>
      <c r="D28" s="1">
        <f t="shared" si="14"/>
        <v>0</v>
      </c>
      <c r="E28" s="3">
        <f t="shared" si="15"/>
        <v>-1</v>
      </c>
      <c r="F28" s="1">
        <v>0</v>
      </c>
      <c r="G28" s="3">
        <f t="shared" si="0"/>
        <v>0</v>
      </c>
      <c r="H28" s="1">
        <v>-1553.672292</v>
      </c>
      <c r="I28" s="1">
        <f t="shared" si="1"/>
        <v>1553.672292</v>
      </c>
      <c r="J28" s="3">
        <f t="shared" si="2"/>
        <v>1</v>
      </c>
      <c r="K28" s="4">
        <v>-3457.0127949100001</v>
      </c>
      <c r="L28" s="1">
        <f t="shared" si="3"/>
        <v>0</v>
      </c>
      <c r="M28" s="1">
        <f t="shared" si="4"/>
        <v>3457.0127949100001</v>
      </c>
      <c r="N28" s="3">
        <f t="shared" si="5"/>
        <v>0</v>
      </c>
      <c r="O28" s="1">
        <v>0</v>
      </c>
      <c r="P28" s="1">
        <v>10493.065839999999</v>
      </c>
      <c r="Q28" s="3">
        <f t="shared" si="6"/>
        <v>10493.065839999999</v>
      </c>
      <c r="R28" s="1">
        <v>1100.37359042</v>
      </c>
      <c r="S28" s="1">
        <v>1517.77579117</v>
      </c>
      <c r="T28" s="1">
        <f t="shared" si="7"/>
        <v>0.77362125528354786</v>
      </c>
      <c r="U28" s="3">
        <f t="shared" si="8"/>
        <v>1</v>
      </c>
      <c r="V28" s="1">
        <v>794.88</v>
      </c>
      <c r="W28" s="3">
        <f t="shared" si="9"/>
        <v>0.25493919022938366</v>
      </c>
      <c r="X28" s="1">
        <v>367.01</v>
      </c>
      <c r="Y28" s="3">
        <f t="shared" si="10"/>
        <v>0.72203423175290182</v>
      </c>
      <c r="Z28" s="1">
        <v>5832</v>
      </c>
      <c r="AA28" s="3">
        <f t="shared" si="11"/>
        <v>0.50275862068965516</v>
      </c>
      <c r="AB28" s="2">
        <v>0</v>
      </c>
      <c r="AC28" s="2">
        <v>0</v>
      </c>
      <c r="AD28" s="2">
        <f t="shared" si="12"/>
        <v>0</v>
      </c>
    </row>
    <row r="29" spans="1:30" x14ac:dyDescent="0.3">
      <c r="A29" s="1">
        <v>25</v>
      </c>
      <c r="B29" s="4">
        <v>-5000</v>
      </c>
      <c r="C29" s="1">
        <f t="shared" si="13"/>
        <v>-5000</v>
      </c>
      <c r="D29" s="1">
        <f t="shared" si="14"/>
        <v>0</v>
      </c>
      <c r="E29" s="3">
        <f t="shared" si="15"/>
        <v>-1</v>
      </c>
      <c r="F29" s="1">
        <v>0</v>
      </c>
      <c r="G29" s="3">
        <f t="shared" si="0"/>
        <v>0</v>
      </c>
      <c r="H29" s="1">
        <v>-1553.672292</v>
      </c>
      <c r="I29" s="1">
        <f t="shared" si="1"/>
        <v>1553.672292</v>
      </c>
      <c r="J29" s="3">
        <f t="shared" si="2"/>
        <v>1</v>
      </c>
      <c r="K29" s="4">
        <v>-4501.9137809599997</v>
      </c>
      <c r="L29" s="1">
        <f t="shared" si="3"/>
        <v>0</v>
      </c>
      <c r="M29" s="1">
        <f t="shared" si="4"/>
        <v>4501.9137809599997</v>
      </c>
      <c r="N29" s="3">
        <f t="shared" si="5"/>
        <v>0</v>
      </c>
      <c r="O29" s="1">
        <v>0</v>
      </c>
      <c r="P29" s="1">
        <v>10493.065839999999</v>
      </c>
      <c r="Q29" s="3">
        <f t="shared" si="6"/>
        <v>10493.065839999999</v>
      </c>
      <c r="R29" s="1">
        <v>1193.18030533</v>
      </c>
      <c r="S29" s="1">
        <v>1517.77579117</v>
      </c>
      <c r="T29" s="1">
        <f t="shared" si="7"/>
        <v>0.83886932004309223</v>
      </c>
      <c r="U29" s="3">
        <f t="shared" si="8"/>
        <v>1</v>
      </c>
      <c r="V29" s="1">
        <v>794.88</v>
      </c>
      <c r="W29" s="3">
        <f t="shared" si="9"/>
        <v>0.25493919022938366</v>
      </c>
      <c r="X29" s="1">
        <v>367.01</v>
      </c>
      <c r="Y29" s="3">
        <f t="shared" si="10"/>
        <v>0.72203423175290182</v>
      </c>
      <c r="Z29" s="1">
        <v>5832</v>
      </c>
      <c r="AA29" s="3">
        <f t="shared" si="11"/>
        <v>0.50275862068965516</v>
      </c>
      <c r="AB29" s="2">
        <v>0</v>
      </c>
      <c r="AC29" s="2">
        <v>0</v>
      </c>
      <c r="AD29" s="2">
        <f t="shared" si="12"/>
        <v>0</v>
      </c>
    </row>
    <row r="30" spans="1:30" x14ac:dyDescent="0.3">
      <c r="A30" s="1">
        <v>26</v>
      </c>
      <c r="B30" s="4">
        <v>-5000</v>
      </c>
      <c r="C30" s="1">
        <f t="shared" si="13"/>
        <v>-5000</v>
      </c>
      <c r="D30" s="1">
        <f t="shared" si="14"/>
        <v>0</v>
      </c>
      <c r="E30" s="3">
        <f t="shared" si="15"/>
        <v>-1</v>
      </c>
      <c r="F30" s="1">
        <v>0</v>
      </c>
      <c r="G30" s="3">
        <f t="shared" si="0"/>
        <v>0</v>
      </c>
      <c r="H30" s="1">
        <v>-1553.672292</v>
      </c>
      <c r="I30" s="1">
        <f t="shared" si="1"/>
        <v>1553.672292</v>
      </c>
      <c r="J30" s="3">
        <f t="shared" si="2"/>
        <v>1</v>
      </c>
      <c r="K30" s="4">
        <v>-5546.8137809600003</v>
      </c>
      <c r="L30" s="1">
        <f t="shared" si="3"/>
        <v>0</v>
      </c>
      <c r="M30" s="1">
        <f t="shared" si="4"/>
        <v>5546.8137809600003</v>
      </c>
      <c r="N30" s="3">
        <f t="shared" si="5"/>
        <v>0</v>
      </c>
      <c r="O30" s="1">
        <v>0</v>
      </c>
      <c r="P30" s="1">
        <v>10493.065839999999</v>
      </c>
      <c r="Q30" s="3">
        <f t="shared" si="6"/>
        <v>10493.065839999999</v>
      </c>
      <c r="R30" s="1">
        <v>1193.18030533</v>
      </c>
      <c r="S30" s="1">
        <v>1517.77579117</v>
      </c>
      <c r="T30" s="1">
        <f t="shared" si="7"/>
        <v>0.83886932004309223</v>
      </c>
      <c r="U30" s="3">
        <f t="shared" si="8"/>
        <v>1</v>
      </c>
      <c r="V30" s="1">
        <v>794.88</v>
      </c>
      <c r="W30" s="3">
        <f t="shared" si="9"/>
        <v>0.25493919022938366</v>
      </c>
      <c r="X30" s="1">
        <v>367.01</v>
      </c>
      <c r="Y30" s="3">
        <f t="shared" si="10"/>
        <v>0.72203423175290182</v>
      </c>
      <c r="Z30" s="1">
        <v>5832</v>
      </c>
      <c r="AA30" s="3">
        <f t="shared" si="11"/>
        <v>0.50275862068965516</v>
      </c>
      <c r="AB30" s="2">
        <v>0</v>
      </c>
      <c r="AC30" s="2">
        <v>0</v>
      </c>
      <c r="AD30" s="2">
        <f t="shared" si="12"/>
        <v>0</v>
      </c>
    </row>
    <row r="31" spans="1:30" x14ac:dyDescent="0.3">
      <c r="A31" s="1">
        <v>27</v>
      </c>
      <c r="B31" s="4">
        <v>-5000</v>
      </c>
      <c r="C31" s="1">
        <f t="shared" si="13"/>
        <v>-5000</v>
      </c>
      <c r="D31" s="1">
        <f t="shared" si="14"/>
        <v>0</v>
      </c>
      <c r="E31" s="3">
        <f t="shared" si="15"/>
        <v>-1</v>
      </c>
      <c r="F31" s="1">
        <v>0</v>
      </c>
      <c r="G31" s="3">
        <f t="shared" si="0"/>
        <v>0</v>
      </c>
      <c r="H31" s="1">
        <v>-1553.672292</v>
      </c>
      <c r="I31" s="1">
        <f t="shared" si="1"/>
        <v>1553.672292</v>
      </c>
      <c r="J31" s="3">
        <f t="shared" si="2"/>
        <v>1</v>
      </c>
      <c r="K31" s="4">
        <v>-5747.0736735</v>
      </c>
      <c r="L31" s="1">
        <f t="shared" si="3"/>
        <v>0</v>
      </c>
      <c r="M31" s="1">
        <f t="shared" si="4"/>
        <v>5747.0736735</v>
      </c>
      <c r="N31" s="3">
        <f t="shared" si="5"/>
        <v>0</v>
      </c>
      <c r="O31" s="1">
        <v>0</v>
      </c>
      <c r="P31" s="1">
        <v>10493.065839999999</v>
      </c>
      <c r="Q31" s="3">
        <f t="shared" si="6"/>
        <v>10493.065839999999</v>
      </c>
      <c r="R31" s="1">
        <v>1193.18030533</v>
      </c>
      <c r="S31" s="1">
        <v>1517.77579117</v>
      </c>
      <c r="T31" s="1">
        <f t="shared" si="7"/>
        <v>0.83886932004309223</v>
      </c>
      <c r="U31" s="3">
        <f t="shared" si="8"/>
        <v>1</v>
      </c>
      <c r="V31" s="1">
        <v>794.88</v>
      </c>
      <c r="W31" s="3">
        <f t="shared" si="9"/>
        <v>0.25493919022938366</v>
      </c>
      <c r="X31" s="1">
        <v>367.01</v>
      </c>
      <c r="Y31" s="3">
        <f t="shared" si="10"/>
        <v>0.72203423175290182</v>
      </c>
      <c r="Z31" s="1">
        <v>5832</v>
      </c>
      <c r="AA31" s="3">
        <f t="shared" si="11"/>
        <v>0.50275862068965516</v>
      </c>
      <c r="AB31" s="2">
        <v>0</v>
      </c>
      <c r="AC31" s="2">
        <v>0</v>
      </c>
      <c r="AD31" s="2">
        <f t="shared" si="12"/>
        <v>0</v>
      </c>
    </row>
    <row r="32" spans="1:30" x14ac:dyDescent="0.3">
      <c r="A32" s="1">
        <v>28</v>
      </c>
      <c r="B32" s="4">
        <v>-5000</v>
      </c>
      <c r="C32" s="1">
        <f t="shared" si="13"/>
        <v>-5000</v>
      </c>
      <c r="D32" s="1">
        <f t="shared" si="14"/>
        <v>0</v>
      </c>
      <c r="E32" s="3">
        <f t="shared" si="15"/>
        <v>-1</v>
      </c>
      <c r="F32" s="1">
        <v>0</v>
      </c>
      <c r="G32" s="3">
        <f t="shared" si="0"/>
        <v>0</v>
      </c>
      <c r="H32" s="1">
        <v>-1553.672292</v>
      </c>
      <c r="I32" s="1">
        <f t="shared" si="1"/>
        <v>1553.672292</v>
      </c>
      <c r="J32" s="3">
        <f t="shared" si="2"/>
        <v>1</v>
      </c>
      <c r="K32" s="4">
        <v>-4702.1736735000004</v>
      </c>
      <c r="L32" s="1">
        <f t="shared" si="3"/>
        <v>0</v>
      </c>
      <c r="M32" s="1">
        <f t="shared" si="4"/>
        <v>4702.1736735000004</v>
      </c>
      <c r="N32" s="3">
        <f t="shared" si="5"/>
        <v>0</v>
      </c>
      <c r="O32" s="1">
        <v>0</v>
      </c>
      <c r="P32" s="1">
        <v>10493.065839999999</v>
      </c>
      <c r="Q32" s="3">
        <f t="shared" si="6"/>
        <v>10493.065839999999</v>
      </c>
      <c r="R32" s="1">
        <v>1193.18030533</v>
      </c>
      <c r="S32" s="1">
        <v>1517.77579117</v>
      </c>
      <c r="T32" s="1">
        <f t="shared" si="7"/>
        <v>0.83886932004309223</v>
      </c>
      <c r="U32" s="3">
        <f t="shared" si="8"/>
        <v>1</v>
      </c>
      <c r="V32" s="1">
        <v>794.88</v>
      </c>
      <c r="W32" s="3">
        <f t="shared" si="9"/>
        <v>0.25493919022938366</v>
      </c>
      <c r="X32" s="1">
        <v>367.01</v>
      </c>
      <c r="Y32" s="3">
        <f t="shared" si="10"/>
        <v>0.72203423175290182</v>
      </c>
      <c r="Z32" s="1">
        <v>5832</v>
      </c>
      <c r="AA32" s="3">
        <f t="shared" si="11"/>
        <v>0.50275862068965516</v>
      </c>
      <c r="AB32" s="2">
        <v>0</v>
      </c>
      <c r="AC32" s="2">
        <v>0</v>
      </c>
      <c r="AD32" s="2">
        <f t="shared" si="12"/>
        <v>0</v>
      </c>
    </row>
    <row r="33" spans="1:30" x14ac:dyDescent="0.3">
      <c r="A33" s="1">
        <v>29</v>
      </c>
      <c r="B33" s="4">
        <v>-5000</v>
      </c>
      <c r="C33" s="1">
        <f t="shared" si="13"/>
        <v>-5000</v>
      </c>
      <c r="D33" s="1">
        <f t="shared" si="14"/>
        <v>0</v>
      </c>
      <c r="E33" s="3">
        <f t="shared" si="15"/>
        <v>-1</v>
      </c>
      <c r="F33" s="1">
        <v>0</v>
      </c>
      <c r="G33" s="3">
        <f t="shared" si="0"/>
        <v>0</v>
      </c>
      <c r="H33" s="1">
        <v>-1553.672292</v>
      </c>
      <c r="I33" s="1">
        <f t="shared" si="1"/>
        <v>1553.672292</v>
      </c>
      <c r="J33" s="3">
        <f t="shared" si="2"/>
        <v>1</v>
      </c>
      <c r="K33" s="4">
        <v>-3656.8137915900002</v>
      </c>
      <c r="L33" s="1">
        <f t="shared" si="3"/>
        <v>0</v>
      </c>
      <c r="M33" s="1">
        <f t="shared" si="4"/>
        <v>3656.8137915900002</v>
      </c>
      <c r="N33" s="3">
        <f t="shared" si="5"/>
        <v>0</v>
      </c>
      <c r="O33" s="1">
        <v>0</v>
      </c>
      <c r="P33" s="1">
        <v>10508.77584</v>
      </c>
      <c r="Q33" s="3">
        <f t="shared" si="6"/>
        <v>10508.77584</v>
      </c>
      <c r="R33" s="1">
        <v>1193.18030533</v>
      </c>
      <c r="S33" s="1">
        <v>1517.77579117</v>
      </c>
      <c r="T33" s="1">
        <f t="shared" si="7"/>
        <v>0.83886932004309223</v>
      </c>
      <c r="U33" s="3">
        <f t="shared" si="8"/>
        <v>1</v>
      </c>
      <c r="V33" s="1">
        <v>794.88</v>
      </c>
      <c r="W33" s="3">
        <f t="shared" si="9"/>
        <v>0.25493919022938366</v>
      </c>
      <c r="X33" s="1">
        <v>367.01</v>
      </c>
      <c r="Y33" s="3">
        <f t="shared" si="10"/>
        <v>0.72203423175290182</v>
      </c>
      <c r="Z33" s="1">
        <v>5832</v>
      </c>
      <c r="AA33" s="3">
        <f t="shared" si="11"/>
        <v>0.50275862068965516</v>
      </c>
      <c r="AB33" s="2">
        <v>0</v>
      </c>
      <c r="AC33" s="2">
        <v>0</v>
      </c>
      <c r="AD33" s="2">
        <f t="shared" si="12"/>
        <v>0</v>
      </c>
    </row>
    <row r="34" spans="1:30" x14ac:dyDescent="0.3">
      <c r="A34" s="1">
        <v>30</v>
      </c>
      <c r="B34" s="4">
        <v>-5000</v>
      </c>
      <c r="C34" s="1">
        <f t="shared" si="13"/>
        <v>-5000</v>
      </c>
      <c r="D34" s="1">
        <f t="shared" si="14"/>
        <v>0</v>
      </c>
      <c r="E34" s="3">
        <f t="shared" si="15"/>
        <v>-1</v>
      </c>
      <c r="F34" s="1">
        <v>0</v>
      </c>
      <c r="G34" s="3">
        <f t="shared" si="0"/>
        <v>0</v>
      </c>
      <c r="H34" s="1">
        <v>-1553.672292</v>
      </c>
      <c r="I34" s="1">
        <f t="shared" si="1"/>
        <v>1553.672292</v>
      </c>
      <c r="J34" s="3">
        <f t="shared" si="2"/>
        <v>1</v>
      </c>
      <c r="K34" s="4">
        <v>-2610.9940277599999</v>
      </c>
      <c r="L34" s="1">
        <f t="shared" si="3"/>
        <v>0</v>
      </c>
      <c r="M34" s="1">
        <f t="shared" si="4"/>
        <v>2610.9940277599999</v>
      </c>
      <c r="N34" s="3">
        <f t="shared" si="5"/>
        <v>0</v>
      </c>
      <c r="O34" s="1">
        <v>0</v>
      </c>
      <c r="P34" s="1">
        <v>10540.19585</v>
      </c>
      <c r="Q34" s="3">
        <f t="shared" si="6"/>
        <v>10540.19585</v>
      </c>
      <c r="R34" s="1">
        <v>1193.18030533</v>
      </c>
      <c r="S34" s="1">
        <v>1517.77579117</v>
      </c>
      <c r="T34" s="1">
        <f t="shared" si="7"/>
        <v>0.83886932004309223</v>
      </c>
      <c r="U34" s="3">
        <f t="shared" si="8"/>
        <v>1</v>
      </c>
      <c r="V34" s="1">
        <v>794.88</v>
      </c>
      <c r="W34" s="3">
        <f t="shared" si="9"/>
        <v>0.25493919022938366</v>
      </c>
      <c r="X34" s="1">
        <v>367.01</v>
      </c>
      <c r="Y34" s="3">
        <f t="shared" si="10"/>
        <v>0.72203423175290182</v>
      </c>
      <c r="Z34" s="1">
        <v>5832</v>
      </c>
      <c r="AA34" s="3">
        <f t="shared" si="11"/>
        <v>0.50275862068965516</v>
      </c>
      <c r="AB34" s="2">
        <v>0</v>
      </c>
      <c r="AC34" s="2">
        <v>0</v>
      </c>
      <c r="AD34" s="2">
        <f t="shared" si="12"/>
        <v>0</v>
      </c>
    </row>
    <row r="35" spans="1:30" x14ac:dyDescent="0.3">
      <c r="A35" s="1">
        <v>31</v>
      </c>
      <c r="B35" s="4">
        <v>-5000</v>
      </c>
      <c r="C35" s="1">
        <f t="shared" si="13"/>
        <v>-5000</v>
      </c>
      <c r="D35" s="1">
        <f t="shared" si="14"/>
        <v>0</v>
      </c>
      <c r="E35" s="3">
        <f t="shared" si="15"/>
        <v>-1</v>
      </c>
      <c r="F35" s="1">
        <v>0</v>
      </c>
      <c r="G35" s="3">
        <f t="shared" si="0"/>
        <v>0</v>
      </c>
      <c r="H35" s="1">
        <v>-1553.672292</v>
      </c>
      <c r="I35" s="1">
        <f t="shared" si="1"/>
        <v>1553.672292</v>
      </c>
      <c r="J35" s="3">
        <f t="shared" si="2"/>
        <v>1</v>
      </c>
      <c r="K35" s="4">
        <v>-2600.5208989100001</v>
      </c>
      <c r="L35" s="1">
        <f t="shared" si="3"/>
        <v>0</v>
      </c>
      <c r="M35" s="1">
        <f t="shared" si="4"/>
        <v>2600.5208989100001</v>
      </c>
      <c r="N35" s="3">
        <f t="shared" si="5"/>
        <v>0</v>
      </c>
      <c r="O35" s="1">
        <v>0</v>
      </c>
      <c r="P35" s="1">
        <v>10555.905849999999</v>
      </c>
      <c r="Q35" s="3">
        <f t="shared" si="6"/>
        <v>10555.905849999999</v>
      </c>
      <c r="R35" s="1">
        <v>1193.18030533</v>
      </c>
      <c r="S35" s="1">
        <v>1517.77579117</v>
      </c>
      <c r="T35" s="1">
        <f t="shared" si="7"/>
        <v>0.83886932004309223</v>
      </c>
      <c r="U35" s="3">
        <f t="shared" si="8"/>
        <v>1</v>
      </c>
      <c r="V35" s="1">
        <v>794.88</v>
      </c>
      <c r="W35" s="3">
        <f t="shared" si="9"/>
        <v>0.25493919022938366</v>
      </c>
      <c r="X35" s="1">
        <v>367.01</v>
      </c>
      <c r="Y35" s="3">
        <f t="shared" si="10"/>
        <v>0.72203423175290182</v>
      </c>
      <c r="Z35" s="1">
        <v>5832</v>
      </c>
      <c r="AA35" s="3">
        <f t="shared" si="11"/>
        <v>0.50275862068965516</v>
      </c>
      <c r="AB35" s="2">
        <v>0</v>
      </c>
      <c r="AC35" s="2">
        <v>0</v>
      </c>
      <c r="AD35" s="2">
        <f t="shared" si="12"/>
        <v>0</v>
      </c>
    </row>
    <row r="36" spans="1:30" x14ac:dyDescent="0.3">
      <c r="A36" s="1">
        <v>32</v>
      </c>
      <c r="B36" s="4">
        <v>-5000</v>
      </c>
      <c r="C36" s="1">
        <f t="shared" si="13"/>
        <v>-5000</v>
      </c>
      <c r="D36" s="1">
        <f t="shared" si="14"/>
        <v>0</v>
      </c>
      <c r="E36" s="3">
        <f t="shared" si="15"/>
        <v>-1</v>
      </c>
      <c r="F36" s="1">
        <v>0</v>
      </c>
      <c r="G36" s="3">
        <f t="shared" si="0"/>
        <v>0</v>
      </c>
      <c r="H36" s="1">
        <v>-1553.672292</v>
      </c>
      <c r="I36" s="1">
        <f t="shared" si="1"/>
        <v>1553.672292</v>
      </c>
      <c r="J36" s="3">
        <f t="shared" si="2"/>
        <v>1</v>
      </c>
      <c r="K36" s="4">
        <v>-3644.9610170000001</v>
      </c>
      <c r="L36" s="1">
        <f t="shared" si="3"/>
        <v>0</v>
      </c>
      <c r="M36" s="1">
        <f t="shared" si="4"/>
        <v>3644.9610170000001</v>
      </c>
      <c r="N36" s="3">
        <f t="shared" si="5"/>
        <v>0</v>
      </c>
      <c r="O36" s="1">
        <v>0</v>
      </c>
      <c r="P36" s="1">
        <v>10571.61585</v>
      </c>
      <c r="Q36" s="3">
        <f t="shared" si="6"/>
        <v>10571.61585</v>
      </c>
      <c r="R36" s="1">
        <v>1193.18030533</v>
      </c>
      <c r="S36" s="1">
        <v>1517.77579117</v>
      </c>
      <c r="T36" s="1">
        <f t="shared" si="7"/>
        <v>0.83886932004309223</v>
      </c>
      <c r="U36" s="3">
        <f t="shared" si="8"/>
        <v>1</v>
      </c>
      <c r="V36" s="1">
        <v>794.88</v>
      </c>
      <c r="W36" s="3">
        <f t="shared" si="9"/>
        <v>0.25493919022938366</v>
      </c>
      <c r="X36" s="1">
        <v>367.01</v>
      </c>
      <c r="Y36" s="3">
        <f t="shared" si="10"/>
        <v>0.72203423175290182</v>
      </c>
      <c r="Z36" s="1">
        <v>5832</v>
      </c>
      <c r="AA36" s="3">
        <f t="shared" si="11"/>
        <v>0.50275862068965516</v>
      </c>
      <c r="AB36" s="2">
        <v>0</v>
      </c>
      <c r="AC36" s="2">
        <v>0</v>
      </c>
      <c r="AD36" s="2">
        <f t="shared" si="12"/>
        <v>0</v>
      </c>
    </row>
    <row r="37" spans="1:30" x14ac:dyDescent="0.3">
      <c r="A37" s="1">
        <v>33</v>
      </c>
      <c r="B37" s="4">
        <v>-5000</v>
      </c>
      <c r="C37" s="1">
        <f t="shared" si="13"/>
        <v>-5000</v>
      </c>
      <c r="D37" s="1">
        <f t="shared" ref="D37:D68" si="16">IF(B37&gt;0,B37,0)</f>
        <v>0</v>
      </c>
      <c r="E37" s="3">
        <f t="shared" ref="E37:E68" si="17">C37/$C$2</f>
        <v>-1</v>
      </c>
      <c r="F37" s="1">
        <v>0</v>
      </c>
      <c r="G37" s="3">
        <f t="shared" ref="G37:G68" si="18">IF(F37&gt;0,F37,0)</f>
        <v>0</v>
      </c>
      <c r="H37" s="1">
        <v>-1553.672292</v>
      </c>
      <c r="I37" s="1">
        <f t="shared" ref="I37:I68" si="19">IF(H37&lt;0,-H37,0)</f>
        <v>1553.672292</v>
      </c>
      <c r="J37" s="3">
        <f t="shared" ref="J37:J68" si="20">I37/$G$2</f>
        <v>1</v>
      </c>
      <c r="K37" s="4">
        <v>-4689.8610170000002</v>
      </c>
      <c r="L37" s="1">
        <f t="shared" ref="L37:L68" si="21">IF(K37&gt;0,K37,0)</f>
        <v>0</v>
      </c>
      <c r="M37" s="1">
        <f t="shared" ref="M37:M68" si="22">IF(K37&lt;0,-K37,0)</f>
        <v>4689.8610170000002</v>
      </c>
      <c r="N37" s="3">
        <f t="shared" ref="N37:N68" si="23">L37/$F$2</f>
        <v>0</v>
      </c>
      <c r="O37" s="1">
        <v>0</v>
      </c>
      <c r="P37" s="1">
        <v>10571.61585</v>
      </c>
      <c r="Q37" s="3">
        <f t="shared" ref="Q37:Q68" si="24">O37+P37</f>
        <v>10571.61585</v>
      </c>
      <c r="R37" s="1">
        <v>1193.18030533</v>
      </c>
      <c r="S37" s="1">
        <v>1517.77579117</v>
      </c>
      <c r="T37" s="1">
        <f t="shared" ref="T37:T68" si="25">R37/$S$2</f>
        <v>0.83886932004309223</v>
      </c>
      <c r="U37" s="3">
        <f t="shared" ref="U37:U68" si="26">S37/$T$2</f>
        <v>1</v>
      </c>
      <c r="V37" s="1">
        <v>794.88</v>
      </c>
      <c r="W37" s="3">
        <f t="shared" ref="W37:W68" si="27">V37/$U$2</f>
        <v>0.25493919022938366</v>
      </c>
      <c r="X37" s="1">
        <v>367.01</v>
      </c>
      <c r="Y37" s="3">
        <f t="shared" ref="Y37:Y68" si="28">X37/$V$2</f>
        <v>0.72203423175290182</v>
      </c>
      <c r="Z37" s="1">
        <v>5832</v>
      </c>
      <c r="AA37" s="3">
        <f t="shared" ref="AA37:AA68" si="29">Z37/$W$2</f>
        <v>0.50275862068965516</v>
      </c>
      <c r="AB37" s="2">
        <v>0</v>
      </c>
      <c r="AC37" s="2">
        <v>0</v>
      </c>
      <c r="AD37" s="2">
        <f t="shared" ref="AD37:AD68" si="30">SUM(AB37:AC37)/$X$2</f>
        <v>0</v>
      </c>
    </row>
    <row r="38" spans="1:30" x14ac:dyDescent="0.3">
      <c r="A38" s="1">
        <v>34</v>
      </c>
      <c r="B38" s="4">
        <v>-5000</v>
      </c>
      <c r="C38" s="1">
        <f t="shared" si="13"/>
        <v>-5000</v>
      </c>
      <c r="D38" s="1">
        <f t="shared" si="16"/>
        <v>0</v>
      </c>
      <c r="E38" s="3">
        <f t="shared" si="17"/>
        <v>-1</v>
      </c>
      <c r="F38" s="1">
        <v>0</v>
      </c>
      <c r="G38" s="3">
        <f t="shared" si="18"/>
        <v>0</v>
      </c>
      <c r="H38" s="1">
        <v>-1553.672292</v>
      </c>
      <c r="I38" s="1">
        <f t="shared" si="19"/>
        <v>1553.672292</v>
      </c>
      <c r="J38" s="3">
        <f t="shared" si="20"/>
        <v>1</v>
      </c>
      <c r="K38" s="4">
        <v>-5734.7610169999998</v>
      </c>
      <c r="L38" s="1">
        <f t="shared" si="21"/>
        <v>0</v>
      </c>
      <c r="M38" s="1">
        <f t="shared" si="22"/>
        <v>5734.7610169999998</v>
      </c>
      <c r="N38" s="3">
        <f t="shared" si="23"/>
        <v>0</v>
      </c>
      <c r="O38" s="1">
        <v>0</v>
      </c>
      <c r="P38" s="1">
        <v>10571.61585</v>
      </c>
      <c r="Q38" s="3">
        <f t="shared" si="24"/>
        <v>10571.61585</v>
      </c>
      <c r="R38" s="1">
        <v>1193.18030533</v>
      </c>
      <c r="S38" s="1">
        <v>1517.77579117</v>
      </c>
      <c r="T38" s="1">
        <f t="shared" si="25"/>
        <v>0.83886932004309223</v>
      </c>
      <c r="U38" s="3">
        <f t="shared" si="26"/>
        <v>1</v>
      </c>
      <c r="V38" s="1">
        <v>794.88</v>
      </c>
      <c r="W38" s="3">
        <f t="shared" si="27"/>
        <v>0.25493919022938366</v>
      </c>
      <c r="X38" s="1">
        <v>367.01</v>
      </c>
      <c r="Y38" s="3">
        <f t="shared" si="28"/>
        <v>0.72203423175290182</v>
      </c>
      <c r="Z38" s="1">
        <v>5832</v>
      </c>
      <c r="AA38" s="3">
        <f t="shared" si="29"/>
        <v>0.50275862068965516</v>
      </c>
      <c r="AB38" s="2">
        <v>8881</v>
      </c>
      <c r="AC38" s="2">
        <v>317.13</v>
      </c>
      <c r="AD38" s="2">
        <f t="shared" si="30"/>
        <v>0.10475633506064574</v>
      </c>
    </row>
    <row r="39" spans="1:30" x14ac:dyDescent="0.3">
      <c r="A39" s="1">
        <v>35</v>
      </c>
      <c r="B39" s="4">
        <v>-5000</v>
      </c>
      <c r="C39" s="1">
        <f t="shared" si="13"/>
        <v>-5000</v>
      </c>
      <c r="D39" s="1">
        <f t="shared" si="16"/>
        <v>0</v>
      </c>
      <c r="E39" s="3">
        <f t="shared" si="17"/>
        <v>-1</v>
      </c>
      <c r="F39" s="1">
        <v>0</v>
      </c>
      <c r="G39" s="3">
        <f t="shared" si="18"/>
        <v>0</v>
      </c>
      <c r="H39" s="1">
        <v>-1553.672292</v>
      </c>
      <c r="I39" s="1">
        <f t="shared" si="19"/>
        <v>1553.672292</v>
      </c>
      <c r="J39" s="3">
        <f t="shared" si="20"/>
        <v>1</v>
      </c>
      <c r="K39" s="4">
        <v>-6779.6610170000004</v>
      </c>
      <c r="L39" s="1">
        <f t="shared" si="21"/>
        <v>0</v>
      </c>
      <c r="M39" s="1">
        <f t="shared" si="22"/>
        <v>6779.6610170000004</v>
      </c>
      <c r="N39" s="3">
        <f t="shared" si="23"/>
        <v>0</v>
      </c>
      <c r="O39" s="1">
        <v>1342.4069999999999</v>
      </c>
      <c r="P39" s="1">
        <v>10571.61585</v>
      </c>
      <c r="Q39" s="3">
        <f t="shared" si="24"/>
        <v>11914.022849999999</v>
      </c>
      <c r="R39" s="1">
        <v>1123.3454423200001</v>
      </c>
      <c r="S39" s="1">
        <v>1517.77579117</v>
      </c>
      <c r="T39" s="1">
        <f t="shared" si="25"/>
        <v>0.78977169096992472</v>
      </c>
      <c r="U39" s="3">
        <f t="shared" si="26"/>
        <v>1</v>
      </c>
      <c r="V39" s="1">
        <v>794.88</v>
      </c>
      <c r="W39" s="3">
        <f t="shared" si="27"/>
        <v>0.25493919022938366</v>
      </c>
      <c r="X39" s="1">
        <v>367.01</v>
      </c>
      <c r="Y39" s="3">
        <f t="shared" si="28"/>
        <v>0.72203423175290182</v>
      </c>
      <c r="Z39" s="1">
        <v>5832</v>
      </c>
      <c r="AA39" s="3">
        <f t="shared" si="29"/>
        <v>0.50275862068965516</v>
      </c>
      <c r="AB39" s="2">
        <v>23323</v>
      </c>
      <c r="AC39" s="2">
        <v>816.85</v>
      </c>
      <c r="AD39" s="2">
        <f t="shared" si="30"/>
        <v>0.27492568760321162</v>
      </c>
    </row>
    <row r="40" spans="1:30" x14ac:dyDescent="0.3">
      <c r="A40" s="1">
        <v>36</v>
      </c>
      <c r="B40" s="4">
        <v>0</v>
      </c>
      <c r="C40" s="1">
        <f t="shared" si="13"/>
        <v>0</v>
      </c>
      <c r="D40" s="1">
        <f t="shared" si="16"/>
        <v>0</v>
      </c>
      <c r="E40" s="3">
        <f t="shared" si="17"/>
        <v>0</v>
      </c>
      <c r="F40" s="1">
        <v>0</v>
      </c>
      <c r="G40" s="3">
        <f t="shared" si="18"/>
        <v>0</v>
      </c>
      <c r="H40" s="1">
        <v>-1553.672292</v>
      </c>
      <c r="I40" s="1">
        <f t="shared" si="19"/>
        <v>1553.672292</v>
      </c>
      <c r="J40" s="3">
        <f t="shared" si="20"/>
        <v>1</v>
      </c>
      <c r="K40" s="4">
        <v>-6779.6610170000004</v>
      </c>
      <c r="L40" s="1">
        <f t="shared" si="21"/>
        <v>0</v>
      </c>
      <c r="M40" s="1">
        <f t="shared" si="22"/>
        <v>6779.6610170000004</v>
      </c>
      <c r="N40" s="3">
        <f t="shared" si="23"/>
        <v>0</v>
      </c>
      <c r="O40" s="1">
        <v>1342.4069999999999</v>
      </c>
      <c r="P40" s="1">
        <v>10555.905849999999</v>
      </c>
      <c r="Q40" s="3">
        <f t="shared" si="24"/>
        <v>11898.312849999998</v>
      </c>
      <c r="R40" s="1">
        <v>0</v>
      </c>
      <c r="S40" s="1">
        <v>1517.77579117</v>
      </c>
      <c r="T40" s="1">
        <f t="shared" si="25"/>
        <v>0</v>
      </c>
      <c r="U40" s="3">
        <f t="shared" si="26"/>
        <v>1</v>
      </c>
      <c r="V40" s="1">
        <v>794.88</v>
      </c>
      <c r="W40" s="3">
        <f t="shared" si="27"/>
        <v>0.25493919022938366</v>
      </c>
      <c r="X40" s="1">
        <v>367.01</v>
      </c>
      <c r="Y40" s="3">
        <f t="shared" si="28"/>
        <v>0.72203423175290182</v>
      </c>
      <c r="Z40" s="1">
        <v>5832</v>
      </c>
      <c r="AA40" s="3">
        <f t="shared" si="29"/>
        <v>0.50275862068965516</v>
      </c>
      <c r="AB40" s="2">
        <v>29216</v>
      </c>
      <c r="AC40" s="2">
        <v>1359.8150000000001</v>
      </c>
      <c r="AD40" s="2">
        <f t="shared" si="30"/>
        <v>0.34822407607767208</v>
      </c>
    </row>
    <row r="41" spans="1:30" x14ac:dyDescent="0.3">
      <c r="A41" s="1">
        <v>37</v>
      </c>
      <c r="B41" s="4">
        <v>0</v>
      </c>
      <c r="C41" s="1">
        <f t="shared" si="13"/>
        <v>0</v>
      </c>
      <c r="D41" s="1">
        <f t="shared" si="16"/>
        <v>0</v>
      </c>
      <c r="E41" s="3">
        <f t="shared" si="17"/>
        <v>0</v>
      </c>
      <c r="F41" s="1">
        <v>0</v>
      </c>
      <c r="G41" s="3">
        <f t="shared" si="18"/>
        <v>0</v>
      </c>
      <c r="H41" s="1">
        <v>-702.95252817000005</v>
      </c>
      <c r="I41" s="1">
        <f t="shared" si="19"/>
        <v>702.95252817000005</v>
      </c>
      <c r="J41" s="3">
        <f t="shared" si="20"/>
        <v>0.45244581614125873</v>
      </c>
      <c r="K41" s="4">
        <v>-6779.6610170000004</v>
      </c>
      <c r="L41" s="1">
        <f t="shared" si="21"/>
        <v>0</v>
      </c>
      <c r="M41" s="1">
        <f t="shared" si="22"/>
        <v>6779.6610170000004</v>
      </c>
      <c r="N41" s="3">
        <f t="shared" si="23"/>
        <v>0</v>
      </c>
      <c r="O41" s="1">
        <v>1342.4069999999999</v>
      </c>
      <c r="P41" s="1">
        <v>10540.19585</v>
      </c>
      <c r="Q41" s="3">
        <f t="shared" si="24"/>
        <v>11882.602849999999</v>
      </c>
      <c r="R41" s="1">
        <v>0</v>
      </c>
      <c r="S41" s="1">
        <v>1517.77579117</v>
      </c>
      <c r="T41" s="1">
        <f t="shared" si="25"/>
        <v>0</v>
      </c>
      <c r="U41" s="3">
        <f t="shared" si="26"/>
        <v>1</v>
      </c>
      <c r="V41" s="1">
        <v>794.88</v>
      </c>
      <c r="W41" s="3">
        <f t="shared" si="27"/>
        <v>0.25493919022938366</v>
      </c>
      <c r="X41" s="1">
        <v>367.01</v>
      </c>
      <c r="Y41" s="3">
        <f t="shared" si="28"/>
        <v>0.72203423175290182</v>
      </c>
      <c r="Z41" s="1">
        <v>5832</v>
      </c>
      <c r="AA41" s="3">
        <f t="shared" si="29"/>
        <v>0.50275862068965516</v>
      </c>
      <c r="AB41" s="2">
        <v>31789</v>
      </c>
      <c r="AC41" s="2">
        <v>1773.0450000000001</v>
      </c>
      <c r="AD41" s="2">
        <f t="shared" si="30"/>
        <v>0.38223387050851315</v>
      </c>
    </row>
    <row r="42" spans="1:30" x14ac:dyDescent="0.3">
      <c r="A42" s="1">
        <v>38</v>
      </c>
      <c r="B42" s="4">
        <v>-1024.6925293199999</v>
      </c>
      <c r="C42" s="1">
        <f t="shared" si="13"/>
        <v>-1024.6925293199999</v>
      </c>
      <c r="D42" s="1">
        <f t="shared" si="16"/>
        <v>0</v>
      </c>
      <c r="E42" s="3">
        <f t="shared" si="17"/>
        <v>-0.204938505864</v>
      </c>
      <c r="F42" s="1">
        <v>588.96592054999996</v>
      </c>
      <c r="G42" s="3">
        <f t="shared" si="18"/>
        <v>588.96592054999996</v>
      </c>
      <c r="H42" s="1">
        <v>-1492.3400330899999</v>
      </c>
      <c r="I42" s="1">
        <f t="shared" si="19"/>
        <v>1492.3400330899999</v>
      </c>
      <c r="J42" s="3">
        <f t="shared" si="20"/>
        <v>0.96052432728201087</v>
      </c>
      <c r="K42" s="4">
        <v>-6779.6610170000004</v>
      </c>
      <c r="L42" s="1">
        <f t="shared" si="21"/>
        <v>0</v>
      </c>
      <c r="M42" s="1">
        <f t="shared" si="22"/>
        <v>6779.6610170000004</v>
      </c>
      <c r="N42" s="3">
        <f t="shared" si="23"/>
        <v>0</v>
      </c>
      <c r="O42" s="1">
        <v>1342.4069999999999</v>
      </c>
      <c r="P42" s="1">
        <v>10540.19585</v>
      </c>
      <c r="Q42" s="3">
        <f t="shared" si="24"/>
        <v>11882.602849999999</v>
      </c>
      <c r="R42" s="1">
        <v>0</v>
      </c>
      <c r="S42" s="1">
        <v>1517.77579117</v>
      </c>
      <c r="T42" s="1">
        <f t="shared" si="25"/>
        <v>0</v>
      </c>
      <c r="U42" s="3">
        <f t="shared" si="26"/>
        <v>1</v>
      </c>
      <c r="V42" s="1">
        <v>794.88</v>
      </c>
      <c r="W42" s="3">
        <f t="shared" si="27"/>
        <v>0.25493919022938366</v>
      </c>
      <c r="X42" s="1">
        <v>367.01</v>
      </c>
      <c r="Y42" s="3">
        <f t="shared" si="28"/>
        <v>0.72203423175290182</v>
      </c>
      <c r="Z42" s="1">
        <v>5832</v>
      </c>
      <c r="AA42" s="3">
        <f t="shared" si="29"/>
        <v>0.50275862068965516</v>
      </c>
      <c r="AB42" s="2">
        <v>32702</v>
      </c>
      <c r="AC42" s="2">
        <v>1922</v>
      </c>
      <c r="AD42" s="2">
        <f t="shared" si="30"/>
        <v>0.3943283412106372</v>
      </c>
    </row>
    <row r="43" spans="1:30" x14ac:dyDescent="0.3">
      <c r="A43" s="1">
        <v>39</v>
      </c>
      <c r="B43" s="4">
        <v>-2020.1101721099999</v>
      </c>
      <c r="C43" s="1">
        <f t="shared" si="13"/>
        <v>-2020.1101721099999</v>
      </c>
      <c r="D43" s="1">
        <f t="shared" si="16"/>
        <v>0</v>
      </c>
      <c r="E43" s="3">
        <f t="shared" si="17"/>
        <v>-0.40402203442199996</v>
      </c>
      <c r="F43" s="1">
        <v>650.75806136999995</v>
      </c>
      <c r="G43" s="3">
        <f t="shared" si="18"/>
        <v>650.75806136999995</v>
      </c>
      <c r="H43" s="1">
        <v>-1553.672292</v>
      </c>
      <c r="I43" s="1">
        <f t="shared" si="19"/>
        <v>1553.672292</v>
      </c>
      <c r="J43" s="3">
        <f t="shared" si="20"/>
        <v>1</v>
      </c>
      <c r="K43" s="4">
        <v>-6779.6610170000004</v>
      </c>
      <c r="L43" s="1">
        <f t="shared" si="21"/>
        <v>0</v>
      </c>
      <c r="M43" s="1">
        <f t="shared" si="22"/>
        <v>6779.6610170000004</v>
      </c>
      <c r="N43" s="3">
        <f t="shared" si="23"/>
        <v>0</v>
      </c>
      <c r="O43" s="1">
        <v>1342.4069999999999</v>
      </c>
      <c r="P43" s="1">
        <v>10555.905849999999</v>
      </c>
      <c r="Q43" s="3">
        <f t="shared" si="24"/>
        <v>11898.312849999998</v>
      </c>
      <c r="R43" s="1">
        <v>0</v>
      </c>
      <c r="S43" s="1">
        <v>1517.77579117</v>
      </c>
      <c r="T43" s="1">
        <f t="shared" si="25"/>
        <v>0</v>
      </c>
      <c r="U43" s="3">
        <f t="shared" si="26"/>
        <v>1</v>
      </c>
      <c r="V43" s="1">
        <v>794.88</v>
      </c>
      <c r="W43" s="3">
        <f t="shared" si="27"/>
        <v>0.25493919022938366</v>
      </c>
      <c r="X43" s="1">
        <v>367.01</v>
      </c>
      <c r="Y43" s="3">
        <f t="shared" si="28"/>
        <v>0.72203423175290182</v>
      </c>
      <c r="Z43" s="1">
        <v>5832</v>
      </c>
      <c r="AA43" s="3">
        <f t="shared" si="29"/>
        <v>0.50275862068965516</v>
      </c>
      <c r="AB43" s="2">
        <v>33034</v>
      </c>
      <c r="AC43" s="2">
        <v>1744.2149999999999</v>
      </c>
      <c r="AD43" s="2">
        <f t="shared" si="30"/>
        <v>0.39608467627128291</v>
      </c>
    </row>
    <row r="44" spans="1:30" x14ac:dyDescent="0.3">
      <c r="A44" s="1">
        <v>40</v>
      </c>
      <c r="B44" s="4">
        <v>-3682.2798601</v>
      </c>
      <c r="C44" s="1">
        <f t="shared" si="13"/>
        <v>-3682.2798601</v>
      </c>
      <c r="D44" s="1">
        <f t="shared" si="16"/>
        <v>0</v>
      </c>
      <c r="E44" s="3">
        <f t="shared" si="17"/>
        <v>-0.73645597202000002</v>
      </c>
      <c r="F44" s="1">
        <v>651.21794327999999</v>
      </c>
      <c r="G44" s="3">
        <f t="shared" si="18"/>
        <v>651.21794327999999</v>
      </c>
      <c r="H44" s="1">
        <v>-1553.672292</v>
      </c>
      <c r="I44" s="1">
        <f t="shared" si="19"/>
        <v>1553.672292</v>
      </c>
      <c r="J44" s="3">
        <f t="shared" si="20"/>
        <v>1</v>
      </c>
      <c r="K44" s="4">
        <v>-5990.2735120899997</v>
      </c>
      <c r="L44" s="1">
        <f t="shared" si="21"/>
        <v>0</v>
      </c>
      <c r="M44" s="1">
        <f t="shared" si="22"/>
        <v>5990.2735120899997</v>
      </c>
      <c r="N44" s="3">
        <f t="shared" si="23"/>
        <v>0</v>
      </c>
      <c r="O44" s="1">
        <v>1342.4069999999999</v>
      </c>
      <c r="P44" s="1">
        <v>10571.61585</v>
      </c>
      <c r="Q44" s="3">
        <f t="shared" si="24"/>
        <v>11914.022849999999</v>
      </c>
      <c r="R44" s="1">
        <v>0</v>
      </c>
      <c r="S44" s="1">
        <v>1517.77579117</v>
      </c>
      <c r="T44" s="1">
        <f t="shared" si="25"/>
        <v>0</v>
      </c>
      <c r="U44" s="3">
        <f t="shared" si="26"/>
        <v>1</v>
      </c>
      <c r="V44" s="1">
        <v>794.88</v>
      </c>
      <c r="W44" s="3">
        <f t="shared" si="27"/>
        <v>0.25493919022938366</v>
      </c>
      <c r="X44" s="1">
        <v>367.01</v>
      </c>
      <c r="Y44" s="3">
        <f t="shared" si="28"/>
        <v>0.72203423175290182</v>
      </c>
      <c r="Z44" s="1">
        <v>5832</v>
      </c>
      <c r="AA44" s="3">
        <f t="shared" si="29"/>
        <v>0.50275862068965516</v>
      </c>
      <c r="AB44" s="2">
        <v>31125</v>
      </c>
      <c r="AC44" s="2">
        <v>1273.325</v>
      </c>
      <c r="AD44" s="2">
        <f t="shared" si="30"/>
        <v>0.36898041113831787</v>
      </c>
    </row>
    <row r="45" spans="1:30" x14ac:dyDescent="0.3">
      <c r="A45" s="1">
        <v>41</v>
      </c>
      <c r="B45" s="4">
        <v>-5000</v>
      </c>
      <c r="C45" s="1">
        <f t="shared" si="13"/>
        <v>-5000</v>
      </c>
      <c r="D45" s="1">
        <f t="shared" si="16"/>
        <v>0</v>
      </c>
      <c r="E45" s="3">
        <f t="shared" si="17"/>
        <v>-1</v>
      </c>
      <c r="F45" s="1">
        <v>0</v>
      </c>
      <c r="G45" s="3">
        <f t="shared" si="18"/>
        <v>0</v>
      </c>
      <c r="H45" s="1">
        <v>-1553.672292</v>
      </c>
      <c r="I45" s="1">
        <f t="shared" si="19"/>
        <v>1553.672292</v>
      </c>
      <c r="J45" s="3">
        <f t="shared" si="20"/>
        <v>1</v>
      </c>
      <c r="K45" s="4">
        <v>-4945.3735120900001</v>
      </c>
      <c r="L45" s="1">
        <f t="shared" si="21"/>
        <v>0</v>
      </c>
      <c r="M45" s="1">
        <f t="shared" si="22"/>
        <v>4945.3735120900001</v>
      </c>
      <c r="N45" s="3">
        <f t="shared" si="23"/>
        <v>0</v>
      </c>
      <c r="O45" s="1">
        <v>1342.4069999999999</v>
      </c>
      <c r="P45" s="1">
        <v>10571.61585</v>
      </c>
      <c r="Q45" s="3">
        <f t="shared" si="24"/>
        <v>11914.022849999999</v>
      </c>
      <c r="R45" s="1">
        <v>1193.18030533</v>
      </c>
      <c r="S45" s="1">
        <v>1517.77579117</v>
      </c>
      <c r="T45" s="1">
        <f t="shared" si="25"/>
        <v>0.83886932004309223</v>
      </c>
      <c r="U45" s="3">
        <f t="shared" si="26"/>
        <v>1</v>
      </c>
      <c r="V45" s="1">
        <v>794.88</v>
      </c>
      <c r="W45" s="3">
        <f t="shared" si="27"/>
        <v>0.25493919022938366</v>
      </c>
      <c r="X45" s="1">
        <v>367.01</v>
      </c>
      <c r="Y45" s="3">
        <f t="shared" si="28"/>
        <v>0.72203423175290182</v>
      </c>
      <c r="Z45" s="1">
        <v>5832</v>
      </c>
      <c r="AA45" s="3">
        <f t="shared" si="29"/>
        <v>0.50275862068965516</v>
      </c>
      <c r="AB45" s="2">
        <v>21912</v>
      </c>
      <c r="AC45" s="2">
        <v>639.06500000000005</v>
      </c>
      <c r="AD45" s="2">
        <f t="shared" si="30"/>
        <v>0.25683121690108762</v>
      </c>
    </row>
    <row r="46" spans="1:30" x14ac:dyDescent="0.3">
      <c r="A46" s="1">
        <v>42</v>
      </c>
      <c r="B46" s="4">
        <v>-5000</v>
      </c>
      <c r="C46" s="1">
        <f t="shared" si="13"/>
        <v>-5000</v>
      </c>
      <c r="D46" s="1">
        <f t="shared" si="16"/>
        <v>0</v>
      </c>
      <c r="E46" s="3">
        <f t="shared" si="17"/>
        <v>-1</v>
      </c>
      <c r="F46" s="1">
        <v>0</v>
      </c>
      <c r="G46" s="3">
        <f t="shared" si="18"/>
        <v>0</v>
      </c>
      <c r="H46" s="1">
        <v>-1553.672292</v>
      </c>
      <c r="I46" s="1">
        <f t="shared" si="19"/>
        <v>1553.672292</v>
      </c>
      <c r="J46" s="3">
        <f t="shared" si="20"/>
        <v>1</v>
      </c>
      <c r="K46" s="4">
        <v>-3900.47351209</v>
      </c>
      <c r="L46" s="1">
        <f t="shared" si="21"/>
        <v>0</v>
      </c>
      <c r="M46" s="1">
        <f t="shared" si="22"/>
        <v>3900.47351209</v>
      </c>
      <c r="N46" s="3">
        <f t="shared" si="23"/>
        <v>0</v>
      </c>
      <c r="O46" s="1">
        <v>0</v>
      </c>
      <c r="P46" s="1">
        <v>10571.61585</v>
      </c>
      <c r="Q46" s="3">
        <f t="shared" si="24"/>
        <v>10571.61585</v>
      </c>
      <c r="R46" s="1">
        <v>1193.18030533</v>
      </c>
      <c r="S46" s="1">
        <v>1517.77579117</v>
      </c>
      <c r="T46" s="1">
        <f t="shared" si="25"/>
        <v>0.83886932004309223</v>
      </c>
      <c r="U46" s="3">
        <f t="shared" si="26"/>
        <v>1</v>
      </c>
      <c r="V46" s="1">
        <v>794.88</v>
      </c>
      <c r="W46" s="3">
        <f t="shared" si="27"/>
        <v>0.25493919022938366</v>
      </c>
      <c r="X46" s="1">
        <v>367.01</v>
      </c>
      <c r="Y46" s="3">
        <f t="shared" si="28"/>
        <v>0.72203423175290182</v>
      </c>
      <c r="Z46" s="1">
        <v>5832</v>
      </c>
      <c r="AA46" s="3">
        <f t="shared" si="29"/>
        <v>0.50275862068965516</v>
      </c>
      <c r="AB46" s="2">
        <v>4814</v>
      </c>
      <c r="AC46" s="2">
        <v>62.465000000000003</v>
      </c>
      <c r="AD46" s="2">
        <f t="shared" si="30"/>
        <v>5.5537440920220948E-2</v>
      </c>
    </row>
    <row r="47" spans="1:30" x14ac:dyDescent="0.3">
      <c r="A47" s="1">
        <v>43</v>
      </c>
      <c r="B47" s="4">
        <v>-5000</v>
      </c>
      <c r="C47" s="1">
        <f t="shared" si="13"/>
        <v>-5000</v>
      </c>
      <c r="D47" s="1">
        <f t="shared" si="16"/>
        <v>0</v>
      </c>
      <c r="E47" s="3">
        <f t="shared" si="17"/>
        <v>-1</v>
      </c>
      <c r="F47" s="1">
        <v>0</v>
      </c>
      <c r="G47" s="3">
        <f t="shared" si="18"/>
        <v>0</v>
      </c>
      <c r="H47" s="1">
        <v>-1553.672292</v>
      </c>
      <c r="I47" s="1">
        <f t="shared" si="19"/>
        <v>1553.672292</v>
      </c>
      <c r="J47" s="3">
        <f t="shared" si="20"/>
        <v>1</v>
      </c>
      <c r="K47" s="4">
        <v>-2856.033394</v>
      </c>
      <c r="L47" s="1">
        <f t="shared" si="21"/>
        <v>0</v>
      </c>
      <c r="M47" s="1">
        <f t="shared" si="22"/>
        <v>2856.033394</v>
      </c>
      <c r="N47" s="3">
        <f t="shared" si="23"/>
        <v>0</v>
      </c>
      <c r="O47" s="1">
        <v>0</v>
      </c>
      <c r="P47" s="1">
        <v>10555.905849999999</v>
      </c>
      <c r="Q47" s="3">
        <f t="shared" si="24"/>
        <v>10555.905849999999</v>
      </c>
      <c r="R47" s="1">
        <v>1193.18030533</v>
      </c>
      <c r="S47" s="1">
        <v>1517.77579117</v>
      </c>
      <c r="T47" s="1">
        <f t="shared" si="25"/>
        <v>0.83886932004309223</v>
      </c>
      <c r="U47" s="3">
        <f t="shared" si="26"/>
        <v>1</v>
      </c>
      <c r="V47" s="1">
        <v>794.88</v>
      </c>
      <c r="W47" s="3">
        <f t="shared" si="27"/>
        <v>0.25493919022938366</v>
      </c>
      <c r="X47" s="1">
        <v>367.01</v>
      </c>
      <c r="Y47" s="3">
        <f t="shared" si="28"/>
        <v>0.72203423175290182</v>
      </c>
      <c r="Z47" s="1">
        <v>5832</v>
      </c>
      <c r="AA47" s="3">
        <f t="shared" si="29"/>
        <v>0.50275862068965516</v>
      </c>
      <c r="AB47" s="2">
        <v>0</v>
      </c>
      <c r="AC47" s="2">
        <v>0</v>
      </c>
      <c r="AD47" s="2">
        <f t="shared" si="30"/>
        <v>0</v>
      </c>
    </row>
    <row r="48" spans="1:30" x14ac:dyDescent="0.3">
      <c r="A48" s="1">
        <v>44</v>
      </c>
      <c r="B48" s="4">
        <v>-5000</v>
      </c>
      <c r="C48" s="1">
        <f t="shared" si="13"/>
        <v>-5000</v>
      </c>
      <c r="D48" s="1">
        <f t="shared" si="16"/>
        <v>0</v>
      </c>
      <c r="E48" s="3">
        <f t="shared" si="17"/>
        <v>-1</v>
      </c>
      <c r="F48" s="1">
        <v>0</v>
      </c>
      <c r="G48" s="3">
        <f t="shared" si="18"/>
        <v>0</v>
      </c>
      <c r="H48" s="1">
        <v>-1553.672292</v>
      </c>
      <c r="I48" s="1">
        <f t="shared" si="19"/>
        <v>1553.672292</v>
      </c>
      <c r="J48" s="3">
        <f t="shared" si="20"/>
        <v>1</v>
      </c>
      <c r="K48" s="4">
        <v>-1811.5932759100001</v>
      </c>
      <c r="L48" s="1">
        <f t="shared" si="21"/>
        <v>0</v>
      </c>
      <c r="M48" s="1">
        <f t="shared" si="22"/>
        <v>1811.5932759100001</v>
      </c>
      <c r="N48" s="3">
        <f t="shared" si="23"/>
        <v>0</v>
      </c>
      <c r="O48" s="1">
        <v>0</v>
      </c>
      <c r="P48" s="1">
        <v>10540.19585</v>
      </c>
      <c r="Q48" s="3">
        <f t="shared" si="24"/>
        <v>10540.19585</v>
      </c>
      <c r="R48" s="1">
        <v>1193.18030533</v>
      </c>
      <c r="S48" s="1">
        <v>1517.77579117</v>
      </c>
      <c r="T48" s="1">
        <f t="shared" si="25"/>
        <v>0.83886932004309223</v>
      </c>
      <c r="U48" s="3">
        <f t="shared" si="26"/>
        <v>1</v>
      </c>
      <c r="V48" s="1">
        <v>794.88</v>
      </c>
      <c r="W48" s="3">
        <f t="shared" si="27"/>
        <v>0.25493919022938366</v>
      </c>
      <c r="X48" s="1">
        <v>367.01</v>
      </c>
      <c r="Y48" s="3">
        <f t="shared" si="28"/>
        <v>0.72203423175290182</v>
      </c>
      <c r="Z48" s="1">
        <v>5832</v>
      </c>
      <c r="AA48" s="3">
        <f t="shared" si="29"/>
        <v>0.50275862068965516</v>
      </c>
      <c r="AB48" s="2">
        <v>0</v>
      </c>
      <c r="AC48" s="2">
        <v>0</v>
      </c>
      <c r="AD48" s="2">
        <f t="shared" si="30"/>
        <v>0</v>
      </c>
    </row>
    <row r="49" spans="1:30" x14ac:dyDescent="0.3">
      <c r="A49" s="1">
        <v>45</v>
      </c>
      <c r="B49" s="4">
        <v>-5000</v>
      </c>
      <c r="C49" s="1">
        <f t="shared" si="13"/>
        <v>-5000</v>
      </c>
      <c r="D49" s="1">
        <f t="shared" si="16"/>
        <v>0</v>
      </c>
      <c r="E49" s="3">
        <f t="shared" si="17"/>
        <v>-1</v>
      </c>
      <c r="F49" s="1">
        <v>0</v>
      </c>
      <c r="G49" s="3">
        <f t="shared" si="18"/>
        <v>0</v>
      </c>
      <c r="H49" s="1">
        <v>-1553.672292</v>
      </c>
      <c r="I49" s="1">
        <f t="shared" si="19"/>
        <v>1553.672292</v>
      </c>
      <c r="J49" s="3">
        <f t="shared" si="20"/>
        <v>1</v>
      </c>
      <c r="K49" s="4">
        <v>-767.15315782000005</v>
      </c>
      <c r="L49" s="1">
        <f t="shared" si="21"/>
        <v>0</v>
      </c>
      <c r="M49" s="1">
        <f t="shared" si="22"/>
        <v>767.15315782000005</v>
      </c>
      <c r="N49" s="3">
        <f t="shared" si="23"/>
        <v>0</v>
      </c>
      <c r="O49" s="1">
        <v>0</v>
      </c>
      <c r="P49" s="1">
        <v>10524.485839999999</v>
      </c>
      <c r="Q49" s="3">
        <f t="shared" si="24"/>
        <v>10524.485839999999</v>
      </c>
      <c r="R49" s="1">
        <v>1193.18030533</v>
      </c>
      <c r="S49" s="1">
        <v>1517.77579117</v>
      </c>
      <c r="T49" s="1">
        <f t="shared" si="25"/>
        <v>0.83886932004309223</v>
      </c>
      <c r="U49" s="3">
        <f t="shared" si="26"/>
        <v>1</v>
      </c>
      <c r="V49" s="1">
        <v>794.88</v>
      </c>
      <c r="W49" s="3">
        <f t="shared" si="27"/>
        <v>0.25493919022938366</v>
      </c>
      <c r="X49" s="1">
        <v>367.01</v>
      </c>
      <c r="Y49" s="3">
        <f t="shared" si="28"/>
        <v>0.72203423175290182</v>
      </c>
      <c r="Z49" s="1">
        <v>5832</v>
      </c>
      <c r="AA49" s="3">
        <f t="shared" si="29"/>
        <v>0.50275862068965516</v>
      </c>
      <c r="AB49" s="2">
        <v>0</v>
      </c>
      <c r="AC49" s="2">
        <v>0</v>
      </c>
      <c r="AD49" s="2">
        <f t="shared" si="30"/>
        <v>0</v>
      </c>
    </row>
    <row r="50" spans="1:30" x14ac:dyDescent="0.3">
      <c r="A50" s="1">
        <v>46</v>
      </c>
      <c r="B50" s="4">
        <v>-5000</v>
      </c>
      <c r="C50" s="1">
        <f t="shared" si="13"/>
        <v>-5000</v>
      </c>
      <c r="D50" s="1">
        <f t="shared" si="16"/>
        <v>0</v>
      </c>
      <c r="E50" s="3">
        <f t="shared" si="17"/>
        <v>-1</v>
      </c>
      <c r="F50" s="1">
        <v>0</v>
      </c>
      <c r="G50" s="3">
        <f t="shared" si="18"/>
        <v>0</v>
      </c>
      <c r="H50" s="1">
        <v>-1553.672292</v>
      </c>
      <c r="I50" s="1">
        <f t="shared" si="19"/>
        <v>1553.672292</v>
      </c>
      <c r="J50" s="3">
        <f t="shared" si="20"/>
        <v>1</v>
      </c>
      <c r="K50" s="4">
        <v>-422.70993096000001</v>
      </c>
      <c r="L50" s="1">
        <f t="shared" si="21"/>
        <v>0</v>
      </c>
      <c r="M50" s="1">
        <f t="shared" si="22"/>
        <v>422.70993096000001</v>
      </c>
      <c r="N50" s="3">
        <f t="shared" si="23"/>
        <v>0</v>
      </c>
      <c r="O50" s="1">
        <v>0</v>
      </c>
      <c r="P50" s="1">
        <v>10508.77584</v>
      </c>
      <c r="Q50" s="3">
        <f t="shared" si="24"/>
        <v>10508.77584</v>
      </c>
      <c r="R50" s="1">
        <v>1193.18030533</v>
      </c>
      <c r="S50" s="1">
        <v>1517.77579117</v>
      </c>
      <c r="T50" s="1">
        <f t="shared" si="25"/>
        <v>0.83886932004309223</v>
      </c>
      <c r="U50" s="3">
        <f t="shared" si="26"/>
        <v>1</v>
      </c>
      <c r="V50" s="1">
        <v>794.88</v>
      </c>
      <c r="W50" s="3">
        <f t="shared" si="27"/>
        <v>0.25493919022938366</v>
      </c>
      <c r="X50" s="1">
        <v>367.01</v>
      </c>
      <c r="Y50" s="3">
        <f t="shared" si="28"/>
        <v>0.72203423175290182</v>
      </c>
      <c r="Z50" s="1">
        <v>5832</v>
      </c>
      <c r="AA50" s="3">
        <f t="shared" si="29"/>
        <v>0.50275862068965516</v>
      </c>
      <c r="AB50" s="2">
        <v>0</v>
      </c>
      <c r="AC50" s="2">
        <v>0</v>
      </c>
      <c r="AD50" s="2">
        <f t="shared" si="30"/>
        <v>0</v>
      </c>
    </row>
    <row r="51" spans="1:30" x14ac:dyDescent="0.3">
      <c r="A51" s="1">
        <v>47</v>
      </c>
      <c r="B51" s="4">
        <v>-5000</v>
      </c>
      <c r="C51" s="1">
        <f t="shared" si="13"/>
        <v>-5000</v>
      </c>
      <c r="D51" s="1">
        <f t="shared" si="16"/>
        <v>0</v>
      </c>
      <c r="E51" s="3">
        <f t="shared" si="17"/>
        <v>-1</v>
      </c>
      <c r="F51" s="1">
        <v>0</v>
      </c>
      <c r="G51" s="3">
        <f t="shared" si="18"/>
        <v>0</v>
      </c>
      <c r="H51" s="1">
        <v>-1553.672292</v>
      </c>
      <c r="I51" s="1">
        <f t="shared" si="19"/>
        <v>1553.672292</v>
      </c>
      <c r="J51" s="3">
        <f t="shared" si="20"/>
        <v>1</v>
      </c>
      <c r="K51" s="4">
        <v>-323.07465397999999</v>
      </c>
      <c r="L51" s="1">
        <f t="shared" si="21"/>
        <v>0</v>
      </c>
      <c r="M51" s="1">
        <f t="shared" si="22"/>
        <v>323.07465397999999</v>
      </c>
      <c r="N51" s="3">
        <f t="shared" si="23"/>
        <v>0</v>
      </c>
      <c r="O51" s="1">
        <v>0</v>
      </c>
      <c r="P51" s="1">
        <v>10493.065839999999</v>
      </c>
      <c r="Q51" s="3">
        <f t="shared" si="24"/>
        <v>10493.065839999999</v>
      </c>
      <c r="R51" s="1">
        <v>1193.18030533</v>
      </c>
      <c r="S51" s="1">
        <v>1517.77579117</v>
      </c>
      <c r="T51" s="1">
        <f t="shared" si="25"/>
        <v>0.83886932004309223</v>
      </c>
      <c r="U51" s="3">
        <f t="shared" si="26"/>
        <v>1</v>
      </c>
      <c r="V51" s="1">
        <v>794.88</v>
      </c>
      <c r="W51" s="3">
        <f t="shared" si="27"/>
        <v>0.25493919022938366</v>
      </c>
      <c r="X51" s="1">
        <v>367.01</v>
      </c>
      <c r="Y51" s="3">
        <f t="shared" si="28"/>
        <v>0.72203423175290182</v>
      </c>
      <c r="Z51" s="1">
        <v>5832</v>
      </c>
      <c r="AA51" s="3">
        <f t="shared" si="29"/>
        <v>0.50275862068965516</v>
      </c>
      <c r="AB51" s="2">
        <v>0</v>
      </c>
      <c r="AC51" s="2">
        <v>0</v>
      </c>
      <c r="AD51" s="2">
        <f t="shared" si="30"/>
        <v>0</v>
      </c>
    </row>
    <row r="52" spans="1:30" x14ac:dyDescent="0.3">
      <c r="A52" s="1">
        <v>48</v>
      </c>
      <c r="B52" s="4">
        <v>-5000</v>
      </c>
      <c r="C52" s="1">
        <f t="shared" si="13"/>
        <v>-5000</v>
      </c>
      <c r="D52" s="1">
        <f t="shared" si="16"/>
        <v>0</v>
      </c>
      <c r="E52" s="3">
        <f t="shared" si="17"/>
        <v>-1</v>
      </c>
      <c r="F52" s="1">
        <v>0</v>
      </c>
      <c r="G52" s="3">
        <f t="shared" si="18"/>
        <v>0</v>
      </c>
      <c r="H52" s="1">
        <v>-1553.672292</v>
      </c>
      <c r="I52" s="1">
        <f t="shared" si="19"/>
        <v>1553.672292</v>
      </c>
      <c r="J52" s="3">
        <f t="shared" si="20"/>
        <v>1</v>
      </c>
      <c r="K52" s="4">
        <v>-164.34492398</v>
      </c>
      <c r="L52" s="1">
        <f t="shared" si="21"/>
        <v>0</v>
      </c>
      <c r="M52" s="1">
        <f t="shared" si="22"/>
        <v>164.34492398</v>
      </c>
      <c r="N52" s="3">
        <f t="shared" si="23"/>
        <v>0</v>
      </c>
      <c r="O52" s="1">
        <v>0</v>
      </c>
      <c r="P52" s="1">
        <v>10493.065839999999</v>
      </c>
      <c r="Q52" s="3">
        <f t="shared" si="24"/>
        <v>10493.065839999999</v>
      </c>
      <c r="R52" s="1">
        <v>1193.18030533</v>
      </c>
      <c r="S52" s="1">
        <v>1517.77579117</v>
      </c>
      <c r="T52" s="1">
        <f t="shared" si="25"/>
        <v>0.83886932004309223</v>
      </c>
      <c r="U52" s="3">
        <f t="shared" si="26"/>
        <v>1</v>
      </c>
      <c r="V52" s="1">
        <v>794.88</v>
      </c>
      <c r="W52" s="3">
        <f t="shared" si="27"/>
        <v>0.25493919022938366</v>
      </c>
      <c r="X52" s="1">
        <v>367.01</v>
      </c>
      <c r="Y52" s="3">
        <f t="shared" si="28"/>
        <v>0.72203423175290182</v>
      </c>
      <c r="Z52" s="1">
        <v>5832</v>
      </c>
      <c r="AA52" s="3">
        <f t="shared" si="29"/>
        <v>0.50275862068965516</v>
      </c>
      <c r="AB52" s="2">
        <v>0</v>
      </c>
      <c r="AC52" s="2">
        <v>0</v>
      </c>
      <c r="AD52" s="2">
        <f t="shared" si="30"/>
        <v>0</v>
      </c>
    </row>
    <row r="53" spans="1:30" x14ac:dyDescent="0.3">
      <c r="A53" s="1">
        <v>49</v>
      </c>
      <c r="B53" s="4">
        <v>-5000</v>
      </c>
      <c r="C53" s="1">
        <f t="shared" si="13"/>
        <v>-5000</v>
      </c>
      <c r="D53" s="1">
        <f t="shared" si="16"/>
        <v>0</v>
      </c>
      <c r="E53" s="3">
        <f t="shared" si="17"/>
        <v>-1</v>
      </c>
      <c r="F53" s="1">
        <v>0</v>
      </c>
      <c r="G53" s="3">
        <f t="shared" si="18"/>
        <v>0</v>
      </c>
      <c r="H53" s="1">
        <v>-1553.672292</v>
      </c>
      <c r="I53" s="1">
        <f t="shared" si="19"/>
        <v>1553.672292</v>
      </c>
      <c r="J53" s="3">
        <f t="shared" si="20"/>
        <v>1</v>
      </c>
      <c r="K53" s="4">
        <v>-174.87043702</v>
      </c>
      <c r="L53" s="1">
        <f t="shared" si="21"/>
        <v>0</v>
      </c>
      <c r="M53" s="1">
        <f t="shared" si="22"/>
        <v>174.87043702</v>
      </c>
      <c r="N53" s="3">
        <f t="shared" si="23"/>
        <v>0</v>
      </c>
      <c r="O53" s="1">
        <v>0</v>
      </c>
      <c r="P53" s="1">
        <v>10493.065839999999</v>
      </c>
      <c r="Q53" s="3">
        <f t="shared" si="24"/>
        <v>10493.065839999999</v>
      </c>
      <c r="R53" s="1">
        <v>1180.6436940999999</v>
      </c>
      <c r="S53" s="1">
        <v>1517.77579117</v>
      </c>
      <c r="T53" s="1">
        <f t="shared" si="25"/>
        <v>0.83005541447393671</v>
      </c>
      <c r="U53" s="3">
        <f t="shared" si="26"/>
        <v>1</v>
      </c>
      <c r="V53" s="1">
        <v>794.88</v>
      </c>
      <c r="W53" s="3">
        <f t="shared" si="27"/>
        <v>0.25493919022938366</v>
      </c>
      <c r="X53" s="1">
        <v>367.01</v>
      </c>
      <c r="Y53" s="3">
        <f t="shared" si="28"/>
        <v>0.72203423175290182</v>
      </c>
      <c r="Z53" s="1">
        <v>5832</v>
      </c>
      <c r="AA53" s="3">
        <f t="shared" si="29"/>
        <v>0.50275862068965516</v>
      </c>
      <c r="AB53" s="2">
        <v>0</v>
      </c>
      <c r="AC53" s="2">
        <v>0</v>
      </c>
      <c r="AD53" s="2">
        <f t="shared" si="30"/>
        <v>0</v>
      </c>
    </row>
    <row r="54" spans="1:30" x14ac:dyDescent="0.3">
      <c r="A54" s="1">
        <v>50</v>
      </c>
      <c r="B54" s="4">
        <v>-5000</v>
      </c>
      <c r="C54" s="1">
        <f t="shared" si="13"/>
        <v>-5000</v>
      </c>
      <c r="D54" s="1">
        <f t="shared" si="16"/>
        <v>0</v>
      </c>
      <c r="E54" s="3">
        <f t="shared" si="17"/>
        <v>-1</v>
      </c>
      <c r="F54" s="1">
        <v>0</v>
      </c>
      <c r="G54" s="3">
        <f t="shared" si="18"/>
        <v>0</v>
      </c>
      <c r="H54" s="1">
        <v>-1553.672292</v>
      </c>
      <c r="I54" s="1">
        <f t="shared" si="19"/>
        <v>1553.672292</v>
      </c>
      <c r="J54" s="3">
        <f t="shared" si="20"/>
        <v>1</v>
      </c>
      <c r="K54" s="4">
        <v>-266.18921702</v>
      </c>
      <c r="L54" s="1">
        <f t="shared" si="21"/>
        <v>0</v>
      </c>
      <c r="M54" s="1">
        <f t="shared" si="22"/>
        <v>266.18921702</v>
      </c>
      <c r="N54" s="3">
        <f t="shared" si="23"/>
        <v>0</v>
      </c>
      <c r="O54" s="1">
        <v>0</v>
      </c>
      <c r="P54" s="1">
        <v>10493.065839999999</v>
      </c>
      <c r="Q54" s="3">
        <f t="shared" si="24"/>
        <v>10493.065839999999</v>
      </c>
      <c r="R54" s="1">
        <v>1180.6436940999999</v>
      </c>
      <c r="S54" s="1">
        <v>1517.77579117</v>
      </c>
      <c r="T54" s="1">
        <f t="shared" si="25"/>
        <v>0.83005541447393671</v>
      </c>
      <c r="U54" s="3">
        <f t="shared" si="26"/>
        <v>1</v>
      </c>
      <c r="V54" s="1">
        <v>794.88</v>
      </c>
      <c r="W54" s="3">
        <f t="shared" si="27"/>
        <v>0.25493919022938366</v>
      </c>
      <c r="X54" s="1">
        <v>367.01</v>
      </c>
      <c r="Y54" s="3">
        <f t="shared" si="28"/>
        <v>0.72203423175290182</v>
      </c>
      <c r="Z54" s="1">
        <v>5832</v>
      </c>
      <c r="AA54" s="3">
        <f t="shared" si="29"/>
        <v>0.50275862068965516</v>
      </c>
      <c r="AB54" s="2">
        <v>0</v>
      </c>
      <c r="AC54" s="2">
        <v>0</v>
      </c>
      <c r="AD54" s="2">
        <f t="shared" si="30"/>
        <v>0</v>
      </c>
    </row>
    <row r="55" spans="1:30" x14ac:dyDescent="0.3">
      <c r="A55" s="1">
        <v>51</v>
      </c>
      <c r="B55" s="4">
        <v>-5000</v>
      </c>
      <c r="C55" s="1">
        <f t="shared" si="13"/>
        <v>-5000</v>
      </c>
      <c r="D55" s="1">
        <f t="shared" si="16"/>
        <v>0</v>
      </c>
      <c r="E55" s="3">
        <f t="shared" si="17"/>
        <v>-1</v>
      </c>
      <c r="F55" s="1">
        <v>0</v>
      </c>
      <c r="G55" s="3">
        <f t="shared" si="18"/>
        <v>0</v>
      </c>
      <c r="H55" s="1">
        <v>-1553.672292</v>
      </c>
      <c r="I55" s="1">
        <f t="shared" si="19"/>
        <v>1553.672292</v>
      </c>
      <c r="J55" s="3">
        <f t="shared" si="20"/>
        <v>1</v>
      </c>
      <c r="K55" s="4">
        <v>-358.58648701999999</v>
      </c>
      <c r="L55" s="1">
        <f t="shared" si="21"/>
        <v>0</v>
      </c>
      <c r="M55" s="1">
        <f t="shared" si="22"/>
        <v>358.58648701999999</v>
      </c>
      <c r="N55" s="3">
        <f t="shared" si="23"/>
        <v>0</v>
      </c>
      <c r="O55" s="1">
        <v>0</v>
      </c>
      <c r="P55" s="1">
        <v>10493.065839999999</v>
      </c>
      <c r="Q55" s="3">
        <f t="shared" si="24"/>
        <v>10493.065839999999</v>
      </c>
      <c r="R55" s="1">
        <v>1180.6436940999999</v>
      </c>
      <c r="S55" s="1">
        <v>1517.77579117</v>
      </c>
      <c r="T55" s="1">
        <f t="shared" si="25"/>
        <v>0.83005541447393671</v>
      </c>
      <c r="U55" s="3">
        <f t="shared" si="26"/>
        <v>1</v>
      </c>
      <c r="V55" s="1">
        <v>794.88</v>
      </c>
      <c r="W55" s="3">
        <f t="shared" si="27"/>
        <v>0.25493919022938366</v>
      </c>
      <c r="X55" s="1">
        <v>367.01</v>
      </c>
      <c r="Y55" s="3">
        <f t="shared" si="28"/>
        <v>0.72203423175290182</v>
      </c>
      <c r="Z55" s="1">
        <v>5832</v>
      </c>
      <c r="AA55" s="3">
        <f t="shared" si="29"/>
        <v>0.50275862068965516</v>
      </c>
      <c r="AB55" s="2">
        <v>0</v>
      </c>
      <c r="AC55" s="2">
        <v>0</v>
      </c>
      <c r="AD55" s="2">
        <f t="shared" si="30"/>
        <v>0</v>
      </c>
    </row>
    <row r="56" spans="1:30" x14ac:dyDescent="0.3">
      <c r="A56" s="1">
        <v>52</v>
      </c>
      <c r="B56" s="4">
        <v>-5000</v>
      </c>
      <c r="C56" s="1">
        <f t="shared" si="13"/>
        <v>-5000</v>
      </c>
      <c r="D56" s="1">
        <f t="shared" si="16"/>
        <v>0</v>
      </c>
      <c r="E56" s="3">
        <f t="shared" si="17"/>
        <v>-1</v>
      </c>
      <c r="F56" s="1">
        <v>0</v>
      </c>
      <c r="G56" s="3">
        <f t="shared" si="18"/>
        <v>0</v>
      </c>
      <c r="H56" s="1">
        <v>-1553.672292</v>
      </c>
      <c r="I56" s="1">
        <f t="shared" si="19"/>
        <v>1553.672292</v>
      </c>
      <c r="J56" s="3">
        <f t="shared" si="20"/>
        <v>1</v>
      </c>
      <c r="K56" s="4">
        <v>-263.65451702000001</v>
      </c>
      <c r="L56" s="1">
        <f t="shared" si="21"/>
        <v>0</v>
      </c>
      <c r="M56" s="1">
        <f t="shared" si="22"/>
        <v>263.65451702000001</v>
      </c>
      <c r="N56" s="3">
        <f t="shared" si="23"/>
        <v>0</v>
      </c>
      <c r="O56" s="1">
        <v>0</v>
      </c>
      <c r="P56" s="1">
        <v>10493.065839999999</v>
      </c>
      <c r="Q56" s="3">
        <f t="shared" si="24"/>
        <v>10493.065839999999</v>
      </c>
      <c r="R56" s="1">
        <v>1180.6436940999999</v>
      </c>
      <c r="S56" s="1">
        <v>1517.77579117</v>
      </c>
      <c r="T56" s="1">
        <f t="shared" si="25"/>
        <v>0.83005541447393671</v>
      </c>
      <c r="U56" s="3">
        <f t="shared" si="26"/>
        <v>1</v>
      </c>
      <c r="V56" s="1">
        <v>794.88</v>
      </c>
      <c r="W56" s="3">
        <f t="shared" si="27"/>
        <v>0.25493919022938366</v>
      </c>
      <c r="X56" s="1">
        <v>367.01</v>
      </c>
      <c r="Y56" s="3">
        <f t="shared" si="28"/>
        <v>0.72203423175290182</v>
      </c>
      <c r="Z56" s="1">
        <v>5832</v>
      </c>
      <c r="AA56" s="3">
        <f t="shared" si="29"/>
        <v>0.50275862068965516</v>
      </c>
      <c r="AB56" s="2">
        <v>0</v>
      </c>
      <c r="AC56" s="2">
        <v>0</v>
      </c>
      <c r="AD56" s="2">
        <f t="shared" si="30"/>
        <v>0</v>
      </c>
    </row>
    <row r="57" spans="1:30" x14ac:dyDescent="0.3">
      <c r="A57" s="1">
        <v>53</v>
      </c>
      <c r="B57" s="4">
        <v>-5000</v>
      </c>
      <c r="C57" s="1">
        <f t="shared" si="13"/>
        <v>-5000</v>
      </c>
      <c r="D57" s="1">
        <f t="shared" si="16"/>
        <v>0</v>
      </c>
      <c r="E57" s="3">
        <f t="shared" si="17"/>
        <v>-1</v>
      </c>
      <c r="F57" s="1">
        <v>0</v>
      </c>
      <c r="G57" s="3">
        <f t="shared" si="18"/>
        <v>0</v>
      </c>
      <c r="H57" s="1">
        <v>-1553.672292</v>
      </c>
      <c r="I57" s="1">
        <f t="shared" si="19"/>
        <v>1553.672292</v>
      </c>
      <c r="J57" s="3">
        <f t="shared" si="20"/>
        <v>1</v>
      </c>
      <c r="K57" s="4">
        <v>-138.12049425999999</v>
      </c>
      <c r="L57" s="1">
        <f t="shared" si="21"/>
        <v>0</v>
      </c>
      <c r="M57" s="1">
        <f t="shared" si="22"/>
        <v>138.12049425999999</v>
      </c>
      <c r="N57" s="3">
        <f t="shared" si="23"/>
        <v>0</v>
      </c>
      <c r="O57" s="1">
        <v>0</v>
      </c>
      <c r="P57" s="1">
        <v>10508.77584</v>
      </c>
      <c r="Q57" s="3">
        <f t="shared" si="24"/>
        <v>10508.77584</v>
      </c>
      <c r="R57" s="1">
        <v>1180.6436940999999</v>
      </c>
      <c r="S57" s="1">
        <v>1517.77579117</v>
      </c>
      <c r="T57" s="1">
        <f t="shared" si="25"/>
        <v>0.83005541447393671</v>
      </c>
      <c r="U57" s="3">
        <f t="shared" si="26"/>
        <v>1</v>
      </c>
      <c r="V57" s="1">
        <v>794.88</v>
      </c>
      <c r="W57" s="3">
        <f t="shared" si="27"/>
        <v>0.25493919022938366</v>
      </c>
      <c r="X57" s="1">
        <v>367.01</v>
      </c>
      <c r="Y57" s="3">
        <f t="shared" si="28"/>
        <v>0.72203423175290182</v>
      </c>
      <c r="Z57" s="1">
        <v>5832</v>
      </c>
      <c r="AA57" s="3">
        <f t="shared" si="29"/>
        <v>0.50275862068965516</v>
      </c>
      <c r="AB57" s="2">
        <v>0</v>
      </c>
      <c r="AC57" s="2">
        <v>0</v>
      </c>
      <c r="AD57" s="2">
        <f t="shared" si="30"/>
        <v>0</v>
      </c>
    </row>
    <row r="58" spans="1:30" x14ac:dyDescent="0.3">
      <c r="A58" s="1">
        <v>54</v>
      </c>
      <c r="B58" s="4">
        <v>-5000</v>
      </c>
      <c r="C58" s="1">
        <f t="shared" si="13"/>
        <v>-5000</v>
      </c>
      <c r="D58" s="1">
        <f t="shared" si="16"/>
        <v>0</v>
      </c>
      <c r="E58" s="3">
        <f t="shared" si="17"/>
        <v>-1</v>
      </c>
      <c r="F58" s="1">
        <v>0</v>
      </c>
      <c r="G58" s="3">
        <f t="shared" si="18"/>
        <v>0</v>
      </c>
      <c r="H58" s="1">
        <v>-1553.672292</v>
      </c>
      <c r="I58" s="1">
        <f t="shared" si="19"/>
        <v>1553.672292</v>
      </c>
      <c r="J58" s="3">
        <f t="shared" si="20"/>
        <v>1</v>
      </c>
      <c r="K58" s="4">
        <v>68.184797750000001</v>
      </c>
      <c r="L58" s="1">
        <f t="shared" si="21"/>
        <v>68.184797750000001</v>
      </c>
      <c r="M58" s="1">
        <f t="shared" si="22"/>
        <v>0</v>
      </c>
      <c r="N58" s="3">
        <f t="shared" si="23"/>
        <v>1.0057257668049571E-2</v>
      </c>
      <c r="O58" s="1">
        <v>0</v>
      </c>
      <c r="P58" s="1">
        <v>10540.19585</v>
      </c>
      <c r="Q58" s="3">
        <f t="shared" si="24"/>
        <v>10540.19585</v>
      </c>
      <c r="R58" s="1">
        <v>1180.6436940999999</v>
      </c>
      <c r="S58" s="1">
        <v>1517.77579117</v>
      </c>
      <c r="T58" s="1">
        <f t="shared" si="25"/>
        <v>0.83005541447393671</v>
      </c>
      <c r="U58" s="3">
        <f t="shared" si="26"/>
        <v>1</v>
      </c>
      <c r="V58" s="1">
        <v>794.88</v>
      </c>
      <c r="W58" s="3">
        <f t="shared" si="27"/>
        <v>0.25493919022938366</v>
      </c>
      <c r="X58" s="1">
        <v>367.01</v>
      </c>
      <c r="Y58" s="3">
        <f t="shared" si="28"/>
        <v>0.72203423175290182</v>
      </c>
      <c r="Z58" s="1">
        <v>5832</v>
      </c>
      <c r="AA58" s="3">
        <f t="shared" si="29"/>
        <v>0.50275862068965516</v>
      </c>
      <c r="AB58" s="2">
        <v>0</v>
      </c>
      <c r="AC58" s="2">
        <v>0</v>
      </c>
      <c r="AD58" s="2">
        <f t="shared" si="30"/>
        <v>0</v>
      </c>
    </row>
    <row r="59" spans="1:30" x14ac:dyDescent="0.3">
      <c r="A59" s="1">
        <v>55</v>
      </c>
      <c r="B59" s="4">
        <v>-5000</v>
      </c>
      <c r="C59" s="1">
        <f t="shared" si="13"/>
        <v>-5000</v>
      </c>
      <c r="D59" s="1">
        <f t="shared" si="16"/>
        <v>0</v>
      </c>
      <c r="E59" s="3">
        <f t="shared" si="17"/>
        <v>-1</v>
      </c>
      <c r="F59" s="1">
        <v>0</v>
      </c>
      <c r="G59" s="3">
        <f t="shared" si="18"/>
        <v>0</v>
      </c>
      <c r="H59" s="1">
        <v>-1553.672292</v>
      </c>
      <c r="I59" s="1">
        <f t="shared" si="19"/>
        <v>1553.672292</v>
      </c>
      <c r="J59" s="3">
        <f t="shared" si="20"/>
        <v>1</v>
      </c>
      <c r="K59" s="4">
        <v>-517.83283323000001</v>
      </c>
      <c r="L59" s="1">
        <f t="shared" si="21"/>
        <v>0</v>
      </c>
      <c r="M59" s="1">
        <f t="shared" si="22"/>
        <v>517.83283323000001</v>
      </c>
      <c r="N59" s="3">
        <f t="shared" si="23"/>
        <v>0</v>
      </c>
      <c r="O59" s="1">
        <v>0</v>
      </c>
      <c r="P59" s="1">
        <v>10555.905849999999</v>
      </c>
      <c r="Q59" s="3">
        <f t="shared" si="24"/>
        <v>10555.905849999999</v>
      </c>
      <c r="R59" s="1">
        <v>1180.6436940999999</v>
      </c>
      <c r="S59" s="1">
        <v>1517.77579117</v>
      </c>
      <c r="T59" s="1">
        <f t="shared" si="25"/>
        <v>0.83005541447393671</v>
      </c>
      <c r="U59" s="3">
        <f t="shared" si="26"/>
        <v>1</v>
      </c>
      <c r="V59" s="1">
        <v>794.88</v>
      </c>
      <c r="W59" s="3">
        <f t="shared" si="27"/>
        <v>0.25493919022938366</v>
      </c>
      <c r="X59" s="1">
        <v>367.01</v>
      </c>
      <c r="Y59" s="3">
        <f t="shared" si="28"/>
        <v>0.72203423175290182</v>
      </c>
      <c r="Z59" s="1">
        <v>5832</v>
      </c>
      <c r="AA59" s="3">
        <f t="shared" si="29"/>
        <v>0.50275862068965516</v>
      </c>
      <c r="AB59" s="2">
        <v>0</v>
      </c>
      <c r="AC59" s="2">
        <v>0</v>
      </c>
      <c r="AD59" s="2">
        <f t="shared" si="30"/>
        <v>0</v>
      </c>
    </row>
    <row r="60" spans="1:30" x14ac:dyDescent="0.3">
      <c r="A60" s="1">
        <v>56</v>
      </c>
      <c r="B60" s="4">
        <v>-5000</v>
      </c>
      <c r="C60" s="1">
        <f t="shared" si="13"/>
        <v>-5000</v>
      </c>
      <c r="D60" s="1">
        <f t="shared" si="16"/>
        <v>0</v>
      </c>
      <c r="E60" s="3">
        <f t="shared" si="17"/>
        <v>-1</v>
      </c>
      <c r="F60" s="1">
        <v>0</v>
      </c>
      <c r="G60" s="3">
        <f t="shared" si="18"/>
        <v>0</v>
      </c>
      <c r="H60" s="1">
        <v>-1553.672292</v>
      </c>
      <c r="I60" s="1">
        <f t="shared" si="19"/>
        <v>1553.672292</v>
      </c>
      <c r="J60" s="3">
        <f t="shared" si="20"/>
        <v>1</v>
      </c>
      <c r="K60" s="4">
        <v>-1562.2729513199999</v>
      </c>
      <c r="L60" s="1">
        <f t="shared" si="21"/>
        <v>0</v>
      </c>
      <c r="M60" s="1">
        <f t="shared" si="22"/>
        <v>1562.2729513199999</v>
      </c>
      <c r="N60" s="3">
        <f t="shared" si="23"/>
        <v>0</v>
      </c>
      <c r="O60" s="1">
        <v>0</v>
      </c>
      <c r="P60" s="1">
        <v>10571.61585</v>
      </c>
      <c r="Q60" s="3">
        <f t="shared" si="24"/>
        <v>10571.61585</v>
      </c>
      <c r="R60" s="1">
        <v>1180.6436940999999</v>
      </c>
      <c r="S60" s="1">
        <v>1517.77579117</v>
      </c>
      <c r="T60" s="1">
        <f t="shared" si="25"/>
        <v>0.83005541447393671</v>
      </c>
      <c r="U60" s="3">
        <f t="shared" si="26"/>
        <v>1</v>
      </c>
      <c r="V60" s="1">
        <v>794.88</v>
      </c>
      <c r="W60" s="3">
        <f t="shared" si="27"/>
        <v>0.25493919022938366</v>
      </c>
      <c r="X60" s="1">
        <v>367.01</v>
      </c>
      <c r="Y60" s="3">
        <f t="shared" si="28"/>
        <v>0.72203423175290182</v>
      </c>
      <c r="Z60" s="1">
        <v>5832</v>
      </c>
      <c r="AA60" s="3">
        <f t="shared" si="29"/>
        <v>0.50275862068965516</v>
      </c>
      <c r="AB60" s="2">
        <v>0</v>
      </c>
      <c r="AC60" s="2">
        <v>0</v>
      </c>
      <c r="AD60" s="2">
        <f t="shared" si="30"/>
        <v>0</v>
      </c>
    </row>
    <row r="61" spans="1:30" x14ac:dyDescent="0.3">
      <c r="A61" s="1">
        <v>57</v>
      </c>
      <c r="B61" s="4">
        <v>-5000</v>
      </c>
      <c r="C61" s="1">
        <f t="shared" si="13"/>
        <v>-5000</v>
      </c>
      <c r="D61" s="1">
        <f t="shared" si="16"/>
        <v>0</v>
      </c>
      <c r="E61" s="3">
        <f t="shared" si="17"/>
        <v>-1</v>
      </c>
      <c r="F61" s="1">
        <v>0</v>
      </c>
      <c r="G61" s="3">
        <f t="shared" si="18"/>
        <v>0</v>
      </c>
      <c r="H61" s="1">
        <v>-1553.672292</v>
      </c>
      <c r="I61" s="1">
        <f t="shared" si="19"/>
        <v>1553.672292</v>
      </c>
      <c r="J61" s="3">
        <f t="shared" si="20"/>
        <v>1</v>
      </c>
      <c r="K61" s="4">
        <v>-2607.1729513199998</v>
      </c>
      <c r="L61" s="1">
        <f t="shared" si="21"/>
        <v>0</v>
      </c>
      <c r="M61" s="1">
        <f t="shared" si="22"/>
        <v>2607.1729513199998</v>
      </c>
      <c r="N61" s="3">
        <f t="shared" si="23"/>
        <v>0</v>
      </c>
      <c r="O61" s="1">
        <v>0</v>
      </c>
      <c r="P61" s="1">
        <v>10571.61585</v>
      </c>
      <c r="Q61" s="3">
        <f t="shared" si="24"/>
        <v>10571.61585</v>
      </c>
      <c r="R61" s="1">
        <v>1180.6436940999999</v>
      </c>
      <c r="S61" s="1">
        <v>1517.77579117</v>
      </c>
      <c r="T61" s="1">
        <f t="shared" si="25"/>
        <v>0.83005541447393671</v>
      </c>
      <c r="U61" s="3">
        <f t="shared" si="26"/>
        <v>1</v>
      </c>
      <c r="V61" s="1">
        <v>794.88</v>
      </c>
      <c r="W61" s="3">
        <f t="shared" si="27"/>
        <v>0.25493919022938366</v>
      </c>
      <c r="X61" s="1">
        <v>367.01</v>
      </c>
      <c r="Y61" s="3">
        <f t="shared" si="28"/>
        <v>0.72203423175290182</v>
      </c>
      <c r="Z61" s="1">
        <v>5832</v>
      </c>
      <c r="AA61" s="3">
        <f t="shared" si="29"/>
        <v>0.50275862068965516</v>
      </c>
      <c r="AB61" s="2">
        <v>0</v>
      </c>
      <c r="AC61" s="2">
        <v>0</v>
      </c>
      <c r="AD61" s="2">
        <f t="shared" si="30"/>
        <v>0</v>
      </c>
    </row>
    <row r="62" spans="1:30" x14ac:dyDescent="0.3">
      <c r="A62" s="1">
        <v>58</v>
      </c>
      <c r="B62" s="4">
        <v>-5000</v>
      </c>
      <c r="C62" s="1">
        <f t="shared" si="13"/>
        <v>-5000</v>
      </c>
      <c r="D62" s="1">
        <f t="shared" si="16"/>
        <v>0</v>
      </c>
      <c r="E62" s="3">
        <f t="shared" si="17"/>
        <v>-1</v>
      </c>
      <c r="F62" s="1">
        <v>0</v>
      </c>
      <c r="G62" s="3">
        <f t="shared" si="18"/>
        <v>0</v>
      </c>
      <c r="H62" s="1">
        <v>-1553.672292</v>
      </c>
      <c r="I62" s="1">
        <f t="shared" si="19"/>
        <v>1553.672292</v>
      </c>
      <c r="J62" s="3">
        <f t="shared" si="20"/>
        <v>1</v>
      </c>
      <c r="K62" s="4">
        <v>-3652.0729513199999</v>
      </c>
      <c r="L62" s="1">
        <f t="shared" si="21"/>
        <v>0</v>
      </c>
      <c r="M62" s="1">
        <f t="shared" si="22"/>
        <v>3652.0729513199999</v>
      </c>
      <c r="N62" s="3">
        <f t="shared" si="23"/>
        <v>0</v>
      </c>
      <c r="O62" s="1">
        <v>0</v>
      </c>
      <c r="P62" s="1">
        <v>10571.61585</v>
      </c>
      <c r="Q62" s="3">
        <f t="shared" si="24"/>
        <v>10571.61585</v>
      </c>
      <c r="R62" s="1">
        <v>1180.6436940999999</v>
      </c>
      <c r="S62" s="1">
        <v>1517.77579117</v>
      </c>
      <c r="T62" s="1">
        <f t="shared" si="25"/>
        <v>0.83005541447393671</v>
      </c>
      <c r="U62" s="3">
        <f t="shared" si="26"/>
        <v>1</v>
      </c>
      <c r="V62" s="1">
        <v>794.88</v>
      </c>
      <c r="W62" s="3">
        <f t="shared" si="27"/>
        <v>0.25493919022938366</v>
      </c>
      <c r="X62" s="1">
        <v>367.01</v>
      </c>
      <c r="Y62" s="3">
        <f t="shared" si="28"/>
        <v>0.72203423175290182</v>
      </c>
      <c r="Z62" s="1">
        <v>5832</v>
      </c>
      <c r="AA62" s="3">
        <f t="shared" si="29"/>
        <v>0.50275862068965516</v>
      </c>
      <c r="AB62" s="2">
        <v>9379</v>
      </c>
      <c r="AC62" s="2">
        <v>312.32499999999999</v>
      </c>
      <c r="AD62" s="2">
        <f t="shared" si="30"/>
        <v>0.11037327031490235</v>
      </c>
    </row>
    <row r="63" spans="1:30" x14ac:dyDescent="0.3">
      <c r="A63" s="1">
        <v>59</v>
      </c>
      <c r="B63" s="4">
        <v>-5000</v>
      </c>
      <c r="C63" s="1">
        <f t="shared" si="13"/>
        <v>-5000</v>
      </c>
      <c r="D63" s="1">
        <f t="shared" si="16"/>
        <v>0</v>
      </c>
      <c r="E63" s="3">
        <f t="shared" si="17"/>
        <v>-1</v>
      </c>
      <c r="F63" s="1">
        <v>0</v>
      </c>
      <c r="G63" s="3">
        <f t="shared" si="18"/>
        <v>0</v>
      </c>
      <c r="H63" s="1">
        <v>-1553.672292</v>
      </c>
      <c r="I63" s="1">
        <f t="shared" si="19"/>
        <v>1553.672292</v>
      </c>
      <c r="J63" s="3">
        <f t="shared" si="20"/>
        <v>1</v>
      </c>
      <c r="K63" s="4">
        <v>-4696.97295132</v>
      </c>
      <c r="L63" s="1">
        <f t="shared" si="21"/>
        <v>0</v>
      </c>
      <c r="M63" s="1">
        <f t="shared" si="22"/>
        <v>4696.97295132</v>
      </c>
      <c r="N63" s="3">
        <f t="shared" si="23"/>
        <v>0</v>
      </c>
      <c r="O63" s="1">
        <v>1342.4069999999999</v>
      </c>
      <c r="P63" s="1">
        <v>10571.61585</v>
      </c>
      <c r="Q63" s="3">
        <f t="shared" si="24"/>
        <v>11914.022849999999</v>
      </c>
      <c r="R63" s="1">
        <v>1180.6436940999999</v>
      </c>
      <c r="S63" s="1">
        <v>1517.77579117</v>
      </c>
      <c r="T63" s="1">
        <f t="shared" si="25"/>
        <v>0.83005541447393671</v>
      </c>
      <c r="U63" s="3">
        <f t="shared" si="26"/>
        <v>1</v>
      </c>
      <c r="V63" s="1">
        <v>794.88</v>
      </c>
      <c r="W63" s="3">
        <f t="shared" si="27"/>
        <v>0.25493919022938366</v>
      </c>
      <c r="X63" s="1">
        <v>367.01</v>
      </c>
      <c r="Y63" s="3">
        <f t="shared" si="28"/>
        <v>0.72203423175290182</v>
      </c>
      <c r="Z63" s="1">
        <v>5832</v>
      </c>
      <c r="AA63" s="3">
        <f t="shared" si="29"/>
        <v>0.50275862068965516</v>
      </c>
      <c r="AB63" s="2">
        <v>23240</v>
      </c>
      <c r="AC63" s="2">
        <v>807.24</v>
      </c>
      <c r="AD63" s="2">
        <f t="shared" si="30"/>
        <v>0.27387096406810546</v>
      </c>
    </row>
    <row r="64" spans="1:30" x14ac:dyDescent="0.3">
      <c r="A64" s="1">
        <v>60</v>
      </c>
      <c r="B64" s="4">
        <v>-5000</v>
      </c>
      <c r="C64" s="1">
        <f t="shared" si="13"/>
        <v>-5000</v>
      </c>
      <c r="D64" s="1">
        <f t="shared" si="16"/>
        <v>0</v>
      </c>
      <c r="E64" s="3">
        <f t="shared" si="17"/>
        <v>-1</v>
      </c>
      <c r="F64" s="1">
        <v>165.50463893</v>
      </c>
      <c r="G64" s="3">
        <f t="shared" si="18"/>
        <v>165.50463893</v>
      </c>
      <c r="H64" s="1">
        <v>-1553.672292</v>
      </c>
      <c r="I64" s="1">
        <f t="shared" si="19"/>
        <v>1553.672292</v>
      </c>
      <c r="J64" s="3">
        <f t="shared" si="20"/>
        <v>1</v>
      </c>
      <c r="K64" s="4">
        <v>-5742.3328332299998</v>
      </c>
      <c r="L64" s="1">
        <f t="shared" si="21"/>
        <v>0</v>
      </c>
      <c r="M64" s="1">
        <f t="shared" si="22"/>
        <v>5742.3328332299998</v>
      </c>
      <c r="N64" s="3">
        <f t="shared" si="23"/>
        <v>0</v>
      </c>
      <c r="O64" s="1">
        <v>1342.4069999999999</v>
      </c>
      <c r="P64" s="1">
        <v>10555.905849999999</v>
      </c>
      <c r="Q64" s="3">
        <f t="shared" si="24"/>
        <v>11898.312849999998</v>
      </c>
      <c r="R64" s="1">
        <v>0</v>
      </c>
      <c r="S64" s="1">
        <v>1517.77579117</v>
      </c>
      <c r="T64" s="1">
        <f t="shared" si="25"/>
        <v>0</v>
      </c>
      <c r="U64" s="3">
        <f t="shared" si="26"/>
        <v>1</v>
      </c>
      <c r="V64" s="1">
        <v>794.88</v>
      </c>
      <c r="W64" s="3">
        <f t="shared" si="27"/>
        <v>0.25493919022938366</v>
      </c>
      <c r="X64" s="1">
        <v>367.01</v>
      </c>
      <c r="Y64" s="3">
        <f t="shared" si="28"/>
        <v>0.72203423175290182</v>
      </c>
      <c r="Z64" s="1">
        <v>5832</v>
      </c>
      <c r="AA64" s="3">
        <f t="shared" si="29"/>
        <v>0.50275862068965516</v>
      </c>
      <c r="AB64" s="2">
        <v>28718</v>
      </c>
      <c r="AC64" s="2">
        <v>1316.57</v>
      </c>
      <c r="AD64" s="2">
        <f t="shared" si="30"/>
        <v>0.34205990547235349</v>
      </c>
    </row>
    <row r="65" spans="1:30" x14ac:dyDescent="0.3">
      <c r="A65" s="1">
        <v>61</v>
      </c>
      <c r="B65" s="4">
        <v>-5000</v>
      </c>
      <c r="C65" s="1">
        <f t="shared" si="13"/>
        <v>-5000</v>
      </c>
      <c r="D65" s="1">
        <f t="shared" si="16"/>
        <v>0</v>
      </c>
      <c r="E65" s="3">
        <f t="shared" si="17"/>
        <v>-1</v>
      </c>
      <c r="F65" s="1">
        <v>650.29719340999998</v>
      </c>
      <c r="G65" s="3">
        <f t="shared" si="18"/>
        <v>650.29719340999998</v>
      </c>
      <c r="H65" s="1">
        <v>-1553.672292</v>
      </c>
      <c r="I65" s="1">
        <f t="shared" si="19"/>
        <v>1553.672292</v>
      </c>
      <c r="J65" s="3">
        <f t="shared" si="20"/>
        <v>1</v>
      </c>
      <c r="K65" s="4">
        <v>-6779.6610170000004</v>
      </c>
      <c r="L65" s="1">
        <f t="shared" si="21"/>
        <v>0</v>
      </c>
      <c r="M65" s="1">
        <f t="shared" si="22"/>
        <v>6779.6610170000004</v>
      </c>
      <c r="N65" s="3">
        <f t="shared" si="23"/>
        <v>0</v>
      </c>
      <c r="O65" s="1">
        <v>1342.4069999999999</v>
      </c>
      <c r="P65" s="1">
        <v>10540.19585</v>
      </c>
      <c r="Q65" s="3">
        <f t="shared" si="24"/>
        <v>11882.602849999999</v>
      </c>
      <c r="R65" s="1">
        <v>0</v>
      </c>
      <c r="S65" s="1">
        <v>1517.77579117</v>
      </c>
      <c r="T65" s="1">
        <f t="shared" si="25"/>
        <v>0</v>
      </c>
      <c r="U65" s="3">
        <f t="shared" si="26"/>
        <v>1</v>
      </c>
      <c r="V65" s="1">
        <v>794.88</v>
      </c>
      <c r="W65" s="3">
        <f t="shared" si="27"/>
        <v>0.25493919022938366</v>
      </c>
      <c r="X65" s="1">
        <v>367.01</v>
      </c>
      <c r="Y65" s="3">
        <f t="shared" si="28"/>
        <v>0.72203423175290182</v>
      </c>
      <c r="Z65" s="1">
        <v>5832</v>
      </c>
      <c r="AA65" s="3">
        <f t="shared" si="29"/>
        <v>0.50275862068965516</v>
      </c>
      <c r="AB65" s="2">
        <v>30793</v>
      </c>
      <c r="AC65" s="2">
        <v>1648.115</v>
      </c>
      <c r="AD65" s="2">
        <f t="shared" si="30"/>
        <v>0.3694677410170264</v>
      </c>
    </row>
    <row r="66" spans="1:30" x14ac:dyDescent="0.3">
      <c r="A66" s="1">
        <v>62</v>
      </c>
      <c r="B66" s="4">
        <v>-5000</v>
      </c>
      <c r="C66" s="1">
        <f t="shared" si="13"/>
        <v>-5000</v>
      </c>
      <c r="D66" s="1">
        <f t="shared" si="16"/>
        <v>0</v>
      </c>
      <c r="E66" s="3">
        <f t="shared" si="17"/>
        <v>-1</v>
      </c>
      <c r="F66" s="1">
        <v>650.29719340999998</v>
      </c>
      <c r="G66" s="3">
        <f t="shared" si="18"/>
        <v>650.29719340999998</v>
      </c>
      <c r="H66" s="1">
        <v>-1553.672292</v>
      </c>
      <c r="I66" s="1">
        <f t="shared" si="19"/>
        <v>1553.672292</v>
      </c>
      <c r="J66" s="3">
        <f t="shared" si="20"/>
        <v>1</v>
      </c>
      <c r="K66" s="4">
        <v>-6779.6610170000004</v>
      </c>
      <c r="L66" s="1">
        <f t="shared" si="21"/>
        <v>0</v>
      </c>
      <c r="M66" s="1">
        <f t="shared" si="22"/>
        <v>6779.6610170000004</v>
      </c>
      <c r="N66" s="3">
        <f t="shared" si="23"/>
        <v>0</v>
      </c>
      <c r="O66" s="1">
        <v>1342.4069999999999</v>
      </c>
      <c r="P66" s="1">
        <v>10540.19585</v>
      </c>
      <c r="Q66" s="3">
        <f t="shared" si="24"/>
        <v>11882.602849999999</v>
      </c>
      <c r="R66" s="1">
        <v>0</v>
      </c>
      <c r="S66" s="1">
        <v>1517.77579117</v>
      </c>
      <c r="T66" s="1">
        <f t="shared" si="25"/>
        <v>0</v>
      </c>
      <c r="U66" s="3">
        <f t="shared" si="26"/>
        <v>1</v>
      </c>
      <c r="V66" s="1">
        <v>794.88</v>
      </c>
      <c r="W66" s="3">
        <f t="shared" si="27"/>
        <v>0.25493919022938366</v>
      </c>
      <c r="X66" s="1">
        <v>367.01</v>
      </c>
      <c r="Y66" s="3">
        <f t="shared" si="28"/>
        <v>0.72203423175290182</v>
      </c>
      <c r="Z66" s="1">
        <v>5832</v>
      </c>
      <c r="AA66" s="3">
        <f t="shared" si="29"/>
        <v>0.50275862068965516</v>
      </c>
      <c r="AB66" s="2">
        <v>31374</v>
      </c>
      <c r="AC66" s="2">
        <v>1696.165</v>
      </c>
      <c r="AD66" s="2">
        <f t="shared" si="30"/>
        <v>0.37663191162234499</v>
      </c>
    </row>
    <row r="67" spans="1:30" x14ac:dyDescent="0.3">
      <c r="A67" s="1">
        <v>63</v>
      </c>
      <c r="B67" s="4">
        <v>-5000</v>
      </c>
      <c r="C67" s="1">
        <f t="shared" si="13"/>
        <v>-5000</v>
      </c>
      <c r="D67" s="1">
        <f t="shared" si="16"/>
        <v>0</v>
      </c>
      <c r="E67" s="3">
        <f t="shared" si="17"/>
        <v>-1</v>
      </c>
      <c r="F67" s="1">
        <v>650.75707532000001</v>
      </c>
      <c r="G67" s="3">
        <f t="shared" si="18"/>
        <v>650.75707532000001</v>
      </c>
      <c r="H67" s="1">
        <v>-1553.672292</v>
      </c>
      <c r="I67" s="1">
        <f t="shared" si="19"/>
        <v>1553.672292</v>
      </c>
      <c r="J67" s="3">
        <f t="shared" si="20"/>
        <v>1</v>
      </c>
      <c r="K67" s="4">
        <v>-6093.3312093699997</v>
      </c>
      <c r="L67" s="1">
        <f t="shared" si="21"/>
        <v>0</v>
      </c>
      <c r="M67" s="1">
        <f t="shared" si="22"/>
        <v>6093.3312093699997</v>
      </c>
      <c r="N67" s="3">
        <f t="shared" si="23"/>
        <v>0</v>
      </c>
      <c r="O67" s="1">
        <v>1342.4069999999999</v>
      </c>
      <c r="P67" s="1">
        <v>10555.905849999999</v>
      </c>
      <c r="Q67" s="3">
        <f t="shared" si="24"/>
        <v>11898.312849999998</v>
      </c>
      <c r="R67" s="1">
        <v>0</v>
      </c>
      <c r="S67" s="1">
        <v>1517.77579117</v>
      </c>
      <c r="T67" s="1">
        <f t="shared" si="25"/>
        <v>0</v>
      </c>
      <c r="U67" s="3">
        <f t="shared" si="26"/>
        <v>1</v>
      </c>
      <c r="V67" s="1">
        <v>794.88</v>
      </c>
      <c r="W67" s="3">
        <f t="shared" si="27"/>
        <v>0.25493919022938366</v>
      </c>
      <c r="X67" s="1">
        <v>367.01</v>
      </c>
      <c r="Y67" s="3">
        <f t="shared" si="28"/>
        <v>0.72203423175290182</v>
      </c>
      <c r="Z67" s="1">
        <v>5832</v>
      </c>
      <c r="AA67" s="3">
        <f t="shared" si="29"/>
        <v>0.50275862068965516</v>
      </c>
      <c r="AB67" s="2">
        <v>30876</v>
      </c>
      <c r="AC67" s="2">
        <v>1460.72</v>
      </c>
      <c r="AD67" s="2">
        <f t="shared" si="30"/>
        <v>0.36827879961277832</v>
      </c>
    </row>
    <row r="68" spans="1:30" x14ac:dyDescent="0.3">
      <c r="A68" s="1">
        <v>64</v>
      </c>
      <c r="B68" s="4">
        <v>-5000</v>
      </c>
      <c r="C68" s="1">
        <f t="shared" si="13"/>
        <v>-5000</v>
      </c>
      <c r="D68" s="1">
        <f t="shared" si="16"/>
        <v>0</v>
      </c>
      <c r="E68" s="3">
        <f t="shared" si="17"/>
        <v>-1</v>
      </c>
      <c r="F68" s="1">
        <v>0</v>
      </c>
      <c r="G68" s="3">
        <f t="shared" si="18"/>
        <v>0</v>
      </c>
      <c r="H68" s="1">
        <v>-1553.672292</v>
      </c>
      <c r="I68" s="1">
        <f t="shared" si="19"/>
        <v>1553.672292</v>
      </c>
      <c r="J68" s="3">
        <f t="shared" si="20"/>
        <v>1</v>
      </c>
      <c r="K68" s="4">
        <v>-5047.9713274599999</v>
      </c>
      <c r="L68" s="1">
        <f t="shared" si="21"/>
        <v>0</v>
      </c>
      <c r="M68" s="1">
        <f t="shared" si="22"/>
        <v>5047.9713274599999</v>
      </c>
      <c r="N68" s="3">
        <f t="shared" si="23"/>
        <v>0</v>
      </c>
      <c r="O68" s="1">
        <v>1342.4069999999999</v>
      </c>
      <c r="P68" s="1">
        <v>10571.61585</v>
      </c>
      <c r="Q68" s="3">
        <f t="shared" si="24"/>
        <v>11914.022849999999</v>
      </c>
      <c r="R68" s="1">
        <v>0</v>
      </c>
      <c r="S68" s="1">
        <v>1517.77579117</v>
      </c>
      <c r="T68" s="1">
        <f t="shared" si="25"/>
        <v>0</v>
      </c>
      <c r="U68" s="3">
        <f t="shared" si="26"/>
        <v>1</v>
      </c>
      <c r="V68" s="1">
        <v>794.88</v>
      </c>
      <c r="W68" s="3">
        <f t="shared" si="27"/>
        <v>0.25493919022938366</v>
      </c>
      <c r="X68" s="1">
        <v>367.01</v>
      </c>
      <c r="Y68" s="3">
        <f t="shared" si="28"/>
        <v>0.72203423175290182</v>
      </c>
      <c r="Z68" s="1">
        <v>5832</v>
      </c>
      <c r="AA68" s="3">
        <f t="shared" si="29"/>
        <v>0.50275862068965516</v>
      </c>
      <c r="AB68" s="2">
        <v>28635</v>
      </c>
      <c r="AC68" s="2">
        <v>1013.855</v>
      </c>
      <c r="AD68" s="2">
        <f t="shared" si="30"/>
        <v>0.33766704629576905</v>
      </c>
    </row>
    <row r="69" spans="1:30" x14ac:dyDescent="0.3">
      <c r="A69" s="1">
        <v>65</v>
      </c>
      <c r="B69" s="4">
        <v>-5000</v>
      </c>
      <c r="C69" s="1">
        <f t="shared" si="13"/>
        <v>-5000</v>
      </c>
      <c r="D69" s="1">
        <f t="shared" ref="D69:D100" si="31">IF(B69&gt;0,B69,0)</f>
        <v>0</v>
      </c>
      <c r="E69" s="3">
        <f t="shared" ref="E69:E100" si="32">C69/$C$2</f>
        <v>-1</v>
      </c>
      <c r="F69" s="1">
        <v>0</v>
      </c>
      <c r="G69" s="3">
        <f t="shared" ref="G69:G100" si="33">IF(F69&gt;0,F69,0)</f>
        <v>0</v>
      </c>
      <c r="H69" s="1">
        <v>-1553.672292</v>
      </c>
      <c r="I69" s="1">
        <f t="shared" ref="I69:I100" si="34">IF(H69&lt;0,-H69,0)</f>
        <v>1553.672292</v>
      </c>
      <c r="J69" s="3">
        <f t="shared" ref="J69:J100" si="35">I69/$G$2</f>
        <v>1</v>
      </c>
      <c r="K69" s="4">
        <v>-4003.0713274599998</v>
      </c>
      <c r="L69" s="1">
        <f t="shared" ref="L69:L100" si="36">IF(K69&gt;0,K69,0)</f>
        <v>0</v>
      </c>
      <c r="M69" s="1">
        <f t="shared" ref="M69:M100" si="37">IF(K69&lt;0,-K69,0)</f>
        <v>4003.0713274599998</v>
      </c>
      <c r="N69" s="3">
        <f t="shared" ref="N69:N100" si="38">L69/$F$2</f>
        <v>0</v>
      </c>
      <c r="O69" s="1">
        <v>0</v>
      </c>
      <c r="P69" s="1">
        <v>10571.61585</v>
      </c>
      <c r="Q69" s="3">
        <f t="shared" ref="Q69:Q100" si="39">O69+P69</f>
        <v>10571.61585</v>
      </c>
      <c r="R69" s="1">
        <v>1180.6436940999999</v>
      </c>
      <c r="S69" s="1">
        <v>1517.77579117</v>
      </c>
      <c r="T69" s="1">
        <f t="shared" ref="T69:T100" si="40">R69/$S$2</f>
        <v>0.83005541447393671</v>
      </c>
      <c r="U69" s="3">
        <f t="shared" ref="U69:U100" si="41">S69/$T$2</f>
        <v>1</v>
      </c>
      <c r="V69" s="1">
        <v>794.88</v>
      </c>
      <c r="W69" s="3">
        <f t="shared" ref="W69:W100" si="42">V69/$U$2</f>
        <v>0.25493919022938366</v>
      </c>
      <c r="X69" s="1">
        <v>367.01</v>
      </c>
      <c r="Y69" s="3">
        <f t="shared" ref="Y69:Y100" si="43">X69/$V$2</f>
        <v>0.72203423175290182</v>
      </c>
      <c r="Z69" s="1">
        <v>5832</v>
      </c>
      <c r="AA69" s="3">
        <f t="shared" ref="AA69:AA100" si="44">Z69/$W$2</f>
        <v>0.50275862068965516</v>
      </c>
      <c r="AB69" s="2">
        <v>20003</v>
      </c>
      <c r="AC69" s="2">
        <v>480.5</v>
      </c>
      <c r="AD69" s="2">
        <f t="shared" ref="AD69:AD100" si="45">SUM(AB69:AC69)/$X$2</f>
        <v>0.23328398155002564</v>
      </c>
    </row>
    <row r="70" spans="1:30" x14ac:dyDescent="0.3">
      <c r="A70" s="1">
        <v>66</v>
      </c>
      <c r="B70" s="4">
        <v>-5000</v>
      </c>
      <c r="C70" s="1">
        <f t="shared" ref="C70:C133" si="46">IF(B70&lt;0,B70,0)</f>
        <v>-5000</v>
      </c>
      <c r="D70" s="1">
        <f t="shared" si="31"/>
        <v>0</v>
      </c>
      <c r="E70" s="3">
        <f t="shared" si="32"/>
        <v>-1</v>
      </c>
      <c r="F70" s="1">
        <v>0</v>
      </c>
      <c r="G70" s="3">
        <f t="shared" si="33"/>
        <v>0</v>
      </c>
      <c r="H70" s="1">
        <v>-1553.672292</v>
      </c>
      <c r="I70" s="1">
        <f t="shared" si="34"/>
        <v>1553.672292</v>
      </c>
      <c r="J70" s="3">
        <f t="shared" si="35"/>
        <v>1</v>
      </c>
      <c r="K70" s="4">
        <v>-2958.1713274600002</v>
      </c>
      <c r="L70" s="1">
        <f t="shared" si="36"/>
        <v>0</v>
      </c>
      <c r="M70" s="1">
        <f t="shared" si="37"/>
        <v>2958.1713274600002</v>
      </c>
      <c r="N70" s="3">
        <f t="shared" si="38"/>
        <v>0</v>
      </c>
      <c r="O70" s="1">
        <v>0</v>
      </c>
      <c r="P70" s="1">
        <v>10571.61585</v>
      </c>
      <c r="Q70" s="3">
        <f t="shared" si="39"/>
        <v>10571.61585</v>
      </c>
      <c r="R70" s="1">
        <v>1180.6436940999999</v>
      </c>
      <c r="S70" s="1">
        <v>1517.77579117</v>
      </c>
      <c r="T70" s="1">
        <f t="shared" si="40"/>
        <v>0.83005541447393671</v>
      </c>
      <c r="U70" s="3">
        <f t="shared" si="41"/>
        <v>1</v>
      </c>
      <c r="V70" s="1">
        <v>794.88</v>
      </c>
      <c r="W70" s="3">
        <f t="shared" si="42"/>
        <v>0.25493919022938366</v>
      </c>
      <c r="X70" s="1">
        <v>367.01</v>
      </c>
      <c r="Y70" s="3">
        <f t="shared" si="43"/>
        <v>0.72203423175290182</v>
      </c>
      <c r="Z70" s="1">
        <v>5832</v>
      </c>
      <c r="AA70" s="3">
        <f t="shared" si="44"/>
        <v>0.50275862068965516</v>
      </c>
      <c r="AB70" s="2">
        <v>4565</v>
      </c>
      <c r="AC70" s="2">
        <v>0</v>
      </c>
      <c r="AD70" s="2">
        <f t="shared" si="45"/>
        <v>5.1990205569158933E-2</v>
      </c>
    </row>
    <row r="71" spans="1:30" x14ac:dyDescent="0.3">
      <c r="A71" s="1">
        <v>67</v>
      </c>
      <c r="B71" s="4">
        <v>-5000</v>
      </c>
      <c r="C71" s="1">
        <f t="shared" si="46"/>
        <v>-5000</v>
      </c>
      <c r="D71" s="1">
        <f t="shared" si="31"/>
        <v>0</v>
      </c>
      <c r="E71" s="3">
        <f t="shared" si="32"/>
        <v>-1</v>
      </c>
      <c r="F71" s="1">
        <v>0</v>
      </c>
      <c r="G71" s="3">
        <f t="shared" si="33"/>
        <v>0</v>
      </c>
      <c r="H71" s="1">
        <v>-902.91521667999996</v>
      </c>
      <c r="I71" s="1">
        <f t="shared" si="34"/>
        <v>902.91521667999996</v>
      </c>
      <c r="J71" s="3">
        <f t="shared" si="35"/>
        <v>0.58114907585672515</v>
      </c>
      <c r="K71" s="4">
        <v>-1262.97413405</v>
      </c>
      <c r="L71" s="1">
        <f t="shared" si="36"/>
        <v>0</v>
      </c>
      <c r="M71" s="1">
        <f t="shared" si="37"/>
        <v>1262.97413405</v>
      </c>
      <c r="N71" s="3">
        <f t="shared" si="38"/>
        <v>0</v>
      </c>
      <c r="O71" s="1">
        <v>0</v>
      </c>
      <c r="P71" s="1">
        <v>10555.905849999999</v>
      </c>
      <c r="Q71" s="3">
        <f t="shared" si="39"/>
        <v>10555.905849999999</v>
      </c>
      <c r="R71" s="1">
        <v>1180.6436940999999</v>
      </c>
      <c r="S71" s="1">
        <v>1517.77579117</v>
      </c>
      <c r="T71" s="1">
        <f t="shared" si="40"/>
        <v>0.83005541447393671</v>
      </c>
      <c r="U71" s="3">
        <f t="shared" si="41"/>
        <v>1</v>
      </c>
      <c r="V71" s="1">
        <v>794.88</v>
      </c>
      <c r="W71" s="3">
        <f t="shared" si="42"/>
        <v>0.25493919022938366</v>
      </c>
      <c r="X71" s="1">
        <v>367.01</v>
      </c>
      <c r="Y71" s="3">
        <f t="shared" si="43"/>
        <v>0.72203423175290182</v>
      </c>
      <c r="Z71" s="1">
        <v>5832</v>
      </c>
      <c r="AA71" s="3">
        <f t="shared" si="44"/>
        <v>0.50275862068965516</v>
      </c>
      <c r="AB71" s="2">
        <v>0</v>
      </c>
      <c r="AC71" s="2">
        <v>0</v>
      </c>
      <c r="AD71" s="2">
        <f t="shared" si="45"/>
        <v>0</v>
      </c>
    </row>
    <row r="72" spans="1:30" x14ac:dyDescent="0.3">
      <c r="A72" s="1">
        <v>68</v>
      </c>
      <c r="B72" s="4">
        <v>-5000</v>
      </c>
      <c r="C72" s="1">
        <f t="shared" si="46"/>
        <v>-5000</v>
      </c>
      <c r="D72" s="1">
        <f t="shared" si="31"/>
        <v>0</v>
      </c>
      <c r="E72" s="3">
        <f t="shared" si="32"/>
        <v>-1</v>
      </c>
      <c r="F72" s="1">
        <v>0</v>
      </c>
      <c r="G72" s="3">
        <f t="shared" si="33"/>
        <v>0</v>
      </c>
      <c r="H72" s="1">
        <v>-969.38497426000004</v>
      </c>
      <c r="I72" s="1">
        <f t="shared" si="34"/>
        <v>969.38497426000004</v>
      </c>
      <c r="J72" s="3">
        <f t="shared" si="35"/>
        <v>0.62393142958875658</v>
      </c>
      <c r="K72" s="4">
        <v>-285.00377354</v>
      </c>
      <c r="L72" s="1">
        <f t="shared" si="36"/>
        <v>0</v>
      </c>
      <c r="M72" s="1">
        <f t="shared" si="37"/>
        <v>285.00377354</v>
      </c>
      <c r="N72" s="3">
        <f t="shared" si="38"/>
        <v>0</v>
      </c>
      <c r="O72" s="1">
        <v>0</v>
      </c>
      <c r="P72" s="1">
        <v>10540.19585</v>
      </c>
      <c r="Q72" s="3">
        <f t="shared" si="39"/>
        <v>10540.19585</v>
      </c>
      <c r="R72" s="1">
        <v>1180.6436940999999</v>
      </c>
      <c r="S72" s="1">
        <v>1517.77579117</v>
      </c>
      <c r="T72" s="1">
        <f t="shared" si="40"/>
        <v>0.83005541447393671</v>
      </c>
      <c r="U72" s="3">
        <f t="shared" si="41"/>
        <v>1</v>
      </c>
      <c r="V72" s="1">
        <v>794.88</v>
      </c>
      <c r="W72" s="3">
        <f t="shared" si="42"/>
        <v>0.25493919022938366</v>
      </c>
      <c r="X72" s="1">
        <v>367.01</v>
      </c>
      <c r="Y72" s="3">
        <f t="shared" si="43"/>
        <v>0.72203423175290182</v>
      </c>
      <c r="Z72" s="1">
        <v>5832</v>
      </c>
      <c r="AA72" s="3">
        <f t="shared" si="44"/>
        <v>0.50275862068965516</v>
      </c>
      <c r="AB72" s="2">
        <v>0</v>
      </c>
      <c r="AC72" s="2">
        <v>0</v>
      </c>
      <c r="AD72" s="2">
        <f t="shared" si="45"/>
        <v>0</v>
      </c>
    </row>
    <row r="73" spans="1:30" x14ac:dyDescent="0.3">
      <c r="A73" s="1">
        <v>69</v>
      </c>
      <c r="B73" s="4">
        <v>-5000</v>
      </c>
      <c r="C73" s="1">
        <f t="shared" si="46"/>
        <v>-5000</v>
      </c>
      <c r="D73" s="1">
        <f t="shared" si="31"/>
        <v>0</v>
      </c>
      <c r="E73" s="3">
        <f t="shared" si="32"/>
        <v>-1</v>
      </c>
      <c r="F73" s="1">
        <v>0</v>
      </c>
      <c r="G73" s="3">
        <f t="shared" si="33"/>
        <v>0</v>
      </c>
      <c r="H73" s="1">
        <v>-1553.672292</v>
      </c>
      <c r="I73" s="1">
        <f t="shared" si="34"/>
        <v>1553.672292</v>
      </c>
      <c r="J73" s="3">
        <f t="shared" si="35"/>
        <v>1</v>
      </c>
      <c r="K73" s="4">
        <v>175.14902681000001</v>
      </c>
      <c r="L73" s="1">
        <f t="shared" si="36"/>
        <v>175.14902681000001</v>
      </c>
      <c r="M73" s="1">
        <f t="shared" si="37"/>
        <v>0</v>
      </c>
      <c r="N73" s="3">
        <f t="shared" si="38"/>
        <v>2.5834481454281241E-2</v>
      </c>
      <c r="O73" s="1">
        <v>0</v>
      </c>
      <c r="P73" s="1">
        <v>10524.485839999999</v>
      </c>
      <c r="Q73" s="3">
        <f t="shared" si="39"/>
        <v>10524.485839999999</v>
      </c>
      <c r="R73" s="1">
        <v>1180.6436940999999</v>
      </c>
      <c r="S73" s="1">
        <v>1517.77579117</v>
      </c>
      <c r="T73" s="1">
        <f t="shared" si="40"/>
        <v>0.83005541447393671</v>
      </c>
      <c r="U73" s="3">
        <f t="shared" si="41"/>
        <v>1</v>
      </c>
      <c r="V73" s="1">
        <v>794.88</v>
      </c>
      <c r="W73" s="3">
        <f t="shared" si="42"/>
        <v>0.25493919022938366</v>
      </c>
      <c r="X73" s="1">
        <v>367.01</v>
      </c>
      <c r="Y73" s="3">
        <f t="shared" si="43"/>
        <v>0.72203423175290182</v>
      </c>
      <c r="Z73" s="1">
        <v>5832</v>
      </c>
      <c r="AA73" s="3">
        <f t="shared" si="44"/>
        <v>0.50275862068965516</v>
      </c>
      <c r="AB73" s="2">
        <v>0</v>
      </c>
      <c r="AC73" s="2">
        <v>0</v>
      </c>
      <c r="AD73" s="2">
        <f t="shared" si="45"/>
        <v>0</v>
      </c>
    </row>
    <row r="74" spans="1:30" x14ac:dyDescent="0.3">
      <c r="A74" s="1">
        <v>70</v>
      </c>
      <c r="B74" s="4">
        <v>-5000</v>
      </c>
      <c r="C74" s="1">
        <f t="shared" si="46"/>
        <v>-5000</v>
      </c>
      <c r="D74" s="1">
        <f t="shared" si="31"/>
        <v>0</v>
      </c>
      <c r="E74" s="3">
        <f t="shared" si="32"/>
        <v>-1</v>
      </c>
      <c r="F74" s="1">
        <v>0</v>
      </c>
      <c r="G74" s="3">
        <f t="shared" si="33"/>
        <v>0</v>
      </c>
      <c r="H74" s="1">
        <v>-1553.672292</v>
      </c>
      <c r="I74" s="1">
        <f t="shared" si="34"/>
        <v>1553.672292</v>
      </c>
      <c r="J74" s="3">
        <f t="shared" si="35"/>
        <v>1</v>
      </c>
      <c r="K74" s="4">
        <v>1219.5891448899999</v>
      </c>
      <c r="L74" s="1">
        <f t="shared" si="36"/>
        <v>1219.5891448899999</v>
      </c>
      <c r="M74" s="1">
        <f t="shared" si="37"/>
        <v>0</v>
      </c>
      <c r="N74" s="3">
        <f t="shared" si="38"/>
        <v>0.1798893988699258</v>
      </c>
      <c r="O74" s="1">
        <v>0</v>
      </c>
      <c r="P74" s="1">
        <v>10508.77584</v>
      </c>
      <c r="Q74" s="3">
        <f t="shared" si="39"/>
        <v>10508.77584</v>
      </c>
      <c r="R74" s="1">
        <v>1180.6436940999999</v>
      </c>
      <c r="S74" s="1">
        <v>1517.77579117</v>
      </c>
      <c r="T74" s="1">
        <f t="shared" si="40"/>
        <v>0.83005541447393671</v>
      </c>
      <c r="U74" s="3">
        <f t="shared" si="41"/>
        <v>1</v>
      </c>
      <c r="V74" s="1">
        <v>794.88</v>
      </c>
      <c r="W74" s="3">
        <f t="shared" si="42"/>
        <v>0.25493919022938366</v>
      </c>
      <c r="X74" s="1">
        <v>367.01</v>
      </c>
      <c r="Y74" s="3">
        <f t="shared" si="43"/>
        <v>0.72203423175290182</v>
      </c>
      <c r="Z74" s="1">
        <v>5832</v>
      </c>
      <c r="AA74" s="3">
        <f t="shared" si="44"/>
        <v>0.50275862068965516</v>
      </c>
      <c r="AB74" s="2">
        <v>0</v>
      </c>
      <c r="AC74" s="2">
        <v>0</v>
      </c>
      <c r="AD74" s="2">
        <f t="shared" si="45"/>
        <v>0</v>
      </c>
    </row>
    <row r="75" spans="1:30" x14ac:dyDescent="0.3">
      <c r="A75" s="1">
        <v>71</v>
      </c>
      <c r="B75" s="4">
        <v>-5000</v>
      </c>
      <c r="C75" s="1">
        <f t="shared" si="46"/>
        <v>-5000</v>
      </c>
      <c r="D75" s="1">
        <f t="shared" si="31"/>
        <v>0</v>
      </c>
      <c r="E75" s="3">
        <f t="shared" si="32"/>
        <v>-1</v>
      </c>
      <c r="F75" s="1">
        <v>0</v>
      </c>
      <c r="G75" s="3">
        <f t="shared" si="33"/>
        <v>0</v>
      </c>
      <c r="H75" s="1">
        <v>-1553.672292</v>
      </c>
      <c r="I75" s="1">
        <f t="shared" si="34"/>
        <v>1553.672292</v>
      </c>
      <c r="J75" s="3">
        <f t="shared" si="35"/>
        <v>1</v>
      </c>
      <c r="K75" s="4">
        <v>2264.0292629800001</v>
      </c>
      <c r="L75" s="1">
        <f t="shared" si="36"/>
        <v>2264.0292629800001</v>
      </c>
      <c r="M75" s="1">
        <f t="shared" si="37"/>
        <v>0</v>
      </c>
      <c r="N75" s="3">
        <f t="shared" si="38"/>
        <v>0.33394431628704541</v>
      </c>
      <c r="O75" s="1">
        <v>0</v>
      </c>
      <c r="P75" s="1">
        <v>10493.065839999999</v>
      </c>
      <c r="Q75" s="3">
        <f t="shared" si="39"/>
        <v>10493.065839999999</v>
      </c>
      <c r="R75" s="1">
        <v>1180.6436940999999</v>
      </c>
      <c r="S75" s="1">
        <v>1517.77579117</v>
      </c>
      <c r="T75" s="1">
        <f t="shared" si="40"/>
        <v>0.83005541447393671</v>
      </c>
      <c r="U75" s="3">
        <f t="shared" si="41"/>
        <v>1</v>
      </c>
      <c r="V75" s="1">
        <v>794.88</v>
      </c>
      <c r="W75" s="3">
        <f t="shared" si="42"/>
        <v>0.25493919022938366</v>
      </c>
      <c r="X75" s="1">
        <v>367.01</v>
      </c>
      <c r="Y75" s="3">
        <f t="shared" si="43"/>
        <v>0.72203423175290182</v>
      </c>
      <c r="Z75" s="1">
        <v>5832</v>
      </c>
      <c r="AA75" s="3">
        <f t="shared" si="44"/>
        <v>0.50275862068965516</v>
      </c>
      <c r="AB75" s="2">
        <v>0</v>
      </c>
      <c r="AC75" s="2">
        <v>0</v>
      </c>
      <c r="AD75" s="2">
        <f t="shared" si="45"/>
        <v>0</v>
      </c>
    </row>
    <row r="76" spans="1:30" x14ac:dyDescent="0.3">
      <c r="A76" s="1">
        <v>72</v>
      </c>
      <c r="B76" s="4">
        <v>-5000</v>
      </c>
      <c r="C76" s="1">
        <f t="shared" si="46"/>
        <v>-5000</v>
      </c>
      <c r="D76" s="1">
        <f t="shared" si="31"/>
        <v>0</v>
      </c>
      <c r="E76" s="3">
        <f t="shared" si="32"/>
        <v>-1</v>
      </c>
      <c r="F76" s="1">
        <v>0</v>
      </c>
      <c r="G76" s="3">
        <f t="shared" si="33"/>
        <v>0</v>
      </c>
      <c r="H76" s="1">
        <v>-1553.672292</v>
      </c>
      <c r="I76" s="1">
        <f t="shared" si="34"/>
        <v>1553.672292</v>
      </c>
      <c r="J76" s="3">
        <f t="shared" si="35"/>
        <v>1</v>
      </c>
      <c r="K76" s="4">
        <v>1982.3732839500001</v>
      </c>
      <c r="L76" s="1">
        <f t="shared" si="36"/>
        <v>1982.3732839500001</v>
      </c>
      <c r="M76" s="1">
        <f t="shared" si="37"/>
        <v>0</v>
      </c>
      <c r="N76" s="3">
        <f t="shared" si="38"/>
        <v>0.29240005938043201</v>
      </c>
      <c r="O76" s="1">
        <v>0</v>
      </c>
      <c r="P76" s="1">
        <v>10493.065839999999</v>
      </c>
      <c r="Q76" s="3">
        <f t="shared" si="39"/>
        <v>10493.065839999999</v>
      </c>
      <c r="R76" s="1">
        <v>1492.3021431300001</v>
      </c>
      <c r="S76" s="1">
        <v>1517.77579117</v>
      </c>
      <c r="T76" s="1">
        <f t="shared" si="40"/>
        <v>1.0491679074103448</v>
      </c>
      <c r="U76" s="3">
        <f t="shared" si="41"/>
        <v>1</v>
      </c>
      <c r="V76" s="1">
        <v>794.88</v>
      </c>
      <c r="W76" s="3">
        <f t="shared" si="42"/>
        <v>0.25493919022938366</v>
      </c>
      <c r="X76" s="1">
        <v>367.01</v>
      </c>
      <c r="Y76" s="3">
        <f t="shared" si="43"/>
        <v>0.72203423175290182</v>
      </c>
      <c r="Z76" s="1">
        <v>5832</v>
      </c>
      <c r="AA76" s="3">
        <f t="shared" si="44"/>
        <v>0.50275862068965516</v>
      </c>
      <c r="AB76" s="2">
        <v>0</v>
      </c>
      <c r="AC76" s="2">
        <v>0</v>
      </c>
      <c r="AD76" s="2">
        <f t="shared" si="45"/>
        <v>0</v>
      </c>
    </row>
    <row r="77" spans="1:30" x14ac:dyDescent="0.3">
      <c r="A77" s="1">
        <v>73</v>
      </c>
      <c r="B77" s="4">
        <v>-5000</v>
      </c>
      <c r="C77" s="1">
        <f t="shared" si="46"/>
        <v>-5000</v>
      </c>
      <c r="D77" s="1">
        <f t="shared" si="31"/>
        <v>0</v>
      </c>
      <c r="E77" s="3">
        <f t="shared" si="32"/>
        <v>-1</v>
      </c>
      <c r="F77" s="1">
        <v>0</v>
      </c>
      <c r="G77" s="3">
        <f t="shared" si="33"/>
        <v>0</v>
      </c>
      <c r="H77" s="1">
        <v>-1553.672292</v>
      </c>
      <c r="I77" s="1">
        <f t="shared" si="34"/>
        <v>1553.672292</v>
      </c>
      <c r="J77" s="3">
        <f t="shared" si="35"/>
        <v>1</v>
      </c>
      <c r="K77" s="4">
        <v>1859.63639734</v>
      </c>
      <c r="L77" s="1">
        <f t="shared" si="36"/>
        <v>1859.63639734</v>
      </c>
      <c r="M77" s="1">
        <f t="shared" si="37"/>
        <v>0</v>
      </c>
      <c r="N77" s="3">
        <f t="shared" si="38"/>
        <v>0.27429636860559276</v>
      </c>
      <c r="O77" s="1">
        <v>0</v>
      </c>
      <c r="P77" s="1">
        <v>10493.065839999999</v>
      </c>
      <c r="Q77" s="3">
        <f t="shared" si="39"/>
        <v>10493.065839999999</v>
      </c>
      <c r="R77" s="1">
        <v>1492.3021431300001</v>
      </c>
      <c r="S77" s="1">
        <v>1517.77579117</v>
      </c>
      <c r="T77" s="1">
        <f t="shared" si="40"/>
        <v>1.0491679074103448</v>
      </c>
      <c r="U77" s="3">
        <f t="shared" si="41"/>
        <v>1</v>
      </c>
      <c r="V77" s="1">
        <v>794.88</v>
      </c>
      <c r="W77" s="3">
        <f t="shared" si="42"/>
        <v>0.25493919022938366</v>
      </c>
      <c r="X77" s="1">
        <v>367.01</v>
      </c>
      <c r="Y77" s="3">
        <f t="shared" si="43"/>
        <v>0.72203423175290182</v>
      </c>
      <c r="Z77" s="1">
        <v>5832</v>
      </c>
      <c r="AA77" s="3">
        <f t="shared" si="44"/>
        <v>0.50275862068965516</v>
      </c>
      <c r="AB77" s="2">
        <v>0</v>
      </c>
      <c r="AC77" s="2">
        <v>0</v>
      </c>
      <c r="AD77" s="2">
        <f t="shared" si="45"/>
        <v>0</v>
      </c>
    </row>
    <row r="78" spans="1:30" x14ac:dyDescent="0.3">
      <c r="A78" s="1">
        <v>74</v>
      </c>
      <c r="B78" s="4">
        <v>-5000</v>
      </c>
      <c r="C78" s="1">
        <f t="shared" si="46"/>
        <v>-5000</v>
      </c>
      <c r="D78" s="1">
        <f t="shared" si="31"/>
        <v>0</v>
      </c>
      <c r="E78" s="3">
        <f t="shared" si="32"/>
        <v>-1</v>
      </c>
      <c r="F78" s="1">
        <v>0</v>
      </c>
      <c r="G78" s="3">
        <f t="shared" si="33"/>
        <v>0</v>
      </c>
      <c r="H78" s="1">
        <v>-1553.672292</v>
      </c>
      <c r="I78" s="1">
        <f t="shared" si="34"/>
        <v>1553.672292</v>
      </c>
      <c r="J78" s="3">
        <f t="shared" si="35"/>
        <v>1</v>
      </c>
      <c r="K78" s="4">
        <v>1812.7316673400001</v>
      </c>
      <c r="L78" s="1">
        <f t="shared" si="36"/>
        <v>1812.7316673400001</v>
      </c>
      <c r="M78" s="1">
        <f t="shared" si="37"/>
        <v>0</v>
      </c>
      <c r="N78" s="3">
        <f t="shared" si="38"/>
        <v>0.26737792093064466</v>
      </c>
      <c r="O78" s="1">
        <v>0</v>
      </c>
      <c r="P78" s="1">
        <v>10493.065839999999</v>
      </c>
      <c r="Q78" s="3">
        <f t="shared" si="39"/>
        <v>10493.065839999999</v>
      </c>
      <c r="R78" s="1">
        <v>1492.3021431300001</v>
      </c>
      <c r="S78" s="1">
        <v>1517.77579117</v>
      </c>
      <c r="T78" s="1">
        <f t="shared" si="40"/>
        <v>1.0491679074103448</v>
      </c>
      <c r="U78" s="3">
        <f t="shared" si="41"/>
        <v>1</v>
      </c>
      <c r="V78" s="1">
        <v>794.88</v>
      </c>
      <c r="W78" s="3">
        <f t="shared" si="42"/>
        <v>0.25493919022938366</v>
      </c>
      <c r="X78" s="1">
        <v>367.01</v>
      </c>
      <c r="Y78" s="3">
        <f t="shared" si="43"/>
        <v>0.72203423175290182</v>
      </c>
      <c r="Z78" s="1">
        <v>5832</v>
      </c>
      <c r="AA78" s="3">
        <f t="shared" si="44"/>
        <v>0.50275862068965516</v>
      </c>
      <c r="AB78" s="2">
        <v>0</v>
      </c>
      <c r="AC78" s="2">
        <v>0</v>
      </c>
      <c r="AD78" s="2">
        <f t="shared" si="45"/>
        <v>0</v>
      </c>
    </row>
    <row r="79" spans="1:30" x14ac:dyDescent="0.3">
      <c r="A79" s="1">
        <v>75</v>
      </c>
      <c r="B79" s="4">
        <v>-5000</v>
      </c>
      <c r="C79" s="1">
        <f t="shared" si="46"/>
        <v>-5000</v>
      </c>
      <c r="D79" s="1">
        <f t="shared" si="31"/>
        <v>0</v>
      </c>
      <c r="E79" s="3">
        <f t="shared" si="32"/>
        <v>-1</v>
      </c>
      <c r="F79" s="1">
        <v>0</v>
      </c>
      <c r="G79" s="3">
        <f t="shared" si="33"/>
        <v>0</v>
      </c>
      <c r="H79" s="1">
        <v>-1553.672292</v>
      </c>
      <c r="I79" s="1">
        <f t="shared" si="34"/>
        <v>1553.672292</v>
      </c>
      <c r="J79" s="3">
        <f t="shared" si="35"/>
        <v>1</v>
      </c>
      <c r="K79" s="4">
        <v>1661.3880673399999</v>
      </c>
      <c r="L79" s="1">
        <f t="shared" si="36"/>
        <v>1661.3880673399999</v>
      </c>
      <c r="M79" s="1">
        <f t="shared" si="37"/>
        <v>0</v>
      </c>
      <c r="N79" s="3">
        <f t="shared" si="38"/>
        <v>0.24505473993081206</v>
      </c>
      <c r="O79" s="1">
        <v>0</v>
      </c>
      <c r="P79" s="1">
        <v>10493.065839999999</v>
      </c>
      <c r="Q79" s="3">
        <f t="shared" si="39"/>
        <v>10493.065839999999</v>
      </c>
      <c r="R79" s="1">
        <v>1492.3021431300001</v>
      </c>
      <c r="S79" s="1">
        <v>1517.77579117</v>
      </c>
      <c r="T79" s="1">
        <f t="shared" si="40"/>
        <v>1.0491679074103448</v>
      </c>
      <c r="U79" s="3">
        <f t="shared" si="41"/>
        <v>1</v>
      </c>
      <c r="V79" s="1">
        <v>794.88</v>
      </c>
      <c r="W79" s="3">
        <f t="shared" si="42"/>
        <v>0.25493919022938366</v>
      </c>
      <c r="X79" s="1">
        <v>367.01</v>
      </c>
      <c r="Y79" s="3">
        <f t="shared" si="43"/>
        <v>0.72203423175290182</v>
      </c>
      <c r="Z79" s="1">
        <v>5832</v>
      </c>
      <c r="AA79" s="3">
        <f t="shared" si="44"/>
        <v>0.50275862068965516</v>
      </c>
      <c r="AB79" s="2">
        <v>0</v>
      </c>
      <c r="AC79" s="2">
        <v>0</v>
      </c>
      <c r="AD79" s="2">
        <f t="shared" si="45"/>
        <v>0</v>
      </c>
    </row>
    <row r="80" spans="1:30" x14ac:dyDescent="0.3">
      <c r="A80" s="1">
        <v>76</v>
      </c>
      <c r="B80" s="4">
        <v>-5000</v>
      </c>
      <c r="C80" s="1">
        <f t="shared" si="46"/>
        <v>-5000</v>
      </c>
      <c r="D80" s="1">
        <f t="shared" si="31"/>
        <v>0</v>
      </c>
      <c r="E80" s="3">
        <f t="shared" si="32"/>
        <v>-1</v>
      </c>
      <c r="F80" s="1">
        <v>0</v>
      </c>
      <c r="G80" s="3">
        <f t="shared" si="33"/>
        <v>0</v>
      </c>
      <c r="H80" s="1">
        <v>-1553.672292</v>
      </c>
      <c r="I80" s="1">
        <f t="shared" si="34"/>
        <v>1553.672292</v>
      </c>
      <c r="J80" s="3">
        <f t="shared" si="35"/>
        <v>1</v>
      </c>
      <c r="K80" s="4">
        <v>1440.95081734</v>
      </c>
      <c r="L80" s="1">
        <f t="shared" si="36"/>
        <v>1440.95081734</v>
      </c>
      <c r="M80" s="1">
        <f t="shared" si="37"/>
        <v>0</v>
      </c>
      <c r="N80" s="3">
        <f t="shared" si="38"/>
        <v>0.21254024555605594</v>
      </c>
      <c r="O80" s="1">
        <v>0</v>
      </c>
      <c r="P80" s="1">
        <v>10493.065839999999</v>
      </c>
      <c r="Q80" s="3">
        <f t="shared" si="39"/>
        <v>10493.065839999999</v>
      </c>
      <c r="R80" s="1">
        <v>1492.3021431300001</v>
      </c>
      <c r="S80" s="1">
        <v>1517.77579117</v>
      </c>
      <c r="T80" s="1">
        <f t="shared" si="40"/>
        <v>1.0491679074103448</v>
      </c>
      <c r="U80" s="3">
        <f t="shared" si="41"/>
        <v>1</v>
      </c>
      <c r="V80" s="1">
        <v>794.88</v>
      </c>
      <c r="W80" s="3">
        <f t="shared" si="42"/>
        <v>0.25493919022938366</v>
      </c>
      <c r="X80" s="1">
        <v>367.01</v>
      </c>
      <c r="Y80" s="3">
        <f t="shared" si="43"/>
        <v>0.72203423175290182</v>
      </c>
      <c r="Z80" s="1">
        <v>5832</v>
      </c>
      <c r="AA80" s="3">
        <f t="shared" si="44"/>
        <v>0.50275862068965516</v>
      </c>
      <c r="AB80" s="2">
        <v>0</v>
      </c>
      <c r="AC80" s="2">
        <v>0</v>
      </c>
      <c r="AD80" s="2">
        <f t="shared" si="45"/>
        <v>0</v>
      </c>
    </row>
    <row r="81" spans="1:30" x14ac:dyDescent="0.3">
      <c r="A81" s="1">
        <v>77</v>
      </c>
      <c r="B81" s="4">
        <v>-5000</v>
      </c>
      <c r="C81" s="1">
        <f t="shared" si="46"/>
        <v>-5000</v>
      </c>
      <c r="D81" s="1">
        <f t="shared" si="31"/>
        <v>0</v>
      </c>
      <c r="E81" s="3">
        <f t="shared" si="32"/>
        <v>-1</v>
      </c>
      <c r="F81" s="1">
        <v>0</v>
      </c>
      <c r="G81" s="3">
        <f t="shared" si="33"/>
        <v>0</v>
      </c>
      <c r="H81" s="1">
        <v>-1553.672292</v>
      </c>
      <c r="I81" s="1">
        <f t="shared" si="34"/>
        <v>1553.672292</v>
      </c>
      <c r="J81" s="3">
        <f t="shared" si="35"/>
        <v>1</v>
      </c>
      <c r="K81" s="4">
        <v>1147.9433901</v>
      </c>
      <c r="L81" s="1">
        <f t="shared" si="36"/>
        <v>1147.9433901</v>
      </c>
      <c r="M81" s="1">
        <f t="shared" si="37"/>
        <v>0</v>
      </c>
      <c r="N81" s="3">
        <f t="shared" si="38"/>
        <v>0.16932165003848007</v>
      </c>
      <c r="O81" s="1">
        <v>0</v>
      </c>
      <c r="P81" s="1">
        <v>10508.77584</v>
      </c>
      <c r="Q81" s="3">
        <f t="shared" si="39"/>
        <v>10508.77584</v>
      </c>
      <c r="R81" s="1">
        <v>1492.3021431300001</v>
      </c>
      <c r="S81" s="1">
        <v>1517.77579117</v>
      </c>
      <c r="T81" s="1">
        <f t="shared" si="40"/>
        <v>1.0491679074103448</v>
      </c>
      <c r="U81" s="3">
        <f t="shared" si="41"/>
        <v>1</v>
      </c>
      <c r="V81" s="1">
        <v>794.88</v>
      </c>
      <c r="W81" s="3">
        <f t="shared" si="42"/>
        <v>0.25493919022938366</v>
      </c>
      <c r="X81" s="1">
        <v>367.01</v>
      </c>
      <c r="Y81" s="3">
        <f t="shared" si="43"/>
        <v>0.72203423175290182</v>
      </c>
      <c r="Z81" s="1">
        <v>5832</v>
      </c>
      <c r="AA81" s="3">
        <f t="shared" si="44"/>
        <v>0.50275862068965516</v>
      </c>
      <c r="AB81" s="2">
        <v>0</v>
      </c>
      <c r="AC81" s="2">
        <v>0</v>
      </c>
      <c r="AD81" s="2">
        <f t="shared" si="45"/>
        <v>0</v>
      </c>
    </row>
    <row r="82" spans="1:30" x14ac:dyDescent="0.3">
      <c r="A82" s="1">
        <v>78</v>
      </c>
      <c r="B82" s="4">
        <v>-5000</v>
      </c>
      <c r="C82" s="1">
        <f t="shared" si="46"/>
        <v>-5000</v>
      </c>
      <c r="D82" s="1">
        <f t="shared" si="31"/>
        <v>0</v>
      </c>
      <c r="E82" s="3">
        <f t="shared" si="32"/>
        <v>-1</v>
      </c>
      <c r="F82" s="1">
        <v>0</v>
      </c>
      <c r="G82" s="3">
        <f t="shared" si="33"/>
        <v>0</v>
      </c>
      <c r="H82" s="1">
        <v>-1553.672292</v>
      </c>
      <c r="I82" s="1">
        <f t="shared" si="34"/>
        <v>1553.672292</v>
      </c>
      <c r="J82" s="3">
        <f t="shared" si="35"/>
        <v>1</v>
      </c>
      <c r="K82" s="4">
        <v>281.75628548999998</v>
      </c>
      <c r="L82" s="1">
        <f t="shared" si="36"/>
        <v>281.75628548999998</v>
      </c>
      <c r="M82" s="1">
        <f t="shared" si="37"/>
        <v>0</v>
      </c>
      <c r="N82" s="3">
        <f t="shared" si="38"/>
        <v>4.1559052109463306E-2</v>
      </c>
      <c r="O82" s="1">
        <v>0</v>
      </c>
      <c r="P82" s="1">
        <v>10540.19585</v>
      </c>
      <c r="Q82" s="3">
        <f t="shared" si="39"/>
        <v>10540.19585</v>
      </c>
      <c r="R82" s="1">
        <v>1492.3021431300001</v>
      </c>
      <c r="S82" s="1">
        <v>1517.77579117</v>
      </c>
      <c r="T82" s="1">
        <f t="shared" si="40"/>
        <v>1.0491679074103448</v>
      </c>
      <c r="U82" s="3">
        <f t="shared" si="41"/>
        <v>1</v>
      </c>
      <c r="V82" s="1">
        <v>794.88</v>
      </c>
      <c r="W82" s="3">
        <f t="shared" si="42"/>
        <v>0.25493919022938366</v>
      </c>
      <c r="X82" s="1">
        <v>367.01</v>
      </c>
      <c r="Y82" s="3">
        <f t="shared" si="43"/>
        <v>0.72203423175290182</v>
      </c>
      <c r="Z82" s="1">
        <v>5832</v>
      </c>
      <c r="AA82" s="3">
        <f t="shared" si="44"/>
        <v>0.50275862068965516</v>
      </c>
      <c r="AB82" s="2">
        <v>0</v>
      </c>
      <c r="AC82" s="2">
        <v>0</v>
      </c>
      <c r="AD82" s="2">
        <f t="shared" si="45"/>
        <v>0</v>
      </c>
    </row>
    <row r="83" spans="1:30" x14ac:dyDescent="0.3">
      <c r="A83" s="1">
        <v>79</v>
      </c>
      <c r="B83" s="4">
        <v>-5000</v>
      </c>
      <c r="C83" s="1">
        <f t="shared" si="46"/>
        <v>-5000</v>
      </c>
      <c r="D83" s="1">
        <f t="shared" si="31"/>
        <v>0</v>
      </c>
      <c r="E83" s="3">
        <f t="shared" si="32"/>
        <v>-1</v>
      </c>
      <c r="F83" s="1">
        <v>0</v>
      </c>
      <c r="G83" s="3">
        <f t="shared" si="33"/>
        <v>0</v>
      </c>
      <c r="H83" s="1">
        <v>-1553.672292</v>
      </c>
      <c r="I83" s="1">
        <f t="shared" si="34"/>
        <v>1553.672292</v>
      </c>
      <c r="J83" s="3">
        <f t="shared" si="35"/>
        <v>1</v>
      </c>
      <c r="K83" s="4">
        <v>-762.68383259999996</v>
      </c>
      <c r="L83" s="1">
        <f t="shared" si="36"/>
        <v>0</v>
      </c>
      <c r="M83" s="1">
        <f t="shared" si="37"/>
        <v>762.68383259999996</v>
      </c>
      <c r="N83" s="3">
        <f t="shared" si="38"/>
        <v>0</v>
      </c>
      <c r="O83" s="1">
        <v>0</v>
      </c>
      <c r="P83" s="1">
        <v>10555.905849999999</v>
      </c>
      <c r="Q83" s="3">
        <f t="shared" si="39"/>
        <v>10555.905849999999</v>
      </c>
      <c r="R83" s="1">
        <v>1492.3021431300001</v>
      </c>
      <c r="S83" s="1">
        <v>1517.77579117</v>
      </c>
      <c r="T83" s="1">
        <f t="shared" si="40"/>
        <v>1.0491679074103448</v>
      </c>
      <c r="U83" s="3">
        <f t="shared" si="41"/>
        <v>1</v>
      </c>
      <c r="V83" s="1">
        <v>794.88</v>
      </c>
      <c r="W83" s="3">
        <f t="shared" si="42"/>
        <v>0.25493919022938366</v>
      </c>
      <c r="X83" s="1">
        <v>367.01</v>
      </c>
      <c r="Y83" s="3">
        <f t="shared" si="43"/>
        <v>0.72203423175290182</v>
      </c>
      <c r="Z83" s="1">
        <v>5832</v>
      </c>
      <c r="AA83" s="3">
        <f t="shared" si="44"/>
        <v>0.50275862068965516</v>
      </c>
      <c r="AB83" s="2">
        <v>0</v>
      </c>
      <c r="AC83" s="2">
        <v>0</v>
      </c>
      <c r="AD83" s="2">
        <f t="shared" si="45"/>
        <v>0</v>
      </c>
    </row>
    <row r="84" spans="1:30" x14ac:dyDescent="0.3">
      <c r="A84" s="1">
        <v>80</v>
      </c>
      <c r="B84" s="4">
        <v>-5000</v>
      </c>
      <c r="C84" s="1">
        <f t="shared" si="46"/>
        <v>-5000</v>
      </c>
      <c r="D84" s="1">
        <f t="shared" si="31"/>
        <v>0</v>
      </c>
      <c r="E84" s="3">
        <f t="shared" si="32"/>
        <v>-1</v>
      </c>
      <c r="F84" s="1">
        <v>0</v>
      </c>
      <c r="G84" s="3">
        <f t="shared" si="33"/>
        <v>0</v>
      </c>
      <c r="H84" s="1">
        <v>-1553.672292</v>
      </c>
      <c r="I84" s="1">
        <f t="shared" si="34"/>
        <v>1553.672292</v>
      </c>
      <c r="J84" s="3">
        <f t="shared" si="35"/>
        <v>1</v>
      </c>
      <c r="K84" s="4">
        <v>-1807.12395068</v>
      </c>
      <c r="L84" s="1">
        <f t="shared" si="36"/>
        <v>0</v>
      </c>
      <c r="M84" s="1">
        <f t="shared" si="37"/>
        <v>1807.12395068</v>
      </c>
      <c r="N84" s="3">
        <f t="shared" si="38"/>
        <v>0</v>
      </c>
      <c r="O84" s="1">
        <v>0</v>
      </c>
      <c r="P84" s="1">
        <v>10571.61585</v>
      </c>
      <c r="Q84" s="3">
        <f t="shared" si="39"/>
        <v>10571.61585</v>
      </c>
      <c r="R84" s="1">
        <v>1492.3021431300001</v>
      </c>
      <c r="S84" s="1">
        <v>1517.77579117</v>
      </c>
      <c r="T84" s="1">
        <f t="shared" si="40"/>
        <v>1.0491679074103448</v>
      </c>
      <c r="U84" s="3">
        <f t="shared" si="41"/>
        <v>1</v>
      </c>
      <c r="V84" s="1">
        <v>794.88</v>
      </c>
      <c r="W84" s="3">
        <f t="shared" si="42"/>
        <v>0.25493919022938366</v>
      </c>
      <c r="X84" s="1">
        <v>367.01</v>
      </c>
      <c r="Y84" s="3">
        <f t="shared" si="43"/>
        <v>0.72203423175290182</v>
      </c>
      <c r="Z84" s="1">
        <v>5832</v>
      </c>
      <c r="AA84" s="3">
        <f t="shared" si="44"/>
        <v>0.50275862068965516</v>
      </c>
      <c r="AB84" s="2">
        <v>0</v>
      </c>
      <c r="AC84" s="2">
        <v>0</v>
      </c>
      <c r="AD84" s="2">
        <f t="shared" si="45"/>
        <v>0</v>
      </c>
    </row>
    <row r="85" spans="1:30" x14ac:dyDescent="0.3">
      <c r="A85" s="1">
        <v>81</v>
      </c>
      <c r="B85" s="4">
        <v>-5000</v>
      </c>
      <c r="C85" s="1">
        <f t="shared" si="46"/>
        <v>-5000</v>
      </c>
      <c r="D85" s="1">
        <f t="shared" si="31"/>
        <v>0</v>
      </c>
      <c r="E85" s="3">
        <f t="shared" si="32"/>
        <v>-1</v>
      </c>
      <c r="F85" s="1">
        <v>0</v>
      </c>
      <c r="G85" s="3">
        <f t="shared" si="33"/>
        <v>0</v>
      </c>
      <c r="H85" s="1">
        <v>-1553.672292</v>
      </c>
      <c r="I85" s="1">
        <f t="shared" si="34"/>
        <v>1553.672292</v>
      </c>
      <c r="J85" s="3">
        <f t="shared" si="35"/>
        <v>1</v>
      </c>
      <c r="K85" s="4">
        <v>-2852.0239506799999</v>
      </c>
      <c r="L85" s="1">
        <f t="shared" si="36"/>
        <v>0</v>
      </c>
      <c r="M85" s="1">
        <f t="shared" si="37"/>
        <v>2852.0239506799999</v>
      </c>
      <c r="N85" s="3">
        <f t="shared" si="38"/>
        <v>0</v>
      </c>
      <c r="O85" s="1">
        <v>0</v>
      </c>
      <c r="P85" s="1">
        <v>10571.61585</v>
      </c>
      <c r="Q85" s="3">
        <f t="shared" si="39"/>
        <v>10571.61585</v>
      </c>
      <c r="R85" s="1">
        <v>1492.3021431300001</v>
      </c>
      <c r="S85" s="1">
        <v>1517.77579117</v>
      </c>
      <c r="T85" s="1">
        <f t="shared" si="40"/>
        <v>1.0491679074103448</v>
      </c>
      <c r="U85" s="3">
        <f t="shared" si="41"/>
        <v>1</v>
      </c>
      <c r="V85" s="1">
        <v>794.88</v>
      </c>
      <c r="W85" s="3">
        <f t="shared" si="42"/>
        <v>0.25493919022938366</v>
      </c>
      <c r="X85" s="1">
        <v>367.01</v>
      </c>
      <c r="Y85" s="3">
        <f t="shared" si="43"/>
        <v>0.72203423175290182</v>
      </c>
      <c r="Z85" s="1">
        <v>5832</v>
      </c>
      <c r="AA85" s="3">
        <f t="shared" si="44"/>
        <v>0.50275862068965516</v>
      </c>
      <c r="AB85" s="2">
        <v>0</v>
      </c>
      <c r="AC85" s="2">
        <v>0</v>
      </c>
      <c r="AD85" s="2">
        <f t="shared" si="45"/>
        <v>0</v>
      </c>
    </row>
    <row r="86" spans="1:30" x14ac:dyDescent="0.3">
      <c r="A86" s="1">
        <v>82</v>
      </c>
      <c r="B86" s="4">
        <v>-5000</v>
      </c>
      <c r="C86" s="1">
        <f t="shared" si="46"/>
        <v>-5000</v>
      </c>
      <c r="D86" s="1">
        <f t="shared" si="31"/>
        <v>0</v>
      </c>
      <c r="E86" s="3">
        <f t="shared" si="32"/>
        <v>-1</v>
      </c>
      <c r="F86" s="1">
        <v>0</v>
      </c>
      <c r="G86" s="3">
        <f t="shared" si="33"/>
        <v>0</v>
      </c>
      <c r="H86" s="1">
        <v>-1553.672292</v>
      </c>
      <c r="I86" s="1">
        <f t="shared" si="34"/>
        <v>1553.672292</v>
      </c>
      <c r="J86" s="3">
        <f t="shared" si="35"/>
        <v>1</v>
      </c>
      <c r="K86" s="4">
        <v>-3896.92395068</v>
      </c>
      <c r="L86" s="1">
        <f t="shared" si="36"/>
        <v>0</v>
      </c>
      <c r="M86" s="1">
        <f t="shared" si="37"/>
        <v>3896.92395068</v>
      </c>
      <c r="N86" s="3">
        <f t="shared" si="38"/>
        <v>0</v>
      </c>
      <c r="O86" s="1">
        <v>0</v>
      </c>
      <c r="P86" s="1">
        <v>10571.61585</v>
      </c>
      <c r="Q86" s="3">
        <f t="shared" si="39"/>
        <v>10571.61585</v>
      </c>
      <c r="R86" s="1">
        <v>1492.3021431300001</v>
      </c>
      <c r="S86" s="1">
        <v>1517.77579117</v>
      </c>
      <c r="T86" s="1">
        <f t="shared" si="40"/>
        <v>1.0491679074103448</v>
      </c>
      <c r="U86" s="3">
        <f t="shared" si="41"/>
        <v>1</v>
      </c>
      <c r="V86" s="1">
        <v>794.88</v>
      </c>
      <c r="W86" s="3">
        <f t="shared" si="42"/>
        <v>0.25493919022938366</v>
      </c>
      <c r="X86" s="1">
        <v>367.01</v>
      </c>
      <c r="Y86" s="3">
        <f t="shared" si="43"/>
        <v>0.72203423175290182</v>
      </c>
      <c r="Z86" s="1">
        <v>5832</v>
      </c>
      <c r="AA86" s="3">
        <f t="shared" si="44"/>
        <v>0.50275862068965516</v>
      </c>
      <c r="AB86" s="2">
        <v>5561</v>
      </c>
      <c r="AC86" s="2">
        <v>110.515</v>
      </c>
      <c r="AD86" s="2">
        <f t="shared" si="45"/>
        <v>6.4592164455327145E-2</v>
      </c>
    </row>
    <row r="87" spans="1:30" x14ac:dyDescent="0.3">
      <c r="A87" s="1">
        <v>83</v>
      </c>
      <c r="B87" s="4">
        <v>-5000</v>
      </c>
      <c r="C87" s="1">
        <f t="shared" si="46"/>
        <v>-5000</v>
      </c>
      <c r="D87" s="1">
        <f t="shared" si="31"/>
        <v>0</v>
      </c>
      <c r="E87" s="3">
        <f t="shared" si="32"/>
        <v>-1</v>
      </c>
      <c r="F87" s="1">
        <v>0</v>
      </c>
      <c r="G87" s="3">
        <f t="shared" si="33"/>
        <v>0</v>
      </c>
      <c r="H87" s="1">
        <v>-1553.672292</v>
      </c>
      <c r="I87" s="1">
        <f t="shared" si="34"/>
        <v>1553.672292</v>
      </c>
      <c r="J87" s="3">
        <f t="shared" si="35"/>
        <v>1</v>
      </c>
      <c r="K87" s="4">
        <v>-4941.8239506800001</v>
      </c>
      <c r="L87" s="1">
        <f t="shared" si="36"/>
        <v>0</v>
      </c>
      <c r="M87" s="1">
        <f t="shared" si="37"/>
        <v>4941.8239506800001</v>
      </c>
      <c r="N87" s="3">
        <f t="shared" si="38"/>
        <v>0</v>
      </c>
      <c r="O87" s="1">
        <v>1342.4069999999999</v>
      </c>
      <c r="P87" s="1">
        <v>10571.61585</v>
      </c>
      <c r="Q87" s="3">
        <f t="shared" si="39"/>
        <v>11914.022849999999</v>
      </c>
      <c r="R87" s="1">
        <v>1492.3021431300001</v>
      </c>
      <c r="S87" s="1">
        <v>1517.77579117</v>
      </c>
      <c r="T87" s="1">
        <f t="shared" si="40"/>
        <v>1.0491679074103448</v>
      </c>
      <c r="U87" s="3">
        <f t="shared" si="41"/>
        <v>1</v>
      </c>
      <c r="V87" s="1">
        <v>794.88</v>
      </c>
      <c r="W87" s="3">
        <f t="shared" si="42"/>
        <v>0.25493919022938366</v>
      </c>
      <c r="X87" s="1">
        <v>367.01</v>
      </c>
      <c r="Y87" s="3">
        <f t="shared" si="43"/>
        <v>0.72203423175290182</v>
      </c>
      <c r="Z87" s="1">
        <v>5832</v>
      </c>
      <c r="AA87" s="3">
        <f t="shared" si="44"/>
        <v>0.50275862068965516</v>
      </c>
      <c r="AB87" s="2">
        <v>14110</v>
      </c>
      <c r="AC87" s="2">
        <v>259.47000000000003</v>
      </c>
      <c r="AD87" s="2">
        <f t="shared" si="45"/>
        <v>0.16365206992768064</v>
      </c>
    </row>
    <row r="88" spans="1:30" x14ac:dyDescent="0.3">
      <c r="A88" s="1">
        <v>84</v>
      </c>
      <c r="B88" s="4">
        <v>0</v>
      </c>
      <c r="C88" s="1">
        <f t="shared" si="46"/>
        <v>0</v>
      </c>
      <c r="D88" s="1">
        <f t="shared" si="31"/>
        <v>0</v>
      </c>
      <c r="E88" s="3">
        <f t="shared" si="32"/>
        <v>0</v>
      </c>
      <c r="F88" s="1">
        <v>0</v>
      </c>
      <c r="G88" s="3">
        <f t="shared" si="33"/>
        <v>0</v>
      </c>
      <c r="H88" s="1">
        <v>-1553.672292</v>
      </c>
      <c r="I88" s="1">
        <f t="shared" si="34"/>
        <v>1553.672292</v>
      </c>
      <c r="J88" s="3">
        <f t="shared" si="35"/>
        <v>1</v>
      </c>
      <c r="K88" s="4">
        <v>-5987.1838325999997</v>
      </c>
      <c r="L88" s="1">
        <f t="shared" si="36"/>
        <v>0</v>
      </c>
      <c r="M88" s="1">
        <f t="shared" si="37"/>
        <v>5987.1838325999997</v>
      </c>
      <c r="N88" s="3">
        <f t="shared" si="38"/>
        <v>0</v>
      </c>
      <c r="O88" s="1">
        <v>1342.4069999999999</v>
      </c>
      <c r="P88" s="1">
        <v>10555.905849999999</v>
      </c>
      <c r="Q88" s="3">
        <f t="shared" si="39"/>
        <v>11898.312849999998</v>
      </c>
      <c r="R88" s="1">
        <v>0</v>
      </c>
      <c r="S88" s="1">
        <v>1517.77579117</v>
      </c>
      <c r="T88" s="1">
        <f t="shared" si="40"/>
        <v>0</v>
      </c>
      <c r="U88" s="3">
        <f t="shared" si="41"/>
        <v>1</v>
      </c>
      <c r="V88" s="1">
        <v>794.88</v>
      </c>
      <c r="W88" s="3">
        <f t="shared" si="42"/>
        <v>0.25493919022938366</v>
      </c>
      <c r="X88" s="1">
        <v>367.01</v>
      </c>
      <c r="Y88" s="3">
        <f t="shared" si="43"/>
        <v>0.72203423175290182</v>
      </c>
      <c r="Z88" s="1">
        <v>5832</v>
      </c>
      <c r="AA88" s="3">
        <f t="shared" si="44"/>
        <v>0.50275862068965516</v>
      </c>
      <c r="AB88" s="2">
        <v>19671</v>
      </c>
      <c r="AC88" s="2">
        <v>413.23</v>
      </c>
      <c r="AD88" s="2">
        <f t="shared" si="45"/>
        <v>0.22873674619896361</v>
      </c>
    </row>
    <row r="89" spans="1:30" x14ac:dyDescent="0.3">
      <c r="A89" s="1">
        <v>85</v>
      </c>
      <c r="B89" s="4">
        <v>0</v>
      </c>
      <c r="C89" s="1">
        <f t="shared" si="46"/>
        <v>0</v>
      </c>
      <c r="D89" s="1">
        <f t="shared" si="31"/>
        <v>0</v>
      </c>
      <c r="E89" s="3">
        <f t="shared" si="32"/>
        <v>0</v>
      </c>
      <c r="F89" s="1">
        <v>650.29620736000004</v>
      </c>
      <c r="G89" s="3">
        <f t="shared" si="33"/>
        <v>650.29620736000004</v>
      </c>
      <c r="H89" s="1">
        <v>-1553.672292</v>
      </c>
      <c r="I89" s="1">
        <f t="shared" si="34"/>
        <v>1553.672292</v>
      </c>
      <c r="J89" s="3">
        <f t="shared" si="35"/>
        <v>1</v>
      </c>
      <c r="K89" s="4">
        <v>-6779.6610170000004</v>
      </c>
      <c r="L89" s="1">
        <f t="shared" si="36"/>
        <v>0</v>
      </c>
      <c r="M89" s="1">
        <f t="shared" si="37"/>
        <v>6779.6610170000004</v>
      </c>
      <c r="N89" s="3">
        <f t="shared" si="38"/>
        <v>0</v>
      </c>
      <c r="O89" s="1">
        <v>1342.4069999999999</v>
      </c>
      <c r="P89" s="1">
        <v>10540.19585</v>
      </c>
      <c r="Q89" s="3">
        <f t="shared" si="39"/>
        <v>11882.602849999999</v>
      </c>
      <c r="R89" s="1">
        <v>0</v>
      </c>
      <c r="S89" s="1">
        <v>1517.77579117</v>
      </c>
      <c r="T89" s="1">
        <f t="shared" si="40"/>
        <v>0</v>
      </c>
      <c r="U89" s="3">
        <f t="shared" si="41"/>
        <v>1</v>
      </c>
      <c r="V89" s="1">
        <v>794.88</v>
      </c>
      <c r="W89" s="3">
        <f t="shared" si="42"/>
        <v>0.25493919022938366</v>
      </c>
      <c r="X89" s="1">
        <v>367.01</v>
      </c>
      <c r="Y89" s="3">
        <f t="shared" si="43"/>
        <v>0.72203423175290182</v>
      </c>
      <c r="Z89" s="1">
        <v>5832</v>
      </c>
      <c r="AA89" s="3">
        <f t="shared" si="44"/>
        <v>0.50275862068965516</v>
      </c>
      <c r="AB89" s="2">
        <v>23323</v>
      </c>
      <c r="AC89" s="2">
        <v>538.16</v>
      </c>
      <c r="AD89" s="2">
        <f t="shared" si="45"/>
        <v>0.27175172256705199</v>
      </c>
    </row>
    <row r="90" spans="1:30" x14ac:dyDescent="0.3">
      <c r="A90" s="1">
        <v>86</v>
      </c>
      <c r="B90" s="4">
        <v>0</v>
      </c>
      <c r="C90" s="1">
        <f t="shared" si="46"/>
        <v>0</v>
      </c>
      <c r="D90" s="1">
        <f t="shared" si="31"/>
        <v>0</v>
      </c>
      <c r="E90" s="3">
        <f t="shared" si="32"/>
        <v>0</v>
      </c>
      <c r="F90" s="1">
        <v>592.51350984999999</v>
      </c>
      <c r="G90" s="3">
        <f t="shared" si="33"/>
        <v>592.51350984999999</v>
      </c>
      <c r="H90" s="1">
        <v>-1495.88959449</v>
      </c>
      <c r="I90" s="1">
        <f t="shared" si="34"/>
        <v>1495.88959449</v>
      </c>
      <c r="J90" s="3">
        <f t="shared" si="35"/>
        <v>0.96280895410986711</v>
      </c>
      <c r="K90" s="4">
        <v>-6779.6610170000004</v>
      </c>
      <c r="L90" s="1">
        <f t="shared" si="36"/>
        <v>0</v>
      </c>
      <c r="M90" s="1">
        <f t="shared" si="37"/>
        <v>6779.6610170000004</v>
      </c>
      <c r="N90" s="3">
        <f t="shared" si="38"/>
        <v>0</v>
      </c>
      <c r="O90" s="1">
        <v>1342.4069999999999</v>
      </c>
      <c r="P90" s="1">
        <v>10540.19585</v>
      </c>
      <c r="Q90" s="3">
        <f t="shared" si="39"/>
        <v>11882.602849999999</v>
      </c>
      <c r="R90" s="1">
        <v>0</v>
      </c>
      <c r="S90" s="1">
        <v>1517.77579117</v>
      </c>
      <c r="T90" s="1">
        <f t="shared" si="40"/>
        <v>0</v>
      </c>
      <c r="U90" s="3">
        <f t="shared" si="41"/>
        <v>1</v>
      </c>
      <c r="V90" s="1">
        <v>794.88</v>
      </c>
      <c r="W90" s="3">
        <f t="shared" si="42"/>
        <v>0.25493919022938366</v>
      </c>
      <c r="X90" s="1">
        <v>367.01</v>
      </c>
      <c r="Y90" s="3">
        <f t="shared" si="43"/>
        <v>0.72203423175290182</v>
      </c>
      <c r="Z90" s="1">
        <v>5832</v>
      </c>
      <c r="AA90" s="3">
        <f t="shared" si="44"/>
        <v>0.50275862068965516</v>
      </c>
      <c r="AB90" s="2">
        <v>24402</v>
      </c>
      <c r="AC90" s="2">
        <v>586.21</v>
      </c>
      <c r="AD90" s="2">
        <f t="shared" si="45"/>
        <v>0.28458755196173335</v>
      </c>
    </row>
    <row r="91" spans="1:30" x14ac:dyDescent="0.3">
      <c r="A91" s="1">
        <v>87</v>
      </c>
      <c r="B91" s="4">
        <v>0</v>
      </c>
      <c r="C91" s="1">
        <f t="shared" si="46"/>
        <v>0</v>
      </c>
      <c r="D91" s="1">
        <f t="shared" si="31"/>
        <v>0</v>
      </c>
      <c r="E91" s="3">
        <f t="shared" si="32"/>
        <v>0</v>
      </c>
      <c r="F91" s="1">
        <v>0</v>
      </c>
      <c r="G91" s="3">
        <f t="shared" si="33"/>
        <v>0</v>
      </c>
      <c r="H91" s="1">
        <v>-902.91620273000001</v>
      </c>
      <c r="I91" s="1">
        <f t="shared" si="34"/>
        <v>902.91620273000001</v>
      </c>
      <c r="J91" s="3">
        <f t="shared" si="35"/>
        <v>0.58114971051437148</v>
      </c>
      <c r="K91" s="4">
        <v>-6779.6610170000004</v>
      </c>
      <c r="L91" s="1">
        <f t="shared" si="36"/>
        <v>0</v>
      </c>
      <c r="M91" s="1">
        <f t="shared" si="37"/>
        <v>6779.6610170000004</v>
      </c>
      <c r="N91" s="3">
        <f t="shared" si="38"/>
        <v>0</v>
      </c>
      <c r="O91" s="1">
        <v>1342.4069999999999</v>
      </c>
      <c r="P91" s="1">
        <v>10555.905849999999</v>
      </c>
      <c r="Q91" s="3">
        <f t="shared" si="39"/>
        <v>11898.312849999998</v>
      </c>
      <c r="R91" s="1">
        <v>0</v>
      </c>
      <c r="S91" s="1">
        <v>1517.77579117</v>
      </c>
      <c r="T91" s="1">
        <f t="shared" si="40"/>
        <v>0</v>
      </c>
      <c r="U91" s="3">
        <f t="shared" si="41"/>
        <v>1</v>
      </c>
      <c r="V91" s="1">
        <v>794.88</v>
      </c>
      <c r="W91" s="3">
        <f t="shared" si="42"/>
        <v>0.25493919022938366</v>
      </c>
      <c r="X91" s="1">
        <v>367.01</v>
      </c>
      <c r="Y91" s="3">
        <f t="shared" si="43"/>
        <v>0.72203423175290182</v>
      </c>
      <c r="Z91" s="1">
        <v>5832</v>
      </c>
      <c r="AA91" s="3">
        <f t="shared" si="44"/>
        <v>0.50275862068965516</v>
      </c>
      <c r="AB91" s="2">
        <v>23406</v>
      </c>
      <c r="AC91" s="2">
        <v>547.77</v>
      </c>
      <c r="AD91" s="2">
        <f t="shared" si="45"/>
        <v>0.27280644610215821</v>
      </c>
    </row>
    <row r="92" spans="1:30" x14ac:dyDescent="0.3">
      <c r="A92" s="1">
        <v>88</v>
      </c>
      <c r="B92" s="4">
        <v>-3139.1474637299998</v>
      </c>
      <c r="C92" s="1">
        <f t="shared" si="46"/>
        <v>-3139.1474637299998</v>
      </c>
      <c r="D92" s="1">
        <f t="shared" si="31"/>
        <v>0</v>
      </c>
      <c r="E92" s="3">
        <f t="shared" si="32"/>
        <v>-0.62782949274599997</v>
      </c>
      <c r="F92" s="1">
        <v>0</v>
      </c>
      <c r="G92" s="3">
        <f t="shared" si="33"/>
        <v>0</v>
      </c>
      <c r="H92" s="1">
        <v>-902.45632081999997</v>
      </c>
      <c r="I92" s="1">
        <f t="shared" si="34"/>
        <v>902.45632081999997</v>
      </c>
      <c r="J92" s="3">
        <f t="shared" si="35"/>
        <v>0.58085371378947137</v>
      </c>
      <c r="K92" s="4">
        <v>-6779.6610170000004</v>
      </c>
      <c r="L92" s="1">
        <f t="shared" si="36"/>
        <v>0</v>
      </c>
      <c r="M92" s="1">
        <f t="shared" si="37"/>
        <v>6779.6610170000004</v>
      </c>
      <c r="N92" s="3">
        <f t="shared" si="38"/>
        <v>0</v>
      </c>
      <c r="O92" s="1">
        <v>1342.4069999999999</v>
      </c>
      <c r="P92" s="1">
        <v>10571.61585</v>
      </c>
      <c r="Q92" s="3">
        <f t="shared" si="39"/>
        <v>11914.022849999999</v>
      </c>
      <c r="R92" s="1">
        <v>0</v>
      </c>
      <c r="S92" s="1">
        <v>1517.77579117</v>
      </c>
      <c r="T92" s="1">
        <f t="shared" si="40"/>
        <v>0</v>
      </c>
      <c r="U92" s="3">
        <f t="shared" si="41"/>
        <v>1</v>
      </c>
      <c r="V92" s="1">
        <v>794.88</v>
      </c>
      <c r="W92" s="3">
        <f t="shared" si="42"/>
        <v>0.25493919022938366</v>
      </c>
      <c r="X92" s="1">
        <v>367.01</v>
      </c>
      <c r="Y92" s="3">
        <f t="shared" si="43"/>
        <v>0.72203423175290182</v>
      </c>
      <c r="Z92" s="1">
        <v>5832</v>
      </c>
      <c r="AA92" s="3">
        <f t="shared" si="44"/>
        <v>0.50275862068965516</v>
      </c>
      <c r="AB92" s="2">
        <v>21165</v>
      </c>
      <c r="AC92" s="2">
        <v>432.45</v>
      </c>
      <c r="AD92" s="2">
        <f t="shared" si="45"/>
        <v>0.2459706167074768</v>
      </c>
    </row>
    <row r="93" spans="1:30" x14ac:dyDescent="0.3">
      <c r="A93" s="1">
        <v>89</v>
      </c>
      <c r="B93" s="4">
        <v>0</v>
      </c>
      <c r="C93" s="1">
        <f t="shared" si="46"/>
        <v>0</v>
      </c>
      <c r="D93" s="1">
        <f t="shared" si="31"/>
        <v>0</v>
      </c>
      <c r="E93" s="3">
        <f t="shared" si="32"/>
        <v>0</v>
      </c>
      <c r="F93" s="1">
        <v>0</v>
      </c>
      <c r="G93" s="3">
        <f t="shared" si="33"/>
        <v>0</v>
      </c>
      <c r="H93" s="1">
        <v>-1553.672292</v>
      </c>
      <c r="I93" s="1">
        <f t="shared" si="34"/>
        <v>1553.672292</v>
      </c>
      <c r="J93" s="3">
        <f t="shared" si="35"/>
        <v>1</v>
      </c>
      <c r="K93" s="4">
        <v>-6779.6610170000004</v>
      </c>
      <c r="L93" s="1">
        <f t="shared" si="36"/>
        <v>0</v>
      </c>
      <c r="M93" s="1">
        <f t="shared" si="37"/>
        <v>6779.6610170000004</v>
      </c>
      <c r="N93" s="3">
        <f t="shared" si="38"/>
        <v>0</v>
      </c>
      <c r="O93" s="1">
        <v>1342.4069999999999</v>
      </c>
      <c r="P93" s="1">
        <v>10571.61585</v>
      </c>
      <c r="Q93" s="3">
        <f t="shared" si="39"/>
        <v>11914.022849999999</v>
      </c>
      <c r="R93" s="1">
        <v>0</v>
      </c>
      <c r="S93" s="1">
        <v>1517.77579117</v>
      </c>
      <c r="T93" s="1">
        <f t="shared" si="40"/>
        <v>0</v>
      </c>
      <c r="U93" s="3">
        <f t="shared" si="41"/>
        <v>1</v>
      </c>
      <c r="V93" s="1">
        <v>794.88</v>
      </c>
      <c r="W93" s="3">
        <f t="shared" si="42"/>
        <v>0.25493919022938366</v>
      </c>
      <c r="X93" s="1">
        <v>367.01</v>
      </c>
      <c r="Y93" s="3">
        <f t="shared" si="43"/>
        <v>0.72203423175290182</v>
      </c>
      <c r="Z93" s="1">
        <v>5832</v>
      </c>
      <c r="AA93" s="3">
        <f t="shared" si="44"/>
        <v>0.50275862068965516</v>
      </c>
      <c r="AB93" s="2">
        <v>15687</v>
      </c>
      <c r="AC93" s="2">
        <v>245.05500000000001</v>
      </c>
      <c r="AD93" s="2">
        <f t="shared" si="45"/>
        <v>0.18144815215534424</v>
      </c>
    </row>
    <row r="94" spans="1:30" x14ac:dyDescent="0.3">
      <c r="A94" s="1">
        <v>90</v>
      </c>
      <c r="B94" s="4">
        <v>-5000</v>
      </c>
      <c r="C94" s="1">
        <f t="shared" si="46"/>
        <v>-5000</v>
      </c>
      <c r="D94" s="1">
        <f t="shared" si="31"/>
        <v>0</v>
      </c>
      <c r="E94" s="3">
        <f t="shared" si="32"/>
        <v>-1</v>
      </c>
      <c r="F94" s="1">
        <v>0</v>
      </c>
      <c r="G94" s="3">
        <f t="shared" si="33"/>
        <v>0</v>
      </c>
      <c r="H94" s="1">
        <v>-1358.5722920000001</v>
      </c>
      <c r="I94" s="1">
        <f t="shared" si="34"/>
        <v>1358.5722920000001</v>
      </c>
      <c r="J94" s="3">
        <f t="shared" si="35"/>
        <v>0.87442654348372717</v>
      </c>
      <c r="K94" s="4">
        <v>-6779.6610170000004</v>
      </c>
      <c r="L94" s="1">
        <f t="shared" si="36"/>
        <v>0</v>
      </c>
      <c r="M94" s="1">
        <f t="shared" si="37"/>
        <v>6779.6610170000004</v>
      </c>
      <c r="N94" s="3">
        <f t="shared" si="38"/>
        <v>0</v>
      </c>
      <c r="O94" s="1">
        <v>1342.4069999999999</v>
      </c>
      <c r="P94" s="1">
        <v>10571.61585</v>
      </c>
      <c r="Q94" s="3">
        <f t="shared" si="39"/>
        <v>11914.022849999999</v>
      </c>
      <c r="R94" s="1">
        <v>0</v>
      </c>
      <c r="S94" s="1">
        <v>1517.77579117</v>
      </c>
      <c r="T94" s="1">
        <f t="shared" si="40"/>
        <v>0</v>
      </c>
      <c r="U94" s="3">
        <f t="shared" si="41"/>
        <v>1</v>
      </c>
      <c r="V94" s="1">
        <v>794.88</v>
      </c>
      <c r="W94" s="3">
        <f t="shared" si="42"/>
        <v>0.25493919022938366</v>
      </c>
      <c r="X94" s="1">
        <v>367.01</v>
      </c>
      <c r="Y94" s="3">
        <f t="shared" si="43"/>
        <v>0.72203423175290182</v>
      </c>
      <c r="Z94" s="1">
        <v>5832</v>
      </c>
      <c r="AA94" s="3">
        <f t="shared" si="44"/>
        <v>0.50275862068965516</v>
      </c>
      <c r="AB94" s="2">
        <v>4316</v>
      </c>
      <c r="AC94" s="2">
        <v>0</v>
      </c>
      <c r="AD94" s="2">
        <f t="shared" si="45"/>
        <v>4.9154376174477536E-2</v>
      </c>
    </row>
    <row r="95" spans="1:30" x14ac:dyDescent="0.3">
      <c r="A95" s="1">
        <v>91</v>
      </c>
      <c r="B95" s="4">
        <v>-5000</v>
      </c>
      <c r="C95" s="1">
        <f t="shared" si="46"/>
        <v>-5000</v>
      </c>
      <c r="D95" s="1">
        <f t="shared" si="31"/>
        <v>0</v>
      </c>
      <c r="E95" s="3">
        <f t="shared" si="32"/>
        <v>-1</v>
      </c>
      <c r="F95" s="1">
        <v>0</v>
      </c>
      <c r="G95" s="3">
        <f t="shared" si="33"/>
        <v>0</v>
      </c>
      <c r="H95" s="1">
        <v>-1553.672292</v>
      </c>
      <c r="I95" s="1">
        <f t="shared" si="34"/>
        <v>1553.672292</v>
      </c>
      <c r="J95" s="3">
        <f t="shared" si="35"/>
        <v>1</v>
      </c>
      <c r="K95" s="4">
        <v>-6779.6610170000004</v>
      </c>
      <c r="L95" s="1">
        <f t="shared" si="36"/>
        <v>0</v>
      </c>
      <c r="M95" s="1">
        <f t="shared" si="37"/>
        <v>6779.6610170000004</v>
      </c>
      <c r="N95" s="3">
        <f t="shared" si="38"/>
        <v>0</v>
      </c>
      <c r="O95" s="1">
        <v>1342.4069999999999</v>
      </c>
      <c r="P95" s="1">
        <v>10555.905849999999</v>
      </c>
      <c r="Q95" s="3">
        <f t="shared" si="39"/>
        <v>11898.312849999998</v>
      </c>
      <c r="R95" s="1">
        <v>0</v>
      </c>
      <c r="S95" s="1">
        <v>1517.77579117</v>
      </c>
      <c r="T95" s="1">
        <f t="shared" si="40"/>
        <v>0</v>
      </c>
      <c r="U95" s="3">
        <f t="shared" si="41"/>
        <v>1</v>
      </c>
      <c r="V95" s="1">
        <v>794.88</v>
      </c>
      <c r="W95" s="3">
        <f t="shared" si="42"/>
        <v>0.25493919022938366</v>
      </c>
      <c r="X95" s="1">
        <v>367.01</v>
      </c>
      <c r="Y95" s="3">
        <f t="shared" si="43"/>
        <v>0.72203423175290182</v>
      </c>
      <c r="Z95" s="1">
        <v>5832</v>
      </c>
      <c r="AA95" s="3">
        <f t="shared" si="44"/>
        <v>0.50275862068965516</v>
      </c>
      <c r="AB95" s="2">
        <v>0</v>
      </c>
      <c r="AC95" s="2">
        <v>0</v>
      </c>
      <c r="AD95" s="2">
        <f t="shared" si="45"/>
        <v>0</v>
      </c>
    </row>
    <row r="96" spans="1:30" x14ac:dyDescent="0.3">
      <c r="A96" s="1">
        <v>92</v>
      </c>
      <c r="B96" s="4">
        <v>-5000</v>
      </c>
      <c r="C96" s="1">
        <f t="shared" si="46"/>
        <v>-5000</v>
      </c>
      <c r="D96" s="1">
        <f t="shared" si="31"/>
        <v>0</v>
      </c>
      <c r="E96" s="3">
        <f t="shared" si="32"/>
        <v>-1</v>
      </c>
      <c r="F96" s="1">
        <v>0</v>
      </c>
      <c r="G96" s="3">
        <f t="shared" si="33"/>
        <v>0</v>
      </c>
      <c r="H96" s="1">
        <v>-1553.672292</v>
      </c>
      <c r="I96" s="1">
        <f t="shared" si="34"/>
        <v>1553.672292</v>
      </c>
      <c r="J96" s="3">
        <f t="shared" si="35"/>
        <v>1</v>
      </c>
      <c r="K96" s="4">
        <v>-6779.6610170000004</v>
      </c>
      <c r="L96" s="1">
        <f t="shared" si="36"/>
        <v>0</v>
      </c>
      <c r="M96" s="1">
        <f t="shared" si="37"/>
        <v>6779.6610170000004</v>
      </c>
      <c r="N96" s="3">
        <f t="shared" si="38"/>
        <v>0</v>
      </c>
      <c r="O96" s="1">
        <v>1342.4069999999999</v>
      </c>
      <c r="P96" s="1">
        <v>10540.19585</v>
      </c>
      <c r="Q96" s="3">
        <f t="shared" si="39"/>
        <v>11882.602849999999</v>
      </c>
      <c r="R96" s="1">
        <v>0</v>
      </c>
      <c r="S96" s="1">
        <v>1517.77579117</v>
      </c>
      <c r="T96" s="1">
        <f t="shared" si="40"/>
        <v>0</v>
      </c>
      <c r="U96" s="3">
        <f t="shared" si="41"/>
        <v>1</v>
      </c>
      <c r="V96" s="1">
        <v>794.88</v>
      </c>
      <c r="W96" s="3">
        <f t="shared" si="42"/>
        <v>0.25493919022938366</v>
      </c>
      <c r="X96" s="1">
        <v>367.01</v>
      </c>
      <c r="Y96" s="3">
        <f t="shared" si="43"/>
        <v>0.72203423175290182</v>
      </c>
      <c r="Z96" s="1">
        <v>5832</v>
      </c>
      <c r="AA96" s="3">
        <f t="shared" si="44"/>
        <v>0.50275862068965516</v>
      </c>
      <c r="AB96" s="2">
        <v>0</v>
      </c>
      <c r="AC96" s="2">
        <v>0</v>
      </c>
      <c r="AD96" s="2">
        <f t="shared" si="45"/>
        <v>0</v>
      </c>
    </row>
    <row r="97" spans="1:30" x14ac:dyDescent="0.3">
      <c r="A97" s="1">
        <v>93</v>
      </c>
      <c r="B97" s="4">
        <v>-5000</v>
      </c>
      <c r="C97" s="1">
        <f t="shared" si="46"/>
        <v>-5000</v>
      </c>
      <c r="D97" s="1">
        <f t="shared" si="31"/>
        <v>0</v>
      </c>
      <c r="E97" s="3">
        <f t="shared" si="32"/>
        <v>-1</v>
      </c>
      <c r="F97" s="1">
        <v>0</v>
      </c>
      <c r="G97" s="3">
        <f t="shared" si="33"/>
        <v>0</v>
      </c>
      <c r="H97" s="1">
        <v>-1553.672292</v>
      </c>
      <c r="I97" s="1">
        <f t="shared" si="34"/>
        <v>1553.672292</v>
      </c>
      <c r="J97" s="3">
        <f t="shared" si="35"/>
        <v>1</v>
      </c>
      <c r="K97" s="4">
        <v>-6779.6610170000004</v>
      </c>
      <c r="L97" s="1">
        <f t="shared" si="36"/>
        <v>0</v>
      </c>
      <c r="M97" s="1">
        <f t="shared" si="37"/>
        <v>6779.6610170000004</v>
      </c>
      <c r="N97" s="3">
        <f t="shared" si="38"/>
        <v>0</v>
      </c>
      <c r="O97" s="1">
        <v>1342.4069999999999</v>
      </c>
      <c r="P97" s="1">
        <v>10524.485839999999</v>
      </c>
      <c r="Q97" s="3">
        <f t="shared" si="39"/>
        <v>11866.892839999999</v>
      </c>
      <c r="R97" s="1">
        <v>0</v>
      </c>
      <c r="S97" s="1">
        <v>1517.77579117</v>
      </c>
      <c r="T97" s="1">
        <f t="shared" si="40"/>
        <v>0</v>
      </c>
      <c r="U97" s="3">
        <f t="shared" si="41"/>
        <v>1</v>
      </c>
      <c r="V97" s="1">
        <v>794.88</v>
      </c>
      <c r="W97" s="3">
        <f t="shared" si="42"/>
        <v>0.25493919022938366</v>
      </c>
      <c r="X97" s="1">
        <v>367.01</v>
      </c>
      <c r="Y97" s="3">
        <f t="shared" si="43"/>
        <v>0.72203423175290182</v>
      </c>
      <c r="Z97" s="1">
        <v>5832</v>
      </c>
      <c r="AA97" s="3">
        <f t="shared" si="44"/>
        <v>0.50275862068965516</v>
      </c>
      <c r="AB97" s="2">
        <v>0</v>
      </c>
      <c r="AC97" s="2">
        <v>0</v>
      </c>
      <c r="AD97" s="2">
        <f t="shared" si="45"/>
        <v>0</v>
      </c>
    </row>
    <row r="98" spans="1:30" x14ac:dyDescent="0.3">
      <c r="A98" s="1">
        <v>94</v>
      </c>
      <c r="B98" s="4">
        <v>-5000</v>
      </c>
      <c r="C98" s="1">
        <f t="shared" si="46"/>
        <v>-5000</v>
      </c>
      <c r="D98" s="1">
        <f t="shared" si="31"/>
        <v>0</v>
      </c>
      <c r="E98" s="3">
        <f t="shared" si="32"/>
        <v>-1</v>
      </c>
      <c r="F98" s="1">
        <v>0</v>
      </c>
      <c r="G98" s="3">
        <f t="shared" si="33"/>
        <v>0</v>
      </c>
      <c r="H98" s="1">
        <v>-1553.672292</v>
      </c>
      <c r="I98" s="1">
        <f t="shared" si="34"/>
        <v>1553.672292</v>
      </c>
      <c r="J98" s="3">
        <f t="shared" si="35"/>
        <v>1</v>
      </c>
      <c r="K98" s="4">
        <v>-6779.6610170000004</v>
      </c>
      <c r="L98" s="1">
        <f t="shared" si="36"/>
        <v>0</v>
      </c>
      <c r="M98" s="1">
        <f t="shared" si="37"/>
        <v>6779.6610170000004</v>
      </c>
      <c r="N98" s="3">
        <f t="shared" si="38"/>
        <v>0</v>
      </c>
      <c r="O98" s="1">
        <v>1342.4069999999999</v>
      </c>
      <c r="P98" s="1">
        <v>10508.77584</v>
      </c>
      <c r="Q98" s="3">
        <f t="shared" si="39"/>
        <v>11851.182839999999</v>
      </c>
      <c r="R98" s="1">
        <v>0</v>
      </c>
      <c r="S98" s="1">
        <v>1517.77579117</v>
      </c>
      <c r="T98" s="1">
        <f t="shared" si="40"/>
        <v>0</v>
      </c>
      <c r="U98" s="3">
        <f t="shared" si="41"/>
        <v>1</v>
      </c>
      <c r="V98" s="1">
        <v>794.88</v>
      </c>
      <c r="W98" s="3">
        <f t="shared" si="42"/>
        <v>0.25493919022938366</v>
      </c>
      <c r="X98" s="1">
        <v>367.01</v>
      </c>
      <c r="Y98" s="3">
        <f t="shared" si="43"/>
        <v>0.72203423175290182</v>
      </c>
      <c r="Z98" s="1">
        <v>5832</v>
      </c>
      <c r="AA98" s="3">
        <f t="shared" si="44"/>
        <v>0.50275862068965516</v>
      </c>
      <c r="AB98" s="2">
        <v>0</v>
      </c>
      <c r="AC98" s="2">
        <v>0</v>
      </c>
      <c r="AD98" s="2">
        <f t="shared" si="45"/>
        <v>0</v>
      </c>
    </row>
    <row r="99" spans="1:30" x14ac:dyDescent="0.3">
      <c r="A99" s="1">
        <v>95</v>
      </c>
      <c r="B99" s="4">
        <v>-746.27792890000001</v>
      </c>
      <c r="C99" s="1">
        <f t="shared" si="46"/>
        <v>-746.27792890000001</v>
      </c>
      <c r="D99" s="1">
        <f t="shared" si="31"/>
        <v>0</v>
      </c>
      <c r="E99" s="3">
        <f t="shared" si="32"/>
        <v>-0.14925558578000001</v>
      </c>
      <c r="F99" s="1">
        <v>0</v>
      </c>
      <c r="G99" s="3">
        <f t="shared" si="33"/>
        <v>0</v>
      </c>
      <c r="H99" s="1">
        <v>-1553.672292</v>
      </c>
      <c r="I99" s="1">
        <f t="shared" si="34"/>
        <v>1553.672292</v>
      </c>
      <c r="J99" s="3">
        <f t="shared" si="35"/>
        <v>1</v>
      </c>
      <c r="K99" s="4">
        <v>-6779.6610170000004</v>
      </c>
      <c r="L99" s="1">
        <f t="shared" si="36"/>
        <v>0</v>
      </c>
      <c r="M99" s="1">
        <f t="shared" si="37"/>
        <v>6779.6610170000004</v>
      </c>
      <c r="N99" s="3">
        <f t="shared" si="38"/>
        <v>0</v>
      </c>
      <c r="O99" s="1">
        <v>1342.4069999999999</v>
      </c>
      <c r="P99" s="1">
        <v>10493.065839999999</v>
      </c>
      <c r="Q99" s="3">
        <f t="shared" si="39"/>
        <v>11835.472839999999</v>
      </c>
      <c r="R99" s="1">
        <v>0</v>
      </c>
      <c r="S99" s="1">
        <v>1517.77579117</v>
      </c>
      <c r="T99" s="1">
        <f t="shared" si="40"/>
        <v>0</v>
      </c>
      <c r="U99" s="3">
        <f t="shared" si="41"/>
        <v>1</v>
      </c>
      <c r="V99" s="1">
        <v>794.88</v>
      </c>
      <c r="W99" s="3">
        <f t="shared" si="42"/>
        <v>0.25493919022938366</v>
      </c>
      <c r="X99" s="1">
        <v>367.01</v>
      </c>
      <c r="Y99" s="3">
        <f t="shared" si="43"/>
        <v>0.72203423175290182</v>
      </c>
      <c r="Z99" s="1">
        <v>5832</v>
      </c>
      <c r="AA99" s="3">
        <f t="shared" si="44"/>
        <v>0.50275862068965516</v>
      </c>
      <c r="AB99" s="2">
        <v>0</v>
      </c>
      <c r="AC99" s="2">
        <v>0</v>
      </c>
      <c r="AD99" s="2">
        <f t="shared" si="45"/>
        <v>0</v>
      </c>
    </row>
    <row r="100" spans="1:30" x14ac:dyDescent="0.3">
      <c r="A100" s="1">
        <v>96</v>
      </c>
      <c r="B100" s="4">
        <v>0</v>
      </c>
      <c r="C100" s="1">
        <f t="shared" si="46"/>
        <v>0</v>
      </c>
      <c r="D100" s="1">
        <f t="shared" si="31"/>
        <v>0</v>
      </c>
      <c r="E100" s="3">
        <f t="shared" si="32"/>
        <v>0</v>
      </c>
      <c r="F100" s="1">
        <v>0</v>
      </c>
      <c r="G100" s="3">
        <f t="shared" si="33"/>
        <v>0</v>
      </c>
      <c r="H100" s="1">
        <v>-703.41241008999998</v>
      </c>
      <c r="I100" s="1">
        <f t="shared" si="34"/>
        <v>703.41241008999998</v>
      </c>
      <c r="J100" s="3">
        <f t="shared" si="35"/>
        <v>0.45274181287259513</v>
      </c>
      <c r="K100" s="4">
        <v>-6779.6610170000004</v>
      </c>
      <c r="L100" s="1">
        <f t="shared" si="36"/>
        <v>0</v>
      </c>
      <c r="M100" s="1">
        <f t="shared" si="37"/>
        <v>6779.6610170000004</v>
      </c>
      <c r="N100" s="3">
        <f t="shared" si="38"/>
        <v>0</v>
      </c>
      <c r="O100" s="1">
        <v>1342.4069999999999</v>
      </c>
      <c r="P100" s="1">
        <v>10493.065839999999</v>
      </c>
      <c r="Q100" s="3">
        <f t="shared" si="39"/>
        <v>11835.472839999999</v>
      </c>
      <c r="R100" s="1">
        <v>0</v>
      </c>
      <c r="S100" s="1">
        <v>1517.77579117</v>
      </c>
      <c r="T100" s="1">
        <f t="shared" si="40"/>
        <v>0</v>
      </c>
      <c r="U100" s="3">
        <f t="shared" si="41"/>
        <v>1</v>
      </c>
      <c r="V100" s="1">
        <v>794.88</v>
      </c>
      <c r="W100" s="3">
        <f t="shared" si="42"/>
        <v>0.25493919022938366</v>
      </c>
      <c r="X100" s="1">
        <v>367.01</v>
      </c>
      <c r="Y100" s="3">
        <f t="shared" si="43"/>
        <v>0.72203423175290182</v>
      </c>
      <c r="Z100" s="1">
        <v>5832</v>
      </c>
      <c r="AA100" s="3">
        <f t="shared" si="44"/>
        <v>0.50275862068965516</v>
      </c>
      <c r="AB100" s="2">
        <v>0</v>
      </c>
      <c r="AC100" s="2">
        <v>0</v>
      </c>
      <c r="AD100" s="2">
        <f t="shared" si="45"/>
        <v>0</v>
      </c>
    </row>
    <row r="101" spans="1:30" x14ac:dyDescent="0.3">
      <c r="A101" s="1">
        <v>97</v>
      </c>
      <c r="B101" s="4">
        <v>0</v>
      </c>
      <c r="C101" s="1">
        <f t="shared" si="46"/>
        <v>0</v>
      </c>
      <c r="D101" s="1">
        <f t="shared" ref="D101:D132" si="47">IF(B101&gt;0,B101,0)</f>
        <v>0</v>
      </c>
      <c r="E101" s="3">
        <f t="shared" ref="E101:E132" si="48">C101/$C$2</f>
        <v>0</v>
      </c>
      <c r="F101" s="1">
        <v>0</v>
      </c>
      <c r="G101" s="3">
        <f t="shared" ref="G101:G132" si="49">IF(F101&gt;0,F101,0)</f>
        <v>0</v>
      </c>
      <c r="H101" s="1">
        <v>-904.75671642999998</v>
      </c>
      <c r="I101" s="1">
        <f t="shared" ref="I101:I132" si="50">IF(H101&lt;0,-H101,0)</f>
        <v>904.75671642999998</v>
      </c>
      <c r="J101" s="3">
        <f t="shared" ref="J101:J132" si="51">I101/$G$2</f>
        <v>0.58233433207805452</v>
      </c>
      <c r="K101" s="4">
        <v>-6779.6610170000004</v>
      </c>
      <c r="L101" s="1">
        <f t="shared" ref="L101:L132" si="52">IF(K101&gt;0,K101,0)</f>
        <v>0</v>
      </c>
      <c r="M101" s="1">
        <f t="shared" ref="M101:M132" si="53">IF(K101&lt;0,-K101,0)</f>
        <v>6779.6610170000004</v>
      </c>
      <c r="N101" s="3">
        <f t="shared" ref="N101:N132" si="54">L101/$F$2</f>
        <v>0</v>
      </c>
      <c r="O101" s="1">
        <v>1342.4069999999999</v>
      </c>
      <c r="P101" s="1">
        <v>10493.065839999999</v>
      </c>
      <c r="Q101" s="3">
        <f t="shared" ref="Q101:Q132" si="55">O101+P101</f>
        <v>11835.472839999999</v>
      </c>
      <c r="R101" s="1">
        <v>0</v>
      </c>
      <c r="S101" s="1">
        <v>1517.77579117</v>
      </c>
      <c r="T101" s="1">
        <f t="shared" ref="T101:T132" si="56">R101/$S$2</f>
        <v>0</v>
      </c>
      <c r="U101" s="3">
        <f t="shared" ref="U101:U132" si="57">S101/$T$2</f>
        <v>1</v>
      </c>
      <c r="V101" s="1">
        <v>794.88</v>
      </c>
      <c r="W101" s="3">
        <f t="shared" ref="W101:W132" si="58">V101/$U$2</f>
        <v>0.25493919022938366</v>
      </c>
      <c r="X101" s="1">
        <v>367.01</v>
      </c>
      <c r="Y101" s="3">
        <f t="shared" ref="Y101:Y132" si="59">X101/$V$2</f>
        <v>0.72203423175290182</v>
      </c>
      <c r="Z101" s="1">
        <v>5832</v>
      </c>
      <c r="AA101" s="3">
        <f t="shared" ref="AA101:AA132" si="60">Z101/$W$2</f>
        <v>0.50275862068965516</v>
      </c>
      <c r="AB101" s="2">
        <v>0</v>
      </c>
      <c r="AC101" s="2">
        <v>0</v>
      </c>
      <c r="AD101" s="2">
        <f t="shared" ref="AD101:AD132" si="61">SUM(AB101:AC101)/$X$2</f>
        <v>0</v>
      </c>
    </row>
    <row r="102" spans="1:30" x14ac:dyDescent="0.3">
      <c r="A102" s="1">
        <v>98</v>
      </c>
      <c r="B102" s="4">
        <v>353.90529597</v>
      </c>
      <c r="C102" s="1">
        <f t="shared" si="46"/>
        <v>0</v>
      </c>
      <c r="D102" s="1">
        <f t="shared" si="47"/>
        <v>353.90529597</v>
      </c>
      <c r="E102" s="3">
        <f t="shared" si="48"/>
        <v>0</v>
      </c>
      <c r="F102" s="1">
        <v>0</v>
      </c>
      <c r="G102" s="3">
        <f t="shared" si="49"/>
        <v>0</v>
      </c>
      <c r="H102" s="1">
        <v>-904.75671642999998</v>
      </c>
      <c r="I102" s="1">
        <f t="shared" si="50"/>
        <v>904.75671642999998</v>
      </c>
      <c r="J102" s="3">
        <f t="shared" si="51"/>
        <v>0.58233433207805452</v>
      </c>
      <c r="K102" s="4">
        <v>-6779.6610170000004</v>
      </c>
      <c r="L102" s="1">
        <f t="shared" si="52"/>
        <v>0</v>
      </c>
      <c r="M102" s="1">
        <f t="shared" si="53"/>
        <v>6779.6610170000004</v>
      </c>
      <c r="N102" s="3">
        <f t="shared" si="54"/>
        <v>0</v>
      </c>
      <c r="O102" s="1">
        <v>1342.4069999999999</v>
      </c>
      <c r="P102" s="1">
        <v>10493.065839999999</v>
      </c>
      <c r="Q102" s="3">
        <f t="shared" si="55"/>
        <v>11835.472839999999</v>
      </c>
      <c r="R102" s="1">
        <v>0</v>
      </c>
      <c r="S102" s="1">
        <v>1517.77579117</v>
      </c>
      <c r="T102" s="1">
        <f t="shared" si="56"/>
        <v>0</v>
      </c>
      <c r="U102" s="3">
        <f t="shared" si="57"/>
        <v>1</v>
      </c>
      <c r="V102" s="1">
        <v>794.88</v>
      </c>
      <c r="W102" s="3">
        <f t="shared" si="58"/>
        <v>0.25493919022938366</v>
      </c>
      <c r="X102" s="1">
        <v>367.01</v>
      </c>
      <c r="Y102" s="3">
        <f t="shared" si="59"/>
        <v>0.72203423175290182</v>
      </c>
      <c r="Z102" s="1">
        <v>5832</v>
      </c>
      <c r="AA102" s="3">
        <f t="shared" si="60"/>
        <v>0.50275862068965516</v>
      </c>
      <c r="AB102" s="2">
        <v>0</v>
      </c>
      <c r="AC102" s="2">
        <v>0</v>
      </c>
      <c r="AD102" s="2">
        <f t="shared" si="61"/>
        <v>0</v>
      </c>
    </row>
    <row r="103" spans="1:30" x14ac:dyDescent="0.3">
      <c r="A103" s="1">
        <v>99</v>
      </c>
      <c r="B103" s="4">
        <v>2858.6637063200001</v>
      </c>
      <c r="C103" s="1">
        <f t="shared" si="46"/>
        <v>0</v>
      </c>
      <c r="D103" s="1">
        <f t="shared" si="47"/>
        <v>2858.6637063200001</v>
      </c>
      <c r="E103" s="3">
        <f t="shared" si="48"/>
        <v>0</v>
      </c>
      <c r="F103" s="1">
        <v>0</v>
      </c>
      <c r="G103" s="3">
        <f t="shared" si="49"/>
        <v>0</v>
      </c>
      <c r="H103" s="1">
        <v>-672.09336856000004</v>
      </c>
      <c r="I103" s="1">
        <f t="shared" si="50"/>
        <v>672.09336856000004</v>
      </c>
      <c r="J103" s="3">
        <f t="shared" si="51"/>
        <v>0.43258373855327792</v>
      </c>
      <c r="K103" s="4">
        <v>-6779.6610170000004</v>
      </c>
      <c r="L103" s="1">
        <f t="shared" si="52"/>
        <v>0</v>
      </c>
      <c r="M103" s="1">
        <f t="shared" si="53"/>
        <v>6779.6610170000004</v>
      </c>
      <c r="N103" s="3">
        <f t="shared" si="54"/>
        <v>0</v>
      </c>
      <c r="O103" s="1">
        <v>1342.4069999999999</v>
      </c>
      <c r="P103" s="1">
        <v>10493.065839999999</v>
      </c>
      <c r="Q103" s="3">
        <f t="shared" si="55"/>
        <v>11835.472839999999</v>
      </c>
      <c r="R103" s="1">
        <v>0</v>
      </c>
      <c r="S103" s="1">
        <v>1517.77579117</v>
      </c>
      <c r="T103" s="1">
        <f t="shared" si="56"/>
        <v>0</v>
      </c>
      <c r="U103" s="3">
        <f t="shared" si="57"/>
        <v>1</v>
      </c>
      <c r="V103" s="1">
        <v>794.88</v>
      </c>
      <c r="W103" s="3">
        <f t="shared" si="58"/>
        <v>0.25493919022938366</v>
      </c>
      <c r="X103" s="1">
        <v>367.01</v>
      </c>
      <c r="Y103" s="3">
        <f t="shared" si="59"/>
        <v>0.72203423175290182</v>
      </c>
      <c r="Z103" s="1">
        <v>5832</v>
      </c>
      <c r="AA103" s="3">
        <f t="shared" si="60"/>
        <v>0.50275862068965516</v>
      </c>
      <c r="AB103" s="2">
        <v>0</v>
      </c>
      <c r="AC103" s="2">
        <v>0</v>
      </c>
      <c r="AD103" s="2">
        <f t="shared" si="61"/>
        <v>0</v>
      </c>
    </row>
    <row r="104" spans="1:30" x14ac:dyDescent="0.3">
      <c r="A104" s="1">
        <v>100</v>
      </c>
      <c r="B104" s="4">
        <v>0</v>
      </c>
      <c r="C104" s="1">
        <f t="shared" si="46"/>
        <v>0</v>
      </c>
      <c r="D104" s="1">
        <f t="shared" si="47"/>
        <v>0</v>
      </c>
      <c r="E104" s="3">
        <f t="shared" si="48"/>
        <v>0</v>
      </c>
      <c r="F104" s="1">
        <v>0</v>
      </c>
      <c r="G104" s="3">
        <f t="shared" si="49"/>
        <v>0</v>
      </c>
      <c r="H104" s="1">
        <v>-574.75671642999998</v>
      </c>
      <c r="I104" s="1">
        <f t="shared" si="50"/>
        <v>574.75671642999998</v>
      </c>
      <c r="J104" s="3">
        <f t="shared" si="51"/>
        <v>0.36993432874453297</v>
      </c>
      <c r="K104" s="4">
        <v>-6779.6610170000004</v>
      </c>
      <c r="L104" s="1">
        <f t="shared" si="52"/>
        <v>0</v>
      </c>
      <c r="M104" s="1">
        <f t="shared" si="53"/>
        <v>6779.6610170000004</v>
      </c>
      <c r="N104" s="3">
        <f t="shared" si="54"/>
        <v>0</v>
      </c>
      <c r="O104" s="1">
        <v>1342.4069999999999</v>
      </c>
      <c r="P104" s="1">
        <v>10493.065839999999</v>
      </c>
      <c r="Q104" s="3">
        <f t="shared" si="55"/>
        <v>11835.472839999999</v>
      </c>
      <c r="R104" s="1">
        <v>0</v>
      </c>
      <c r="S104" s="1">
        <v>1517.77579117</v>
      </c>
      <c r="T104" s="1">
        <f t="shared" si="56"/>
        <v>0</v>
      </c>
      <c r="U104" s="3">
        <f t="shared" si="57"/>
        <v>1</v>
      </c>
      <c r="V104" s="1">
        <v>794.88</v>
      </c>
      <c r="W104" s="3">
        <f t="shared" si="58"/>
        <v>0.25493919022938366</v>
      </c>
      <c r="X104" s="1">
        <v>367.01</v>
      </c>
      <c r="Y104" s="3">
        <f t="shared" si="59"/>
        <v>0.72203423175290182</v>
      </c>
      <c r="Z104" s="1">
        <v>5832</v>
      </c>
      <c r="AA104" s="3">
        <f t="shared" si="60"/>
        <v>0.50275862068965516</v>
      </c>
      <c r="AB104" s="2">
        <v>0</v>
      </c>
      <c r="AC104" s="2">
        <v>0</v>
      </c>
      <c r="AD104" s="2">
        <f t="shared" si="61"/>
        <v>0</v>
      </c>
    </row>
    <row r="105" spans="1:30" x14ac:dyDescent="0.3">
      <c r="A105" s="1">
        <v>101</v>
      </c>
      <c r="B105" s="4">
        <v>0</v>
      </c>
      <c r="C105" s="1">
        <f t="shared" si="46"/>
        <v>0</v>
      </c>
      <c r="D105" s="1">
        <f t="shared" si="47"/>
        <v>0</v>
      </c>
      <c r="E105" s="3">
        <f t="shared" si="48"/>
        <v>0</v>
      </c>
      <c r="F105" s="1">
        <v>0</v>
      </c>
      <c r="G105" s="3">
        <f t="shared" si="49"/>
        <v>0</v>
      </c>
      <c r="H105" s="1">
        <v>-904.29683451999995</v>
      </c>
      <c r="I105" s="1">
        <f t="shared" si="50"/>
        <v>904.29683451999995</v>
      </c>
      <c r="J105" s="3">
        <f t="shared" si="51"/>
        <v>0.58203833535315441</v>
      </c>
      <c r="K105" s="4">
        <v>-6779.6610170000004</v>
      </c>
      <c r="L105" s="1">
        <f t="shared" si="52"/>
        <v>0</v>
      </c>
      <c r="M105" s="1">
        <f t="shared" si="53"/>
        <v>6779.6610170000004</v>
      </c>
      <c r="N105" s="3">
        <f t="shared" si="54"/>
        <v>0</v>
      </c>
      <c r="O105" s="1">
        <v>1342.4069999999999</v>
      </c>
      <c r="P105" s="1">
        <v>10508.77584</v>
      </c>
      <c r="Q105" s="3">
        <f t="shared" si="55"/>
        <v>11851.182839999999</v>
      </c>
      <c r="R105" s="1">
        <v>0</v>
      </c>
      <c r="S105" s="1">
        <v>1517.77579117</v>
      </c>
      <c r="T105" s="1">
        <f t="shared" si="56"/>
        <v>0</v>
      </c>
      <c r="U105" s="3">
        <f t="shared" si="57"/>
        <v>1</v>
      </c>
      <c r="V105" s="1">
        <v>794.88</v>
      </c>
      <c r="W105" s="3">
        <f t="shared" si="58"/>
        <v>0.25493919022938366</v>
      </c>
      <c r="X105" s="1">
        <v>367.01</v>
      </c>
      <c r="Y105" s="3">
        <f t="shared" si="59"/>
        <v>0.72203423175290182</v>
      </c>
      <c r="Z105" s="1">
        <v>5832</v>
      </c>
      <c r="AA105" s="3">
        <f t="shared" si="60"/>
        <v>0.50275862068965516</v>
      </c>
      <c r="AB105" s="2">
        <v>0</v>
      </c>
      <c r="AC105" s="2">
        <v>0</v>
      </c>
      <c r="AD105" s="2">
        <f t="shared" si="61"/>
        <v>0</v>
      </c>
    </row>
    <row r="106" spans="1:30" x14ac:dyDescent="0.3">
      <c r="A106" s="1">
        <v>102</v>
      </c>
      <c r="B106" s="4">
        <v>1329.8327752099999</v>
      </c>
      <c r="C106" s="1">
        <f t="shared" si="46"/>
        <v>0</v>
      </c>
      <c r="D106" s="1">
        <f t="shared" si="47"/>
        <v>1329.8327752099999</v>
      </c>
      <c r="E106" s="3">
        <f t="shared" si="48"/>
        <v>0</v>
      </c>
      <c r="F106" s="1">
        <v>0</v>
      </c>
      <c r="G106" s="3">
        <f t="shared" si="49"/>
        <v>0</v>
      </c>
      <c r="H106" s="1">
        <v>-903.37707068999998</v>
      </c>
      <c r="I106" s="1">
        <f t="shared" si="50"/>
        <v>903.37707068999998</v>
      </c>
      <c r="J106" s="3">
        <f t="shared" si="51"/>
        <v>0.58144634189691791</v>
      </c>
      <c r="K106" s="4">
        <v>-6779.6610170000004</v>
      </c>
      <c r="L106" s="1">
        <f t="shared" si="52"/>
        <v>0</v>
      </c>
      <c r="M106" s="1">
        <f t="shared" si="53"/>
        <v>6779.6610170000004</v>
      </c>
      <c r="N106" s="3">
        <f t="shared" si="54"/>
        <v>0</v>
      </c>
      <c r="O106" s="1">
        <v>1342.4069999999999</v>
      </c>
      <c r="P106" s="1">
        <v>10540.19585</v>
      </c>
      <c r="Q106" s="3">
        <f t="shared" si="55"/>
        <v>11882.602849999999</v>
      </c>
      <c r="R106" s="1">
        <v>0</v>
      </c>
      <c r="S106" s="1">
        <v>1517.77579117</v>
      </c>
      <c r="T106" s="1">
        <f t="shared" si="56"/>
        <v>0</v>
      </c>
      <c r="U106" s="3">
        <f t="shared" si="57"/>
        <v>1</v>
      </c>
      <c r="V106" s="1">
        <v>794.88</v>
      </c>
      <c r="W106" s="3">
        <f t="shared" si="58"/>
        <v>0.25493919022938366</v>
      </c>
      <c r="X106" s="1">
        <v>367.01</v>
      </c>
      <c r="Y106" s="3">
        <f t="shared" si="59"/>
        <v>0.72203423175290182</v>
      </c>
      <c r="Z106" s="1">
        <v>5832</v>
      </c>
      <c r="AA106" s="3">
        <f t="shared" si="60"/>
        <v>0.50275862068965516</v>
      </c>
      <c r="AB106" s="2">
        <v>0</v>
      </c>
      <c r="AC106" s="2">
        <v>0</v>
      </c>
      <c r="AD106" s="2">
        <f t="shared" si="61"/>
        <v>0</v>
      </c>
    </row>
    <row r="107" spans="1:30" x14ac:dyDescent="0.3">
      <c r="A107" s="1">
        <v>103</v>
      </c>
      <c r="B107" s="4">
        <v>3030.0808235099998</v>
      </c>
      <c r="C107" s="1">
        <f t="shared" si="46"/>
        <v>0</v>
      </c>
      <c r="D107" s="1">
        <f t="shared" si="47"/>
        <v>3030.0808235099998</v>
      </c>
      <c r="E107" s="3">
        <f t="shared" si="48"/>
        <v>0</v>
      </c>
      <c r="F107" s="1">
        <v>0</v>
      </c>
      <c r="G107" s="3">
        <f t="shared" si="49"/>
        <v>0</v>
      </c>
      <c r="H107" s="1">
        <v>-572.91718877999995</v>
      </c>
      <c r="I107" s="1">
        <f t="shared" si="50"/>
        <v>572.91718877999995</v>
      </c>
      <c r="J107" s="3">
        <f t="shared" si="51"/>
        <v>0.36875034183849625</v>
      </c>
      <c r="K107" s="4">
        <v>-6779.6610170000004</v>
      </c>
      <c r="L107" s="1">
        <f t="shared" si="52"/>
        <v>0</v>
      </c>
      <c r="M107" s="1">
        <f t="shared" si="53"/>
        <v>6779.6610170000004</v>
      </c>
      <c r="N107" s="3">
        <f t="shared" si="54"/>
        <v>0</v>
      </c>
      <c r="O107" s="1">
        <v>1342.4069999999999</v>
      </c>
      <c r="P107" s="1">
        <v>10555.905849999999</v>
      </c>
      <c r="Q107" s="3">
        <f t="shared" si="55"/>
        <v>11898.312849999998</v>
      </c>
      <c r="R107" s="1">
        <v>0</v>
      </c>
      <c r="S107" s="1">
        <v>1517.77579117</v>
      </c>
      <c r="T107" s="1">
        <f t="shared" si="56"/>
        <v>0</v>
      </c>
      <c r="U107" s="3">
        <f t="shared" si="57"/>
        <v>1</v>
      </c>
      <c r="V107" s="1">
        <v>794.88</v>
      </c>
      <c r="W107" s="3">
        <f t="shared" si="58"/>
        <v>0.25493919022938366</v>
      </c>
      <c r="X107" s="1">
        <v>367.01</v>
      </c>
      <c r="Y107" s="3">
        <f t="shared" si="59"/>
        <v>0.72203423175290182</v>
      </c>
      <c r="Z107" s="1">
        <v>5832</v>
      </c>
      <c r="AA107" s="3">
        <f t="shared" si="60"/>
        <v>0.50275862068965516</v>
      </c>
      <c r="AB107" s="2">
        <v>0</v>
      </c>
      <c r="AC107" s="2">
        <v>0</v>
      </c>
      <c r="AD107" s="2">
        <f t="shared" si="61"/>
        <v>0</v>
      </c>
    </row>
    <row r="108" spans="1:30" x14ac:dyDescent="0.3">
      <c r="A108" s="1">
        <v>104</v>
      </c>
      <c r="B108" s="4">
        <v>197.61554663999999</v>
      </c>
      <c r="C108" s="1">
        <f t="shared" si="46"/>
        <v>0</v>
      </c>
      <c r="D108" s="1">
        <f t="shared" si="47"/>
        <v>197.61554663999999</v>
      </c>
      <c r="E108" s="3">
        <f t="shared" si="48"/>
        <v>0</v>
      </c>
      <c r="F108" s="1">
        <v>0</v>
      </c>
      <c r="G108" s="3">
        <f t="shared" si="49"/>
        <v>0</v>
      </c>
      <c r="H108" s="1">
        <v>-572.45730687000002</v>
      </c>
      <c r="I108" s="1">
        <f t="shared" si="50"/>
        <v>572.45730687000002</v>
      </c>
      <c r="J108" s="3">
        <f t="shared" si="51"/>
        <v>0.3684543451135962</v>
      </c>
      <c r="K108" s="4">
        <v>-6779.6610170000004</v>
      </c>
      <c r="L108" s="1">
        <f t="shared" si="52"/>
        <v>0</v>
      </c>
      <c r="M108" s="1">
        <f t="shared" si="53"/>
        <v>6779.6610170000004</v>
      </c>
      <c r="N108" s="3">
        <f t="shared" si="54"/>
        <v>0</v>
      </c>
      <c r="O108" s="1">
        <v>1342.4069999999999</v>
      </c>
      <c r="P108" s="1">
        <v>10571.61585</v>
      </c>
      <c r="Q108" s="3">
        <f t="shared" si="55"/>
        <v>11914.022849999999</v>
      </c>
      <c r="R108" s="1">
        <v>0</v>
      </c>
      <c r="S108" s="1">
        <v>1517.77579117</v>
      </c>
      <c r="T108" s="1">
        <f t="shared" si="56"/>
        <v>0</v>
      </c>
      <c r="U108" s="3">
        <f t="shared" si="57"/>
        <v>1</v>
      </c>
      <c r="V108" s="1">
        <v>794.88</v>
      </c>
      <c r="W108" s="3">
        <f t="shared" si="58"/>
        <v>0.25493919022938366</v>
      </c>
      <c r="X108" s="1">
        <v>367.01</v>
      </c>
      <c r="Y108" s="3">
        <f t="shared" si="59"/>
        <v>0.72203423175290182</v>
      </c>
      <c r="Z108" s="1">
        <v>5832</v>
      </c>
      <c r="AA108" s="3">
        <f t="shared" si="60"/>
        <v>0.50275862068965516</v>
      </c>
      <c r="AB108" s="2">
        <v>0</v>
      </c>
      <c r="AC108" s="2">
        <v>0</v>
      </c>
      <c r="AD108" s="2">
        <f t="shared" si="61"/>
        <v>0</v>
      </c>
    </row>
    <row r="109" spans="1:30" x14ac:dyDescent="0.3">
      <c r="A109" s="1">
        <v>105</v>
      </c>
      <c r="B109" s="4">
        <v>843.23938495000004</v>
      </c>
      <c r="C109" s="1">
        <f t="shared" si="46"/>
        <v>0</v>
      </c>
      <c r="D109" s="1">
        <f t="shared" si="47"/>
        <v>843.23938495000004</v>
      </c>
      <c r="E109" s="3">
        <f t="shared" si="48"/>
        <v>0</v>
      </c>
      <c r="F109" s="1">
        <v>0</v>
      </c>
      <c r="G109" s="3">
        <f t="shared" si="49"/>
        <v>0</v>
      </c>
      <c r="H109" s="1">
        <v>-572.45730687000002</v>
      </c>
      <c r="I109" s="1">
        <f t="shared" si="50"/>
        <v>572.45730687000002</v>
      </c>
      <c r="J109" s="3">
        <f t="shared" si="51"/>
        <v>0.3684543451135962</v>
      </c>
      <c r="K109" s="4">
        <v>-6779.6610170000004</v>
      </c>
      <c r="L109" s="1">
        <f t="shared" si="52"/>
        <v>0</v>
      </c>
      <c r="M109" s="1">
        <f t="shared" si="53"/>
        <v>6779.6610170000004</v>
      </c>
      <c r="N109" s="3">
        <f t="shared" si="54"/>
        <v>0</v>
      </c>
      <c r="O109" s="1">
        <v>1342.4069999999999</v>
      </c>
      <c r="P109" s="1">
        <v>10571.61585</v>
      </c>
      <c r="Q109" s="3">
        <f t="shared" si="55"/>
        <v>11914.022849999999</v>
      </c>
      <c r="R109" s="1">
        <v>0</v>
      </c>
      <c r="S109" s="1">
        <v>1517.77579117</v>
      </c>
      <c r="T109" s="1">
        <f t="shared" si="56"/>
        <v>0</v>
      </c>
      <c r="U109" s="3">
        <f t="shared" si="57"/>
        <v>1</v>
      </c>
      <c r="V109" s="1">
        <v>794.88</v>
      </c>
      <c r="W109" s="3">
        <f t="shared" si="58"/>
        <v>0.25493919022938366</v>
      </c>
      <c r="X109" s="1">
        <v>367.01</v>
      </c>
      <c r="Y109" s="3">
        <f t="shared" si="59"/>
        <v>0.72203423175290182</v>
      </c>
      <c r="Z109" s="1">
        <v>5832</v>
      </c>
      <c r="AA109" s="3">
        <f t="shared" si="60"/>
        <v>0.50275862068965516</v>
      </c>
      <c r="AB109" s="2">
        <v>0</v>
      </c>
      <c r="AC109" s="2">
        <v>0</v>
      </c>
      <c r="AD109" s="2">
        <f t="shared" si="61"/>
        <v>0</v>
      </c>
    </row>
    <row r="110" spans="1:30" x14ac:dyDescent="0.3">
      <c r="A110" s="1">
        <v>106</v>
      </c>
      <c r="B110" s="4">
        <v>5000</v>
      </c>
      <c r="C110" s="1">
        <f t="shared" si="46"/>
        <v>0</v>
      </c>
      <c r="D110" s="1">
        <f t="shared" si="47"/>
        <v>5000</v>
      </c>
      <c r="E110" s="3">
        <f t="shared" si="48"/>
        <v>0</v>
      </c>
      <c r="F110" s="1">
        <v>0</v>
      </c>
      <c r="G110" s="3">
        <f t="shared" si="49"/>
        <v>0</v>
      </c>
      <c r="H110" s="1">
        <v>-242.45730687</v>
      </c>
      <c r="I110" s="1">
        <f t="shared" si="50"/>
        <v>242.45730687</v>
      </c>
      <c r="J110" s="3">
        <f t="shared" si="51"/>
        <v>0.15605434178007468</v>
      </c>
      <c r="K110" s="4">
        <v>-6779.6610170000004</v>
      </c>
      <c r="L110" s="1">
        <f t="shared" si="52"/>
        <v>0</v>
      </c>
      <c r="M110" s="1">
        <f t="shared" si="53"/>
        <v>6779.6610170000004</v>
      </c>
      <c r="N110" s="3">
        <f t="shared" si="54"/>
        <v>0</v>
      </c>
      <c r="O110" s="1">
        <v>1342.4069999999999</v>
      </c>
      <c r="P110" s="1">
        <v>10571.61585</v>
      </c>
      <c r="Q110" s="3">
        <f t="shared" si="55"/>
        <v>11914.022849999999</v>
      </c>
      <c r="R110" s="1">
        <v>0</v>
      </c>
      <c r="S110" s="1">
        <v>1517.77579117</v>
      </c>
      <c r="T110" s="1">
        <f t="shared" si="56"/>
        <v>0</v>
      </c>
      <c r="U110" s="3">
        <f t="shared" si="57"/>
        <v>1</v>
      </c>
      <c r="V110" s="1">
        <v>794.88</v>
      </c>
      <c r="W110" s="3">
        <f t="shared" si="58"/>
        <v>0.25493919022938366</v>
      </c>
      <c r="X110" s="1">
        <v>367.01</v>
      </c>
      <c r="Y110" s="3">
        <f t="shared" si="59"/>
        <v>0.72203423175290182</v>
      </c>
      <c r="Z110" s="1">
        <v>5832</v>
      </c>
      <c r="AA110" s="3">
        <f t="shared" si="60"/>
        <v>0.50275862068965516</v>
      </c>
      <c r="AB110" s="2">
        <v>5229</v>
      </c>
      <c r="AC110" s="2">
        <v>91.295000000000002</v>
      </c>
      <c r="AD110" s="2">
        <f t="shared" si="61"/>
        <v>6.0592164455327148E-2</v>
      </c>
    </row>
    <row r="111" spans="1:30" x14ac:dyDescent="0.3">
      <c r="A111" s="1">
        <v>107</v>
      </c>
      <c r="B111" s="4">
        <v>5000</v>
      </c>
      <c r="C111" s="1">
        <f t="shared" si="46"/>
        <v>0</v>
      </c>
      <c r="D111" s="1">
        <f t="shared" si="47"/>
        <v>5000</v>
      </c>
      <c r="E111" s="3">
        <f t="shared" si="48"/>
        <v>0</v>
      </c>
      <c r="F111" s="1">
        <v>0</v>
      </c>
      <c r="G111" s="3">
        <f t="shared" si="49"/>
        <v>0</v>
      </c>
      <c r="H111" s="1">
        <v>-242.45730687</v>
      </c>
      <c r="I111" s="1">
        <f t="shared" si="50"/>
        <v>242.45730687</v>
      </c>
      <c r="J111" s="3">
        <f t="shared" si="51"/>
        <v>0.15605434178007468</v>
      </c>
      <c r="K111" s="4">
        <v>-6779.6610170000004</v>
      </c>
      <c r="L111" s="1">
        <f t="shared" si="52"/>
        <v>0</v>
      </c>
      <c r="M111" s="1">
        <f t="shared" si="53"/>
        <v>6779.6610170000004</v>
      </c>
      <c r="N111" s="3">
        <f t="shared" si="54"/>
        <v>0</v>
      </c>
      <c r="O111" s="1">
        <v>1342.4069999999999</v>
      </c>
      <c r="P111" s="1">
        <v>10571.61585</v>
      </c>
      <c r="Q111" s="3">
        <f t="shared" si="55"/>
        <v>11914.022849999999</v>
      </c>
      <c r="R111" s="1">
        <v>0</v>
      </c>
      <c r="S111" s="1">
        <v>1517.77579117</v>
      </c>
      <c r="T111" s="1">
        <f t="shared" si="56"/>
        <v>0</v>
      </c>
      <c r="U111" s="3">
        <f t="shared" si="57"/>
        <v>1</v>
      </c>
      <c r="V111" s="1">
        <v>794.88</v>
      </c>
      <c r="W111" s="3">
        <f t="shared" si="58"/>
        <v>0.25493919022938366</v>
      </c>
      <c r="X111" s="1">
        <v>367.01</v>
      </c>
      <c r="Y111" s="3">
        <f t="shared" si="59"/>
        <v>0.72203423175290182</v>
      </c>
      <c r="Z111" s="1">
        <v>5832</v>
      </c>
      <c r="AA111" s="3">
        <f t="shared" si="60"/>
        <v>0.50275862068965516</v>
      </c>
      <c r="AB111" s="2">
        <v>15521</v>
      </c>
      <c r="AC111" s="2">
        <v>240.25</v>
      </c>
      <c r="AD111" s="2">
        <f t="shared" si="61"/>
        <v>0.17950287569045043</v>
      </c>
    </row>
    <row r="112" spans="1:30" x14ac:dyDescent="0.3">
      <c r="A112" s="1">
        <v>108</v>
      </c>
      <c r="B112" s="4">
        <v>5000</v>
      </c>
      <c r="C112" s="1">
        <f t="shared" si="46"/>
        <v>0</v>
      </c>
      <c r="D112" s="1">
        <f t="shared" si="47"/>
        <v>5000</v>
      </c>
      <c r="E112" s="3">
        <f t="shared" si="48"/>
        <v>0</v>
      </c>
      <c r="F112" s="1">
        <v>0</v>
      </c>
      <c r="G112" s="3">
        <f t="shared" si="49"/>
        <v>0</v>
      </c>
      <c r="H112" s="1">
        <v>-242.91718878</v>
      </c>
      <c r="I112" s="1">
        <f t="shared" si="50"/>
        <v>242.91718878</v>
      </c>
      <c r="J112" s="3">
        <f t="shared" si="51"/>
        <v>0.15635033850497476</v>
      </c>
      <c r="K112" s="4">
        <v>-6779.6610170000004</v>
      </c>
      <c r="L112" s="1">
        <f t="shared" si="52"/>
        <v>0</v>
      </c>
      <c r="M112" s="1">
        <f t="shared" si="53"/>
        <v>6779.6610170000004</v>
      </c>
      <c r="N112" s="3">
        <f t="shared" si="54"/>
        <v>0</v>
      </c>
      <c r="O112" s="1">
        <v>1342.4069999999999</v>
      </c>
      <c r="P112" s="1">
        <v>10555.905849999999</v>
      </c>
      <c r="Q112" s="3">
        <f t="shared" si="55"/>
        <v>11898.312849999998</v>
      </c>
      <c r="R112" s="1">
        <v>0</v>
      </c>
      <c r="S112" s="1">
        <v>1517.77579117</v>
      </c>
      <c r="T112" s="1">
        <f t="shared" si="56"/>
        <v>0</v>
      </c>
      <c r="U112" s="3">
        <f t="shared" si="57"/>
        <v>1</v>
      </c>
      <c r="V112" s="1">
        <v>794.88</v>
      </c>
      <c r="W112" s="3">
        <f t="shared" si="58"/>
        <v>0.25493919022938366</v>
      </c>
      <c r="X112" s="1">
        <v>367.01</v>
      </c>
      <c r="Y112" s="3">
        <f t="shared" si="59"/>
        <v>0.72203423175290182</v>
      </c>
      <c r="Z112" s="1">
        <v>5832</v>
      </c>
      <c r="AA112" s="3">
        <f t="shared" si="60"/>
        <v>0.50275862068965516</v>
      </c>
      <c r="AB112" s="2">
        <v>22576</v>
      </c>
      <c r="AC112" s="2">
        <v>446.86500000000001</v>
      </c>
      <c r="AD112" s="2">
        <f t="shared" si="61"/>
        <v>0.26220448721598999</v>
      </c>
    </row>
    <row r="113" spans="1:30" x14ac:dyDescent="0.3">
      <c r="A113" s="1">
        <v>109</v>
      </c>
      <c r="B113" s="4">
        <v>5000</v>
      </c>
      <c r="C113" s="1">
        <f t="shared" si="46"/>
        <v>0</v>
      </c>
      <c r="D113" s="1">
        <f t="shared" si="47"/>
        <v>5000</v>
      </c>
      <c r="E113" s="3">
        <f t="shared" si="48"/>
        <v>0</v>
      </c>
      <c r="F113" s="1">
        <v>0</v>
      </c>
      <c r="G113" s="3">
        <f t="shared" si="49"/>
        <v>0</v>
      </c>
      <c r="H113" s="1">
        <v>-243.37707069000001</v>
      </c>
      <c r="I113" s="1">
        <f t="shared" si="50"/>
        <v>243.37707069000001</v>
      </c>
      <c r="J113" s="3">
        <f t="shared" si="51"/>
        <v>0.15664633522987487</v>
      </c>
      <c r="K113" s="4">
        <v>-6779.6610170000004</v>
      </c>
      <c r="L113" s="1">
        <f t="shared" si="52"/>
        <v>0</v>
      </c>
      <c r="M113" s="1">
        <f t="shared" si="53"/>
        <v>6779.6610170000004</v>
      </c>
      <c r="N113" s="3">
        <f t="shared" si="54"/>
        <v>0</v>
      </c>
      <c r="O113" s="1">
        <v>1342.4069999999999</v>
      </c>
      <c r="P113" s="1">
        <v>10540.19585</v>
      </c>
      <c r="Q113" s="3">
        <f t="shared" si="55"/>
        <v>11882.602849999999</v>
      </c>
      <c r="R113" s="1">
        <v>0</v>
      </c>
      <c r="S113" s="1">
        <v>1517.77579117</v>
      </c>
      <c r="T113" s="1">
        <f t="shared" si="56"/>
        <v>0</v>
      </c>
      <c r="U113" s="3">
        <f t="shared" si="57"/>
        <v>1</v>
      </c>
      <c r="V113" s="1">
        <v>0</v>
      </c>
      <c r="W113" s="3">
        <f t="shared" si="58"/>
        <v>0</v>
      </c>
      <c r="X113" s="1">
        <v>367.01</v>
      </c>
      <c r="Y113" s="3">
        <f t="shared" si="59"/>
        <v>0.72203423175290182</v>
      </c>
      <c r="Z113" s="1">
        <v>5832</v>
      </c>
      <c r="AA113" s="3">
        <f t="shared" si="60"/>
        <v>0.50275862068965516</v>
      </c>
      <c r="AB113" s="2">
        <v>20942.68845319</v>
      </c>
      <c r="AC113" s="2">
        <v>0</v>
      </c>
      <c r="AD113" s="2">
        <f t="shared" si="61"/>
        <v>0.23851362055907976</v>
      </c>
    </row>
    <row r="114" spans="1:30" x14ac:dyDescent="0.3">
      <c r="A114" s="1">
        <v>110</v>
      </c>
      <c r="B114" s="4">
        <v>5000</v>
      </c>
      <c r="C114" s="1">
        <f t="shared" si="46"/>
        <v>0</v>
      </c>
      <c r="D114" s="1">
        <f t="shared" si="47"/>
        <v>5000</v>
      </c>
      <c r="E114" s="3">
        <f t="shared" si="48"/>
        <v>0</v>
      </c>
      <c r="F114" s="1">
        <v>0</v>
      </c>
      <c r="G114" s="3">
        <f t="shared" si="49"/>
        <v>0</v>
      </c>
      <c r="H114" s="1">
        <v>-243.37707069000001</v>
      </c>
      <c r="I114" s="1">
        <f t="shared" si="50"/>
        <v>243.37707069000001</v>
      </c>
      <c r="J114" s="3">
        <f t="shared" si="51"/>
        <v>0.15664633522987487</v>
      </c>
      <c r="K114" s="4">
        <v>-6779.6610170000004</v>
      </c>
      <c r="L114" s="1">
        <f t="shared" si="52"/>
        <v>0</v>
      </c>
      <c r="M114" s="1">
        <f t="shared" si="53"/>
        <v>6779.6610170000004</v>
      </c>
      <c r="N114" s="3">
        <f t="shared" si="54"/>
        <v>0</v>
      </c>
      <c r="O114" s="1">
        <v>1342.4069999999999</v>
      </c>
      <c r="P114" s="1">
        <v>10540.19585</v>
      </c>
      <c r="Q114" s="3">
        <f t="shared" si="55"/>
        <v>11882.602849999999</v>
      </c>
      <c r="R114" s="1">
        <v>0</v>
      </c>
      <c r="S114" s="1">
        <v>1517.77579117</v>
      </c>
      <c r="T114" s="1">
        <f t="shared" si="56"/>
        <v>0</v>
      </c>
      <c r="U114" s="3">
        <f t="shared" si="57"/>
        <v>1</v>
      </c>
      <c r="V114" s="1">
        <v>794.88</v>
      </c>
      <c r="W114" s="3">
        <f t="shared" si="58"/>
        <v>0.25493919022938366</v>
      </c>
      <c r="X114" s="1">
        <v>367.01</v>
      </c>
      <c r="Y114" s="3">
        <f t="shared" si="59"/>
        <v>0.72203423175290182</v>
      </c>
      <c r="Z114" s="1">
        <v>5832</v>
      </c>
      <c r="AA114" s="3">
        <f t="shared" si="60"/>
        <v>0.50275862068965516</v>
      </c>
      <c r="AB114" s="2">
        <v>28635</v>
      </c>
      <c r="AC114" s="2">
        <v>855.29</v>
      </c>
      <c r="AD114" s="2">
        <f t="shared" si="61"/>
        <v>0.33586116963726442</v>
      </c>
    </row>
    <row r="115" spans="1:30" x14ac:dyDescent="0.3">
      <c r="A115" s="1">
        <v>111</v>
      </c>
      <c r="B115" s="4">
        <v>5000</v>
      </c>
      <c r="C115" s="1">
        <f t="shared" si="46"/>
        <v>0</v>
      </c>
      <c r="D115" s="1">
        <f t="shared" si="47"/>
        <v>5000</v>
      </c>
      <c r="E115" s="3">
        <f t="shared" si="48"/>
        <v>0</v>
      </c>
      <c r="F115" s="1">
        <v>0</v>
      </c>
      <c r="G115" s="3">
        <f t="shared" si="49"/>
        <v>0</v>
      </c>
      <c r="H115" s="1">
        <v>-242.91718878</v>
      </c>
      <c r="I115" s="1">
        <f t="shared" si="50"/>
        <v>242.91718878</v>
      </c>
      <c r="J115" s="3">
        <f t="shared" si="51"/>
        <v>0.15635033850497476</v>
      </c>
      <c r="K115" s="4">
        <v>-6779.6610170000004</v>
      </c>
      <c r="L115" s="1">
        <f t="shared" si="52"/>
        <v>0</v>
      </c>
      <c r="M115" s="1">
        <f t="shared" si="53"/>
        <v>6779.6610170000004</v>
      </c>
      <c r="N115" s="3">
        <f t="shared" si="54"/>
        <v>0</v>
      </c>
      <c r="O115" s="1">
        <v>1342.4069999999999</v>
      </c>
      <c r="P115" s="1">
        <v>10555.905849999999</v>
      </c>
      <c r="Q115" s="3">
        <f t="shared" si="55"/>
        <v>11898.312849999998</v>
      </c>
      <c r="R115" s="1">
        <v>0</v>
      </c>
      <c r="S115" s="1">
        <v>1517.77579117</v>
      </c>
      <c r="T115" s="1">
        <f t="shared" si="56"/>
        <v>0</v>
      </c>
      <c r="U115" s="3">
        <f t="shared" si="57"/>
        <v>1</v>
      </c>
      <c r="V115" s="1">
        <v>0</v>
      </c>
      <c r="W115" s="3">
        <f t="shared" si="58"/>
        <v>0</v>
      </c>
      <c r="X115" s="1">
        <v>367.01</v>
      </c>
      <c r="Y115" s="3">
        <f t="shared" si="59"/>
        <v>0.72203423175290182</v>
      </c>
      <c r="Z115" s="1">
        <v>5832</v>
      </c>
      <c r="AA115" s="3">
        <f t="shared" si="60"/>
        <v>0.50275862068965516</v>
      </c>
      <c r="AB115" s="2">
        <v>26467.085315569999</v>
      </c>
      <c r="AC115" s="2">
        <v>0</v>
      </c>
      <c r="AD115" s="2">
        <f t="shared" si="61"/>
        <v>0.30143027521860938</v>
      </c>
    </row>
    <row r="116" spans="1:30" x14ac:dyDescent="0.3">
      <c r="A116" s="1">
        <v>112</v>
      </c>
      <c r="B116" s="4">
        <v>5000</v>
      </c>
      <c r="C116" s="1">
        <f t="shared" si="46"/>
        <v>0</v>
      </c>
      <c r="D116" s="1">
        <f t="shared" si="47"/>
        <v>5000</v>
      </c>
      <c r="E116" s="3">
        <f t="shared" si="48"/>
        <v>0</v>
      </c>
      <c r="F116" s="1">
        <v>0</v>
      </c>
      <c r="G116" s="3">
        <f t="shared" si="49"/>
        <v>0</v>
      </c>
      <c r="H116" s="1">
        <v>-242.45730687</v>
      </c>
      <c r="I116" s="1">
        <f t="shared" si="50"/>
        <v>242.45730687</v>
      </c>
      <c r="J116" s="3">
        <f t="shared" si="51"/>
        <v>0.15605434178007468</v>
      </c>
      <c r="K116" s="4">
        <v>-6779.6610170000004</v>
      </c>
      <c r="L116" s="1">
        <f t="shared" si="52"/>
        <v>0</v>
      </c>
      <c r="M116" s="1">
        <f t="shared" si="53"/>
        <v>6779.6610170000004</v>
      </c>
      <c r="N116" s="3">
        <f t="shared" si="54"/>
        <v>0</v>
      </c>
      <c r="O116" s="1">
        <v>1342.4069999999999</v>
      </c>
      <c r="P116" s="1">
        <v>10571.61585</v>
      </c>
      <c r="Q116" s="3">
        <f t="shared" si="55"/>
        <v>11914.022849999999</v>
      </c>
      <c r="R116" s="1">
        <v>0</v>
      </c>
      <c r="S116" s="1">
        <v>1517.77579117</v>
      </c>
      <c r="T116" s="1">
        <f t="shared" si="56"/>
        <v>0</v>
      </c>
      <c r="U116" s="3">
        <f t="shared" si="57"/>
        <v>1</v>
      </c>
      <c r="V116" s="1">
        <v>0</v>
      </c>
      <c r="W116" s="3">
        <f t="shared" si="58"/>
        <v>0</v>
      </c>
      <c r="X116" s="1">
        <v>367.01</v>
      </c>
      <c r="Y116" s="3">
        <f t="shared" si="59"/>
        <v>0.72203423175290182</v>
      </c>
      <c r="Z116" s="1">
        <v>5832</v>
      </c>
      <c r="AA116" s="3">
        <f t="shared" si="60"/>
        <v>0.50275862068965516</v>
      </c>
      <c r="AB116" s="2">
        <v>17183.83644255</v>
      </c>
      <c r="AC116" s="2">
        <v>0</v>
      </c>
      <c r="AD116" s="2">
        <f t="shared" si="61"/>
        <v>0.19570453211719152</v>
      </c>
    </row>
    <row r="117" spans="1:30" x14ac:dyDescent="0.3">
      <c r="A117" s="1">
        <v>113</v>
      </c>
      <c r="B117" s="4">
        <v>5000</v>
      </c>
      <c r="C117" s="1">
        <f t="shared" si="46"/>
        <v>0</v>
      </c>
      <c r="D117" s="1">
        <f t="shared" si="47"/>
        <v>5000</v>
      </c>
      <c r="E117" s="3">
        <f t="shared" si="48"/>
        <v>0</v>
      </c>
      <c r="F117" s="1">
        <v>0</v>
      </c>
      <c r="G117" s="3">
        <f t="shared" si="49"/>
        <v>0</v>
      </c>
      <c r="H117" s="1">
        <v>-242.45730687</v>
      </c>
      <c r="I117" s="1">
        <f t="shared" si="50"/>
        <v>242.45730687</v>
      </c>
      <c r="J117" s="3">
        <f t="shared" si="51"/>
        <v>0.15605434178007468</v>
      </c>
      <c r="K117" s="4">
        <v>-6779.6610170000004</v>
      </c>
      <c r="L117" s="1">
        <f t="shared" si="52"/>
        <v>0</v>
      </c>
      <c r="M117" s="1">
        <f t="shared" si="53"/>
        <v>6779.6610170000004</v>
      </c>
      <c r="N117" s="3">
        <f t="shared" si="54"/>
        <v>0</v>
      </c>
      <c r="O117" s="1">
        <v>1342.4069999999999</v>
      </c>
      <c r="P117" s="1">
        <v>10571.61585</v>
      </c>
      <c r="Q117" s="3">
        <f t="shared" si="55"/>
        <v>11914.022849999999</v>
      </c>
      <c r="R117" s="1">
        <v>0</v>
      </c>
      <c r="S117" s="1">
        <v>1517.77579117</v>
      </c>
      <c r="T117" s="1">
        <f t="shared" si="56"/>
        <v>0</v>
      </c>
      <c r="U117" s="3">
        <f t="shared" si="57"/>
        <v>1</v>
      </c>
      <c r="V117" s="1">
        <v>794.88</v>
      </c>
      <c r="W117" s="3">
        <f t="shared" si="58"/>
        <v>0.25493919022938366</v>
      </c>
      <c r="X117" s="1">
        <v>367.01</v>
      </c>
      <c r="Y117" s="3">
        <f t="shared" si="59"/>
        <v>0.72203423175290182</v>
      </c>
      <c r="Z117" s="1">
        <v>5832</v>
      </c>
      <c r="AA117" s="3">
        <f t="shared" si="60"/>
        <v>0.50275862068965516</v>
      </c>
      <c r="AB117" s="2">
        <v>18924</v>
      </c>
      <c r="AC117" s="2">
        <v>403.62</v>
      </c>
      <c r="AD117" s="2">
        <f t="shared" si="61"/>
        <v>0.22011981094470701</v>
      </c>
    </row>
    <row r="118" spans="1:30" x14ac:dyDescent="0.3">
      <c r="A118" s="1">
        <v>114</v>
      </c>
      <c r="B118" s="4">
        <v>5000</v>
      </c>
      <c r="C118" s="1">
        <f t="shared" si="46"/>
        <v>0</v>
      </c>
      <c r="D118" s="1">
        <f t="shared" si="47"/>
        <v>5000</v>
      </c>
      <c r="E118" s="3">
        <f t="shared" si="48"/>
        <v>0</v>
      </c>
      <c r="F118" s="1">
        <v>0</v>
      </c>
      <c r="G118" s="3">
        <f t="shared" si="49"/>
        <v>0</v>
      </c>
      <c r="H118" s="1">
        <v>-572.45730687000002</v>
      </c>
      <c r="I118" s="1">
        <f t="shared" si="50"/>
        <v>572.45730687000002</v>
      </c>
      <c r="J118" s="3">
        <f t="shared" si="51"/>
        <v>0.3684543451135962</v>
      </c>
      <c r="K118" s="4">
        <v>-6779.6610170000004</v>
      </c>
      <c r="L118" s="1">
        <f t="shared" si="52"/>
        <v>0</v>
      </c>
      <c r="M118" s="1">
        <f t="shared" si="53"/>
        <v>6779.6610170000004</v>
      </c>
      <c r="N118" s="3">
        <f t="shared" si="54"/>
        <v>0</v>
      </c>
      <c r="O118" s="1">
        <v>1342.4069999999999</v>
      </c>
      <c r="P118" s="1">
        <v>10571.61585</v>
      </c>
      <c r="Q118" s="3">
        <f t="shared" si="55"/>
        <v>11914.022849999999</v>
      </c>
      <c r="R118" s="1">
        <v>0</v>
      </c>
      <c r="S118" s="1">
        <v>1517.77579117</v>
      </c>
      <c r="T118" s="1">
        <f t="shared" si="56"/>
        <v>0</v>
      </c>
      <c r="U118" s="3">
        <f t="shared" si="57"/>
        <v>1</v>
      </c>
      <c r="V118" s="1">
        <v>794.88</v>
      </c>
      <c r="W118" s="3">
        <f t="shared" si="58"/>
        <v>0.25493919022938366</v>
      </c>
      <c r="X118" s="1">
        <v>367.01</v>
      </c>
      <c r="Y118" s="3">
        <f t="shared" si="59"/>
        <v>0.72203423175290182</v>
      </c>
      <c r="Z118" s="1">
        <v>5832</v>
      </c>
      <c r="AA118" s="3">
        <f t="shared" si="60"/>
        <v>0.50275862068965516</v>
      </c>
      <c r="AB118" s="2">
        <v>4814</v>
      </c>
      <c r="AC118" s="2">
        <v>52.854999999999997</v>
      </c>
      <c r="AD118" s="2">
        <f t="shared" si="61"/>
        <v>5.5427993850008538E-2</v>
      </c>
    </row>
    <row r="119" spans="1:30" x14ac:dyDescent="0.3">
      <c r="A119" s="1">
        <v>115</v>
      </c>
      <c r="B119" s="4">
        <v>5000</v>
      </c>
      <c r="C119" s="1">
        <f t="shared" si="46"/>
        <v>0</v>
      </c>
      <c r="D119" s="1">
        <f t="shared" si="47"/>
        <v>5000</v>
      </c>
      <c r="E119" s="3">
        <f t="shared" si="48"/>
        <v>0</v>
      </c>
      <c r="F119" s="1">
        <v>0</v>
      </c>
      <c r="G119" s="3">
        <f t="shared" si="49"/>
        <v>0</v>
      </c>
      <c r="H119" s="1">
        <v>-572.91718877999995</v>
      </c>
      <c r="I119" s="1">
        <f t="shared" si="50"/>
        <v>572.91718877999995</v>
      </c>
      <c r="J119" s="3">
        <f t="shared" si="51"/>
        <v>0.36875034183849625</v>
      </c>
      <c r="K119" s="4">
        <v>-6779.6610170000004</v>
      </c>
      <c r="L119" s="1">
        <f t="shared" si="52"/>
        <v>0</v>
      </c>
      <c r="M119" s="1">
        <f t="shared" si="53"/>
        <v>6779.6610170000004</v>
      </c>
      <c r="N119" s="3">
        <f t="shared" si="54"/>
        <v>0</v>
      </c>
      <c r="O119" s="1">
        <v>1342.4069999999999</v>
      </c>
      <c r="P119" s="1">
        <v>10555.905849999999</v>
      </c>
      <c r="Q119" s="3">
        <f t="shared" si="55"/>
        <v>11898.312849999998</v>
      </c>
      <c r="R119" s="1">
        <v>0</v>
      </c>
      <c r="S119" s="1">
        <v>1517.77579117</v>
      </c>
      <c r="T119" s="1">
        <f t="shared" si="56"/>
        <v>0</v>
      </c>
      <c r="U119" s="3">
        <f t="shared" si="57"/>
        <v>1</v>
      </c>
      <c r="V119" s="1">
        <v>794.88</v>
      </c>
      <c r="W119" s="3">
        <f t="shared" si="58"/>
        <v>0.25493919022938366</v>
      </c>
      <c r="X119" s="1">
        <v>367.01</v>
      </c>
      <c r="Y119" s="3">
        <f t="shared" si="59"/>
        <v>0.72203423175290182</v>
      </c>
      <c r="Z119" s="1">
        <v>5832</v>
      </c>
      <c r="AA119" s="3">
        <f t="shared" si="60"/>
        <v>0.50275862068965516</v>
      </c>
      <c r="AB119" s="2">
        <v>0</v>
      </c>
      <c r="AC119" s="2">
        <v>0</v>
      </c>
      <c r="AD119" s="2">
        <f t="shared" si="61"/>
        <v>0</v>
      </c>
    </row>
    <row r="120" spans="1:30" x14ac:dyDescent="0.3">
      <c r="A120" s="1">
        <v>116</v>
      </c>
      <c r="B120" s="4">
        <v>5000</v>
      </c>
      <c r="C120" s="1">
        <f t="shared" si="46"/>
        <v>0</v>
      </c>
      <c r="D120" s="1">
        <f t="shared" si="47"/>
        <v>5000</v>
      </c>
      <c r="E120" s="3">
        <f t="shared" si="48"/>
        <v>0</v>
      </c>
      <c r="F120" s="1">
        <v>0</v>
      </c>
      <c r="G120" s="3">
        <f t="shared" si="49"/>
        <v>0</v>
      </c>
      <c r="H120" s="1">
        <v>-903.37707068999998</v>
      </c>
      <c r="I120" s="1">
        <f t="shared" si="50"/>
        <v>903.37707068999998</v>
      </c>
      <c r="J120" s="3">
        <f t="shared" si="51"/>
        <v>0.58144634189691791</v>
      </c>
      <c r="K120" s="4">
        <v>-6779.6610170000004</v>
      </c>
      <c r="L120" s="1">
        <f t="shared" si="52"/>
        <v>0</v>
      </c>
      <c r="M120" s="1">
        <f t="shared" si="53"/>
        <v>6779.6610170000004</v>
      </c>
      <c r="N120" s="3">
        <f t="shared" si="54"/>
        <v>0</v>
      </c>
      <c r="O120" s="1">
        <v>1342.4069999999999</v>
      </c>
      <c r="P120" s="1">
        <v>10540.19585</v>
      </c>
      <c r="Q120" s="3">
        <f t="shared" si="55"/>
        <v>11882.602849999999</v>
      </c>
      <c r="R120" s="1">
        <v>0</v>
      </c>
      <c r="S120" s="1">
        <v>1517.77579117</v>
      </c>
      <c r="T120" s="1">
        <f t="shared" si="56"/>
        <v>0</v>
      </c>
      <c r="U120" s="3">
        <f t="shared" si="57"/>
        <v>1</v>
      </c>
      <c r="V120" s="1">
        <v>794.88</v>
      </c>
      <c r="W120" s="3">
        <f t="shared" si="58"/>
        <v>0.25493919022938366</v>
      </c>
      <c r="X120" s="1">
        <v>367.01</v>
      </c>
      <c r="Y120" s="3">
        <f t="shared" si="59"/>
        <v>0.72203423175290182</v>
      </c>
      <c r="Z120" s="1">
        <v>5832</v>
      </c>
      <c r="AA120" s="3">
        <f t="shared" si="60"/>
        <v>0.50275862068965516</v>
      </c>
      <c r="AB120" s="2">
        <v>0</v>
      </c>
      <c r="AC120" s="2">
        <v>0</v>
      </c>
      <c r="AD120" s="2">
        <f t="shared" si="61"/>
        <v>0</v>
      </c>
    </row>
    <row r="121" spans="1:30" x14ac:dyDescent="0.3">
      <c r="A121" s="1">
        <v>117</v>
      </c>
      <c r="B121" s="4">
        <v>2797.6247696400001</v>
      </c>
      <c r="C121" s="1">
        <f t="shared" si="46"/>
        <v>0</v>
      </c>
      <c r="D121" s="1">
        <f t="shared" si="47"/>
        <v>2797.6247696400001</v>
      </c>
      <c r="E121" s="3">
        <f t="shared" si="48"/>
        <v>0</v>
      </c>
      <c r="F121" s="1">
        <v>0</v>
      </c>
      <c r="G121" s="3">
        <f t="shared" si="49"/>
        <v>0</v>
      </c>
      <c r="H121" s="1">
        <v>-903.83695260000002</v>
      </c>
      <c r="I121" s="1">
        <f t="shared" si="50"/>
        <v>903.83695260000002</v>
      </c>
      <c r="J121" s="3">
        <f t="shared" si="51"/>
        <v>0.58174233862181801</v>
      </c>
      <c r="K121" s="4">
        <v>-6779.6610170000004</v>
      </c>
      <c r="L121" s="1">
        <f t="shared" si="52"/>
        <v>0</v>
      </c>
      <c r="M121" s="1">
        <f t="shared" si="53"/>
        <v>6779.6610170000004</v>
      </c>
      <c r="N121" s="3">
        <f t="shared" si="54"/>
        <v>0</v>
      </c>
      <c r="O121" s="1">
        <v>1342.4069999999999</v>
      </c>
      <c r="P121" s="1">
        <v>10524.485839999999</v>
      </c>
      <c r="Q121" s="3">
        <f t="shared" si="55"/>
        <v>11866.892839999999</v>
      </c>
      <c r="R121" s="1">
        <v>0</v>
      </c>
      <c r="S121" s="1">
        <v>1517.77579117</v>
      </c>
      <c r="T121" s="1">
        <f t="shared" si="56"/>
        <v>0</v>
      </c>
      <c r="U121" s="3">
        <f t="shared" si="57"/>
        <v>1</v>
      </c>
      <c r="V121" s="1">
        <v>794.88</v>
      </c>
      <c r="W121" s="3">
        <f t="shared" si="58"/>
        <v>0.25493919022938366</v>
      </c>
      <c r="X121" s="1">
        <v>367.01</v>
      </c>
      <c r="Y121" s="3">
        <f t="shared" si="59"/>
        <v>0.72203423175290182</v>
      </c>
      <c r="Z121" s="1">
        <v>5832</v>
      </c>
      <c r="AA121" s="3">
        <f t="shared" si="60"/>
        <v>0.50275862068965516</v>
      </c>
      <c r="AB121" s="2">
        <v>0</v>
      </c>
      <c r="AC121" s="2">
        <v>0</v>
      </c>
      <c r="AD121" s="2">
        <f t="shared" si="61"/>
        <v>0</v>
      </c>
    </row>
    <row r="122" spans="1:30" x14ac:dyDescent="0.3">
      <c r="A122" s="1">
        <v>118</v>
      </c>
      <c r="B122" s="4">
        <v>0</v>
      </c>
      <c r="C122" s="1">
        <f t="shared" si="46"/>
        <v>0</v>
      </c>
      <c r="D122" s="1">
        <f t="shared" si="47"/>
        <v>0</v>
      </c>
      <c r="E122" s="3">
        <f t="shared" si="48"/>
        <v>0</v>
      </c>
      <c r="F122" s="1">
        <v>0</v>
      </c>
      <c r="G122" s="3">
        <f t="shared" si="49"/>
        <v>0</v>
      </c>
      <c r="H122" s="1">
        <v>-574.29683451999995</v>
      </c>
      <c r="I122" s="1">
        <f t="shared" si="50"/>
        <v>574.29683451999995</v>
      </c>
      <c r="J122" s="3">
        <f t="shared" si="51"/>
        <v>0.36963833201963286</v>
      </c>
      <c r="K122" s="4">
        <v>-6779.6610170000004</v>
      </c>
      <c r="L122" s="1">
        <f t="shared" si="52"/>
        <v>0</v>
      </c>
      <c r="M122" s="1">
        <f t="shared" si="53"/>
        <v>6779.6610170000004</v>
      </c>
      <c r="N122" s="3">
        <f t="shared" si="54"/>
        <v>0</v>
      </c>
      <c r="O122" s="1">
        <v>1342.4069999999999</v>
      </c>
      <c r="P122" s="1">
        <v>10508.77584</v>
      </c>
      <c r="Q122" s="3">
        <f t="shared" si="55"/>
        <v>11851.182839999999</v>
      </c>
      <c r="R122" s="1">
        <v>0</v>
      </c>
      <c r="S122" s="1">
        <v>1517.77579117</v>
      </c>
      <c r="T122" s="1">
        <f t="shared" si="56"/>
        <v>0</v>
      </c>
      <c r="U122" s="3">
        <f t="shared" si="57"/>
        <v>1</v>
      </c>
      <c r="V122" s="1">
        <v>794.88</v>
      </c>
      <c r="W122" s="3">
        <f t="shared" si="58"/>
        <v>0.25493919022938366</v>
      </c>
      <c r="X122" s="1">
        <v>367.01</v>
      </c>
      <c r="Y122" s="3">
        <f t="shared" si="59"/>
        <v>0.72203423175290182</v>
      </c>
      <c r="Z122" s="1">
        <v>5832</v>
      </c>
      <c r="AA122" s="3">
        <f t="shared" si="60"/>
        <v>0.50275862068965516</v>
      </c>
      <c r="AB122" s="2">
        <v>0</v>
      </c>
      <c r="AC122" s="2">
        <v>0</v>
      </c>
      <c r="AD122" s="2">
        <f t="shared" si="61"/>
        <v>0</v>
      </c>
    </row>
    <row r="123" spans="1:30" x14ac:dyDescent="0.3">
      <c r="A123" s="1">
        <v>119</v>
      </c>
      <c r="B123" s="4">
        <v>29.88274315</v>
      </c>
      <c r="C123" s="1">
        <f t="shared" si="46"/>
        <v>0</v>
      </c>
      <c r="D123" s="1">
        <f t="shared" si="47"/>
        <v>29.88274315</v>
      </c>
      <c r="E123" s="3">
        <f t="shared" si="48"/>
        <v>0</v>
      </c>
      <c r="F123" s="1">
        <v>0</v>
      </c>
      <c r="G123" s="3">
        <f t="shared" si="49"/>
        <v>0</v>
      </c>
      <c r="H123" s="1">
        <v>-904.75671642999998</v>
      </c>
      <c r="I123" s="1">
        <f t="shared" si="50"/>
        <v>904.75671642999998</v>
      </c>
      <c r="J123" s="3">
        <f t="shared" si="51"/>
        <v>0.58233433207805452</v>
      </c>
      <c r="K123" s="4">
        <v>-6779.6610170000004</v>
      </c>
      <c r="L123" s="1">
        <f t="shared" si="52"/>
        <v>0</v>
      </c>
      <c r="M123" s="1">
        <f t="shared" si="53"/>
        <v>6779.6610170000004</v>
      </c>
      <c r="N123" s="3">
        <f t="shared" si="54"/>
        <v>0</v>
      </c>
      <c r="O123" s="1">
        <v>1342.4069999999999</v>
      </c>
      <c r="P123" s="1">
        <v>10493.065839999999</v>
      </c>
      <c r="Q123" s="3">
        <f t="shared" si="55"/>
        <v>11835.472839999999</v>
      </c>
      <c r="R123" s="1">
        <v>0</v>
      </c>
      <c r="S123" s="1">
        <v>1517.77579117</v>
      </c>
      <c r="T123" s="1">
        <f t="shared" si="56"/>
        <v>0</v>
      </c>
      <c r="U123" s="3">
        <f t="shared" si="57"/>
        <v>1</v>
      </c>
      <c r="V123" s="1">
        <v>794.88</v>
      </c>
      <c r="W123" s="3">
        <f t="shared" si="58"/>
        <v>0.25493919022938366</v>
      </c>
      <c r="X123" s="1">
        <v>367.01</v>
      </c>
      <c r="Y123" s="3">
        <f t="shared" si="59"/>
        <v>0.72203423175290182</v>
      </c>
      <c r="Z123" s="1">
        <v>5832</v>
      </c>
      <c r="AA123" s="3">
        <f t="shared" si="60"/>
        <v>0.50275862068965516</v>
      </c>
      <c r="AB123" s="2">
        <v>0</v>
      </c>
      <c r="AC123" s="2">
        <v>0</v>
      </c>
      <c r="AD123" s="2">
        <f t="shared" si="61"/>
        <v>0</v>
      </c>
    </row>
    <row r="124" spans="1:30" x14ac:dyDescent="0.3">
      <c r="A124" s="1">
        <v>120</v>
      </c>
      <c r="B124" s="4">
        <v>2244.1603927199999</v>
      </c>
      <c r="C124" s="1">
        <f t="shared" si="46"/>
        <v>0</v>
      </c>
      <c r="D124" s="1">
        <f t="shared" si="47"/>
        <v>2244.1603927199999</v>
      </c>
      <c r="E124" s="3">
        <f t="shared" si="48"/>
        <v>0</v>
      </c>
      <c r="F124" s="1">
        <v>0</v>
      </c>
      <c r="G124" s="3">
        <f t="shared" si="49"/>
        <v>0</v>
      </c>
      <c r="H124" s="1">
        <v>-574.75671642999998</v>
      </c>
      <c r="I124" s="1">
        <f t="shared" si="50"/>
        <v>574.75671642999998</v>
      </c>
      <c r="J124" s="3">
        <f t="shared" si="51"/>
        <v>0.36993432874453297</v>
      </c>
      <c r="K124" s="4">
        <v>-6779.6610170000004</v>
      </c>
      <c r="L124" s="1">
        <f t="shared" si="52"/>
        <v>0</v>
      </c>
      <c r="M124" s="1">
        <f t="shared" si="53"/>
        <v>6779.6610170000004</v>
      </c>
      <c r="N124" s="3">
        <f t="shared" si="54"/>
        <v>0</v>
      </c>
      <c r="O124" s="1">
        <v>1342.4069999999999</v>
      </c>
      <c r="P124" s="1">
        <v>10493.065839999999</v>
      </c>
      <c r="Q124" s="3">
        <f t="shared" si="55"/>
        <v>11835.472839999999</v>
      </c>
      <c r="R124" s="1">
        <v>0</v>
      </c>
      <c r="S124" s="1">
        <v>1517.77579117</v>
      </c>
      <c r="T124" s="1">
        <f t="shared" si="56"/>
        <v>0</v>
      </c>
      <c r="U124" s="3">
        <f t="shared" si="57"/>
        <v>1</v>
      </c>
      <c r="V124" s="1">
        <v>794.88</v>
      </c>
      <c r="W124" s="3">
        <f t="shared" si="58"/>
        <v>0.25493919022938366</v>
      </c>
      <c r="X124" s="1">
        <v>367.01</v>
      </c>
      <c r="Y124" s="3">
        <f t="shared" si="59"/>
        <v>0.72203423175290182</v>
      </c>
      <c r="Z124" s="1">
        <v>5832</v>
      </c>
      <c r="AA124" s="3">
        <f t="shared" si="60"/>
        <v>0.50275862068965516</v>
      </c>
      <c r="AB124" s="2">
        <v>0</v>
      </c>
      <c r="AC124" s="2">
        <v>0</v>
      </c>
      <c r="AD124" s="2">
        <f t="shared" si="61"/>
        <v>0</v>
      </c>
    </row>
    <row r="125" spans="1:30" x14ac:dyDescent="0.3">
      <c r="A125" s="1">
        <v>121</v>
      </c>
      <c r="B125" s="4">
        <v>5000</v>
      </c>
      <c r="C125" s="1">
        <f t="shared" si="46"/>
        <v>0</v>
      </c>
      <c r="D125" s="1">
        <f t="shared" si="47"/>
        <v>5000</v>
      </c>
      <c r="E125" s="3">
        <f t="shared" si="48"/>
        <v>0</v>
      </c>
      <c r="F125" s="1">
        <v>0</v>
      </c>
      <c r="G125" s="3">
        <f t="shared" si="49"/>
        <v>0</v>
      </c>
      <c r="H125" s="1">
        <v>-244.84032626999999</v>
      </c>
      <c r="I125" s="1">
        <f t="shared" si="50"/>
        <v>244.84032626999999</v>
      </c>
      <c r="J125" s="3">
        <f t="shared" si="51"/>
        <v>0.15758813974523786</v>
      </c>
      <c r="K125" s="4">
        <v>-6779.6610170000004</v>
      </c>
      <c r="L125" s="1">
        <f t="shared" si="52"/>
        <v>0</v>
      </c>
      <c r="M125" s="1">
        <f t="shared" si="53"/>
        <v>6779.6610170000004</v>
      </c>
      <c r="N125" s="3">
        <f t="shared" si="54"/>
        <v>0</v>
      </c>
      <c r="O125" s="1">
        <v>1342.4069999999999</v>
      </c>
      <c r="P125" s="1">
        <v>10490.398579999999</v>
      </c>
      <c r="Q125" s="3">
        <f t="shared" si="55"/>
        <v>11832.805579999998</v>
      </c>
      <c r="R125" s="1">
        <v>0</v>
      </c>
      <c r="S125" s="1">
        <v>1517.77579117</v>
      </c>
      <c r="T125" s="1">
        <f t="shared" si="56"/>
        <v>0</v>
      </c>
      <c r="U125" s="3">
        <f t="shared" si="57"/>
        <v>1</v>
      </c>
      <c r="V125" s="1">
        <v>794.88</v>
      </c>
      <c r="W125" s="3">
        <f t="shared" si="58"/>
        <v>0.25493919022938366</v>
      </c>
      <c r="X125" s="1">
        <v>367.01</v>
      </c>
      <c r="Y125" s="3">
        <f t="shared" si="59"/>
        <v>0.72203423175290182</v>
      </c>
      <c r="Z125" s="1">
        <v>5832</v>
      </c>
      <c r="AA125" s="3">
        <f t="shared" si="60"/>
        <v>0.50275862068965516</v>
      </c>
      <c r="AB125" s="2">
        <v>0</v>
      </c>
      <c r="AC125" s="2">
        <v>0</v>
      </c>
      <c r="AD125" s="2">
        <f t="shared" si="61"/>
        <v>0</v>
      </c>
    </row>
    <row r="126" spans="1:30" x14ac:dyDescent="0.3">
      <c r="A126" s="1">
        <v>122</v>
      </c>
      <c r="B126" s="4">
        <v>5000</v>
      </c>
      <c r="C126" s="1">
        <f t="shared" si="46"/>
        <v>0</v>
      </c>
      <c r="D126" s="1">
        <f t="shared" si="47"/>
        <v>5000</v>
      </c>
      <c r="E126" s="3">
        <f t="shared" si="48"/>
        <v>0</v>
      </c>
      <c r="F126" s="1">
        <v>0</v>
      </c>
      <c r="G126" s="3">
        <f t="shared" si="49"/>
        <v>0</v>
      </c>
      <c r="H126" s="1">
        <v>-282.01795542000002</v>
      </c>
      <c r="I126" s="1">
        <f t="shared" si="50"/>
        <v>282.01795542000002</v>
      </c>
      <c r="J126" s="3">
        <f t="shared" si="51"/>
        <v>0.18151701415551796</v>
      </c>
      <c r="K126" s="4">
        <v>-6779.6610170000004</v>
      </c>
      <c r="L126" s="1">
        <f t="shared" si="52"/>
        <v>0</v>
      </c>
      <c r="M126" s="1">
        <f t="shared" si="53"/>
        <v>6779.6610170000004</v>
      </c>
      <c r="N126" s="3">
        <f t="shared" si="54"/>
        <v>0</v>
      </c>
      <c r="O126" s="1">
        <v>1342.4069999999999</v>
      </c>
      <c r="P126" s="1">
        <v>10490.398579999999</v>
      </c>
      <c r="Q126" s="3">
        <f t="shared" si="55"/>
        <v>11832.805579999998</v>
      </c>
      <c r="R126" s="1">
        <v>0</v>
      </c>
      <c r="S126" s="1">
        <v>1517.77579117</v>
      </c>
      <c r="T126" s="1">
        <f t="shared" si="56"/>
        <v>0</v>
      </c>
      <c r="U126" s="3">
        <f t="shared" si="57"/>
        <v>1</v>
      </c>
      <c r="V126" s="1">
        <v>794.88</v>
      </c>
      <c r="W126" s="3">
        <f t="shared" si="58"/>
        <v>0.25493919022938366</v>
      </c>
      <c r="X126" s="1">
        <v>367.01</v>
      </c>
      <c r="Y126" s="3">
        <f t="shared" si="59"/>
        <v>0.72203423175290182</v>
      </c>
      <c r="Z126" s="1">
        <v>5832</v>
      </c>
      <c r="AA126" s="3">
        <f t="shared" si="60"/>
        <v>0.50275862068965516</v>
      </c>
      <c r="AB126" s="2">
        <v>0</v>
      </c>
      <c r="AC126" s="2">
        <v>0</v>
      </c>
      <c r="AD126" s="2">
        <f t="shared" si="61"/>
        <v>0</v>
      </c>
    </row>
    <row r="127" spans="1:30" x14ac:dyDescent="0.3">
      <c r="A127" s="1">
        <v>123</v>
      </c>
      <c r="B127" s="4">
        <v>5000</v>
      </c>
      <c r="C127" s="1">
        <f t="shared" si="46"/>
        <v>0</v>
      </c>
      <c r="D127" s="1">
        <f t="shared" si="47"/>
        <v>5000</v>
      </c>
      <c r="E127" s="3">
        <f t="shared" si="48"/>
        <v>0</v>
      </c>
      <c r="F127" s="1">
        <v>0</v>
      </c>
      <c r="G127" s="3">
        <f t="shared" si="49"/>
        <v>0</v>
      </c>
      <c r="H127" s="1">
        <v>-574.84032626999999</v>
      </c>
      <c r="I127" s="1">
        <f t="shared" si="50"/>
        <v>574.84032626999999</v>
      </c>
      <c r="J127" s="3">
        <f t="shared" si="51"/>
        <v>0.36998814307875938</v>
      </c>
      <c r="K127" s="4">
        <v>-6779.6610170000004</v>
      </c>
      <c r="L127" s="1">
        <f t="shared" si="52"/>
        <v>0</v>
      </c>
      <c r="M127" s="1">
        <f t="shared" si="53"/>
        <v>6779.6610170000004</v>
      </c>
      <c r="N127" s="3">
        <f t="shared" si="54"/>
        <v>0</v>
      </c>
      <c r="O127" s="1">
        <v>1342.4069999999999</v>
      </c>
      <c r="P127" s="1">
        <v>10490.398579999999</v>
      </c>
      <c r="Q127" s="3">
        <f t="shared" si="55"/>
        <v>11832.805579999998</v>
      </c>
      <c r="R127" s="1">
        <v>0</v>
      </c>
      <c r="S127" s="1">
        <v>1517.77579117</v>
      </c>
      <c r="T127" s="1">
        <f t="shared" si="56"/>
        <v>0</v>
      </c>
      <c r="U127" s="3">
        <f t="shared" si="57"/>
        <v>1</v>
      </c>
      <c r="V127" s="1">
        <v>794.88</v>
      </c>
      <c r="W127" s="3">
        <f t="shared" si="58"/>
        <v>0.25493919022938366</v>
      </c>
      <c r="X127" s="1">
        <v>367.01</v>
      </c>
      <c r="Y127" s="3">
        <f t="shared" si="59"/>
        <v>0.72203423175290182</v>
      </c>
      <c r="Z127" s="1">
        <v>5832</v>
      </c>
      <c r="AA127" s="3">
        <f t="shared" si="60"/>
        <v>0.50275862068965516</v>
      </c>
      <c r="AB127" s="2">
        <v>0</v>
      </c>
      <c r="AC127" s="2">
        <v>0</v>
      </c>
      <c r="AD127" s="2">
        <f t="shared" si="61"/>
        <v>0</v>
      </c>
    </row>
    <row r="128" spans="1:30" x14ac:dyDescent="0.3">
      <c r="A128" s="1">
        <v>124</v>
      </c>
      <c r="B128" s="4">
        <v>5000</v>
      </c>
      <c r="C128" s="1">
        <f t="shared" si="46"/>
        <v>0</v>
      </c>
      <c r="D128" s="1">
        <f t="shared" si="47"/>
        <v>5000</v>
      </c>
      <c r="E128" s="3">
        <f t="shared" si="48"/>
        <v>0</v>
      </c>
      <c r="F128" s="1">
        <v>0</v>
      </c>
      <c r="G128" s="3">
        <f t="shared" si="49"/>
        <v>0</v>
      </c>
      <c r="H128" s="1">
        <v>-244.84032626999999</v>
      </c>
      <c r="I128" s="1">
        <f t="shared" si="50"/>
        <v>244.84032626999999</v>
      </c>
      <c r="J128" s="3">
        <f t="shared" si="51"/>
        <v>0.15758813974523786</v>
      </c>
      <c r="K128" s="4">
        <v>-6779.6610170000004</v>
      </c>
      <c r="L128" s="1">
        <f t="shared" si="52"/>
        <v>0</v>
      </c>
      <c r="M128" s="1">
        <f t="shared" si="53"/>
        <v>6779.6610170000004</v>
      </c>
      <c r="N128" s="3">
        <f t="shared" si="54"/>
        <v>0</v>
      </c>
      <c r="O128" s="1">
        <v>1342.4069999999999</v>
      </c>
      <c r="P128" s="1">
        <v>10490.398579999999</v>
      </c>
      <c r="Q128" s="3">
        <f t="shared" si="55"/>
        <v>11832.805579999998</v>
      </c>
      <c r="R128" s="1">
        <v>0</v>
      </c>
      <c r="S128" s="1">
        <v>1517.77579117</v>
      </c>
      <c r="T128" s="1">
        <f t="shared" si="56"/>
        <v>0</v>
      </c>
      <c r="U128" s="3">
        <f t="shared" si="57"/>
        <v>1</v>
      </c>
      <c r="V128" s="1">
        <v>794.88</v>
      </c>
      <c r="W128" s="3">
        <f t="shared" si="58"/>
        <v>0.25493919022938366</v>
      </c>
      <c r="X128" s="1">
        <v>367.01</v>
      </c>
      <c r="Y128" s="3">
        <f t="shared" si="59"/>
        <v>0.72203423175290182</v>
      </c>
      <c r="Z128" s="1">
        <v>5832</v>
      </c>
      <c r="AA128" s="3">
        <f t="shared" si="60"/>
        <v>0.50275862068965516</v>
      </c>
      <c r="AB128" s="2">
        <v>0</v>
      </c>
      <c r="AC128" s="2">
        <v>0</v>
      </c>
      <c r="AD128" s="2">
        <f t="shared" si="61"/>
        <v>0</v>
      </c>
    </row>
    <row r="129" spans="1:30" x14ac:dyDescent="0.3">
      <c r="A129" s="1">
        <v>125</v>
      </c>
      <c r="B129" s="4">
        <v>5000</v>
      </c>
      <c r="C129" s="1">
        <f t="shared" si="46"/>
        <v>0</v>
      </c>
      <c r="D129" s="1">
        <f t="shared" si="47"/>
        <v>5000</v>
      </c>
      <c r="E129" s="3">
        <f t="shared" si="48"/>
        <v>0</v>
      </c>
      <c r="F129" s="1">
        <v>0</v>
      </c>
      <c r="G129" s="3">
        <f t="shared" si="49"/>
        <v>0</v>
      </c>
      <c r="H129" s="1">
        <v>-243.91259235000001</v>
      </c>
      <c r="I129" s="1">
        <f t="shared" si="50"/>
        <v>243.91259235000001</v>
      </c>
      <c r="J129" s="3">
        <f t="shared" si="51"/>
        <v>0.15699101644917537</v>
      </c>
      <c r="K129" s="4">
        <v>-6779.6610170000004</v>
      </c>
      <c r="L129" s="1">
        <f t="shared" si="52"/>
        <v>0</v>
      </c>
      <c r="M129" s="1">
        <f t="shared" si="53"/>
        <v>6779.6610170000004</v>
      </c>
      <c r="N129" s="3">
        <f t="shared" si="54"/>
        <v>0</v>
      </c>
      <c r="O129" s="1">
        <v>1342.4069999999999</v>
      </c>
      <c r="P129" s="1">
        <v>10522.090850000001</v>
      </c>
      <c r="Q129" s="3">
        <f t="shared" si="55"/>
        <v>11864.49785</v>
      </c>
      <c r="R129" s="1">
        <v>0</v>
      </c>
      <c r="S129" s="1">
        <v>1517.77579117</v>
      </c>
      <c r="T129" s="1">
        <f t="shared" si="56"/>
        <v>0</v>
      </c>
      <c r="U129" s="3">
        <f t="shared" si="57"/>
        <v>1</v>
      </c>
      <c r="V129" s="1">
        <v>794.88</v>
      </c>
      <c r="W129" s="3">
        <f t="shared" si="58"/>
        <v>0.25493919022938366</v>
      </c>
      <c r="X129" s="1">
        <v>367.01</v>
      </c>
      <c r="Y129" s="3">
        <f t="shared" si="59"/>
        <v>0.72203423175290182</v>
      </c>
      <c r="Z129" s="1">
        <v>5832</v>
      </c>
      <c r="AA129" s="3">
        <f t="shared" si="60"/>
        <v>0.50275862068965516</v>
      </c>
      <c r="AB129" s="2">
        <v>0</v>
      </c>
      <c r="AC129" s="2">
        <v>0</v>
      </c>
      <c r="AD129" s="2">
        <f t="shared" si="61"/>
        <v>0</v>
      </c>
    </row>
    <row r="130" spans="1:30" x14ac:dyDescent="0.3">
      <c r="A130" s="1">
        <v>126</v>
      </c>
      <c r="B130" s="4">
        <v>5000</v>
      </c>
      <c r="C130" s="1">
        <f t="shared" si="46"/>
        <v>0</v>
      </c>
      <c r="D130" s="1">
        <f t="shared" si="47"/>
        <v>5000</v>
      </c>
      <c r="E130" s="3">
        <f t="shared" si="48"/>
        <v>0</v>
      </c>
      <c r="F130" s="1">
        <v>0</v>
      </c>
      <c r="G130" s="3">
        <f t="shared" si="49"/>
        <v>0</v>
      </c>
      <c r="H130" s="1">
        <v>-242.98485844000001</v>
      </c>
      <c r="I130" s="1">
        <f t="shared" si="50"/>
        <v>242.98485844000001</v>
      </c>
      <c r="J130" s="3">
        <f t="shared" si="51"/>
        <v>0.15639389315954927</v>
      </c>
      <c r="K130" s="4">
        <v>-6779.6610170000004</v>
      </c>
      <c r="L130" s="1">
        <f t="shared" si="52"/>
        <v>0</v>
      </c>
      <c r="M130" s="1">
        <f t="shared" si="53"/>
        <v>6779.6610170000004</v>
      </c>
      <c r="N130" s="3">
        <f t="shared" si="54"/>
        <v>0</v>
      </c>
      <c r="O130" s="1">
        <v>1342.4069999999999</v>
      </c>
      <c r="P130" s="1">
        <v>10553.78311</v>
      </c>
      <c r="Q130" s="3">
        <f t="shared" si="55"/>
        <v>11896.19011</v>
      </c>
      <c r="R130" s="1">
        <v>0</v>
      </c>
      <c r="S130" s="1">
        <v>1517.77579117</v>
      </c>
      <c r="T130" s="1">
        <f t="shared" si="56"/>
        <v>0</v>
      </c>
      <c r="U130" s="3">
        <f t="shared" si="57"/>
        <v>1</v>
      </c>
      <c r="V130" s="1">
        <v>794.88</v>
      </c>
      <c r="W130" s="3">
        <f t="shared" si="58"/>
        <v>0.25493919022938366</v>
      </c>
      <c r="X130" s="1">
        <v>367.01</v>
      </c>
      <c r="Y130" s="3">
        <f t="shared" si="59"/>
        <v>0.72203423175290182</v>
      </c>
      <c r="Z130" s="1">
        <v>5832</v>
      </c>
      <c r="AA130" s="3">
        <f t="shared" si="60"/>
        <v>0.50275862068965516</v>
      </c>
      <c r="AB130" s="2">
        <v>0</v>
      </c>
      <c r="AC130" s="2">
        <v>0</v>
      </c>
      <c r="AD130" s="2">
        <f t="shared" si="61"/>
        <v>0</v>
      </c>
    </row>
    <row r="131" spans="1:30" x14ac:dyDescent="0.3">
      <c r="A131" s="1">
        <v>127</v>
      </c>
      <c r="B131" s="4">
        <v>5000</v>
      </c>
      <c r="C131" s="1">
        <f t="shared" si="46"/>
        <v>0</v>
      </c>
      <c r="D131" s="1">
        <f t="shared" si="47"/>
        <v>5000</v>
      </c>
      <c r="E131" s="3">
        <f t="shared" si="48"/>
        <v>0</v>
      </c>
      <c r="F131" s="1">
        <v>0</v>
      </c>
      <c r="G131" s="3">
        <f t="shared" si="49"/>
        <v>0</v>
      </c>
      <c r="H131" s="1">
        <v>-242.52099147999999</v>
      </c>
      <c r="I131" s="1">
        <f t="shared" si="50"/>
        <v>242.52099147999999</v>
      </c>
      <c r="J131" s="3">
        <f t="shared" si="51"/>
        <v>0.156095331511518</v>
      </c>
      <c r="K131" s="4">
        <v>-6779.6610170000004</v>
      </c>
      <c r="L131" s="1">
        <f t="shared" si="52"/>
        <v>0</v>
      </c>
      <c r="M131" s="1">
        <f t="shared" si="53"/>
        <v>6779.6610170000004</v>
      </c>
      <c r="N131" s="3">
        <f t="shared" si="54"/>
        <v>0</v>
      </c>
      <c r="O131" s="1">
        <v>1342.4069999999999</v>
      </c>
      <c r="P131" s="1">
        <v>10569.62925</v>
      </c>
      <c r="Q131" s="3">
        <f t="shared" si="55"/>
        <v>11912.036249999999</v>
      </c>
      <c r="R131" s="1">
        <v>0</v>
      </c>
      <c r="S131" s="1">
        <v>1517.77579117</v>
      </c>
      <c r="T131" s="1">
        <f t="shared" si="56"/>
        <v>0</v>
      </c>
      <c r="U131" s="3">
        <f t="shared" si="57"/>
        <v>1</v>
      </c>
      <c r="V131" s="1">
        <v>794.88</v>
      </c>
      <c r="W131" s="3">
        <f t="shared" si="58"/>
        <v>0.25493919022938366</v>
      </c>
      <c r="X131" s="1">
        <v>367.01</v>
      </c>
      <c r="Y131" s="3">
        <f t="shared" si="59"/>
        <v>0.72203423175290182</v>
      </c>
      <c r="Z131" s="1">
        <v>5832</v>
      </c>
      <c r="AA131" s="3">
        <f t="shared" si="60"/>
        <v>0.50275862068965516</v>
      </c>
      <c r="AB131" s="2">
        <v>0</v>
      </c>
      <c r="AC131" s="2">
        <v>0</v>
      </c>
      <c r="AD131" s="2">
        <f t="shared" si="61"/>
        <v>0</v>
      </c>
    </row>
    <row r="132" spans="1:30" x14ac:dyDescent="0.3">
      <c r="A132" s="1">
        <v>128</v>
      </c>
      <c r="B132" s="4">
        <v>5000</v>
      </c>
      <c r="C132" s="1">
        <f t="shared" si="46"/>
        <v>0</v>
      </c>
      <c r="D132" s="1">
        <f t="shared" si="47"/>
        <v>5000</v>
      </c>
      <c r="E132" s="3">
        <f t="shared" si="48"/>
        <v>0</v>
      </c>
      <c r="F132" s="1">
        <v>0</v>
      </c>
      <c r="G132" s="3">
        <f t="shared" si="49"/>
        <v>0</v>
      </c>
      <c r="H132" s="1">
        <v>-572.98485844000004</v>
      </c>
      <c r="I132" s="1">
        <f t="shared" si="50"/>
        <v>572.98485844000004</v>
      </c>
      <c r="J132" s="3">
        <f t="shared" si="51"/>
        <v>0.36879389649307076</v>
      </c>
      <c r="K132" s="4">
        <v>-6779.6610170000004</v>
      </c>
      <c r="L132" s="1">
        <f t="shared" si="52"/>
        <v>0</v>
      </c>
      <c r="M132" s="1">
        <f t="shared" si="53"/>
        <v>6779.6610170000004</v>
      </c>
      <c r="N132" s="3">
        <f t="shared" si="54"/>
        <v>0</v>
      </c>
      <c r="O132" s="1">
        <v>1342.4069999999999</v>
      </c>
      <c r="P132" s="1">
        <v>10553.78311</v>
      </c>
      <c r="Q132" s="3">
        <f t="shared" si="55"/>
        <v>11896.19011</v>
      </c>
      <c r="R132" s="1">
        <v>0</v>
      </c>
      <c r="S132" s="1">
        <v>1517.77579117</v>
      </c>
      <c r="T132" s="1">
        <f t="shared" si="56"/>
        <v>0</v>
      </c>
      <c r="U132" s="3">
        <f t="shared" si="57"/>
        <v>1</v>
      </c>
      <c r="V132" s="1">
        <v>794.88</v>
      </c>
      <c r="W132" s="3">
        <f t="shared" si="58"/>
        <v>0.25493919022938366</v>
      </c>
      <c r="X132" s="1">
        <v>367.01</v>
      </c>
      <c r="Y132" s="3">
        <f t="shared" si="59"/>
        <v>0.72203423175290182</v>
      </c>
      <c r="Z132" s="1">
        <v>5832</v>
      </c>
      <c r="AA132" s="3">
        <f t="shared" si="60"/>
        <v>0.50275862068965516</v>
      </c>
      <c r="AB132" s="2">
        <v>0</v>
      </c>
      <c r="AC132" s="2">
        <v>0</v>
      </c>
      <c r="AD132" s="2">
        <f t="shared" si="61"/>
        <v>0</v>
      </c>
    </row>
    <row r="133" spans="1:30" x14ac:dyDescent="0.3">
      <c r="A133" s="1">
        <v>129</v>
      </c>
      <c r="B133" s="4">
        <v>5000</v>
      </c>
      <c r="C133" s="1">
        <f t="shared" si="46"/>
        <v>0</v>
      </c>
      <c r="D133" s="1">
        <f t="shared" ref="D133:D164" si="62">IF(B133&gt;0,B133,0)</f>
        <v>5000</v>
      </c>
      <c r="E133" s="3">
        <f t="shared" ref="E133:E164" si="63">C133/$C$2</f>
        <v>0</v>
      </c>
      <c r="F133" s="1">
        <v>0</v>
      </c>
      <c r="G133" s="3">
        <f t="shared" ref="G133:G164" si="64">IF(F133&gt;0,F133,0)</f>
        <v>0</v>
      </c>
      <c r="H133" s="1">
        <v>-572.98485844000004</v>
      </c>
      <c r="I133" s="1">
        <f t="shared" ref="I133:I164" si="65">IF(H133&lt;0,-H133,0)</f>
        <v>572.98485844000004</v>
      </c>
      <c r="J133" s="3">
        <f t="shared" ref="J133:J164" si="66">I133/$G$2</f>
        <v>0.36879389649307076</v>
      </c>
      <c r="K133" s="4">
        <v>-6779.6610170000004</v>
      </c>
      <c r="L133" s="1">
        <f t="shared" ref="L133:L164" si="67">IF(K133&gt;0,K133,0)</f>
        <v>0</v>
      </c>
      <c r="M133" s="1">
        <f t="shared" ref="M133:M164" si="68">IF(K133&lt;0,-K133,0)</f>
        <v>6779.6610170000004</v>
      </c>
      <c r="N133" s="3">
        <f t="shared" ref="N133:N164" si="69">L133/$F$2</f>
        <v>0</v>
      </c>
      <c r="O133" s="1">
        <v>1342.4069999999999</v>
      </c>
      <c r="P133" s="1">
        <v>10553.78311</v>
      </c>
      <c r="Q133" s="3">
        <f t="shared" ref="Q133:Q164" si="70">O133+P133</f>
        <v>11896.19011</v>
      </c>
      <c r="R133" s="1">
        <v>0</v>
      </c>
      <c r="S133" s="1">
        <v>1517.77579117</v>
      </c>
      <c r="T133" s="1">
        <f t="shared" ref="T133:T164" si="71">R133/$S$2</f>
        <v>0</v>
      </c>
      <c r="U133" s="3">
        <f t="shared" ref="U133:U164" si="72">S133/$T$2</f>
        <v>1</v>
      </c>
      <c r="V133" s="1">
        <v>794.88</v>
      </c>
      <c r="W133" s="3">
        <f t="shared" ref="W133:W164" si="73">V133/$U$2</f>
        <v>0.25493919022938366</v>
      </c>
      <c r="X133" s="1">
        <v>367.01</v>
      </c>
      <c r="Y133" s="3">
        <f t="shared" ref="Y133:Y164" si="74">X133/$V$2</f>
        <v>0.72203423175290182</v>
      </c>
      <c r="Z133" s="1">
        <v>5832</v>
      </c>
      <c r="AA133" s="3">
        <f t="shared" ref="AA133:AA164" si="75">Z133/$W$2</f>
        <v>0.50275862068965516</v>
      </c>
      <c r="AB133" s="2">
        <v>0</v>
      </c>
      <c r="AC133" s="2">
        <v>0</v>
      </c>
      <c r="AD133" s="2">
        <f t="shared" ref="AD133:AD164" si="76">SUM(AB133:AC133)/$X$2</f>
        <v>0</v>
      </c>
    </row>
    <row r="134" spans="1:30" x14ac:dyDescent="0.3">
      <c r="A134" s="1">
        <v>130</v>
      </c>
      <c r="B134" s="4">
        <v>5000</v>
      </c>
      <c r="C134" s="1">
        <f t="shared" ref="C134:C172" si="77">IF(B134&lt;0,B134,0)</f>
        <v>0</v>
      </c>
      <c r="D134" s="1">
        <f t="shared" si="62"/>
        <v>5000</v>
      </c>
      <c r="E134" s="3">
        <f t="shared" si="63"/>
        <v>0</v>
      </c>
      <c r="F134" s="1">
        <v>0</v>
      </c>
      <c r="G134" s="3">
        <f t="shared" si="64"/>
        <v>0</v>
      </c>
      <c r="H134" s="1">
        <v>-242.98485844000001</v>
      </c>
      <c r="I134" s="1">
        <f t="shared" si="65"/>
        <v>242.98485844000001</v>
      </c>
      <c r="J134" s="3">
        <f t="shared" si="66"/>
        <v>0.15639389315954927</v>
      </c>
      <c r="K134" s="4">
        <v>-6779.6610170000004</v>
      </c>
      <c r="L134" s="1">
        <f t="shared" si="67"/>
        <v>0</v>
      </c>
      <c r="M134" s="1">
        <f t="shared" si="68"/>
        <v>6779.6610170000004</v>
      </c>
      <c r="N134" s="3">
        <f t="shared" si="69"/>
        <v>0</v>
      </c>
      <c r="O134" s="1">
        <v>1342.4069999999999</v>
      </c>
      <c r="P134" s="1">
        <v>10553.78311</v>
      </c>
      <c r="Q134" s="3">
        <f t="shared" si="70"/>
        <v>11896.19011</v>
      </c>
      <c r="R134" s="1">
        <v>0</v>
      </c>
      <c r="S134" s="1">
        <v>1517.77579117</v>
      </c>
      <c r="T134" s="1">
        <f t="shared" si="71"/>
        <v>0</v>
      </c>
      <c r="U134" s="3">
        <f t="shared" si="72"/>
        <v>1</v>
      </c>
      <c r="V134" s="1">
        <v>794.88</v>
      </c>
      <c r="W134" s="3">
        <f t="shared" si="73"/>
        <v>0.25493919022938366</v>
      </c>
      <c r="X134" s="1">
        <v>367.01</v>
      </c>
      <c r="Y134" s="3">
        <f t="shared" si="74"/>
        <v>0.72203423175290182</v>
      </c>
      <c r="Z134" s="1">
        <v>5832</v>
      </c>
      <c r="AA134" s="3">
        <f t="shared" si="75"/>
        <v>0.50275862068965516</v>
      </c>
      <c r="AB134" s="2">
        <v>9960</v>
      </c>
      <c r="AC134" s="2">
        <v>389.20499999999998</v>
      </c>
      <c r="AD134" s="2">
        <f t="shared" si="76"/>
        <v>0.11786578213085815</v>
      </c>
    </row>
    <row r="135" spans="1:30" x14ac:dyDescent="0.3">
      <c r="A135" s="1">
        <v>131</v>
      </c>
      <c r="B135" s="4">
        <v>5000</v>
      </c>
      <c r="C135" s="1">
        <f t="shared" si="77"/>
        <v>0</v>
      </c>
      <c r="D135" s="1">
        <f t="shared" si="62"/>
        <v>5000</v>
      </c>
      <c r="E135" s="3">
        <f t="shared" si="63"/>
        <v>0</v>
      </c>
      <c r="F135" s="1">
        <v>0</v>
      </c>
      <c r="G135" s="3">
        <f t="shared" si="64"/>
        <v>0</v>
      </c>
      <c r="H135" s="1">
        <v>-242.98485844000001</v>
      </c>
      <c r="I135" s="1">
        <f t="shared" si="65"/>
        <v>242.98485844000001</v>
      </c>
      <c r="J135" s="3">
        <f t="shared" si="66"/>
        <v>0.15639389315954927</v>
      </c>
      <c r="K135" s="4">
        <v>-6779.6610170000004</v>
      </c>
      <c r="L135" s="1">
        <f t="shared" si="67"/>
        <v>0</v>
      </c>
      <c r="M135" s="1">
        <f t="shared" si="68"/>
        <v>6779.6610170000004</v>
      </c>
      <c r="N135" s="3">
        <f t="shared" si="69"/>
        <v>0</v>
      </c>
      <c r="O135" s="1">
        <v>1342.4069999999999</v>
      </c>
      <c r="P135" s="1">
        <v>10553.78311</v>
      </c>
      <c r="Q135" s="3">
        <f t="shared" si="70"/>
        <v>11896.19011</v>
      </c>
      <c r="R135" s="1">
        <v>0</v>
      </c>
      <c r="S135" s="1">
        <v>1517.77579117</v>
      </c>
      <c r="T135" s="1">
        <f t="shared" si="71"/>
        <v>0</v>
      </c>
      <c r="U135" s="3">
        <f t="shared" si="72"/>
        <v>1</v>
      </c>
      <c r="V135" s="1">
        <v>794.88</v>
      </c>
      <c r="W135" s="3">
        <f t="shared" si="73"/>
        <v>0.25493919022938366</v>
      </c>
      <c r="X135" s="1">
        <v>367.01</v>
      </c>
      <c r="Y135" s="3">
        <f t="shared" si="74"/>
        <v>0.72203423175290182</v>
      </c>
      <c r="Z135" s="1">
        <v>5832</v>
      </c>
      <c r="AA135" s="3">
        <f t="shared" si="75"/>
        <v>0.50275862068965516</v>
      </c>
      <c r="AB135" s="2">
        <v>25398</v>
      </c>
      <c r="AC135" s="2">
        <v>1037.8800000000001</v>
      </c>
      <c r="AD135" s="2">
        <f t="shared" si="76"/>
        <v>0.3010748818404419</v>
      </c>
    </row>
    <row r="136" spans="1:30" x14ac:dyDescent="0.3">
      <c r="A136" s="1">
        <v>132</v>
      </c>
      <c r="B136" s="4">
        <v>5000</v>
      </c>
      <c r="C136" s="1">
        <f t="shared" si="77"/>
        <v>0</v>
      </c>
      <c r="D136" s="1">
        <f t="shared" si="62"/>
        <v>5000</v>
      </c>
      <c r="E136" s="3">
        <f t="shared" si="63"/>
        <v>0</v>
      </c>
      <c r="F136" s="1">
        <v>0</v>
      </c>
      <c r="G136" s="3">
        <f t="shared" si="64"/>
        <v>0</v>
      </c>
      <c r="H136" s="1">
        <v>-242.52099147999999</v>
      </c>
      <c r="I136" s="1">
        <f t="shared" si="65"/>
        <v>242.52099147999999</v>
      </c>
      <c r="J136" s="3">
        <f t="shared" si="66"/>
        <v>0.156095331511518</v>
      </c>
      <c r="K136" s="4">
        <v>-6779.6610170000004</v>
      </c>
      <c r="L136" s="1">
        <f t="shared" si="67"/>
        <v>0</v>
      </c>
      <c r="M136" s="1">
        <f t="shared" si="68"/>
        <v>6779.6610170000004</v>
      </c>
      <c r="N136" s="3">
        <f t="shared" si="69"/>
        <v>0</v>
      </c>
      <c r="O136" s="1">
        <v>1342.4069999999999</v>
      </c>
      <c r="P136" s="1">
        <v>10569.62925</v>
      </c>
      <c r="Q136" s="3">
        <f t="shared" si="70"/>
        <v>11912.036249999999</v>
      </c>
      <c r="R136" s="1">
        <v>0</v>
      </c>
      <c r="S136" s="1">
        <v>1517.77579117</v>
      </c>
      <c r="T136" s="1">
        <f t="shared" si="71"/>
        <v>0</v>
      </c>
      <c r="U136" s="3">
        <f t="shared" si="72"/>
        <v>1</v>
      </c>
      <c r="V136" s="1">
        <v>794.88</v>
      </c>
      <c r="W136" s="3">
        <f t="shared" si="73"/>
        <v>0.25493919022938366</v>
      </c>
      <c r="X136" s="1">
        <v>367.01</v>
      </c>
      <c r="Y136" s="3">
        <f t="shared" si="74"/>
        <v>0.72203423175290182</v>
      </c>
      <c r="Z136" s="1">
        <v>5832</v>
      </c>
      <c r="AA136" s="3">
        <f t="shared" si="75"/>
        <v>0.50275862068965516</v>
      </c>
      <c r="AB136" s="2">
        <v>30959</v>
      </c>
      <c r="AC136" s="2">
        <v>1729.8</v>
      </c>
      <c r="AD136" s="2">
        <f t="shared" si="76"/>
        <v>0.37228859404361936</v>
      </c>
    </row>
    <row r="137" spans="1:30" x14ac:dyDescent="0.3">
      <c r="A137" s="1">
        <v>133</v>
      </c>
      <c r="B137" s="4">
        <v>5000</v>
      </c>
      <c r="C137" s="1">
        <f t="shared" si="77"/>
        <v>0</v>
      </c>
      <c r="D137" s="1">
        <f t="shared" si="62"/>
        <v>5000</v>
      </c>
      <c r="E137" s="3">
        <f t="shared" si="63"/>
        <v>0</v>
      </c>
      <c r="F137" s="1">
        <v>0</v>
      </c>
      <c r="G137" s="3">
        <f t="shared" si="64"/>
        <v>0</v>
      </c>
      <c r="H137" s="1">
        <v>-242.98485844000001</v>
      </c>
      <c r="I137" s="1">
        <f t="shared" si="65"/>
        <v>242.98485844000001</v>
      </c>
      <c r="J137" s="3">
        <f t="shared" si="66"/>
        <v>0.15639389315954927</v>
      </c>
      <c r="K137" s="4">
        <v>-6779.6610170000004</v>
      </c>
      <c r="L137" s="1">
        <f t="shared" si="67"/>
        <v>0</v>
      </c>
      <c r="M137" s="1">
        <f t="shared" si="68"/>
        <v>6779.6610170000004</v>
      </c>
      <c r="N137" s="3">
        <f t="shared" si="69"/>
        <v>0</v>
      </c>
      <c r="O137" s="1">
        <v>1342.4069999999999</v>
      </c>
      <c r="P137" s="1">
        <v>10553.78311</v>
      </c>
      <c r="Q137" s="3">
        <f t="shared" si="70"/>
        <v>11896.19011</v>
      </c>
      <c r="R137" s="1">
        <v>0</v>
      </c>
      <c r="S137" s="1">
        <v>1517.77579117</v>
      </c>
      <c r="T137" s="1">
        <f t="shared" si="71"/>
        <v>0</v>
      </c>
      <c r="U137" s="3">
        <f t="shared" si="72"/>
        <v>1</v>
      </c>
      <c r="V137" s="1">
        <v>794.88</v>
      </c>
      <c r="W137" s="3">
        <f t="shared" si="73"/>
        <v>0.25493919022938366</v>
      </c>
      <c r="X137" s="1">
        <v>367.01</v>
      </c>
      <c r="Y137" s="3">
        <f t="shared" si="74"/>
        <v>0.72203423175290182</v>
      </c>
      <c r="Z137" s="1">
        <v>5832</v>
      </c>
      <c r="AA137" s="3">
        <f t="shared" si="75"/>
        <v>0.50275862068965516</v>
      </c>
      <c r="AB137" s="2">
        <v>31872</v>
      </c>
      <c r="AC137" s="2">
        <v>2200.69</v>
      </c>
      <c r="AD137" s="2">
        <f t="shared" si="76"/>
        <v>0.38804954159785893</v>
      </c>
    </row>
    <row r="138" spans="1:30" x14ac:dyDescent="0.3">
      <c r="A138" s="1">
        <v>134</v>
      </c>
      <c r="B138" s="4">
        <v>5000</v>
      </c>
      <c r="C138" s="1">
        <f t="shared" si="77"/>
        <v>0</v>
      </c>
      <c r="D138" s="1">
        <f t="shared" si="62"/>
        <v>5000</v>
      </c>
      <c r="E138" s="3">
        <f t="shared" si="63"/>
        <v>0</v>
      </c>
      <c r="F138" s="1">
        <v>0</v>
      </c>
      <c r="G138" s="3">
        <f t="shared" si="64"/>
        <v>0</v>
      </c>
      <c r="H138" s="1">
        <v>-242.98485844000001</v>
      </c>
      <c r="I138" s="1">
        <f t="shared" si="65"/>
        <v>242.98485844000001</v>
      </c>
      <c r="J138" s="3">
        <f t="shared" si="66"/>
        <v>0.15639389315954927</v>
      </c>
      <c r="K138" s="4">
        <v>-6779.6610170000004</v>
      </c>
      <c r="L138" s="1">
        <f t="shared" si="67"/>
        <v>0</v>
      </c>
      <c r="M138" s="1">
        <f t="shared" si="68"/>
        <v>6779.6610170000004</v>
      </c>
      <c r="N138" s="3">
        <f t="shared" si="69"/>
        <v>0</v>
      </c>
      <c r="O138" s="1">
        <v>1342.4069999999999</v>
      </c>
      <c r="P138" s="1">
        <v>10553.78311</v>
      </c>
      <c r="Q138" s="3">
        <f t="shared" si="70"/>
        <v>11896.19011</v>
      </c>
      <c r="R138" s="1">
        <v>0</v>
      </c>
      <c r="S138" s="1">
        <v>1517.77579117</v>
      </c>
      <c r="T138" s="1">
        <f t="shared" si="71"/>
        <v>0</v>
      </c>
      <c r="U138" s="3">
        <f t="shared" si="72"/>
        <v>1</v>
      </c>
      <c r="V138" s="1">
        <v>794.88</v>
      </c>
      <c r="W138" s="3">
        <f t="shared" si="73"/>
        <v>0.25493919022938366</v>
      </c>
      <c r="X138" s="1">
        <v>367.01</v>
      </c>
      <c r="Y138" s="3">
        <f t="shared" si="74"/>
        <v>0.72203423175290182</v>
      </c>
      <c r="Z138" s="1">
        <v>5832</v>
      </c>
      <c r="AA138" s="3">
        <f t="shared" si="75"/>
        <v>0.50275862068965516</v>
      </c>
      <c r="AB138" s="2">
        <v>31376.143833949998</v>
      </c>
      <c r="AC138" s="2">
        <v>0</v>
      </c>
      <c r="AD138" s="2">
        <f t="shared" si="76"/>
        <v>0.35733891958259778</v>
      </c>
    </row>
    <row r="139" spans="1:30" x14ac:dyDescent="0.3">
      <c r="A139" s="1">
        <v>135</v>
      </c>
      <c r="B139" s="4">
        <v>5000</v>
      </c>
      <c r="C139" s="1">
        <f t="shared" si="77"/>
        <v>0</v>
      </c>
      <c r="D139" s="1">
        <f t="shared" si="62"/>
        <v>5000</v>
      </c>
      <c r="E139" s="3">
        <f t="shared" si="63"/>
        <v>0</v>
      </c>
      <c r="F139" s="1">
        <v>0</v>
      </c>
      <c r="G139" s="3">
        <f t="shared" si="64"/>
        <v>0</v>
      </c>
      <c r="H139" s="1">
        <v>-242.52099147999999</v>
      </c>
      <c r="I139" s="1">
        <f t="shared" si="65"/>
        <v>242.52099147999999</v>
      </c>
      <c r="J139" s="3">
        <f t="shared" si="66"/>
        <v>0.156095331511518</v>
      </c>
      <c r="K139" s="4">
        <v>-6779.6610170000004</v>
      </c>
      <c r="L139" s="1">
        <f t="shared" si="67"/>
        <v>0</v>
      </c>
      <c r="M139" s="1">
        <f t="shared" si="68"/>
        <v>6779.6610170000004</v>
      </c>
      <c r="N139" s="3">
        <f t="shared" si="69"/>
        <v>0</v>
      </c>
      <c r="O139" s="1">
        <v>1342.4069999999999</v>
      </c>
      <c r="P139" s="1">
        <v>10569.62925</v>
      </c>
      <c r="Q139" s="3">
        <f t="shared" si="70"/>
        <v>11912.036249999999</v>
      </c>
      <c r="R139" s="1">
        <v>0</v>
      </c>
      <c r="S139" s="1">
        <v>1517.77579117</v>
      </c>
      <c r="T139" s="1">
        <f t="shared" si="71"/>
        <v>0</v>
      </c>
      <c r="U139" s="3">
        <f t="shared" si="72"/>
        <v>1</v>
      </c>
      <c r="V139" s="1">
        <v>794.88</v>
      </c>
      <c r="W139" s="3">
        <f t="shared" si="73"/>
        <v>0.25493919022938366</v>
      </c>
      <c r="X139" s="1">
        <v>367.01</v>
      </c>
      <c r="Y139" s="3">
        <f t="shared" si="74"/>
        <v>0.72203423175290182</v>
      </c>
      <c r="Z139" s="1">
        <v>5832</v>
      </c>
      <c r="AA139" s="3">
        <f t="shared" si="75"/>
        <v>0.50275862068965516</v>
      </c>
      <c r="AB139" s="2">
        <v>30627</v>
      </c>
      <c r="AC139" s="2">
        <v>2003.6849999999999</v>
      </c>
      <c r="AD139" s="2">
        <f t="shared" si="76"/>
        <v>0.37162672968509769</v>
      </c>
    </row>
    <row r="140" spans="1:30" x14ac:dyDescent="0.3">
      <c r="A140" s="1">
        <v>136</v>
      </c>
      <c r="B140" s="4">
        <v>5000</v>
      </c>
      <c r="C140" s="1">
        <f t="shared" si="77"/>
        <v>0</v>
      </c>
      <c r="D140" s="1">
        <f t="shared" si="62"/>
        <v>5000</v>
      </c>
      <c r="E140" s="3">
        <f t="shared" si="63"/>
        <v>0</v>
      </c>
      <c r="F140" s="1">
        <v>0</v>
      </c>
      <c r="G140" s="3">
        <f t="shared" si="64"/>
        <v>0</v>
      </c>
      <c r="H140" s="1">
        <v>-242.98485844000001</v>
      </c>
      <c r="I140" s="1">
        <f t="shared" si="65"/>
        <v>242.98485844000001</v>
      </c>
      <c r="J140" s="3">
        <f t="shared" si="66"/>
        <v>0.15639389315954927</v>
      </c>
      <c r="K140" s="4">
        <v>-6779.6610170000004</v>
      </c>
      <c r="L140" s="1">
        <f t="shared" si="67"/>
        <v>0</v>
      </c>
      <c r="M140" s="1">
        <f t="shared" si="68"/>
        <v>6779.6610170000004</v>
      </c>
      <c r="N140" s="3">
        <f t="shared" si="69"/>
        <v>0</v>
      </c>
      <c r="O140" s="1">
        <v>1342.4069999999999</v>
      </c>
      <c r="P140" s="1">
        <v>10553.78311</v>
      </c>
      <c r="Q140" s="3">
        <f t="shared" si="70"/>
        <v>11896.19011</v>
      </c>
      <c r="R140" s="1">
        <v>0</v>
      </c>
      <c r="S140" s="1">
        <v>1517.77579117</v>
      </c>
      <c r="T140" s="1">
        <f t="shared" si="71"/>
        <v>0</v>
      </c>
      <c r="U140" s="3">
        <f t="shared" si="72"/>
        <v>1</v>
      </c>
      <c r="V140" s="1">
        <v>794.88</v>
      </c>
      <c r="W140" s="3">
        <f t="shared" si="73"/>
        <v>0.25493919022938366</v>
      </c>
      <c r="X140" s="1">
        <v>367.01</v>
      </c>
      <c r="Y140" s="3">
        <f t="shared" si="74"/>
        <v>0.72203423175290182</v>
      </c>
      <c r="Z140" s="1">
        <v>5832</v>
      </c>
      <c r="AA140" s="3">
        <f t="shared" si="75"/>
        <v>0.50275862068965516</v>
      </c>
      <c r="AB140" s="2">
        <v>28137</v>
      </c>
      <c r="AC140" s="2">
        <v>1388.645</v>
      </c>
      <c r="AD140" s="2">
        <f t="shared" si="76"/>
        <v>0.33626382324468995</v>
      </c>
    </row>
    <row r="141" spans="1:30" x14ac:dyDescent="0.3">
      <c r="A141" s="1">
        <v>137</v>
      </c>
      <c r="B141" s="4">
        <v>5000</v>
      </c>
      <c r="C141" s="1">
        <f t="shared" si="77"/>
        <v>0</v>
      </c>
      <c r="D141" s="1">
        <f t="shared" si="62"/>
        <v>5000</v>
      </c>
      <c r="E141" s="3">
        <f t="shared" si="63"/>
        <v>0</v>
      </c>
      <c r="F141" s="1">
        <v>0</v>
      </c>
      <c r="G141" s="3">
        <f t="shared" si="64"/>
        <v>0</v>
      </c>
      <c r="H141" s="1">
        <v>-242.98485844000001</v>
      </c>
      <c r="I141" s="1">
        <f t="shared" si="65"/>
        <v>242.98485844000001</v>
      </c>
      <c r="J141" s="3">
        <f t="shared" si="66"/>
        <v>0.15639389315954927</v>
      </c>
      <c r="K141" s="4">
        <v>-6779.6610170000004</v>
      </c>
      <c r="L141" s="1">
        <f t="shared" si="67"/>
        <v>0</v>
      </c>
      <c r="M141" s="1">
        <f t="shared" si="68"/>
        <v>6779.6610170000004</v>
      </c>
      <c r="N141" s="3">
        <f t="shared" si="69"/>
        <v>0</v>
      </c>
      <c r="O141" s="1">
        <v>1342.4069999999999</v>
      </c>
      <c r="P141" s="1">
        <v>10553.78311</v>
      </c>
      <c r="Q141" s="3">
        <f t="shared" si="70"/>
        <v>11896.19011</v>
      </c>
      <c r="R141" s="1">
        <v>0</v>
      </c>
      <c r="S141" s="1">
        <v>1517.77579117</v>
      </c>
      <c r="T141" s="1">
        <f t="shared" si="71"/>
        <v>0</v>
      </c>
      <c r="U141" s="3">
        <f t="shared" si="72"/>
        <v>1</v>
      </c>
      <c r="V141" s="1">
        <v>794.88</v>
      </c>
      <c r="W141" s="3">
        <f t="shared" si="73"/>
        <v>0.25493919022938366</v>
      </c>
      <c r="X141" s="1">
        <v>367.01</v>
      </c>
      <c r="Y141" s="3">
        <f t="shared" si="74"/>
        <v>0.72203423175290182</v>
      </c>
      <c r="Z141" s="1">
        <v>5832</v>
      </c>
      <c r="AA141" s="3">
        <f t="shared" si="75"/>
        <v>0.50275862068965516</v>
      </c>
      <c r="AB141" s="2">
        <v>19837</v>
      </c>
      <c r="AC141" s="2">
        <v>658.28499999999997</v>
      </c>
      <c r="AD141" s="2">
        <f t="shared" si="76"/>
        <v>0.23341819941916747</v>
      </c>
    </row>
    <row r="142" spans="1:30" x14ac:dyDescent="0.3">
      <c r="A142" s="1">
        <v>138</v>
      </c>
      <c r="B142" s="4">
        <v>5000</v>
      </c>
      <c r="C142" s="1">
        <f t="shared" si="77"/>
        <v>0</v>
      </c>
      <c r="D142" s="1">
        <f t="shared" si="62"/>
        <v>5000</v>
      </c>
      <c r="E142" s="3">
        <f t="shared" si="63"/>
        <v>0</v>
      </c>
      <c r="F142" s="1">
        <v>0</v>
      </c>
      <c r="G142" s="3">
        <f t="shared" si="64"/>
        <v>0</v>
      </c>
      <c r="H142" s="1">
        <v>-468.95712451999998</v>
      </c>
      <c r="I142" s="1">
        <f t="shared" si="65"/>
        <v>468.95712451999998</v>
      </c>
      <c r="J142" s="3">
        <f t="shared" si="66"/>
        <v>0.30183786306462623</v>
      </c>
      <c r="K142" s="4">
        <v>-6779.6610170000004</v>
      </c>
      <c r="L142" s="1">
        <f t="shared" si="67"/>
        <v>0</v>
      </c>
      <c r="M142" s="1">
        <f t="shared" si="68"/>
        <v>6779.6610170000004</v>
      </c>
      <c r="N142" s="3">
        <f t="shared" si="69"/>
        <v>0</v>
      </c>
      <c r="O142" s="1">
        <v>1342.4069999999999</v>
      </c>
      <c r="P142" s="1">
        <v>10553.78311</v>
      </c>
      <c r="Q142" s="3">
        <f t="shared" si="70"/>
        <v>11896.19011</v>
      </c>
      <c r="R142" s="1">
        <v>0</v>
      </c>
      <c r="S142" s="1">
        <v>1517.77579117</v>
      </c>
      <c r="T142" s="1">
        <f t="shared" si="71"/>
        <v>0</v>
      </c>
      <c r="U142" s="3">
        <f t="shared" si="72"/>
        <v>1</v>
      </c>
      <c r="V142" s="1">
        <v>794.88</v>
      </c>
      <c r="W142" s="3">
        <f t="shared" si="73"/>
        <v>0.25493919022938366</v>
      </c>
      <c r="X142" s="1">
        <v>367.01</v>
      </c>
      <c r="Y142" s="3">
        <f t="shared" si="74"/>
        <v>0.72203423175290182</v>
      </c>
      <c r="Z142" s="1">
        <v>5832</v>
      </c>
      <c r="AA142" s="3">
        <f t="shared" si="75"/>
        <v>0.50275862068965516</v>
      </c>
      <c r="AB142" s="2">
        <v>4648</v>
      </c>
      <c r="AC142" s="2">
        <v>81.685000000000002</v>
      </c>
      <c r="AD142" s="2">
        <f t="shared" si="76"/>
        <v>5.3865782130858159E-2</v>
      </c>
    </row>
    <row r="143" spans="1:30" x14ac:dyDescent="0.3">
      <c r="A143" s="1">
        <v>139</v>
      </c>
      <c r="B143" s="4">
        <v>5000</v>
      </c>
      <c r="C143" s="1">
        <f t="shared" si="77"/>
        <v>0</v>
      </c>
      <c r="D143" s="1">
        <f t="shared" si="62"/>
        <v>5000</v>
      </c>
      <c r="E143" s="3">
        <f t="shared" si="63"/>
        <v>0</v>
      </c>
      <c r="F143" s="1">
        <v>0</v>
      </c>
      <c r="G143" s="3">
        <f t="shared" si="64"/>
        <v>0</v>
      </c>
      <c r="H143" s="1">
        <v>-242.52099147999999</v>
      </c>
      <c r="I143" s="1">
        <f t="shared" si="65"/>
        <v>242.52099147999999</v>
      </c>
      <c r="J143" s="3">
        <f t="shared" si="66"/>
        <v>0.156095331511518</v>
      </c>
      <c r="K143" s="4">
        <v>-6779.6610170000004</v>
      </c>
      <c r="L143" s="1">
        <f t="shared" si="67"/>
        <v>0</v>
      </c>
      <c r="M143" s="1">
        <f t="shared" si="68"/>
        <v>6779.6610170000004</v>
      </c>
      <c r="N143" s="3">
        <f t="shared" si="69"/>
        <v>0</v>
      </c>
      <c r="O143" s="1">
        <v>1342.4069999999999</v>
      </c>
      <c r="P143" s="1">
        <v>10569.62925</v>
      </c>
      <c r="Q143" s="3">
        <f t="shared" si="70"/>
        <v>11912.036249999999</v>
      </c>
      <c r="R143" s="1">
        <v>0</v>
      </c>
      <c r="S143" s="1">
        <v>1517.77579117</v>
      </c>
      <c r="T143" s="1">
        <f t="shared" si="71"/>
        <v>0</v>
      </c>
      <c r="U143" s="3">
        <f t="shared" si="72"/>
        <v>1</v>
      </c>
      <c r="V143" s="1">
        <v>794.88</v>
      </c>
      <c r="W143" s="3">
        <f t="shared" si="73"/>
        <v>0.25493919022938366</v>
      </c>
      <c r="X143" s="1">
        <v>367.01</v>
      </c>
      <c r="Y143" s="3">
        <f t="shared" si="74"/>
        <v>0.72203423175290182</v>
      </c>
      <c r="Z143" s="1">
        <v>5832</v>
      </c>
      <c r="AA143" s="3">
        <f t="shared" si="75"/>
        <v>0.50275862068965516</v>
      </c>
      <c r="AB143" s="2">
        <v>0</v>
      </c>
      <c r="AC143" s="2">
        <v>0</v>
      </c>
      <c r="AD143" s="2">
        <f t="shared" si="76"/>
        <v>0</v>
      </c>
    </row>
    <row r="144" spans="1:30" x14ac:dyDescent="0.3">
      <c r="A144" s="1">
        <v>140</v>
      </c>
      <c r="B144" s="4">
        <v>5000</v>
      </c>
      <c r="C144" s="1">
        <f t="shared" si="77"/>
        <v>0</v>
      </c>
      <c r="D144" s="1">
        <f t="shared" si="62"/>
        <v>5000</v>
      </c>
      <c r="E144" s="3">
        <f t="shared" si="63"/>
        <v>0</v>
      </c>
      <c r="F144" s="1">
        <v>0</v>
      </c>
      <c r="G144" s="3">
        <f t="shared" si="64"/>
        <v>0</v>
      </c>
      <c r="H144" s="1">
        <v>-572.98485844000004</v>
      </c>
      <c r="I144" s="1">
        <f t="shared" si="65"/>
        <v>572.98485844000004</v>
      </c>
      <c r="J144" s="3">
        <f t="shared" si="66"/>
        <v>0.36879389649307076</v>
      </c>
      <c r="K144" s="4">
        <v>-6779.6610170000004</v>
      </c>
      <c r="L144" s="1">
        <f t="shared" si="67"/>
        <v>0</v>
      </c>
      <c r="M144" s="1">
        <f t="shared" si="68"/>
        <v>6779.6610170000004</v>
      </c>
      <c r="N144" s="3">
        <f t="shared" si="69"/>
        <v>0</v>
      </c>
      <c r="O144" s="1">
        <v>1342.4069999999999</v>
      </c>
      <c r="P144" s="1">
        <v>10553.78311</v>
      </c>
      <c r="Q144" s="3">
        <f t="shared" si="70"/>
        <v>11896.19011</v>
      </c>
      <c r="R144" s="1">
        <v>0</v>
      </c>
      <c r="S144" s="1">
        <v>1517.77579117</v>
      </c>
      <c r="T144" s="1">
        <f t="shared" si="71"/>
        <v>0</v>
      </c>
      <c r="U144" s="3">
        <f t="shared" si="72"/>
        <v>1</v>
      </c>
      <c r="V144" s="1">
        <v>794.88</v>
      </c>
      <c r="W144" s="3">
        <f t="shared" si="73"/>
        <v>0.25493919022938366</v>
      </c>
      <c r="X144" s="1">
        <v>367.01</v>
      </c>
      <c r="Y144" s="3">
        <f t="shared" si="74"/>
        <v>0.72203423175290182</v>
      </c>
      <c r="Z144" s="1">
        <v>5832</v>
      </c>
      <c r="AA144" s="3">
        <f t="shared" si="75"/>
        <v>0.50275862068965516</v>
      </c>
      <c r="AB144" s="2">
        <v>0</v>
      </c>
      <c r="AC144" s="2">
        <v>0</v>
      </c>
      <c r="AD144" s="2">
        <f t="shared" si="76"/>
        <v>0</v>
      </c>
    </row>
    <row r="145" spans="1:30" x14ac:dyDescent="0.3">
      <c r="A145" s="1">
        <v>141</v>
      </c>
      <c r="B145" s="4">
        <v>5000</v>
      </c>
      <c r="C145" s="1">
        <f t="shared" si="77"/>
        <v>0</v>
      </c>
      <c r="D145" s="1">
        <f t="shared" si="62"/>
        <v>5000</v>
      </c>
      <c r="E145" s="3">
        <f t="shared" si="63"/>
        <v>0</v>
      </c>
      <c r="F145" s="1">
        <v>0</v>
      </c>
      <c r="G145" s="3">
        <f t="shared" si="64"/>
        <v>0</v>
      </c>
      <c r="H145" s="1">
        <v>-243.4487254</v>
      </c>
      <c r="I145" s="1">
        <f t="shared" si="65"/>
        <v>243.4487254</v>
      </c>
      <c r="J145" s="3">
        <f t="shared" si="66"/>
        <v>0.15669245480758048</v>
      </c>
      <c r="K145" s="4">
        <v>-6779.6610170000004</v>
      </c>
      <c r="L145" s="1">
        <f t="shared" si="67"/>
        <v>0</v>
      </c>
      <c r="M145" s="1">
        <f t="shared" si="68"/>
        <v>6779.6610170000004</v>
      </c>
      <c r="N145" s="3">
        <f t="shared" si="69"/>
        <v>0</v>
      </c>
      <c r="O145" s="1">
        <v>1342.4069999999999</v>
      </c>
      <c r="P145" s="1">
        <v>10537.93698</v>
      </c>
      <c r="Q145" s="3">
        <f t="shared" si="70"/>
        <v>11880.34398</v>
      </c>
      <c r="R145" s="1">
        <v>0</v>
      </c>
      <c r="S145" s="1">
        <v>1517.77579117</v>
      </c>
      <c r="T145" s="1">
        <f t="shared" si="71"/>
        <v>0</v>
      </c>
      <c r="U145" s="3">
        <f t="shared" si="72"/>
        <v>1</v>
      </c>
      <c r="V145" s="1">
        <v>794.88</v>
      </c>
      <c r="W145" s="3">
        <f t="shared" si="73"/>
        <v>0.25493919022938366</v>
      </c>
      <c r="X145" s="1">
        <v>367.01</v>
      </c>
      <c r="Y145" s="3">
        <f t="shared" si="74"/>
        <v>0.72203423175290182</v>
      </c>
      <c r="Z145" s="1">
        <v>5832</v>
      </c>
      <c r="AA145" s="3">
        <f t="shared" si="75"/>
        <v>0.50275862068965516</v>
      </c>
      <c r="AB145" s="2">
        <v>0</v>
      </c>
      <c r="AC145" s="2">
        <v>0</v>
      </c>
      <c r="AD145" s="2">
        <f t="shared" si="76"/>
        <v>0</v>
      </c>
    </row>
    <row r="146" spans="1:30" x14ac:dyDescent="0.3">
      <c r="A146" s="1">
        <v>142</v>
      </c>
      <c r="B146" s="4">
        <v>5000</v>
      </c>
      <c r="C146" s="1">
        <f t="shared" si="77"/>
        <v>0</v>
      </c>
      <c r="D146" s="1">
        <f t="shared" si="62"/>
        <v>5000</v>
      </c>
      <c r="E146" s="3">
        <f t="shared" si="63"/>
        <v>0</v>
      </c>
      <c r="F146" s="1">
        <v>0</v>
      </c>
      <c r="G146" s="3">
        <f t="shared" si="64"/>
        <v>0</v>
      </c>
      <c r="H146" s="1">
        <v>-573.91259234999995</v>
      </c>
      <c r="I146" s="1">
        <f t="shared" si="65"/>
        <v>573.91259234999995</v>
      </c>
      <c r="J146" s="3">
        <f t="shared" si="66"/>
        <v>0.36939101978269684</v>
      </c>
      <c r="K146" s="4">
        <v>-6779.6610170000004</v>
      </c>
      <c r="L146" s="1">
        <f t="shared" si="67"/>
        <v>0</v>
      </c>
      <c r="M146" s="1">
        <f t="shared" si="68"/>
        <v>6779.6610170000004</v>
      </c>
      <c r="N146" s="3">
        <f t="shared" si="69"/>
        <v>0</v>
      </c>
      <c r="O146" s="1">
        <v>1342.4069999999999</v>
      </c>
      <c r="P146" s="1">
        <v>10522.090850000001</v>
      </c>
      <c r="Q146" s="3">
        <f t="shared" si="70"/>
        <v>11864.49785</v>
      </c>
      <c r="R146" s="1">
        <v>0</v>
      </c>
      <c r="S146" s="1">
        <v>1517.77579117</v>
      </c>
      <c r="T146" s="1">
        <f t="shared" si="71"/>
        <v>0</v>
      </c>
      <c r="U146" s="3">
        <f t="shared" si="72"/>
        <v>1</v>
      </c>
      <c r="V146" s="1">
        <v>794.88</v>
      </c>
      <c r="W146" s="3">
        <f t="shared" si="73"/>
        <v>0.25493919022938366</v>
      </c>
      <c r="X146" s="1">
        <v>367.01</v>
      </c>
      <c r="Y146" s="3">
        <f t="shared" si="74"/>
        <v>0.72203423175290182</v>
      </c>
      <c r="Z146" s="1">
        <v>5832</v>
      </c>
      <c r="AA146" s="3">
        <f t="shared" si="75"/>
        <v>0.50275862068965516</v>
      </c>
      <c r="AB146" s="2">
        <v>0</v>
      </c>
      <c r="AC146" s="2">
        <v>0</v>
      </c>
      <c r="AD146" s="2">
        <f t="shared" si="76"/>
        <v>0</v>
      </c>
    </row>
    <row r="147" spans="1:30" x14ac:dyDescent="0.3">
      <c r="A147" s="1">
        <v>143</v>
      </c>
      <c r="B147" s="4">
        <v>5000</v>
      </c>
      <c r="C147" s="1">
        <f t="shared" si="77"/>
        <v>0</v>
      </c>
      <c r="D147" s="1">
        <f t="shared" si="62"/>
        <v>5000</v>
      </c>
      <c r="E147" s="3">
        <f t="shared" si="63"/>
        <v>0</v>
      </c>
      <c r="F147" s="1">
        <v>0</v>
      </c>
      <c r="G147" s="3">
        <f t="shared" si="64"/>
        <v>0</v>
      </c>
      <c r="H147" s="1">
        <v>-244.84032626999999</v>
      </c>
      <c r="I147" s="1">
        <f t="shared" si="65"/>
        <v>244.84032626999999</v>
      </c>
      <c r="J147" s="3">
        <f t="shared" si="66"/>
        <v>0.15758813974523786</v>
      </c>
      <c r="K147" s="4">
        <v>-6779.6610170000004</v>
      </c>
      <c r="L147" s="1">
        <f t="shared" si="67"/>
        <v>0</v>
      </c>
      <c r="M147" s="1">
        <f t="shared" si="68"/>
        <v>6779.6610170000004</v>
      </c>
      <c r="N147" s="3">
        <f t="shared" si="69"/>
        <v>0</v>
      </c>
      <c r="O147" s="1">
        <v>1342.4069999999999</v>
      </c>
      <c r="P147" s="1">
        <v>10490.398579999999</v>
      </c>
      <c r="Q147" s="3">
        <f t="shared" si="70"/>
        <v>11832.805579999998</v>
      </c>
      <c r="R147" s="1">
        <v>0</v>
      </c>
      <c r="S147" s="1">
        <v>1517.77579117</v>
      </c>
      <c r="T147" s="1">
        <f t="shared" si="71"/>
        <v>0</v>
      </c>
      <c r="U147" s="3">
        <f t="shared" si="72"/>
        <v>1</v>
      </c>
      <c r="V147" s="1">
        <v>794.88</v>
      </c>
      <c r="W147" s="3">
        <f t="shared" si="73"/>
        <v>0.25493919022938366</v>
      </c>
      <c r="X147" s="1">
        <v>367.01</v>
      </c>
      <c r="Y147" s="3">
        <f t="shared" si="74"/>
        <v>0.72203423175290182</v>
      </c>
      <c r="Z147" s="1">
        <v>5832</v>
      </c>
      <c r="AA147" s="3">
        <f t="shared" si="75"/>
        <v>0.50275862068965516</v>
      </c>
      <c r="AB147" s="2">
        <v>0</v>
      </c>
      <c r="AC147" s="2">
        <v>0</v>
      </c>
      <c r="AD147" s="2">
        <f t="shared" si="76"/>
        <v>0</v>
      </c>
    </row>
    <row r="148" spans="1:30" x14ac:dyDescent="0.3">
      <c r="A148" s="1">
        <v>144</v>
      </c>
      <c r="B148" s="4">
        <v>5000</v>
      </c>
      <c r="C148" s="1">
        <f t="shared" si="77"/>
        <v>0</v>
      </c>
      <c r="D148" s="1">
        <f t="shared" si="62"/>
        <v>5000</v>
      </c>
      <c r="E148" s="3">
        <f t="shared" si="63"/>
        <v>0</v>
      </c>
      <c r="F148" s="1">
        <v>0</v>
      </c>
      <c r="G148" s="3">
        <f t="shared" si="64"/>
        <v>0</v>
      </c>
      <c r="H148" s="1">
        <v>-574.84032626999999</v>
      </c>
      <c r="I148" s="1">
        <f t="shared" si="65"/>
        <v>574.84032626999999</v>
      </c>
      <c r="J148" s="3">
        <f t="shared" si="66"/>
        <v>0.36998814307875938</v>
      </c>
      <c r="K148" s="4">
        <v>-6779.6610170000004</v>
      </c>
      <c r="L148" s="1">
        <f t="shared" si="67"/>
        <v>0</v>
      </c>
      <c r="M148" s="1">
        <f t="shared" si="68"/>
        <v>6779.6610170000004</v>
      </c>
      <c r="N148" s="3">
        <f t="shared" si="69"/>
        <v>0</v>
      </c>
      <c r="O148" s="1">
        <v>1342.4069999999999</v>
      </c>
      <c r="P148" s="1">
        <v>10490.398579999999</v>
      </c>
      <c r="Q148" s="3">
        <f t="shared" si="70"/>
        <v>11832.805579999998</v>
      </c>
      <c r="R148" s="1">
        <v>0</v>
      </c>
      <c r="S148" s="1">
        <v>1517.77579117</v>
      </c>
      <c r="T148" s="1">
        <f t="shared" si="71"/>
        <v>0</v>
      </c>
      <c r="U148" s="3">
        <f t="shared" si="72"/>
        <v>1</v>
      </c>
      <c r="V148" s="1">
        <v>794.88</v>
      </c>
      <c r="W148" s="3">
        <f t="shared" si="73"/>
        <v>0.25493919022938366</v>
      </c>
      <c r="X148" s="1">
        <v>367.01</v>
      </c>
      <c r="Y148" s="3">
        <f t="shared" si="74"/>
        <v>0.72203423175290182</v>
      </c>
      <c r="Z148" s="1">
        <v>5832</v>
      </c>
      <c r="AA148" s="3">
        <f t="shared" si="75"/>
        <v>0.50275862068965516</v>
      </c>
      <c r="AB148" s="2">
        <v>0</v>
      </c>
      <c r="AC148" s="2">
        <v>0</v>
      </c>
      <c r="AD148" s="2">
        <f t="shared" si="76"/>
        <v>0</v>
      </c>
    </row>
    <row r="149" spans="1:30" x14ac:dyDescent="0.3">
      <c r="A149" s="1">
        <v>145</v>
      </c>
      <c r="B149" s="4">
        <v>5000</v>
      </c>
      <c r="C149" s="1">
        <f t="shared" si="77"/>
        <v>0</v>
      </c>
      <c r="D149" s="1">
        <f t="shared" si="62"/>
        <v>5000</v>
      </c>
      <c r="E149" s="3">
        <f t="shared" si="63"/>
        <v>0</v>
      </c>
      <c r="F149" s="1">
        <v>0</v>
      </c>
      <c r="G149" s="3">
        <f t="shared" si="64"/>
        <v>0</v>
      </c>
      <c r="H149" s="1">
        <v>-244.84131231999999</v>
      </c>
      <c r="I149" s="1">
        <f t="shared" si="65"/>
        <v>244.84131231999999</v>
      </c>
      <c r="J149" s="3">
        <f t="shared" si="66"/>
        <v>0.15758877440288419</v>
      </c>
      <c r="K149" s="4">
        <v>-6779.6610170000004</v>
      </c>
      <c r="L149" s="1">
        <f t="shared" si="67"/>
        <v>0</v>
      </c>
      <c r="M149" s="1">
        <f t="shared" si="68"/>
        <v>6779.6610170000004</v>
      </c>
      <c r="N149" s="3">
        <f t="shared" si="69"/>
        <v>0</v>
      </c>
      <c r="O149" s="1">
        <v>1342.4069999999999</v>
      </c>
      <c r="P149" s="1">
        <v>10490.398579999999</v>
      </c>
      <c r="Q149" s="3">
        <f t="shared" si="70"/>
        <v>11832.805579999998</v>
      </c>
      <c r="R149" s="1">
        <v>0</v>
      </c>
      <c r="S149" s="1">
        <v>1517.77579117</v>
      </c>
      <c r="T149" s="1">
        <f t="shared" si="71"/>
        <v>0</v>
      </c>
      <c r="U149" s="3">
        <f t="shared" si="72"/>
        <v>1</v>
      </c>
      <c r="V149" s="1">
        <v>794.88</v>
      </c>
      <c r="W149" s="3">
        <f t="shared" si="73"/>
        <v>0.25493919022938366</v>
      </c>
      <c r="X149" s="1">
        <v>367.01</v>
      </c>
      <c r="Y149" s="3">
        <f t="shared" si="74"/>
        <v>0.72203423175290182</v>
      </c>
      <c r="Z149" s="1">
        <v>5832</v>
      </c>
      <c r="AA149" s="3">
        <f t="shared" si="75"/>
        <v>0.50275862068965516</v>
      </c>
      <c r="AB149" s="2">
        <v>0</v>
      </c>
      <c r="AC149" s="2">
        <v>0</v>
      </c>
      <c r="AD149" s="2">
        <f t="shared" si="76"/>
        <v>0</v>
      </c>
    </row>
    <row r="150" spans="1:30" x14ac:dyDescent="0.3">
      <c r="A150" s="1">
        <v>146</v>
      </c>
      <c r="B150" s="4">
        <v>5000</v>
      </c>
      <c r="C150" s="1">
        <f t="shared" si="77"/>
        <v>0</v>
      </c>
      <c r="D150" s="1">
        <f t="shared" si="62"/>
        <v>5000</v>
      </c>
      <c r="E150" s="3">
        <f t="shared" si="63"/>
        <v>0</v>
      </c>
      <c r="F150" s="1">
        <v>0</v>
      </c>
      <c r="G150" s="3">
        <f t="shared" si="64"/>
        <v>0</v>
      </c>
      <c r="H150" s="1">
        <v>-244.84131231999999</v>
      </c>
      <c r="I150" s="1">
        <f t="shared" si="65"/>
        <v>244.84131231999999</v>
      </c>
      <c r="J150" s="3">
        <f t="shared" si="66"/>
        <v>0.15758877440288419</v>
      </c>
      <c r="K150" s="4">
        <v>-6779.6610170000004</v>
      </c>
      <c r="L150" s="1">
        <f t="shared" si="67"/>
        <v>0</v>
      </c>
      <c r="M150" s="1">
        <f t="shared" si="68"/>
        <v>6779.6610170000004</v>
      </c>
      <c r="N150" s="3">
        <f t="shared" si="69"/>
        <v>0</v>
      </c>
      <c r="O150" s="1">
        <v>1342.4069999999999</v>
      </c>
      <c r="P150" s="1">
        <v>10490.398579999999</v>
      </c>
      <c r="Q150" s="3">
        <f t="shared" si="70"/>
        <v>11832.805579999998</v>
      </c>
      <c r="R150" s="1">
        <v>0</v>
      </c>
      <c r="S150" s="1">
        <v>1517.77579117</v>
      </c>
      <c r="T150" s="1">
        <f t="shared" si="71"/>
        <v>0</v>
      </c>
      <c r="U150" s="3">
        <f t="shared" si="72"/>
        <v>1</v>
      </c>
      <c r="V150" s="1">
        <v>794.88</v>
      </c>
      <c r="W150" s="3">
        <f t="shared" si="73"/>
        <v>0.25493919022938366</v>
      </c>
      <c r="X150" s="1">
        <v>367.01</v>
      </c>
      <c r="Y150" s="3">
        <f t="shared" si="74"/>
        <v>0.72203423175290182</v>
      </c>
      <c r="Z150" s="1">
        <v>5832</v>
      </c>
      <c r="AA150" s="3">
        <f t="shared" si="75"/>
        <v>0.50275862068965516</v>
      </c>
      <c r="AB150" s="2">
        <v>0</v>
      </c>
      <c r="AC150" s="2">
        <v>0</v>
      </c>
      <c r="AD150" s="2">
        <f t="shared" si="76"/>
        <v>0</v>
      </c>
    </row>
    <row r="151" spans="1:30" x14ac:dyDescent="0.3">
      <c r="A151" s="1">
        <v>147</v>
      </c>
      <c r="B151" s="4">
        <v>5000</v>
      </c>
      <c r="C151" s="1">
        <f t="shared" si="77"/>
        <v>0</v>
      </c>
      <c r="D151" s="1">
        <f t="shared" si="62"/>
        <v>5000</v>
      </c>
      <c r="E151" s="3">
        <f t="shared" si="63"/>
        <v>0</v>
      </c>
      <c r="F151" s="1">
        <v>0</v>
      </c>
      <c r="G151" s="3">
        <f t="shared" si="64"/>
        <v>0</v>
      </c>
      <c r="H151" s="1">
        <v>-244.84131231999999</v>
      </c>
      <c r="I151" s="1">
        <f t="shared" si="65"/>
        <v>244.84131231999999</v>
      </c>
      <c r="J151" s="3">
        <f t="shared" si="66"/>
        <v>0.15758877440288419</v>
      </c>
      <c r="K151" s="4">
        <v>-6779.6610170000004</v>
      </c>
      <c r="L151" s="1">
        <f t="shared" si="67"/>
        <v>0</v>
      </c>
      <c r="M151" s="1">
        <f t="shared" si="68"/>
        <v>6779.6610170000004</v>
      </c>
      <c r="N151" s="3">
        <f t="shared" si="69"/>
        <v>0</v>
      </c>
      <c r="O151" s="1">
        <v>1342.4069999999999</v>
      </c>
      <c r="P151" s="1">
        <v>10490.398579999999</v>
      </c>
      <c r="Q151" s="3">
        <f t="shared" si="70"/>
        <v>11832.805579999998</v>
      </c>
      <c r="R151" s="1">
        <v>0</v>
      </c>
      <c r="S151" s="1">
        <v>1517.77579117</v>
      </c>
      <c r="T151" s="1">
        <f t="shared" si="71"/>
        <v>0</v>
      </c>
      <c r="U151" s="3">
        <f t="shared" si="72"/>
        <v>1</v>
      </c>
      <c r="V151" s="1">
        <v>794.88</v>
      </c>
      <c r="W151" s="3">
        <f t="shared" si="73"/>
        <v>0.25493919022938366</v>
      </c>
      <c r="X151" s="1">
        <v>367.01</v>
      </c>
      <c r="Y151" s="3">
        <f t="shared" si="74"/>
        <v>0.72203423175290182</v>
      </c>
      <c r="Z151" s="1">
        <v>5832</v>
      </c>
      <c r="AA151" s="3">
        <f t="shared" si="75"/>
        <v>0.50275862068965516</v>
      </c>
      <c r="AB151" s="2">
        <v>0</v>
      </c>
      <c r="AC151" s="2">
        <v>0</v>
      </c>
      <c r="AD151" s="2">
        <f t="shared" si="76"/>
        <v>0</v>
      </c>
    </row>
    <row r="152" spans="1:30" x14ac:dyDescent="0.3">
      <c r="A152" s="1">
        <v>148</v>
      </c>
      <c r="B152" s="4">
        <v>5000</v>
      </c>
      <c r="C152" s="1">
        <f t="shared" si="77"/>
        <v>0</v>
      </c>
      <c r="D152" s="1">
        <f t="shared" si="62"/>
        <v>5000</v>
      </c>
      <c r="E152" s="3">
        <f t="shared" si="63"/>
        <v>0</v>
      </c>
      <c r="F152" s="1">
        <v>0</v>
      </c>
      <c r="G152" s="3">
        <f t="shared" si="64"/>
        <v>0</v>
      </c>
      <c r="H152" s="1">
        <v>-244.84131231999999</v>
      </c>
      <c r="I152" s="1">
        <f t="shared" si="65"/>
        <v>244.84131231999999</v>
      </c>
      <c r="J152" s="3">
        <f t="shared" si="66"/>
        <v>0.15758877440288419</v>
      </c>
      <c r="K152" s="4">
        <v>-6779.6610170000004</v>
      </c>
      <c r="L152" s="1">
        <f t="shared" si="67"/>
        <v>0</v>
      </c>
      <c r="M152" s="1">
        <f t="shared" si="68"/>
        <v>6779.6610170000004</v>
      </c>
      <c r="N152" s="3">
        <f t="shared" si="69"/>
        <v>0</v>
      </c>
      <c r="O152" s="1">
        <v>1342.4069999999999</v>
      </c>
      <c r="P152" s="1">
        <v>10490.398579999999</v>
      </c>
      <c r="Q152" s="3">
        <f t="shared" si="70"/>
        <v>11832.805579999998</v>
      </c>
      <c r="R152" s="1">
        <v>0</v>
      </c>
      <c r="S152" s="1">
        <v>1517.77579117</v>
      </c>
      <c r="T152" s="1">
        <f t="shared" si="71"/>
        <v>0</v>
      </c>
      <c r="U152" s="3">
        <f t="shared" si="72"/>
        <v>1</v>
      </c>
      <c r="V152" s="1">
        <v>794.88</v>
      </c>
      <c r="W152" s="3">
        <f t="shared" si="73"/>
        <v>0.25493919022938366</v>
      </c>
      <c r="X152" s="1">
        <v>367.01</v>
      </c>
      <c r="Y152" s="3">
        <f t="shared" si="74"/>
        <v>0.72203423175290182</v>
      </c>
      <c r="Z152" s="1">
        <v>5832</v>
      </c>
      <c r="AA152" s="3">
        <f t="shared" si="75"/>
        <v>0.50275862068965516</v>
      </c>
      <c r="AB152" s="2">
        <v>0</v>
      </c>
      <c r="AC152" s="2">
        <v>0</v>
      </c>
      <c r="AD152" s="2">
        <f t="shared" si="76"/>
        <v>0</v>
      </c>
    </row>
    <row r="153" spans="1:30" x14ac:dyDescent="0.3">
      <c r="A153" s="1">
        <v>149</v>
      </c>
      <c r="B153" s="4">
        <v>5000</v>
      </c>
      <c r="C153" s="1">
        <f t="shared" si="77"/>
        <v>0</v>
      </c>
      <c r="D153" s="1">
        <f t="shared" si="62"/>
        <v>5000</v>
      </c>
      <c r="E153" s="3">
        <f t="shared" si="63"/>
        <v>0</v>
      </c>
      <c r="F153" s="1">
        <v>0</v>
      </c>
      <c r="G153" s="3">
        <f t="shared" si="64"/>
        <v>0</v>
      </c>
      <c r="H153" s="1">
        <v>-243.91357840000001</v>
      </c>
      <c r="I153" s="1">
        <f t="shared" si="65"/>
        <v>243.91357840000001</v>
      </c>
      <c r="J153" s="3">
        <f t="shared" si="66"/>
        <v>0.1569916511068217</v>
      </c>
      <c r="K153" s="4">
        <v>-6779.6610170000004</v>
      </c>
      <c r="L153" s="1">
        <f t="shared" si="67"/>
        <v>0</v>
      </c>
      <c r="M153" s="1">
        <f t="shared" si="68"/>
        <v>6779.6610170000004</v>
      </c>
      <c r="N153" s="3">
        <f t="shared" si="69"/>
        <v>0</v>
      </c>
      <c r="O153" s="1">
        <v>1342.4069999999999</v>
      </c>
      <c r="P153" s="1">
        <v>10522.090850000001</v>
      </c>
      <c r="Q153" s="3">
        <f t="shared" si="70"/>
        <v>11864.49785</v>
      </c>
      <c r="R153" s="1">
        <v>0</v>
      </c>
      <c r="S153" s="1">
        <v>1517.77579117</v>
      </c>
      <c r="T153" s="1">
        <f t="shared" si="71"/>
        <v>0</v>
      </c>
      <c r="U153" s="3">
        <f t="shared" si="72"/>
        <v>1</v>
      </c>
      <c r="V153" s="1">
        <v>794.88</v>
      </c>
      <c r="W153" s="3">
        <f t="shared" si="73"/>
        <v>0.25493919022938366</v>
      </c>
      <c r="X153" s="1">
        <v>367.01</v>
      </c>
      <c r="Y153" s="3">
        <f t="shared" si="74"/>
        <v>0.72203423175290182</v>
      </c>
      <c r="Z153" s="1">
        <v>5832</v>
      </c>
      <c r="AA153" s="3">
        <f t="shared" si="75"/>
        <v>0.50275862068965516</v>
      </c>
      <c r="AB153" s="2">
        <v>0</v>
      </c>
      <c r="AC153" s="2">
        <v>0</v>
      </c>
      <c r="AD153" s="2">
        <f t="shared" si="76"/>
        <v>0</v>
      </c>
    </row>
    <row r="154" spans="1:30" x14ac:dyDescent="0.3">
      <c r="A154" s="1">
        <v>150</v>
      </c>
      <c r="B154" s="4">
        <v>5000</v>
      </c>
      <c r="C154" s="1">
        <f t="shared" si="77"/>
        <v>0</v>
      </c>
      <c r="D154" s="1">
        <f t="shared" si="62"/>
        <v>5000</v>
      </c>
      <c r="E154" s="3">
        <f t="shared" si="63"/>
        <v>0</v>
      </c>
      <c r="F154" s="1">
        <v>0</v>
      </c>
      <c r="G154" s="3">
        <f t="shared" si="64"/>
        <v>0</v>
      </c>
      <c r="H154" s="1">
        <v>-242.98584449000001</v>
      </c>
      <c r="I154" s="1">
        <f t="shared" si="65"/>
        <v>242.98584449000001</v>
      </c>
      <c r="J154" s="3">
        <f t="shared" si="66"/>
        <v>0.15639452781719557</v>
      </c>
      <c r="K154" s="4">
        <v>-6779.6610170000004</v>
      </c>
      <c r="L154" s="1">
        <f t="shared" si="67"/>
        <v>0</v>
      </c>
      <c r="M154" s="1">
        <f t="shared" si="68"/>
        <v>6779.6610170000004</v>
      </c>
      <c r="N154" s="3">
        <f t="shared" si="69"/>
        <v>0</v>
      </c>
      <c r="O154" s="1">
        <v>1342.4069999999999</v>
      </c>
      <c r="P154" s="1">
        <v>10553.78311</v>
      </c>
      <c r="Q154" s="3">
        <f t="shared" si="70"/>
        <v>11896.19011</v>
      </c>
      <c r="R154" s="1">
        <v>0</v>
      </c>
      <c r="S154" s="1">
        <v>1517.77579117</v>
      </c>
      <c r="T154" s="1">
        <f t="shared" si="71"/>
        <v>0</v>
      </c>
      <c r="U154" s="3">
        <f t="shared" si="72"/>
        <v>1</v>
      </c>
      <c r="V154" s="1">
        <v>794.88</v>
      </c>
      <c r="W154" s="3">
        <f t="shared" si="73"/>
        <v>0.25493919022938366</v>
      </c>
      <c r="X154" s="1">
        <v>367.01</v>
      </c>
      <c r="Y154" s="3">
        <f t="shared" si="74"/>
        <v>0.72203423175290182</v>
      </c>
      <c r="Z154" s="1">
        <v>5832</v>
      </c>
      <c r="AA154" s="3">
        <f t="shared" si="75"/>
        <v>0.50275862068965516</v>
      </c>
      <c r="AB154" s="2">
        <v>0</v>
      </c>
      <c r="AC154" s="2">
        <v>0</v>
      </c>
      <c r="AD154" s="2">
        <f t="shared" si="76"/>
        <v>0</v>
      </c>
    </row>
    <row r="155" spans="1:30" x14ac:dyDescent="0.3">
      <c r="A155" s="1">
        <v>151</v>
      </c>
      <c r="B155" s="4">
        <v>5000</v>
      </c>
      <c r="C155" s="1">
        <f t="shared" si="77"/>
        <v>0</v>
      </c>
      <c r="D155" s="1">
        <f t="shared" si="62"/>
        <v>5000</v>
      </c>
      <c r="E155" s="3">
        <f t="shared" si="63"/>
        <v>0</v>
      </c>
      <c r="F155" s="1">
        <v>0</v>
      </c>
      <c r="G155" s="3">
        <f t="shared" si="64"/>
        <v>0</v>
      </c>
      <c r="H155" s="1">
        <v>-242.52197752999999</v>
      </c>
      <c r="I155" s="1">
        <f t="shared" si="65"/>
        <v>242.52197752999999</v>
      </c>
      <c r="J155" s="3">
        <f t="shared" si="66"/>
        <v>0.15609596616916432</v>
      </c>
      <c r="K155" s="4">
        <v>-6779.6610170000004</v>
      </c>
      <c r="L155" s="1">
        <f t="shared" si="67"/>
        <v>0</v>
      </c>
      <c r="M155" s="1">
        <f t="shared" si="68"/>
        <v>6779.6610170000004</v>
      </c>
      <c r="N155" s="3">
        <f t="shared" si="69"/>
        <v>0</v>
      </c>
      <c r="O155" s="1">
        <v>1342.4069999999999</v>
      </c>
      <c r="P155" s="1">
        <v>10569.62925</v>
      </c>
      <c r="Q155" s="3">
        <f t="shared" si="70"/>
        <v>11912.036249999999</v>
      </c>
      <c r="R155" s="1">
        <v>0</v>
      </c>
      <c r="S155" s="1">
        <v>1517.77579117</v>
      </c>
      <c r="T155" s="1">
        <f t="shared" si="71"/>
        <v>0</v>
      </c>
      <c r="U155" s="3">
        <f t="shared" si="72"/>
        <v>1</v>
      </c>
      <c r="V155" s="1">
        <v>794.88</v>
      </c>
      <c r="W155" s="3">
        <f t="shared" si="73"/>
        <v>0.25493919022938366</v>
      </c>
      <c r="X155" s="1">
        <v>367.01</v>
      </c>
      <c r="Y155" s="3">
        <f t="shared" si="74"/>
        <v>0.72203423175290182</v>
      </c>
      <c r="Z155" s="1">
        <v>5832</v>
      </c>
      <c r="AA155" s="3">
        <f t="shared" si="75"/>
        <v>0.50275862068965516</v>
      </c>
      <c r="AB155" s="2">
        <v>0</v>
      </c>
      <c r="AC155" s="2">
        <v>0</v>
      </c>
      <c r="AD155" s="2">
        <f t="shared" si="76"/>
        <v>0</v>
      </c>
    </row>
    <row r="156" spans="1:30" x14ac:dyDescent="0.3">
      <c r="A156" s="1">
        <v>152</v>
      </c>
      <c r="B156" s="4">
        <v>5000</v>
      </c>
      <c r="C156" s="1">
        <f t="shared" si="77"/>
        <v>0</v>
      </c>
      <c r="D156" s="1">
        <f t="shared" si="62"/>
        <v>5000</v>
      </c>
      <c r="E156" s="3">
        <f t="shared" si="63"/>
        <v>0</v>
      </c>
      <c r="F156" s="1">
        <v>0</v>
      </c>
      <c r="G156" s="3">
        <f t="shared" si="64"/>
        <v>0</v>
      </c>
      <c r="H156" s="1">
        <v>-242.98584449000001</v>
      </c>
      <c r="I156" s="1">
        <f t="shared" si="65"/>
        <v>242.98584449000001</v>
      </c>
      <c r="J156" s="3">
        <f t="shared" si="66"/>
        <v>0.15639452781719557</v>
      </c>
      <c r="K156" s="4">
        <v>-6779.6610170000004</v>
      </c>
      <c r="L156" s="1">
        <f t="shared" si="67"/>
        <v>0</v>
      </c>
      <c r="M156" s="1">
        <f t="shared" si="68"/>
        <v>6779.6610170000004</v>
      </c>
      <c r="N156" s="3">
        <f t="shared" si="69"/>
        <v>0</v>
      </c>
      <c r="O156" s="1">
        <v>1342.4069999999999</v>
      </c>
      <c r="P156" s="1">
        <v>10553.78311</v>
      </c>
      <c r="Q156" s="3">
        <f t="shared" si="70"/>
        <v>11896.19011</v>
      </c>
      <c r="R156" s="1">
        <v>0</v>
      </c>
      <c r="S156" s="1">
        <v>1517.77579117</v>
      </c>
      <c r="T156" s="1">
        <f t="shared" si="71"/>
        <v>0</v>
      </c>
      <c r="U156" s="3">
        <f t="shared" si="72"/>
        <v>1</v>
      </c>
      <c r="V156" s="1">
        <v>794.88</v>
      </c>
      <c r="W156" s="3">
        <f t="shared" si="73"/>
        <v>0.25493919022938366</v>
      </c>
      <c r="X156" s="1">
        <v>367.01</v>
      </c>
      <c r="Y156" s="3">
        <f t="shared" si="74"/>
        <v>0.72203423175290182</v>
      </c>
      <c r="Z156" s="1">
        <v>5832</v>
      </c>
      <c r="AA156" s="3">
        <f t="shared" si="75"/>
        <v>0.50275862068965516</v>
      </c>
      <c r="AB156" s="2">
        <v>0</v>
      </c>
      <c r="AC156" s="2">
        <v>0</v>
      </c>
      <c r="AD156" s="2">
        <f t="shared" si="76"/>
        <v>0</v>
      </c>
    </row>
    <row r="157" spans="1:30" x14ac:dyDescent="0.3">
      <c r="A157" s="1">
        <v>153</v>
      </c>
      <c r="B157" s="4">
        <v>5000</v>
      </c>
      <c r="C157" s="1">
        <f t="shared" si="77"/>
        <v>0</v>
      </c>
      <c r="D157" s="1">
        <f t="shared" si="62"/>
        <v>5000</v>
      </c>
      <c r="E157" s="3">
        <f t="shared" si="63"/>
        <v>0</v>
      </c>
      <c r="F157" s="1">
        <v>0</v>
      </c>
      <c r="G157" s="3">
        <f t="shared" si="64"/>
        <v>0</v>
      </c>
      <c r="H157" s="1">
        <v>-242.98584449000001</v>
      </c>
      <c r="I157" s="1">
        <f t="shared" si="65"/>
        <v>242.98584449000001</v>
      </c>
      <c r="J157" s="3">
        <f t="shared" si="66"/>
        <v>0.15639452781719557</v>
      </c>
      <c r="K157" s="4">
        <v>-6779.6610170000004</v>
      </c>
      <c r="L157" s="1">
        <f t="shared" si="67"/>
        <v>0</v>
      </c>
      <c r="M157" s="1">
        <f t="shared" si="68"/>
        <v>6779.6610170000004</v>
      </c>
      <c r="N157" s="3">
        <f t="shared" si="69"/>
        <v>0</v>
      </c>
      <c r="O157" s="1">
        <v>1342.4069999999999</v>
      </c>
      <c r="P157" s="1">
        <v>10553.78311</v>
      </c>
      <c r="Q157" s="3">
        <f t="shared" si="70"/>
        <v>11896.19011</v>
      </c>
      <c r="R157" s="1">
        <v>0</v>
      </c>
      <c r="S157" s="1">
        <v>1517.77579117</v>
      </c>
      <c r="T157" s="1">
        <f t="shared" si="71"/>
        <v>0</v>
      </c>
      <c r="U157" s="3">
        <f t="shared" si="72"/>
        <v>1</v>
      </c>
      <c r="V157" s="1">
        <v>794.88</v>
      </c>
      <c r="W157" s="3">
        <f t="shared" si="73"/>
        <v>0.25493919022938366</v>
      </c>
      <c r="X157" s="1">
        <v>367.01</v>
      </c>
      <c r="Y157" s="3">
        <f t="shared" si="74"/>
        <v>0.72203423175290182</v>
      </c>
      <c r="Z157" s="1">
        <v>5832</v>
      </c>
      <c r="AA157" s="3">
        <f t="shared" si="75"/>
        <v>0.50275862068965516</v>
      </c>
      <c r="AB157" s="2">
        <v>0</v>
      </c>
      <c r="AC157" s="2">
        <v>0</v>
      </c>
      <c r="AD157" s="2">
        <f t="shared" si="76"/>
        <v>0</v>
      </c>
    </row>
    <row r="158" spans="1:30" x14ac:dyDescent="0.3">
      <c r="A158" s="1">
        <v>154</v>
      </c>
      <c r="B158" s="4">
        <v>5000</v>
      </c>
      <c r="C158" s="1">
        <f t="shared" si="77"/>
        <v>0</v>
      </c>
      <c r="D158" s="1">
        <f t="shared" si="62"/>
        <v>5000</v>
      </c>
      <c r="E158" s="3">
        <f t="shared" si="63"/>
        <v>0</v>
      </c>
      <c r="F158" s="1">
        <v>0</v>
      </c>
      <c r="G158" s="3">
        <f t="shared" si="64"/>
        <v>0</v>
      </c>
      <c r="H158" s="1">
        <v>-242.98584449000001</v>
      </c>
      <c r="I158" s="1">
        <f t="shared" si="65"/>
        <v>242.98584449000001</v>
      </c>
      <c r="J158" s="3">
        <f t="shared" si="66"/>
        <v>0.15639452781719557</v>
      </c>
      <c r="K158" s="4">
        <v>-6779.6610170000004</v>
      </c>
      <c r="L158" s="1">
        <f t="shared" si="67"/>
        <v>0</v>
      </c>
      <c r="M158" s="1">
        <f t="shared" si="68"/>
        <v>6779.6610170000004</v>
      </c>
      <c r="N158" s="3">
        <f t="shared" si="69"/>
        <v>0</v>
      </c>
      <c r="O158" s="1">
        <v>1342.4069999999999</v>
      </c>
      <c r="P158" s="1">
        <v>10553.78311</v>
      </c>
      <c r="Q158" s="3">
        <f t="shared" si="70"/>
        <v>11896.19011</v>
      </c>
      <c r="R158" s="1">
        <v>0</v>
      </c>
      <c r="S158" s="1">
        <v>1517.77579117</v>
      </c>
      <c r="T158" s="1">
        <f t="shared" si="71"/>
        <v>0</v>
      </c>
      <c r="U158" s="3">
        <f t="shared" si="72"/>
        <v>1</v>
      </c>
      <c r="V158" s="1">
        <v>794.88</v>
      </c>
      <c r="W158" s="3">
        <f t="shared" si="73"/>
        <v>0.25493919022938366</v>
      </c>
      <c r="X158" s="1">
        <v>0</v>
      </c>
      <c r="Y158" s="3">
        <f t="shared" si="74"/>
        <v>0</v>
      </c>
      <c r="Z158" s="1">
        <v>5832</v>
      </c>
      <c r="AA158" s="3">
        <f t="shared" si="75"/>
        <v>0.50275862068965516</v>
      </c>
      <c r="AB158" s="2">
        <v>2490</v>
      </c>
      <c r="AC158" s="2">
        <v>0</v>
      </c>
      <c r="AD158" s="2">
        <f t="shared" si="76"/>
        <v>2.8358293946813964E-2</v>
      </c>
    </row>
    <row r="159" spans="1:30" x14ac:dyDescent="0.3">
      <c r="A159" s="1">
        <v>155</v>
      </c>
      <c r="B159" s="4">
        <v>5000</v>
      </c>
      <c r="C159" s="1">
        <f t="shared" si="77"/>
        <v>0</v>
      </c>
      <c r="D159" s="1">
        <f t="shared" si="62"/>
        <v>5000</v>
      </c>
      <c r="E159" s="3">
        <f t="shared" si="63"/>
        <v>0</v>
      </c>
      <c r="F159" s="1">
        <v>0</v>
      </c>
      <c r="G159" s="3">
        <f t="shared" si="64"/>
        <v>0</v>
      </c>
      <c r="H159" s="1">
        <v>-242.98584449000001</v>
      </c>
      <c r="I159" s="1">
        <f t="shared" si="65"/>
        <v>242.98584449000001</v>
      </c>
      <c r="J159" s="3">
        <f t="shared" si="66"/>
        <v>0.15639452781719557</v>
      </c>
      <c r="K159" s="4">
        <v>-6779.6610170000004</v>
      </c>
      <c r="L159" s="1">
        <f t="shared" si="67"/>
        <v>0</v>
      </c>
      <c r="M159" s="1">
        <f t="shared" si="68"/>
        <v>6779.6610170000004</v>
      </c>
      <c r="N159" s="3">
        <f t="shared" si="69"/>
        <v>0</v>
      </c>
      <c r="O159" s="1">
        <v>1342.4069999999999</v>
      </c>
      <c r="P159" s="1">
        <v>10553.78311</v>
      </c>
      <c r="Q159" s="3">
        <f t="shared" si="70"/>
        <v>11896.19011</v>
      </c>
      <c r="R159" s="1">
        <v>0</v>
      </c>
      <c r="S159" s="1">
        <v>1517.77579117</v>
      </c>
      <c r="T159" s="1">
        <f t="shared" si="71"/>
        <v>0</v>
      </c>
      <c r="U159" s="3">
        <f t="shared" si="72"/>
        <v>1</v>
      </c>
      <c r="V159" s="1">
        <v>794.88</v>
      </c>
      <c r="W159" s="3">
        <f t="shared" si="73"/>
        <v>0.25493919022938366</v>
      </c>
      <c r="X159" s="1">
        <v>367.01</v>
      </c>
      <c r="Y159" s="3">
        <f t="shared" si="74"/>
        <v>0.72203423175290182</v>
      </c>
      <c r="Z159" s="1">
        <v>5832</v>
      </c>
      <c r="AA159" s="3">
        <f t="shared" si="75"/>
        <v>0.50275862068965516</v>
      </c>
      <c r="AB159" s="2">
        <v>6806</v>
      </c>
      <c r="AC159" s="2">
        <v>81.685000000000002</v>
      </c>
      <c r="AD159" s="2">
        <f t="shared" si="76"/>
        <v>7.844297021809693E-2</v>
      </c>
    </row>
    <row r="160" spans="1:30" x14ac:dyDescent="0.3">
      <c r="A160" s="1">
        <v>156</v>
      </c>
      <c r="B160" s="4">
        <v>5000</v>
      </c>
      <c r="C160" s="1">
        <f t="shared" si="77"/>
        <v>0</v>
      </c>
      <c r="D160" s="1">
        <f t="shared" si="62"/>
        <v>5000</v>
      </c>
      <c r="E160" s="3">
        <f t="shared" si="63"/>
        <v>0</v>
      </c>
      <c r="F160" s="1">
        <v>0</v>
      </c>
      <c r="G160" s="3">
        <f t="shared" si="64"/>
        <v>0</v>
      </c>
      <c r="H160" s="1">
        <v>-242.52197752999999</v>
      </c>
      <c r="I160" s="1">
        <f t="shared" si="65"/>
        <v>242.52197752999999</v>
      </c>
      <c r="J160" s="3">
        <f t="shared" si="66"/>
        <v>0.15609596616916432</v>
      </c>
      <c r="K160" s="4">
        <v>-6779.6610170000004</v>
      </c>
      <c r="L160" s="1">
        <f t="shared" si="67"/>
        <v>0</v>
      </c>
      <c r="M160" s="1">
        <f t="shared" si="68"/>
        <v>6779.6610170000004</v>
      </c>
      <c r="N160" s="3">
        <f t="shared" si="69"/>
        <v>0</v>
      </c>
      <c r="O160" s="1">
        <v>1342.4069999999999</v>
      </c>
      <c r="P160" s="1">
        <v>10569.62925</v>
      </c>
      <c r="Q160" s="3">
        <f t="shared" si="70"/>
        <v>11912.036249999999</v>
      </c>
      <c r="R160" s="1">
        <v>0</v>
      </c>
      <c r="S160" s="1">
        <v>1517.77579117</v>
      </c>
      <c r="T160" s="1">
        <f t="shared" si="71"/>
        <v>0</v>
      </c>
      <c r="U160" s="3">
        <f t="shared" si="72"/>
        <v>1</v>
      </c>
      <c r="V160" s="1">
        <v>794.88</v>
      </c>
      <c r="W160" s="3">
        <f t="shared" si="73"/>
        <v>0.25493919022938366</v>
      </c>
      <c r="X160" s="1">
        <v>367.01</v>
      </c>
      <c r="Y160" s="3">
        <f t="shared" si="74"/>
        <v>0.72203423175290182</v>
      </c>
      <c r="Z160" s="1">
        <v>5832</v>
      </c>
      <c r="AA160" s="3">
        <f t="shared" si="75"/>
        <v>0.50275862068965516</v>
      </c>
      <c r="AB160" s="2">
        <v>11288</v>
      </c>
      <c r="AC160" s="2">
        <v>134.54</v>
      </c>
      <c r="AD160" s="2">
        <f t="shared" si="76"/>
        <v>0.13008985820853028</v>
      </c>
    </row>
    <row r="161" spans="1:30" x14ac:dyDescent="0.3">
      <c r="A161" s="1">
        <v>157</v>
      </c>
      <c r="B161" s="4">
        <v>5000</v>
      </c>
      <c r="C161" s="1">
        <f t="shared" si="77"/>
        <v>0</v>
      </c>
      <c r="D161" s="1">
        <f t="shared" si="62"/>
        <v>5000</v>
      </c>
      <c r="E161" s="3">
        <f t="shared" si="63"/>
        <v>0</v>
      </c>
      <c r="F161" s="1">
        <v>0</v>
      </c>
      <c r="G161" s="3">
        <f t="shared" si="64"/>
        <v>0</v>
      </c>
      <c r="H161" s="1">
        <v>-242.98584449000001</v>
      </c>
      <c r="I161" s="1">
        <f t="shared" si="65"/>
        <v>242.98584449000001</v>
      </c>
      <c r="J161" s="3">
        <f t="shared" si="66"/>
        <v>0.15639452781719557</v>
      </c>
      <c r="K161" s="4">
        <v>-6779.6610170000004</v>
      </c>
      <c r="L161" s="1">
        <f t="shared" si="67"/>
        <v>0</v>
      </c>
      <c r="M161" s="1">
        <f t="shared" si="68"/>
        <v>6779.6610170000004</v>
      </c>
      <c r="N161" s="3">
        <f t="shared" si="69"/>
        <v>0</v>
      </c>
      <c r="O161" s="1">
        <v>1342.4069999999999</v>
      </c>
      <c r="P161" s="1">
        <v>10553.78311</v>
      </c>
      <c r="Q161" s="3">
        <f t="shared" si="70"/>
        <v>11896.19011</v>
      </c>
      <c r="R161" s="1">
        <v>0</v>
      </c>
      <c r="S161" s="1">
        <v>1517.77579117</v>
      </c>
      <c r="T161" s="1">
        <f t="shared" si="71"/>
        <v>0</v>
      </c>
      <c r="U161" s="3">
        <f t="shared" si="72"/>
        <v>1</v>
      </c>
      <c r="V161" s="1">
        <v>794.88</v>
      </c>
      <c r="W161" s="3">
        <f t="shared" si="73"/>
        <v>0.25493919022938366</v>
      </c>
      <c r="X161" s="1">
        <v>367.01</v>
      </c>
      <c r="Y161" s="3">
        <f t="shared" si="74"/>
        <v>0.72203423175290182</v>
      </c>
      <c r="Z161" s="1">
        <v>5832</v>
      </c>
      <c r="AA161" s="3">
        <f t="shared" si="75"/>
        <v>0.50275862068965516</v>
      </c>
      <c r="AB161" s="2">
        <v>15272</v>
      </c>
      <c r="AC161" s="2">
        <v>172.98</v>
      </c>
      <c r="AD161" s="2">
        <f t="shared" si="76"/>
        <v>0.17590091680428221</v>
      </c>
    </row>
    <row r="162" spans="1:30" x14ac:dyDescent="0.3">
      <c r="A162" s="1">
        <v>158</v>
      </c>
      <c r="B162" s="4">
        <v>5000</v>
      </c>
      <c r="C162" s="1">
        <f t="shared" si="77"/>
        <v>0</v>
      </c>
      <c r="D162" s="1">
        <f t="shared" si="62"/>
        <v>5000</v>
      </c>
      <c r="E162" s="3">
        <f t="shared" si="63"/>
        <v>0</v>
      </c>
      <c r="F162" s="1">
        <v>0</v>
      </c>
      <c r="G162" s="3">
        <f t="shared" si="64"/>
        <v>0</v>
      </c>
      <c r="H162" s="1">
        <v>-242.98584449000001</v>
      </c>
      <c r="I162" s="1">
        <f t="shared" si="65"/>
        <v>242.98584449000001</v>
      </c>
      <c r="J162" s="3">
        <f t="shared" si="66"/>
        <v>0.15639452781719557</v>
      </c>
      <c r="K162" s="4">
        <v>-6779.6610170000004</v>
      </c>
      <c r="L162" s="1">
        <f t="shared" si="67"/>
        <v>0</v>
      </c>
      <c r="M162" s="1">
        <f t="shared" si="68"/>
        <v>6779.6610170000004</v>
      </c>
      <c r="N162" s="3">
        <f t="shared" si="69"/>
        <v>0</v>
      </c>
      <c r="O162" s="1">
        <v>1342.4069999999999</v>
      </c>
      <c r="P162" s="1">
        <v>10553.78311</v>
      </c>
      <c r="Q162" s="3">
        <f t="shared" si="70"/>
        <v>11896.19011</v>
      </c>
      <c r="R162" s="1">
        <v>0</v>
      </c>
      <c r="S162" s="1">
        <v>1517.77579117</v>
      </c>
      <c r="T162" s="1">
        <f t="shared" si="71"/>
        <v>0</v>
      </c>
      <c r="U162" s="3">
        <f t="shared" si="72"/>
        <v>1</v>
      </c>
      <c r="V162" s="1">
        <v>794.88</v>
      </c>
      <c r="W162" s="3">
        <f t="shared" si="73"/>
        <v>0.25493919022938366</v>
      </c>
      <c r="X162" s="1">
        <v>367.01</v>
      </c>
      <c r="Y162" s="3">
        <f t="shared" si="74"/>
        <v>0.72203423175290182</v>
      </c>
      <c r="Z162" s="1">
        <v>5832</v>
      </c>
      <c r="AA162" s="3">
        <f t="shared" si="75"/>
        <v>0.50275862068965516</v>
      </c>
      <c r="AB162" s="2">
        <v>17347</v>
      </c>
      <c r="AC162" s="2">
        <v>187.39500000000001</v>
      </c>
      <c r="AD162" s="2">
        <f t="shared" si="76"/>
        <v>0.19969699903194579</v>
      </c>
    </row>
    <row r="163" spans="1:30" x14ac:dyDescent="0.3">
      <c r="A163" s="1">
        <v>159</v>
      </c>
      <c r="B163" s="4">
        <v>5000</v>
      </c>
      <c r="C163" s="1">
        <f t="shared" si="77"/>
        <v>0</v>
      </c>
      <c r="D163" s="1">
        <f t="shared" si="62"/>
        <v>5000</v>
      </c>
      <c r="E163" s="3">
        <f t="shared" si="63"/>
        <v>0</v>
      </c>
      <c r="F163" s="1">
        <v>0</v>
      </c>
      <c r="G163" s="3">
        <f t="shared" si="64"/>
        <v>0</v>
      </c>
      <c r="H163" s="1">
        <v>-242.52197752999999</v>
      </c>
      <c r="I163" s="1">
        <f t="shared" si="65"/>
        <v>242.52197752999999</v>
      </c>
      <c r="J163" s="3">
        <f t="shared" si="66"/>
        <v>0.15609596616916432</v>
      </c>
      <c r="K163" s="4">
        <v>-6779.6610170000004</v>
      </c>
      <c r="L163" s="1">
        <f t="shared" si="67"/>
        <v>0</v>
      </c>
      <c r="M163" s="1">
        <f t="shared" si="68"/>
        <v>6779.6610170000004</v>
      </c>
      <c r="N163" s="3">
        <f t="shared" si="69"/>
        <v>0</v>
      </c>
      <c r="O163" s="1">
        <v>1342.4069999999999</v>
      </c>
      <c r="P163" s="1">
        <v>10569.62925</v>
      </c>
      <c r="Q163" s="3">
        <f t="shared" si="70"/>
        <v>11912.036249999999</v>
      </c>
      <c r="R163" s="1">
        <v>0</v>
      </c>
      <c r="S163" s="1">
        <v>1517.77579117</v>
      </c>
      <c r="T163" s="1">
        <f t="shared" si="71"/>
        <v>0</v>
      </c>
      <c r="U163" s="3">
        <f t="shared" si="72"/>
        <v>1</v>
      </c>
      <c r="V163" s="1">
        <v>794.88</v>
      </c>
      <c r="W163" s="3">
        <f t="shared" si="73"/>
        <v>0.25493919022938366</v>
      </c>
      <c r="X163" s="1">
        <v>367.01</v>
      </c>
      <c r="Y163" s="3">
        <f t="shared" si="74"/>
        <v>0.72203423175290182</v>
      </c>
      <c r="Z163" s="1">
        <v>5832</v>
      </c>
      <c r="AA163" s="3">
        <f t="shared" si="75"/>
        <v>0.50275862068965516</v>
      </c>
      <c r="AB163" s="2">
        <v>17347</v>
      </c>
      <c r="AC163" s="2">
        <v>163.37</v>
      </c>
      <c r="AD163" s="2">
        <f t="shared" si="76"/>
        <v>0.19942338135641477</v>
      </c>
    </row>
    <row r="164" spans="1:30" x14ac:dyDescent="0.3">
      <c r="A164" s="1">
        <v>160</v>
      </c>
      <c r="B164" s="4">
        <v>5000</v>
      </c>
      <c r="C164" s="1">
        <f t="shared" si="77"/>
        <v>0</v>
      </c>
      <c r="D164" s="1">
        <f t="shared" si="62"/>
        <v>5000</v>
      </c>
      <c r="E164" s="3">
        <f t="shared" si="63"/>
        <v>0</v>
      </c>
      <c r="F164" s="1">
        <v>0</v>
      </c>
      <c r="G164" s="3">
        <f t="shared" si="64"/>
        <v>0</v>
      </c>
      <c r="H164" s="1">
        <v>-242.98584449000001</v>
      </c>
      <c r="I164" s="1">
        <f t="shared" si="65"/>
        <v>242.98584449000001</v>
      </c>
      <c r="J164" s="3">
        <f t="shared" si="66"/>
        <v>0.15639452781719557</v>
      </c>
      <c r="K164" s="4">
        <v>-6779.6610170000004</v>
      </c>
      <c r="L164" s="1">
        <f t="shared" si="67"/>
        <v>0</v>
      </c>
      <c r="M164" s="1">
        <f t="shared" si="68"/>
        <v>6779.6610170000004</v>
      </c>
      <c r="N164" s="3">
        <f t="shared" si="69"/>
        <v>0</v>
      </c>
      <c r="O164" s="1">
        <v>1342.4069999999999</v>
      </c>
      <c r="P164" s="1">
        <v>10553.78311</v>
      </c>
      <c r="Q164" s="3">
        <f t="shared" si="70"/>
        <v>11896.19011</v>
      </c>
      <c r="R164" s="1">
        <v>0</v>
      </c>
      <c r="S164" s="1">
        <v>1517.77579117</v>
      </c>
      <c r="T164" s="1">
        <f t="shared" si="71"/>
        <v>0</v>
      </c>
      <c r="U164" s="3">
        <f t="shared" si="72"/>
        <v>1</v>
      </c>
      <c r="V164" s="1">
        <v>0</v>
      </c>
      <c r="W164" s="3">
        <f t="shared" si="73"/>
        <v>0</v>
      </c>
      <c r="X164" s="1">
        <v>367.01</v>
      </c>
      <c r="Y164" s="3">
        <f t="shared" si="74"/>
        <v>0.72203423175290182</v>
      </c>
      <c r="Z164" s="1">
        <v>5832</v>
      </c>
      <c r="AA164" s="3">
        <f t="shared" si="75"/>
        <v>0.50275862068965516</v>
      </c>
      <c r="AB164" s="2">
        <v>0</v>
      </c>
      <c r="AC164" s="2">
        <v>0</v>
      </c>
      <c r="AD164" s="2">
        <f t="shared" si="76"/>
        <v>0</v>
      </c>
    </row>
    <row r="165" spans="1:30" x14ac:dyDescent="0.3">
      <c r="A165" s="1">
        <v>161</v>
      </c>
      <c r="B165" s="4">
        <v>5000</v>
      </c>
      <c r="C165" s="1">
        <f t="shared" si="77"/>
        <v>0</v>
      </c>
      <c r="D165" s="1">
        <f t="shared" ref="D165:D172" si="78">IF(B165&gt;0,B165,0)</f>
        <v>5000</v>
      </c>
      <c r="E165" s="3">
        <f t="shared" ref="E165:E172" si="79">C165/$C$2</f>
        <v>0</v>
      </c>
      <c r="F165" s="1">
        <v>0</v>
      </c>
      <c r="G165" s="3">
        <f t="shared" ref="G165:G172" si="80">IF(F165&gt;0,F165,0)</f>
        <v>0</v>
      </c>
      <c r="H165" s="1">
        <v>-242.98584449000001</v>
      </c>
      <c r="I165" s="1">
        <f t="shared" ref="I165:I172" si="81">IF(H165&lt;0,-H165,0)</f>
        <v>242.98584449000001</v>
      </c>
      <c r="J165" s="3">
        <f t="shared" ref="J165:J172" si="82">I165/$G$2</f>
        <v>0.15639452781719557</v>
      </c>
      <c r="K165" s="4">
        <v>-6779.6610170000004</v>
      </c>
      <c r="L165" s="1">
        <f t="shared" ref="L165:L172" si="83">IF(K165&gt;0,K165,0)</f>
        <v>0</v>
      </c>
      <c r="M165" s="1">
        <f t="shared" ref="M165:M172" si="84">IF(K165&lt;0,-K165,0)</f>
        <v>6779.6610170000004</v>
      </c>
      <c r="N165" s="3">
        <f t="shared" ref="N165:N172" si="85">L165/$F$2</f>
        <v>0</v>
      </c>
      <c r="O165" s="1">
        <v>1342.4069999999999</v>
      </c>
      <c r="P165" s="1">
        <v>10553.78311</v>
      </c>
      <c r="Q165" s="3">
        <f t="shared" ref="Q165:Q172" si="86">O165+P165</f>
        <v>11896.19011</v>
      </c>
      <c r="R165" s="1">
        <v>0</v>
      </c>
      <c r="S165" s="1">
        <v>1517.77579117</v>
      </c>
      <c r="T165" s="1">
        <f t="shared" ref="T165:T172" si="87">R165/$S$2</f>
        <v>0</v>
      </c>
      <c r="U165" s="3">
        <f t="shared" ref="U165:U172" si="88">S165/$T$2</f>
        <v>1</v>
      </c>
      <c r="V165" s="1">
        <v>0</v>
      </c>
      <c r="W165" s="3">
        <f t="shared" ref="W165:W172" si="89">V165/$U$2</f>
        <v>0</v>
      </c>
      <c r="X165" s="1">
        <v>367.01</v>
      </c>
      <c r="Y165" s="3">
        <f t="shared" ref="Y165:Y172" si="90">X165/$V$2</f>
        <v>0.72203423175290182</v>
      </c>
      <c r="Z165" s="1">
        <v>5832</v>
      </c>
      <c r="AA165" s="3">
        <f t="shared" ref="AA165:AA172" si="91">Z165/$W$2</f>
        <v>0.50275862068965516</v>
      </c>
      <c r="AB165" s="2">
        <v>4904.2486502900001</v>
      </c>
      <c r="AC165" s="2">
        <v>0</v>
      </c>
      <c r="AD165" s="2">
        <f t="shared" ref="AD165:AD172" si="92">SUM(AB165:AC165)/$X$2</f>
        <v>5.5853865386823076E-2</v>
      </c>
    </row>
    <row r="166" spans="1:30" x14ac:dyDescent="0.3">
      <c r="A166" s="1">
        <v>162</v>
      </c>
      <c r="B166" s="4">
        <v>5000</v>
      </c>
      <c r="C166" s="1">
        <f t="shared" si="77"/>
        <v>0</v>
      </c>
      <c r="D166" s="1">
        <f t="shared" si="78"/>
        <v>5000</v>
      </c>
      <c r="E166" s="3">
        <f t="shared" si="79"/>
        <v>0</v>
      </c>
      <c r="F166" s="1">
        <v>0</v>
      </c>
      <c r="G166" s="3">
        <f t="shared" si="80"/>
        <v>0</v>
      </c>
      <c r="H166" s="1">
        <v>-242.98584449000001</v>
      </c>
      <c r="I166" s="1">
        <f t="shared" si="81"/>
        <v>242.98584449000001</v>
      </c>
      <c r="J166" s="3">
        <f t="shared" si="82"/>
        <v>0.15639452781719557</v>
      </c>
      <c r="K166" s="4">
        <v>-6779.6610170000004</v>
      </c>
      <c r="L166" s="1">
        <f t="shared" si="83"/>
        <v>0</v>
      </c>
      <c r="M166" s="1">
        <f t="shared" si="84"/>
        <v>6779.6610170000004</v>
      </c>
      <c r="N166" s="3">
        <f t="shared" si="85"/>
        <v>0</v>
      </c>
      <c r="O166" s="1">
        <v>1342.4069999999999</v>
      </c>
      <c r="P166" s="1">
        <v>10553.78311</v>
      </c>
      <c r="Q166" s="3">
        <f t="shared" si="86"/>
        <v>11896.19011</v>
      </c>
      <c r="R166" s="1">
        <v>0</v>
      </c>
      <c r="S166" s="1">
        <v>1517.77579117</v>
      </c>
      <c r="T166" s="1">
        <f t="shared" si="87"/>
        <v>0</v>
      </c>
      <c r="U166" s="3">
        <f t="shared" si="88"/>
        <v>1</v>
      </c>
      <c r="V166" s="1">
        <v>794.88</v>
      </c>
      <c r="W166" s="3">
        <f t="shared" si="89"/>
        <v>0.25493919022938366</v>
      </c>
      <c r="X166" s="1">
        <v>367.01</v>
      </c>
      <c r="Y166" s="3">
        <f t="shared" si="90"/>
        <v>0.72203423175290182</v>
      </c>
      <c r="Z166" s="1">
        <v>5832</v>
      </c>
      <c r="AA166" s="3">
        <f t="shared" si="91"/>
        <v>0.50275862068965516</v>
      </c>
      <c r="AB166" s="2">
        <v>2324</v>
      </c>
      <c r="AC166" s="2">
        <v>0</v>
      </c>
      <c r="AD166" s="2">
        <f t="shared" si="92"/>
        <v>2.6467741017026366E-2</v>
      </c>
    </row>
    <row r="167" spans="1:30" x14ac:dyDescent="0.3">
      <c r="A167" s="1">
        <v>163</v>
      </c>
      <c r="B167" s="4">
        <v>5000</v>
      </c>
      <c r="C167" s="1">
        <f t="shared" si="77"/>
        <v>0</v>
      </c>
      <c r="D167" s="1">
        <f t="shared" si="78"/>
        <v>5000</v>
      </c>
      <c r="E167" s="3">
        <f t="shared" si="79"/>
        <v>0</v>
      </c>
      <c r="F167" s="1">
        <v>0</v>
      </c>
      <c r="G167" s="3">
        <f t="shared" si="80"/>
        <v>0</v>
      </c>
      <c r="H167" s="1">
        <v>-242.52197752999999</v>
      </c>
      <c r="I167" s="1">
        <f t="shared" si="81"/>
        <v>242.52197752999999</v>
      </c>
      <c r="J167" s="3">
        <f t="shared" si="82"/>
        <v>0.15609596616916432</v>
      </c>
      <c r="K167" s="4">
        <v>-6779.6610170000004</v>
      </c>
      <c r="L167" s="1">
        <f t="shared" si="83"/>
        <v>0</v>
      </c>
      <c r="M167" s="1">
        <f t="shared" si="84"/>
        <v>6779.6610170000004</v>
      </c>
      <c r="N167" s="3">
        <f t="shared" si="85"/>
        <v>0</v>
      </c>
      <c r="O167" s="1">
        <v>1342.4069999999999</v>
      </c>
      <c r="P167" s="1">
        <v>10569.62925</v>
      </c>
      <c r="Q167" s="3">
        <f t="shared" si="86"/>
        <v>11912.036249999999</v>
      </c>
      <c r="R167" s="1">
        <v>0</v>
      </c>
      <c r="S167" s="1">
        <v>1517.77579117</v>
      </c>
      <c r="T167" s="1">
        <f t="shared" si="87"/>
        <v>0</v>
      </c>
      <c r="U167" s="3">
        <f t="shared" si="88"/>
        <v>1</v>
      </c>
      <c r="V167" s="1">
        <v>794.88</v>
      </c>
      <c r="W167" s="3">
        <f t="shared" si="89"/>
        <v>0.25493919022938366</v>
      </c>
      <c r="X167" s="1">
        <v>367.01</v>
      </c>
      <c r="Y167" s="3">
        <f t="shared" si="90"/>
        <v>0.72203423175290182</v>
      </c>
      <c r="Z167" s="1">
        <v>5832</v>
      </c>
      <c r="AA167" s="3">
        <f t="shared" si="91"/>
        <v>0.50275862068965516</v>
      </c>
      <c r="AB167" s="2">
        <v>0</v>
      </c>
      <c r="AC167" s="2">
        <v>0</v>
      </c>
      <c r="AD167" s="2">
        <f t="shared" si="92"/>
        <v>0</v>
      </c>
    </row>
    <row r="168" spans="1:30" x14ac:dyDescent="0.3">
      <c r="A168" s="1">
        <v>164</v>
      </c>
      <c r="B168" s="4">
        <v>5000</v>
      </c>
      <c r="C168" s="1">
        <f t="shared" si="77"/>
        <v>0</v>
      </c>
      <c r="D168" s="1">
        <f t="shared" si="78"/>
        <v>5000</v>
      </c>
      <c r="E168" s="3">
        <f t="shared" si="79"/>
        <v>0</v>
      </c>
      <c r="F168" s="1">
        <v>0</v>
      </c>
      <c r="G168" s="3">
        <f t="shared" si="80"/>
        <v>0</v>
      </c>
      <c r="H168" s="1">
        <v>-242.98584449000001</v>
      </c>
      <c r="I168" s="1">
        <f t="shared" si="81"/>
        <v>242.98584449000001</v>
      </c>
      <c r="J168" s="3">
        <f t="shared" si="82"/>
        <v>0.15639452781719557</v>
      </c>
      <c r="K168" s="4">
        <v>-6779.6610170000004</v>
      </c>
      <c r="L168" s="1">
        <f t="shared" si="83"/>
        <v>0</v>
      </c>
      <c r="M168" s="1">
        <f t="shared" si="84"/>
        <v>6779.6610170000004</v>
      </c>
      <c r="N168" s="3">
        <f t="shared" si="85"/>
        <v>0</v>
      </c>
      <c r="O168" s="1">
        <v>1342.4069999999999</v>
      </c>
      <c r="P168" s="1">
        <v>10553.78311</v>
      </c>
      <c r="Q168" s="3">
        <f t="shared" si="86"/>
        <v>11896.19011</v>
      </c>
      <c r="R168" s="1">
        <v>0</v>
      </c>
      <c r="S168" s="1">
        <v>1517.77579117</v>
      </c>
      <c r="T168" s="1">
        <f t="shared" si="87"/>
        <v>0</v>
      </c>
      <c r="U168" s="3">
        <f t="shared" si="88"/>
        <v>1</v>
      </c>
      <c r="V168" s="1">
        <v>794.88</v>
      </c>
      <c r="W168" s="3">
        <f t="shared" si="89"/>
        <v>0.25493919022938366</v>
      </c>
      <c r="X168" s="1">
        <v>367.01</v>
      </c>
      <c r="Y168" s="3">
        <f t="shared" si="90"/>
        <v>0.72203423175290182</v>
      </c>
      <c r="Z168" s="1">
        <v>5832</v>
      </c>
      <c r="AA168" s="3">
        <f t="shared" si="91"/>
        <v>0.50275862068965516</v>
      </c>
      <c r="AB168" s="2">
        <v>0</v>
      </c>
      <c r="AC168" s="2">
        <v>0</v>
      </c>
      <c r="AD168" s="2">
        <f t="shared" si="92"/>
        <v>0</v>
      </c>
    </row>
    <row r="169" spans="1:30" x14ac:dyDescent="0.3">
      <c r="A169" s="1">
        <v>165</v>
      </c>
      <c r="B169" s="4">
        <v>5000</v>
      </c>
      <c r="C169" s="1">
        <f t="shared" si="77"/>
        <v>0</v>
      </c>
      <c r="D169" s="1">
        <f t="shared" si="78"/>
        <v>5000</v>
      </c>
      <c r="E169" s="3">
        <f t="shared" si="79"/>
        <v>0</v>
      </c>
      <c r="F169" s="1">
        <v>0</v>
      </c>
      <c r="G169" s="3">
        <f t="shared" si="80"/>
        <v>0</v>
      </c>
      <c r="H169" s="1">
        <v>-243.44971145</v>
      </c>
      <c r="I169" s="1">
        <f t="shared" si="81"/>
        <v>243.44971145</v>
      </c>
      <c r="J169" s="3">
        <f t="shared" si="82"/>
        <v>0.15669308946522681</v>
      </c>
      <c r="K169" s="4">
        <v>-6779.6610170000004</v>
      </c>
      <c r="L169" s="1">
        <f t="shared" si="83"/>
        <v>0</v>
      </c>
      <c r="M169" s="1">
        <f t="shared" si="84"/>
        <v>6779.6610170000004</v>
      </c>
      <c r="N169" s="3">
        <f t="shared" si="85"/>
        <v>0</v>
      </c>
      <c r="O169" s="1">
        <v>1342.4069999999999</v>
      </c>
      <c r="P169" s="1">
        <v>10537.93698</v>
      </c>
      <c r="Q169" s="3">
        <f t="shared" si="86"/>
        <v>11880.34398</v>
      </c>
      <c r="R169" s="1">
        <v>0</v>
      </c>
      <c r="S169" s="1">
        <v>1517.77579117</v>
      </c>
      <c r="T169" s="1">
        <f t="shared" si="87"/>
        <v>0</v>
      </c>
      <c r="U169" s="3">
        <f t="shared" si="88"/>
        <v>1</v>
      </c>
      <c r="V169" s="1">
        <v>794.88</v>
      </c>
      <c r="W169" s="3">
        <f t="shared" si="89"/>
        <v>0.25493919022938366</v>
      </c>
      <c r="X169" s="1">
        <v>367.01</v>
      </c>
      <c r="Y169" s="3">
        <f t="shared" si="90"/>
        <v>0.72203423175290182</v>
      </c>
      <c r="Z169" s="1">
        <v>5832</v>
      </c>
      <c r="AA169" s="3">
        <f t="shared" si="91"/>
        <v>0.50275862068965516</v>
      </c>
      <c r="AB169" s="2">
        <v>0</v>
      </c>
      <c r="AC169" s="2">
        <v>0</v>
      </c>
      <c r="AD169" s="2">
        <f t="shared" si="92"/>
        <v>0</v>
      </c>
    </row>
    <row r="170" spans="1:30" x14ac:dyDescent="0.3">
      <c r="A170" s="1">
        <v>166</v>
      </c>
      <c r="B170" s="4">
        <v>5000</v>
      </c>
      <c r="C170" s="1">
        <f t="shared" si="77"/>
        <v>0</v>
      </c>
      <c r="D170" s="1">
        <f t="shared" si="78"/>
        <v>5000</v>
      </c>
      <c r="E170" s="3">
        <f t="shared" si="79"/>
        <v>0</v>
      </c>
      <c r="F170" s="1">
        <v>0</v>
      </c>
      <c r="G170" s="3">
        <f t="shared" si="80"/>
        <v>0</v>
      </c>
      <c r="H170" s="1">
        <v>-243.91357840000001</v>
      </c>
      <c r="I170" s="1">
        <f t="shared" si="81"/>
        <v>243.91357840000001</v>
      </c>
      <c r="J170" s="3">
        <f t="shared" si="82"/>
        <v>0.1569916511068217</v>
      </c>
      <c r="K170" s="4">
        <v>-6779.6610170000004</v>
      </c>
      <c r="L170" s="1">
        <f t="shared" si="83"/>
        <v>0</v>
      </c>
      <c r="M170" s="1">
        <f t="shared" si="84"/>
        <v>6779.6610170000004</v>
      </c>
      <c r="N170" s="3">
        <f t="shared" si="85"/>
        <v>0</v>
      </c>
      <c r="O170" s="1">
        <v>1342.4069999999999</v>
      </c>
      <c r="P170" s="1">
        <v>10522.090850000001</v>
      </c>
      <c r="Q170" s="3">
        <f t="shared" si="86"/>
        <v>11864.49785</v>
      </c>
      <c r="R170" s="1">
        <v>0</v>
      </c>
      <c r="S170" s="1">
        <v>1517.77579117</v>
      </c>
      <c r="T170" s="1">
        <f t="shared" si="87"/>
        <v>0</v>
      </c>
      <c r="U170" s="3">
        <f t="shared" si="88"/>
        <v>1</v>
      </c>
      <c r="V170" s="1">
        <v>794.88</v>
      </c>
      <c r="W170" s="3">
        <f t="shared" si="89"/>
        <v>0.25493919022938366</v>
      </c>
      <c r="X170" s="1">
        <v>367.01</v>
      </c>
      <c r="Y170" s="3">
        <f t="shared" si="90"/>
        <v>0.72203423175290182</v>
      </c>
      <c r="Z170" s="1">
        <v>5832</v>
      </c>
      <c r="AA170" s="3">
        <f t="shared" si="91"/>
        <v>0.50275862068965516</v>
      </c>
      <c r="AB170" s="2">
        <v>0</v>
      </c>
      <c r="AC170" s="2">
        <v>0</v>
      </c>
      <c r="AD170" s="2">
        <f t="shared" si="92"/>
        <v>0</v>
      </c>
    </row>
    <row r="171" spans="1:30" x14ac:dyDescent="0.3">
      <c r="A171" s="1">
        <v>167</v>
      </c>
      <c r="B171" s="4">
        <v>5000</v>
      </c>
      <c r="C171" s="1">
        <f t="shared" si="77"/>
        <v>0</v>
      </c>
      <c r="D171" s="1">
        <f t="shared" si="78"/>
        <v>5000</v>
      </c>
      <c r="E171" s="3">
        <f t="shared" si="79"/>
        <v>0</v>
      </c>
      <c r="F171" s="1">
        <v>0</v>
      </c>
      <c r="G171" s="3">
        <f t="shared" si="80"/>
        <v>0</v>
      </c>
      <c r="H171" s="1">
        <v>-244.84131231999999</v>
      </c>
      <c r="I171" s="1">
        <f t="shared" si="81"/>
        <v>244.84131231999999</v>
      </c>
      <c r="J171" s="3">
        <f t="shared" si="82"/>
        <v>0.15758877440288419</v>
      </c>
      <c r="K171" s="4">
        <v>-6779.6610170000004</v>
      </c>
      <c r="L171" s="1">
        <f t="shared" si="83"/>
        <v>0</v>
      </c>
      <c r="M171" s="1">
        <f t="shared" si="84"/>
        <v>6779.6610170000004</v>
      </c>
      <c r="N171" s="3">
        <f t="shared" si="85"/>
        <v>0</v>
      </c>
      <c r="O171" s="1">
        <v>1342.4069999999999</v>
      </c>
      <c r="P171" s="1">
        <v>10490.398579999999</v>
      </c>
      <c r="Q171" s="3">
        <f t="shared" si="86"/>
        <v>11832.805579999998</v>
      </c>
      <c r="R171" s="1">
        <v>0</v>
      </c>
      <c r="S171" s="1">
        <v>1517.77579117</v>
      </c>
      <c r="T171" s="1">
        <f t="shared" si="87"/>
        <v>0</v>
      </c>
      <c r="U171" s="3">
        <f t="shared" si="88"/>
        <v>1</v>
      </c>
      <c r="V171" s="1">
        <v>794.88</v>
      </c>
      <c r="W171" s="3">
        <f t="shared" si="89"/>
        <v>0.25493919022938366</v>
      </c>
      <c r="X171" s="1">
        <v>367.01</v>
      </c>
      <c r="Y171" s="3">
        <f t="shared" si="90"/>
        <v>0.72203423175290182</v>
      </c>
      <c r="Z171" s="1">
        <v>5832</v>
      </c>
      <c r="AA171" s="3">
        <f t="shared" si="91"/>
        <v>0.50275862068965516</v>
      </c>
      <c r="AB171" s="2">
        <v>0</v>
      </c>
      <c r="AC171" s="2">
        <v>0</v>
      </c>
      <c r="AD171" s="2">
        <f t="shared" si="92"/>
        <v>0</v>
      </c>
    </row>
    <row r="172" spans="1:30" x14ac:dyDescent="0.3">
      <c r="A172" s="1">
        <v>168</v>
      </c>
      <c r="B172" s="4">
        <v>5000</v>
      </c>
      <c r="C172" s="1">
        <f t="shared" si="77"/>
        <v>0</v>
      </c>
      <c r="D172" s="1">
        <f t="shared" si="78"/>
        <v>5000</v>
      </c>
      <c r="E172" s="3">
        <f t="shared" si="79"/>
        <v>0</v>
      </c>
      <c r="F172" s="1">
        <v>0</v>
      </c>
      <c r="G172" s="3">
        <f t="shared" si="80"/>
        <v>0</v>
      </c>
      <c r="H172" s="1">
        <v>-244.84131231999999</v>
      </c>
      <c r="I172" s="1">
        <f t="shared" si="81"/>
        <v>244.84131231999999</v>
      </c>
      <c r="J172" s="3">
        <f t="shared" si="82"/>
        <v>0.15758877440288419</v>
      </c>
      <c r="K172" s="4">
        <v>-6779.6610170000004</v>
      </c>
      <c r="L172" s="1">
        <f t="shared" si="83"/>
        <v>0</v>
      </c>
      <c r="M172" s="1">
        <f t="shared" si="84"/>
        <v>6779.6610170000004</v>
      </c>
      <c r="N172" s="3">
        <f t="shared" si="85"/>
        <v>0</v>
      </c>
      <c r="O172" s="1">
        <v>1342.4069999999999</v>
      </c>
      <c r="P172" s="1">
        <v>10490.398579999999</v>
      </c>
      <c r="Q172" s="3">
        <f t="shared" si="86"/>
        <v>11832.805579999998</v>
      </c>
      <c r="R172" s="1">
        <v>0</v>
      </c>
      <c r="S172" s="1">
        <v>1517.77579117</v>
      </c>
      <c r="T172" s="1">
        <f t="shared" si="87"/>
        <v>0</v>
      </c>
      <c r="U172" s="3">
        <f t="shared" si="88"/>
        <v>1</v>
      </c>
      <c r="V172" s="1">
        <v>794.88</v>
      </c>
      <c r="W172" s="3">
        <f t="shared" si="89"/>
        <v>0.25493919022938366</v>
      </c>
      <c r="X172" s="1">
        <v>367.01</v>
      </c>
      <c r="Y172" s="3">
        <f t="shared" si="90"/>
        <v>0.72203423175290182</v>
      </c>
      <c r="Z172" s="1">
        <v>5832</v>
      </c>
      <c r="AA172" s="3">
        <f t="shared" si="91"/>
        <v>0.50275862068965516</v>
      </c>
      <c r="AB172" s="2">
        <v>0</v>
      </c>
      <c r="AC172" s="2">
        <v>0</v>
      </c>
      <c r="AD172" s="2">
        <f t="shared" si="9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Benchmarking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2026-04-15T08:09:03Z</dcterms:created>
  <dcterms:modified xsi:type="dcterms:W3CDTF">2026-04-16T15:06:16Z</dcterms:modified>
</cp:coreProperties>
</file>