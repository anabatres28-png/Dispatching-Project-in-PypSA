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T10348\Downloads\WinPython 3.12.10\WPy64-31241\PROYECTOS PYPSA\Dispatching-Project-in-PypSA\hojas_de_datos\"/>
    </mc:Choice>
  </mc:AlternateContent>
  <xr:revisionPtr revIDLastSave="0" documentId="13_ncr:1_{0201E85D-F606-42AC-94C9-10B762108B93}" xr6:coauthVersionLast="47" xr6:coauthVersionMax="47" xr10:uidLastSave="{00000000-0000-0000-0000-000000000000}"/>
  <bookViews>
    <workbookView xWindow="-110" yWindow="-110" windowWidth="19420" windowHeight="10300" activeTab="5" xr2:uid="{EB83EF9F-CD4E-4D80-B090-034B22B909E7}"/>
  </bookViews>
  <sheets>
    <sheet name="GuideSheet" sheetId="2" r:id="rId1"/>
    <sheet name="Para Comparar SRES" sheetId="4" r:id="rId2"/>
    <sheet name="Mode.1busSRES" sheetId="3" r:id="rId3"/>
    <sheet name="Mode.2busSRES" sheetId="1" r:id="rId4"/>
    <sheet name="Utilizacion de Interconexiones" sheetId="7" r:id="rId5"/>
    <sheet name="Precios ES" sheetId="5" r:id="rId6"/>
    <sheet name="Precios PT" sheetId="6" r:id="rId7"/>
  </sheets>
  <externalReferences>
    <externalReference r:id="rId8"/>
    <externalReference r:id="rId9"/>
  </externalReferences>
  <definedNames>
    <definedName name="_xlnm._FilterDatabase" localSheetId="5" hidden="1">'Precios ES'!$A$1:$H$171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8" i="5" l="1"/>
  <c r="O33" i="5"/>
  <c r="O28" i="5"/>
  <c r="O27" i="5"/>
  <c r="O26" i="5"/>
  <c r="O34" i="5"/>
  <c r="O35" i="5"/>
  <c r="O36" i="5"/>
  <c r="O37" i="5"/>
  <c r="B13" i="5"/>
  <c r="O31" i="5"/>
  <c r="O30" i="5"/>
  <c r="O32" i="5"/>
  <c r="H23" i="7"/>
  <c r="I23" i="7"/>
  <c r="J23" i="7"/>
  <c r="K23" i="7"/>
  <c r="L23" i="7"/>
  <c r="M23" i="7"/>
  <c r="N23" i="7"/>
  <c r="H24" i="7"/>
  <c r="I24" i="7"/>
  <c r="J24" i="7"/>
  <c r="K24" i="7"/>
  <c r="L24" i="7"/>
  <c r="M24" i="7"/>
  <c r="N24" i="7"/>
  <c r="H25" i="7"/>
  <c r="I25" i="7"/>
  <c r="J25" i="7"/>
  <c r="K25" i="7"/>
  <c r="L25" i="7"/>
  <c r="M25" i="7"/>
  <c r="N25" i="7"/>
  <c r="H26" i="7"/>
  <c r="I26" i="7"/>
  <c r="J26" i="7"/>
  <c r="K26" i="7"/>
  <c r="L26" i="7"/>
  <c r="M26" i="7"/>
  <c r="N26" i="7"/>
  <c r="H27" i="7"/>
  <c r="H28" i="7" s="1"/>
  <c r="I27" i="7"/>
  <c r="J27" i="7"/>
  <c r="K27" i="7"/>
  <c r="L27" i="7"/>
  <c r="M27" i="7"/>
  <c r="N27" i="7"/>
  <c r="I28" i="7"/>
  <c r="J28" i="7"/>
  <c r="K28" i="7"/>
  <c r="L28" i="7"/>
  <c r="M28" i="7"/>
  <c r="N28" i="7"/>
  <c r="C14" i="7"/>
  <c r="D14" i="7" s="1"/>
  <c r="C13" i="7"/>
  <c r="D13" i="7" s="1"/>
  <c r="C12" i="7"/>
  <c r="D12" i="7" s="1"/>
  <c r="C11" i="7"/>
  <c r="D11" i="7" s="1"/>
  <c r="H3" i="7"/>
  <c r="H4" i="7" s="1"/>
  <c r="H5" i="7" s="1"/>
  <c r="H6" i="7" s="1"/>
  <c r="H7" i="7" s="1"/>
  <c r="H8" i="7" s="1"/>
  <c r="H9" i="7" s="1"/>
  <c r="H10" i="7" s="1"/>
  <c r="H11" i="7" s="1"/>
  <c r="H12" i="7" s="1"/>
  <c r="H13" i="7" s="1"/>
  <c r="H14" i="7" s="1"/>
  <c r="H15" i="7" s="1"/>
  <c r="H16" i="7" s="1"/>
  <c r="H17" i="7" s="1"/>
  <c r="H18" i="7" s="1"/>
  <c r="H19" i="7" s="1"/>
  <c r="H20" i="7" s="1"/>
  <c r="H21" i="7" s="1"/>
  <c r="H22" i="7" s="1"/>
  <c r="H29" i="7" s="1"/>
  <c r="H30" i="7" s="1"/>
  <c r="H31" i="7" s="1"/>
  <c r="H32" i="7" s="1"/>
  <c r="H33" i="7" s="1"/>
  <c r="H34" i="7" s="1"/>
  <c r="H35" i="7" s="1"/>
  <c r="H36" i="7" s="1"/>
  <c r="H37" i="7" s="1"/>
  <c r="H38" i="7" s="1"/>
  <c r="H39" i="7" s="1"/>
  <c r="H40" i="7" s="1"/>
  <c r="H41" i="7" s="1"/>
  <c r="H42" i="7" s="1"/>
  <c r="H43" i="7" s="1"/>
  <c r="H44" i="7" s="1"/>
  <c r="H45" i="7" s="1"/>
  <c r="H46" i="7" s="1"/>
  <c r="H47" i="7" s="1"/>
  <c r="H48" i="7" s="1"/>
  <c r="H49" i="7" s="1"/>
  <c r="H50" i="7" s="1"/>
  <c r="H51" i="7" s="1"/>
  <c r="H52" i="7" s="1"/>
  <c r="H53" i="7" s="1"/>
  <c r="H54" i="7" s="1"/>
  <c r="H55" i="7" s="1"/>
  <c r="H56" i="7" s="1"/>
  <c r="H57" i="7" s="1"/>
  <c r="H58" i="7" s="1"/>
  <c r="H59" i="7" s="1"/>
  <c r="H60" i="7" s="1"/>
  <c r="H61" i="7" s="1"/>
  <c r="H62" i="7" s="1"/>
  <c r="H63" i="7" s="1"/>
  <c r="H64" i="7" s="1"/>
  <c r="H65" i="7" s="1"/>
  <c r="H66" i="7" s="1"/>
  <c r="H67" i="7" s="1"/>
  <c r="H68" i="7" s="1"/>
  <c r="H69" i="7" s="1"/>
  <c r="H70" i="7" s="1"/>
  <c r="H71" i="7" s="1"/>
  <c r="H72" i="7" s="1"/>
  <c r="H73" i="7" s="1"/>
  <c r="H74" i="7" s="1"/>
  <c r="H75" i="7" s="1"/>
  <c r="H76" i="7" s="1"/>
  <c r="H77" i="7" s="1"/>
  <c r="H78" i="7" s="1"/>
  <c r="H79" i="7" s="1"/>
  <c r="H80" i="7" s="1"/>
  <c r="H81" i="7" s="1"/>
  <c r="H82" i="7" s="1"/>
  <c r="H83" i="7" s="1"/>
  <c r="H84" i="7" s="1"/>
  <c r="H85" i="7" s="1"/>
  <c r="H86" i="7" s="1"/>
  <c r="H87" i="7" s="1"/>
  <c r="H88" i="7" s="1"/>
  <c r="H89" i="7" s="1"/>
  <c r="H90" i="7" s="1"/>
  <c r="H91" i="7" s="1"/>
  <c r="H92" i="7" s="1"/>
  <c r="H93" i="7" s="1"/>
  <c r="H94" i="7" s="1"/>
  <c r="H95" i="7" s="1"/>
  <c r="H96" i="7" s="1"/>
  <c r="H97" i="7" s="1"/>
  <c r="H98" i="7" s="1"/>
  <c r="H99" i="7" s="1"/>
  <c r="H100" i="7" s="1"/>
  <c r="H101" i="7" s="1"/>
  <c r="H102" i="7" s="1"/>
  <c r="H103" i="7" s="1"/>
  <c r="H104" i="7" s="1"/>
  <c r="H105" i="7" s="1"/>
  <c r="H106" i="7" s="1"/>
  <c r="H107" i="7" s="1"/>
  <c r="H108" i="7" s="1"/>
  <c r="H109" i="7" s="1"/>
  <c r="H110" i="7" s="1"/>
  <c r="H111" i="7" s="1"/>
  <c r="H112" i="7" s="1"/>
  <c r="H113" i="7" s="1"/>
  <c r="H114" i="7" s="1"/>
  <c r="H115" i="7" s="1"/>
  <c r="H116" i="7" s="1"/>
  <c r="H117" i="7" s="1"/>
  <c r="H118" i="7" s="1"/>
  <c r="H119" i="7" s="1"/>
  <c r="H120" i="7" s="1"/>
  <c r="H121" i="7" s="1"/>
  <c r="H122" i="7" s="1"/>
  <c r="H123" i="7" s="1"/>
  <c r="H124" i="7" s="1"/>
  <c r="H125" i="7" s="1"/>
  <c r="H126" i="7" s="1"/>
  <c r="H127" i="7" s="1"/>
  <c r="H128" i="7" s="1"/>
  <c r="H129" i="7" s="1"/>
  <c r="H130" i="7" s="1"/>
  <c r="H131" i="7" s="1"/>
  <c r="H132" i="7" s="1"/>
  <c r="H133" i="7" s="1"/>
  <c r="H134" i="7" s="1"/>
  <c r="H135" i="7" s="1"/>
  <c r="H136" i="7" s="1"/>
  <c r="H137" i="7" s="1"/>
  <c r="H138" i="7" s="1"/>
  <c r="H139" i="7" s="1"/>
  <c r="H140" i="7" s="1"/>
  <c r="H141" i="7" s="1"/>
  <c r="H142" i="7" s="1"/>
  <c r="H143" i="7" s="1"/>
  <c r="H144" i="7" s="1"/>
  <c r="H145" i="7" s="1"/>
  <c r="H146" i="7" s="1"/>
  <c r="H147" i="7" s="1"/>
  <c r="H148" i="7" s="1"/>
  <c r="H149" i="7" s="1"/>
  <c r="H150" i="7" s="1"/>
  <c r="H151" i="7" s="1"/>
  <c r="H152" i="7" s="1"/>
  <c r="H153" i="7" s="1"/>
  <c r="H154" i="7" s="1"/>
  <c r="H155" i="7" s="1"/>
  <c r="H156" i="7" s="1"/>
  <c r="H157" i="7" s="1"/>
  <c r="H158" i="7" s="1"/>
  <c r="H159" i="7" s="1"/>
  <c r="H160" i="7" s="1"/>
  <c r="H161" i="7" s="1"/>
  <c r="H162" i="7" s="1"/>
  <c r="H163" i="7" s="1"/>
  <c r="H164" i="7" s="1"/>
  <c r="H165" i="7" s="1"/>
  <c r="H166" i="7" s="1"/>
  <c r="H167" i="7" s="1"/>
  <c r="H168" i="7" s="1"/>
  <c r="H169" i="7" s="1"/>
  <c r="I1" i="7"/>
  <c r="J1" i="7"/>
  <c r="K1" i="7"/>
  <c r="L1" i="7"/>
  <c r="M1" i="7"/>
  <c r="N1" i="7"/>
  <c r="O1" i="7"/>
  <c r="P1" i="7"/>
  <c r="R1" i="7"/>
  <c r="S1" i="7"/>
  <c r="T1" i="7"/>
  <c r="U1" i="7"/>
  <c r="I2" i="7"/>
  <c r="J2" i="7"/>
  <c r="K2" i="7"/>
  <c r="L2" i="7"/>
  <c r="M2" i="7"/>
  <c r="N2" i="7"/>
  <c r="O2" i="7"/>
  <c r="P2" i="7"/>
  <c r="R2" i="7"/>
  <c r="S2" i="7"/>
  <c r="T2" i="7"/>
  <c r="U2" i="7"/>
  <c r="I3" i="7"/>
  <c r="J3" i="7"/>
  <c r="K3" i="7"/>
  <c r="L3" i="7"/>
  <c r="M3" i="7"/>
  <c r="N3" i="7"/>
  <c r="O3" i="7"/>
  <c r="P3" i="7"/>
  <c r="R3" i="7"/>
  <c r="S3" i="7"/>
  <c r="T3" i="7"/>
  <c r="U3" i="7"/>
  <c r="I4" i="7"/>
  <c r="J4" i="7"/>
  <c r="K4" i="7"/>
  <c r="L4" i="7"/>
  <c r="M4" i="7"/>
  <c r="N4" i="7"/>
  <c r="O4" i="7"/>
  <c r="P4" i="7"/>
  <c r="R4" i="7"/>
  <c r="S4" i="7"/>
  <c r="T4" i="7"/>
  <c r="U4" i="7"/>
  <c r="I5" i="7"/>
  <c r="J5" i="7"/>
  <c r="K5" i="7"/>
  <c r="L5" i="7"/>
  <c r="M5" i="7"/>
  <c r="N5" i="7"/>
  <c r="O5" i="7"/>
  <c r="P5" i="7"/>
  <c r="R5" i="7"/>
  <c r="S5" i="7"/>
  <c r="T5" i="7"/>
  <c r="U5" i="7"/>
  <c r="I6" i="7"/>
  <c r="J6" i="7"/>
  <c r="K6" i="7"/>
  <c r="L6" i="7"/>
  <c r="M6" i="7"/>
  <c r="N6" i="7"/>
  <c r="O6" i="7"/>
  <c r="P6" i="7"/>
  <c r="R6" i="7"/>
  <c r="S6" i="7"/>
  <c r="T6" i="7"/>
  <c r="U6" i="7"/>
  <c r="I7" i="7"/>
  <c r="J7" i="7"/>
  <c r="K7" i="7"/>
  <c r="L7" i="7"/>
  <c r="M7" i="7"/>
  <c r="N7" i="7"/>
  <c r="O7" i="7"/>
  <c r="P7" i="7"/>
  <c r="R7" i="7"/>
  <c r="S7" i="7"/>
  <c r="T7" i="7"/>
  <c r="U7" i="7"/>
  <c r="I8" i="7"/>
  <c r="J8" i="7"/>
  <c r="K8" i="7"/>
  <c r="L8" i="7"/>
  <c r="M8" i="7"/>
  <c r="N8" i="7"/>
  <c r="O8" i="7"/>
  <c r="P8" i="7"/>
  <c r="R8" i="7"/>
  <c r="S8" i="7"/>
  <c r="T8" i="7"/>
  <c r="U8" i="7"/>
  <c r="I9" i="7"/>
  <c r="J9" i="7"/>
  <c r="K9" i="7"/>
  <c r="L9" i="7"/>
  <c r="M9" i="7"/>
  <c r="N9" i="7"/>
  <c r="O9" i="7"/>
  <c r="P9" i="7"/>
  <c r="R9" i="7"/>
  <c r="S9" i="7"/>
  <c r="T9" i="7"/>
  <c r="U9" i="7"/>
  <c r="I10" i="7"/>
  <c r="J10" i="7"/>
  <c r="K10" i="7"/>
  <c r="L10" i="7"/>
  <c r="M10" i="7"/>
  <c r="N10" i="7"/>
  <c r="O10" i="7"/>
  <c r="P10" i="7"/>
  <c r="R10" i="7"/>
  <c r="S10" i="7"/>
  <c r="T10" i="7"/>
  <c r="U10" i="7"/>
  <c r="I11" i="7"/>
  <c r="J11" i="7"/>
  <c r="K11" i="7"/>
  <c r="L11" i="7"/>
  <c r="M11" i="7"/>
  <c r="N11" i="7"/>
  <c r="O11" i="7"/>
  <c r="P11" i="7"/>
  <c r="R11" i="7"/>
  <c r="S11" i="7"/>
  <c r="T11" i="7"/>
  <c r="U11" i="7"/>
  <c r="I12" i="7"/>
  <c r="J12" i="7"/>
  <c r="K12" i="7"/>
  <c r="L12" i="7"/>
  <c r="M12" i="7"/>
  <c r="N12" i="7"/>
  <c r="O12" i="7"/>
  <c r="P12" i="7"/>
  <c r="R12" i="7"/>
  <c r="S12" i="7"/>
  <c r="T12" i="7"/>
  <c r="U12" i="7"/>
  <c r="I13" i="7"/>
  <c r="J13" i="7"/>
  <c r="K13" i="7"/>
  <c r="L13" i="7"/>
  <c r="M13" i="7"/>
  <c r="N13" i="7"/>
  <c r="O13" i="7"/>
  <c r="P13" i="7"/>
  <c r="R13" i="7"/>
  <c r="S13" i="7"/>
  <c r="T13" i="7"/>
  <c r="U13" i="7"/>
  <c r="I14" i="7"/>
  <c r="J14" i="7"/>
  <c r="K14" i="7"/>
  <c r="L14" i="7"/>
  <c r="M14" i="7"/>
  <c r="N14" i="7"/>
  <c r="O14" i="7"/>
  <c r="P14" i="7"/>
  <c r="R14" i="7"/>
  <c r="S14" i="7"/>
  <c r="T14" i="7"/>
  <c r="U14" i="7"/>
  <c r="I15" i="7"/>
  <c r="J15" i="7"/>
  <c r="K15" i="7"/>
  <c r="L15" i="7"/>
  <c r="M15" i="7"/>
  <c r="N15" i="7"/>
  <c r="O15" i="7"/>
  <c r="P15" i="7"/>
  <c r="R15" i="7"/>
  <c r="S15" i="7"/>
  <c r="T15" i="7"/>
  <c r="U15" i="7"/>
  <c r="I16" i="7"/>
  <c r="J16" i="7"/>
  <c r="K16" i="7"/>
  <c r="L16" i="7"/>
  <c r="M16" i="7"/>
  <c r="N16" i="7"/>
  <c r="O16" i="7"/>
  <c r="P16" i="7"/>
  <c r="R16" i="7"/>
  <c r="S16" i="7"/>
  <c r="T16" i="7"/>
  <c r="U16" i="7"/>
  <c r="I17" i="7"/>
  <c r="J17" i="7"/>
  <c r="K17" i="7"/>
  <c r="L17" i="7"/>
  <c r="M17" i="7"/>
  <c r="N17" i="7"/>
  <c r="O17" i="7"/>
  <c r="P17" i="7"/>
  <c r="R17" i="7"/>
  <c r="S17" i="7"/>
  <c r="T17" i="7"/>
  <c r="U17" i="7"/>
  <c r="I18" i="7"/>
  <c r="J18" i="7"/>
  <c r="K18" i="7"/>
  <c r="L18" i="7"/>
  <c r="M18" i="7"/>
  <c r="N18" i="7"/>
  <c r="O18" i="7"/>
  <c r="P18" i="7"/>
  <c r="R18" i="7"/>
  <c r="S18" i="7"/>
  <c r="T18" i="7"/>
  <c r="U18" i="7"/>
  <c r="I19" i="7"/>
  <c r="J19" i="7"/>
  <c r="K19" i="7"/>
  <c r="L19" i="7"/>
  <c r="M19" i="7"/>
  <c r="N19" i="7"/>
  <c r="O19" i="7"/>
  <c r="P19" i="7"/>
  <c r="R19" i="7"/>
  <c r="S19" i="7"/>
  <c r="T19" i="7"/>
  <c r="U19" i="7"/>
  <c r="I20" i="7"/>
  <c r="J20" i="7"/>
  <c r="K20" i="7"/>
  <c r="L20" i="7"/>
  <c r="M20" i="7"/>
  <c r="N20" i="7"/>
  <c r="O20" i="7"/>
  <c r="P20" i="7"/>
  <c r="R20" i="7"/>
  <c r="S20" i="7"/>
  <c r="T20" i="7"/>
  <c r="U20" i="7"/>
  <c r="I21" i="7"/>
  <c r="J21" i="7"/>
  <c r="K21" i="7"/>
  <c r="L21" i="7"/>
  <c r="M21" i="7"/>
  <c r="N21" i="7"/>
  <c r="O21" i="7"/>
  <c r="P21" i="7"/>
  <c r="R21" i="7"/>
  <c r="S21" i="7"/>
  <c r="T21" i="7"/>
  <c r="U21" i="7"/>
  <c r="I22" i="7"/>
  <c r="J22" i="7"/>
  <c r="K22" i="7"/>
  <c r="L22" i="7"/>
  <c r="M22" i="7"/>
  <c r="N22" i="7"/>
  <c r="O22" i="7"/>
  <c r="P22" i="7"/>
  <c r="R22" i="7"/>
  <c r="S22" i="7"/>
  <c r="T22" i="7"/>
  <c r="U22" i="7"/>
  <c r="O23" i="7"/>
  <c r="P23" i="7"/>
  <c r="R23" i="7"/>
  <c r="S23" i="7"/>
  <c r="T23" i="7"/>
  <c r="U23" i="7"/>
  <c r="O24" i="7"/>
  <c r="P24" i="7"/>
  <c r="R24" i="7"/>
  <c r="S24" i="7"/>
  <c r="T24" i="7"/>
  <c r="U24" i="7"/>
  <c r="O25" i="7"/>
  <c r="P25" i="7"/>
  <c r="R25" i="7"/>
  <c r="S25" i="7"/>
  <c r="T25" i="7"/>
  <c r="U25" i="7"/>
  <c r="O26" i="7"/>
  <c r="P26" i="7"/>
  <c r="R26" i="7"/>
  <c r="S26" i="7"/>
  <c r="T26" i="7"/>
  <c r="U26" i="7"/>
  <c r="O27" i="7"/>
  <c r="P27" i="7"/>
  <c r="R27" i="7"/>
  <c r="S27" i="7"/>
  <c r="T27" i="7"/>
  <c r="U27" i="7"/>
  <c r="O28" i="7"/>
  <c r="P28" i="7"/>
  <c r="R28" i="7"/>
  <c r="S28" i="7"/>
  <c r="T28" i="7"/>
  <c r="U28" i="7"/>
  <c r="I29" i="7"/>
  <c r="J29" i="7"/>
  <c r="K29" i="7"/>
  <c r="L29" i="7"/>
  <c r="M29" i="7"/>
  <c r="N29" i="7"/>
  <c r="O29" i="7"/>
  <c r="P29" i="7"/>
  <c r="R29" i="7"/>
  <c r="S29" i="7"/>
  <c r="T29" i="7"/>
  <c r="U29" i="7"/>
  <c r="I30" i="7"/>
  <c r="J30" i="7"/>
  <c r="K30" i="7"/>
  <c r="L30" i="7"/>
  <c r="M30" i="7"/>
  <c r="N30" i="7"/>
  <c r="O30" i="7"/>
  <c r="P30" i="7"/>
  <c r="R30" i="7"/>
  <c r="S30" i="7"/>
  <c r="T30" i="7"/>
  <c r="U30" i="7"/>
  <c r="I31" i="7"/>
  <c r="J31" i="7"/>
  <c r="K31" i="7"/>
  <c r="L31" i="7"/>
  <c r="M31" i="7"/>
  <c r="N31" i="7"/>
  <c r="O31" i="7"/>
  <c r="P31" i="7"/>
  <c r="R31" i="7"/>
  <c r="S31" i="7"/>
  <c r="T31" i="7"/>
  <c r="U31" i="7"/>
  <c r="I32" i="7"/>
  <c r="J32" i="7"/>
  <c r="K32" i="7"/>
  <c r="L32" i="7"/>
  <c r="M32" i="7"/>
  <c r="N32" i="7"/>
  <c r="O32" i="7"/>
  <c r="P32" i="7"/>
  <c r="R32" i="7"/>
  <c r="S32" i="7"/>
  <c r="T32" i="7"/>
  <c r="U32" i="7"/>
  <c r="I33" i="7"/>
  <c r="J33" i="7"/>
  <c r="K33" i="7"/>
  <c r="L33" i="7"/>
  <c r="M33" i="7"/>
  <c r="N33" i="7"/>
  <c r="O33" i="7"/>
  <c r="P33" i="7"/>
  <c r="R33" i="7"/>
  <c r="S33" i="7"/>
  <c r="T33" i="7"/>
  <c r="U33" i="7"/>
  <c r="I34" i="7"/>
  <c r="J34" i="7"/>
  <c r="K34" i="7"/>
  <c r="L34" i="7"/>
  <c r="M34" i="7"/>
  <c r="N34" i="7"/>
  <c r="O34" i="7"/>
  <c r="P34" i="7"/>
  <c r="R34" i="7"/>
  <c r="S34" i="7"/>
  <c r="T34" i="7"/>
  <c r="U34" i="7"/>
  <c r="I35" i="7"/>
  <c r="J35" i="7"/>
  <c r="K35" i="7"/>
  <c r="L35" i="7"/>
  <c r="M35" i="7"/>
  <c r="N35" i="7"/>
  <c r="O35" i="7"/>
  <c r="P35" i="7"/>
  <c r="R35" i="7"/>
  <c r="S35" i="7"/>
  <c r="T35" i="7"/>
  <c r="U35" i="7"/>
  <c r="I36" i="7"/>
  <c r="J36" i="7"/>
  <c r="K36" i="7"/>
  <c r="L36" i="7"/>
  <c r="M36" i="7"/>
  <c r="N36" i="7"/>
  <c r="O36" i="7"/>
  <c r="P36" i="7"/>
  <c r="R36" i="7"/>
  <c r="S36" i="7"/>
  <c r="T36" i="7"/>
  <c r="U36" i="7"/>
  <c r="I37" i="7"/>
  <c r="J37" i="7"/>
  <c r="K37" i="7"/>
  <c r="L37" i="7"/>
  <c r="M37" i="7"/>
  <c r="N37" i="7"/>
  <c r="O37" i="7"/>
  <c r="P37" i="7"/>
  <c r="R37" i="7"/>
  <c r="S37" i="7"/>
  <c r="T37" i="7"/>
  <c r="U37" i="7"/>
  <c r="I38" i="7"/>
  <c r="J38" i="7"/>
  <c r="K38" i="7"/>
  <c r="L38" i="7"/>
  <c r="M38" i="7"/>
  <c r="N38" i="7"/>
  <c r="O38" i="7"/>
  <c r="P38" i="7"/>
  <c r="R38" i="7"/>
  <c r="S38" i="7"/>
  <c r="T38" i="7"/>
  <c r="U38" i="7"/>
  <c r="I39" i="7"/>
  <c r="J39" i="7"/>
  <c r="K39" i="7"/>
  <c r="L39" i="7"/>
  <c r="M39" i="7"/>
  <c r="N39" i="7"/>
  <c r="O39" i="7"/>
  <c r="P39" i="7"/>
  <c r="R39" i="7"/>
  <c r="S39" i="7"/>
  <c r="T39" i="7"/>
  <c r="U39" i="7"/>
  <c r="I40" i="7"/>
  <c r="J40" i="7"/>
  <c r="K40" i="7"/>
  <c r="L40" i="7"/>
  <c r="M40" i="7"/>
  <c r="N40" i="7"/>
  <c r="O40" i="7"/>
  <c r="P40" i="7"/>
  <c r="R40" i="7"/>
  <c r="S40" i="7"/>
  <c r="T40" i="7"/>
  <c r="U40" i="7"/>
  <c r="I41" i="7"/>
  <c r="J41" i="7"/>
  <c r="K41" i="7"/>
  <c r="L41" i="7"/>
  <c r="M41" i="7"/>
  <c r="N41" i="7"/>
  <c r="O41" i="7"/>
  <c r="P41" i="7"/>
  <c r="R41" i="7"/>
  <c r="S41" i="7"/>
  <c r="T41" i="7"/>
  <c r="U41" i="7"/>
  <c r="I42" i="7"/>
  <c r="J42" i="7"/>
  <c r="K42" i="7"/>
  <c r="L42" i="7"/>
  <c r="M42" i="7"/>
  <c r="N42" i="7"/>
  <c r="O42" i="7"/>
  <c r="P42" i="7"/>
  <c r="R42" i="7"/>
  <c r="S42" i="7"/>
  <c r="T42" i="7"/>
  <c r="U42" i="7"/>
  <c r="I43" i="7"/>
  <c r="J43" i="7"/>
  <c r="K43" i="7"/>
  <c r="L43" i="7"/>
  <c r="M43" i="7"/>
  <c r="N43" i="7"/>
  <c r="O43" i="7"/>
  <c r="P43" i="7"/>
  <c r="R43" i="7"/>
  <c r="S43" i="7"/>
  <c r="T43" i="7"/>
  <c r="U43" i="7"/>
  <c r="I44" i="7"/>
  <c r="J44" i="7"/>
  <c r="K44" i="7"/>
  <c r="L44" i="7"/>
  <c r="M44" i="7"/>
  <c r="N44" i="7"/>
  <c r="O44" i="7"/>
  <c r="P44" i="7"/>
  <c r="R44" i="7"/>
  <c r="S44" i="7"/>
  <c r="T44" i="7"/>
  <c r="U44" i="7"/>
  <c r="I45" i="7"/>
  <c r="J45" i="7"/>
  <c r="K45" i="7"/>
  <c r="L45" i="7"/>
  <c r="M45" i="7"/>
  <c r="N45" i="7"/>
  <c r="O45" i="7"/>
  <c r="P45" i="7"/>
  <c r="R45" i="7"/>
  <c r="S45" i="7"/>
  <c r="T45" i="7"/>
  <c r="U45" i="7"/>
  <c r="I46" i="7"/>
  <c r="J46" i="7"/>
  <c r="K46" i="7"/>
  <c r="L46" i="7"/>
  <c r="M46" i="7"/>
  <c r="N46" i="7"/>
  <c r="O46" i="7"/>
  <c r="P46" i="7"/>
  <c r="R46" i="7"/>
  <c r="S46" i="7"/>
  <c r="T46" i="7"/>
  <c r="U46" i="7"/>
  <c r="I47" i="7"/>
  <c r="J47" i="7"/>
  <c r="K47" i="7"/>
  <c r="L47" i="7"/>
  <c r="M47" i="7"/>
  <c r="N47" i="7"/>
  <c r="O47" i="7"/>
  <c r="P47" i="7"/>
  <c r="R47" i="7"/>
  <c r="S47" i="7"/>
  <c r="T47" i="7"/>
  <c r="U47" i="7"/>
  <c r="I48" i="7"/>
  <c r="J48" i="7"/>
  <c r="K48" i="7"/>
  <c r="L48" i="7"/>
  <c r="M48" i="7"/>
  <c r="N48" i="7"/>
  <c r="O48" i="7"/>
  <c r="P48" i="7"/>
  <c r="R48" i="7"/>
  <c r="S48" i="7"/>
  <c r="T48" i="7"/>
  <c r="U48" i="7"/>
  <c r="I49" i="7"/>
  <c r="J49" i="7"/>
  <c r="K49" i="7"/>
  <c r="L49" i="7"/>
  <c r="M49" i="7"/>
  <c r="N49" i="7"/>
  <c r="O49" i="7"/>
  <c r="P49" i="7"/>
  <c r="R49" i="7"/>
  <c r="S49" i="7"/>
  <c r="T49" i="7"/>
  <c r="U49" i="7"/>
  <c r="I50" i="7"/>
  <c r="J50" i="7"/>
  <c r="K50" i="7"/>
  <c r="L50" i="7"/>
  <c r="M50" i="7"/>
  <c r="N50" i="7"/>
  <c r="O50" i="7"/>
  <c r="P50" i="7"/>
  <c r="R50" i="7"/>
  <c r="S50" i="7"/>
  <c r="T50" i="7"/>
  <c r="U50" i="7"/>
  <c r="I51" i="7"/>
  <c r="J51" i="7"/>
  <c r="K51" i="7"/>
  <c r="L51" i="7"/>
  <c r="M51" i="7"/>
  <c r="N51" i="7"/>
  <c r="O51" i="7"/>
  <c r="P51" i="7"/>
  <c r="R51" i="7"/>
  <c r="S51" i="7"/>
  <c r="T51" i="7"/>
  <c r="U51" i="7"/>
  <c r="I52" i="7"/>
  <c r="J52" i="7"/>
  <c r="K52" i="7"/>
  <c r="L52" i="7"/>
  <c r="M52" i="7"/>
  <c r="N52" i="7"/>
  <c r="O52" i="7"/>
  <c r="P52" i="7"/>
  <c r="R52" i="7"/>
  <c r="S52" i="7"/>
  <c r="T52" i="7"/>
  <c r="U52" i="7"/>
  <c r="I53" i="7"/>
  <c r="J53" i="7"/>
  <c r="K53" i="7"/>
  <c r="L53" i="7"/>
  <c r="M53" i="7"/>
  <c r="N53" i="7"/>
  <c r="O53" i="7"/>
  <c r="P53" i="7"/>
  <c r="R53" i="7"/>
  <c r="S53" i="7"/>
  <c r="T53" i="7"/>
  <c r="U53" i="7"/>
  <c r="I54" i="7"/>
  <c r="J54" i="7"/>
  <c r="K54" i="7"/>
  <c r="L54" i="7"/>
  <c r="M54" i="7"/>
  <c r="N54" i="7"/>
  <c r="O54" i="7"/>
  <c r="P54" i="7"/>
  <c r="R54" i="7"/>
  <c r="S54" i="7"/>
  <c r="T54" i="7"/>
  <c r="U54" i="7"/>
  <c r="I55" i="7"/>
  <c r="J55" i="7"/>
  <c r="K55" i="7"/>
  <c r="L55" i="7"/>
  <c r="M55" i="7"/>
  <c r="N55" i="7"/>
  <c r="O55" i="7"/>
  <c r="P55" i="7"/>
  <c r="R55" i="7"/>
  <c r="S55" i="7"/>
  <c r="T55" i="7"/>
  <c r="U55" i="7"/>
  <c r="I56" i="7"/>
  <c r="J56" i="7"/>
  <c r="K56" i="7"/>
  <c r="L56" i="7"/>
  <c r="M56" i="7"/>
  <c r="N56" i="7"/>
  <c r="O56" i="7"/>
  <c r="P56" i="7"/>
  <c r="R56" i="7"/>
  <c r="S56" i="7"/>
  <c r="T56" i="7"/>
  <c r="U56" i="7"/>
  <c r="I57" i="7"/>
  <c r="J57" i="7"/>
  <c r="K57" i="7"/>
  <c r="L57" i="7"/>
  <c r="M57" i="7"/>
  <c r="N57" i="7"/>
  <c r="O57" i="7"/>
  <c r="P57" i="7"/>
  <c r="R57" i="7"/>
  <c r="S57" i="7"/>
  <c r="T57" i="7"/>
  <c r="U57" i="7"/>
  <c r="I58" i="7"/>
  <c r="J58" i="7"/>
  <c r="K58" i="7"/>
  <c r="L58" i="7"/>
  <c r="M58" i="7"/>
  <c r="N58" i="7"/>
  <c r="O58" i="7"/>
  <c r="P58" i="7"/>
  <c r="R58" i="7"/>
  <c r="S58" i="7"/>
  <c r="T58" i="7"/>
  <c r="U58" i="7"/>
  <c r="I59" i="7"/>
  <c r="J59" i="7"/>
  <c r="K59" i="7"/>
  <c r="L59" i="7"/>
  <c r="M59" i="7"/>
  <c r="N59" i="7"/>
  <c r="O59" i="7"/>
  <c r="P59" i="7"/>
  <c r="R59" i="7"/>
  <c r="S59" i="7"/>
  <c r="T59" i="7"/>
  <c r="U59" i="7"/>
  <c r="I60" i="7"/>
  <c r="J60" i="7"/>
  <c r="K60" i="7"/>
  <c r="L60" i="7"/>
  <c r="M60" i="7"/>
  <c r="N60" i="7"/>
  <c r="O60" i="7"/>
  <c r="P60" i="7"/>
  <c r="R60" i="7"/>
  <c r="S60" i="7"/>
  <c r="T60" i="7"/>
  <c r="U60" i="7"/>
  <c r="I61" i="7"/>
  <c r="J61" i="7"/>
  <c r="K61" i="7"/>
  <c r="L61" i="7"/>
  <c r="M61" i="7"/>
  <c r="N61" i="7"/>
  <c r="O61" i="7"/>
  <c r="P61" i="7"/>
  <c r="R61" i="7"/>
  <c r="S61" i="7"/>
  <c r="T61" i="7"/>
  <c r="U61" i="7"/>
  <c r="I62" i="7"/>
  <c r="J62" i="7"/>
  <c r="K62" i="7"/>
  <c r="L62" i="7"/>
  <c r="M62" i="7"/>
  <c r="N62" i="7"/>
  <c r="O62" i="7"/>
  <c r="P62" i="7"/>
  <c r="R62" i="7"/>
  <c r="S62" i="7"/>
  <c r="T62" i="7"/>
  <c r="U62" i="7"/>
  <c r="I63" i="7"/>
  <c r="J63" i="7"/>
  <c r="K63" i="7"/>
  <c r="L63" i="7"/>
  <c r="M63" i="7"/>
  <c r="N63" i="7"/>
  <c r="O63" i="7"/>
  <c r="P63" i="7"/>
  <c r="R63" i="7"/>
  <c r="S63" i="7"/>
  <c r="T63" i="7"/>
  <c r="U63" i="7"/>
  <c r="I64" i="7"/>
  <c r="J64" i="7"/>
  <c r="K64" i="7"/>
  <c r="L64" i="7"/>
  <c r="M64" i="7"/>
  <c r="N64" i="7"/>
  <c r="O64" i="7"/>
  <c r="P64" i="7"/>
  <c r="R64" i="7"/>
  <c r="S64" i="7"/>
  <c r="T64" i="7"/>
  <c r="U64" i="7"/>
  <c r="I65" i="7"/>
  <c r="J65" i="7"/>
  <c r="K65" i="7"/>
  <c r="L65" i="7"/>
  <c r="M65" i="7"/>
  <c r="N65" i="7"/>
  <c r="O65" i="7"/>
  <c r="P65" i="7"/>
  <c r="R65" i="7"/>
  <c r="S65" i="7"/>
  <c r="T65" i="7"/>
  <c r="U65" i="7"/>
  <c r="I66" i="7"/>
  <c r="J66" i="7"/>
  <c r="K66" i="7"/>
  <c r="L66" i="7"/>
  <c r="M66" i="7"/>
  <c r="N66" i="7"/>
  <c r="O66" i="7"/>
  <c r="P66" i="7"/>
  <c r="R66" i="7"/>
  <c r="S66" i="7"/>
  <c r="T66" i="7"/>
  <c r="U66" i="7"/>
  <c r="I67" i="7"/>
  <c r="J67" i="7"/>
  <c r="K67" i="7"/>
  <c r="L67" i="7"/>
  <c r="M67" i="7"/>
  <c r="N67" i="7"/>
  <c r="O67" i="7"/>
  <c r="P67" i="7"/>
  <c r="R67" i="7"/>
  <c r="S67" i="7"/>
  <c r="T67" i="7"/>
  <c r="U67" i="7"/>
  <c r="I68" i="7"/>
  <c r="J68" i="7"/>
  <c r="K68" i="7"/>
  <c r="L68" i="7"/>
  <c r="M68" i="7"/>
  <c r="N68" i="7"/>
  <c r="O68" i="7"/>
  <c r="P68" i="7"/>
  <c r="R68" i="7"/>
  <c r="S68" i="7"/>
  <c r="T68" i="7"/>
  <c r="U68" i="7"/>
  <c r="I69" i="7"/>
  <c r="J69" i="7"/>
  <c r="K69" i="7"/>
  <c r="L69" i="7"/>
  <c r="M69" i="7"/>
  <c r="N69" i="7"/>
  <c r="O69" i="7"/>
  <c r="P69" i="7"/>
  <c r="R69" i="7"/>
  <c r="S69" i="7"/>
  <c r="T69" i="7"/>
  <c r="U69" i="7"/>
  <c r="I70" i="7"/>
  <c r="J70" i="7"/>
  <c r="K70" i="7"/>
  <c r="L70" i="7"/>
  <c r="M70" i="7"/>
  <c r="N70" i="7"/>
  <c r="O70" i="7"/>
  <c r="P70" i="7"/>
  <c r="R70" i="7"/>
  <c r="S70" i="7"/>
  <c r="T70" i="7"/>
  <c r="U70" i="7"/>
  <c r="I71" i="7"/>
  <c r="J71" i="7"/>
  <c r="K71" i="7"/>
  <c r="L71" i="7"/>
  <c r="M71" i="7"/>
  <c r="N71" i="7"/>
  <c r="O71" i="7"/>
  <c r="P71" i="7"/>
  <c r="R71" i="7"/>
  <c r="S71" i="7"/>
  <c r="T71" i="7"/>
  <c r="U71" i="7"/>
  <c r="I72" i="7"/>
  <c r="J72" i="7"/>
  <c r="K72" i="7"/>
  <c r="L72" i="7"/>
  <c r="M72" i="7"/>
  <c r="N72" i="7"/>
  <c r="O72" i="7"/>
  <c r="P72" i="7"/>
  <c r="R72" i="7"/>
  <c r="S72" i="7"/>
  <c r="T72" i="7"/>
  <c r="U72" i="7"/>
  <c r="I73" i="7"/>
  <c r="J73" i="7"/>
  <c r="K73" i="7"/>
  <c r="L73" i="7"/>
  <c r="M73" i="7"/>
  <c r="N73" i="7"/>
  <c r="O73" i="7"/>
  <c r="P73" i="7"/>
  <c r="R73" i="7"/>
  <c r="S73" i="7"/>
  <c r="T73" i="7"/>
  <c r="U73" i="7"/>
  <c r="I74" i="7"/>
  <c r="J74" i="7"/>
  <c r="K74" i="7"/>
  <c r="L74" i="7"/>
  <c r="M74" i="7"/>
  <c r="N74" i="7"/>
  <c r="O74" i="7"/>
  <c r="P74" i="7"/>
  <c r="R74" i="7"/>
  <c r="S74" i="7"/>
  <c r="T74" i="7"/>
  <c r="U74" i="7"/>
  <c r="I75" i="7"/>
  <c r="J75" i="7"/>
  <c r="K75" i="7"/>
  <c r="L75" i="7"/>
  <c r="M75" i="7"/>
  <c r="N75" i="7"/>
  <c r="O75" i="7"/>
  <c r="P75" i="7"/>
  <c r="R75" i="7"/>
  <c r="S75" i="7"/>
  <c r="T75" i="7"/>
  <c r="U75" i="7"/>
  <c r="I76" i="7"/>
  <c r="J76" i="7"/>
  <c r="K76" i="7"/>
  <c r="L76" i="7"/>
  <c r="M76" i="7"/>
  <c r="N76" i="7"/>
  <c r="O76" i="7"/>
  <c r="P76" i="7"/>
  <c r="R76" i="7"/>
  <c r="S76" i="7"/>
  <c r="T76" i="7"/>
  <c r="U76" i="7"/>
  <c r="I77" i="7"/>
  <c r="J77" i="7"/>
  <c r="K77" i="7"/>
  <c r="L77" i="7"/>
  <c r="M77" i="7"/>
  <c r="N77" i="7"/>
  <c r="O77" i="7"/>
  <c r="P77" i="7"/>
  <c r="R77" i="7"/>
  <c r="S77" i="7"/>
  <c r="T77" i="7"/>
  <c r="U77" i="7"/>
  <c r="I78" i="7"/>
  <c r="J78" i="7"/>
  <c r="K78" i="7"/>
  <c r="L78" i="7"/>
  <c r="M78" i="7"/>
  <c r="N78" i="7"/>
  <c r="O78" i="7"/>
  <c r="P78" i="7"/>
  <c r="R78" i="7"/>
  <c r="S78" i="7"/>
  <c r="T78" i="7"/>
  <c r="U78" i="7"/>
  <c r="I79" i="7"/>
  <c r="J79" i="7"/>
  <c r="K79" i="7"/>
  <c r="L79" i="7"/>
  <c r="M79" i="7"/>
  <c r="N79" i="7"/>
  <c r="O79" i="7"/>
  <c r="P79" i="7"/>
  <c r="R79" i="7"/>
  <c r="S79" i="7"/>
  <c r="T79" i="7"/>
  <c r="U79" i="7"/>
  <c r="I80" i="7"/>
  <c r="J80" i="7"/>
  <c r="K80" i="7"/>
  <c r="L80" i="7"/>
  <c r="M80" i="7"/>
  <c r="N80" i="7"/>
  <c r="O80" i="7"/>
  <c r="P80" i="7"/>
  <c r="R80" i="7"/>
  <c r="S80" i="7"/>
  <c r="T80" i="7"/>
  <c r="U80" i="7"/>
  <c r="I81" i="7"/>
  <c r="J81" i="7"/>
  <c r="K81" i="7"/>
  <c r="L81" i="7"/>
  <c r="M81" i="7"/>
  <c r="N81" i="7"/>
  <c r="O81" i="7"/>
  <c r="P81" i="7"/>
  <c r="R81" i="7"/>
  <c r="S81" i="7"/>
  <c r="T81" i="7"/>
  <c r="U81" i="7"/>
  <c r="I82" i="7"/>
  <c r="J82" i="7"/>
  <c r="K82" i="7"/>
  <c r="L82" i="7"/>
  <c r="M82" i="7"/>
  <c r="N82" i="7"/>
  <c r="O82" i="7"/>
  <c r="P82" i="7"/>
  <c r="R82" i="7"/>
  <c r="S82" i="7"/>
  <c r="T82" i="7"/>
  <c r="U82" i="7"/>
  <c r="I83" i="7"/>
  <c r="J83" i="7"/>
  <c r="K83" i="7"/>
  <c r="L83" i="7"/>
  <c r="M83" i="7"/>
  <c r="N83" i="7"/>
  <c r="O83" i="7"/>
  <c r="P83" i="7"/>
  <c r="R83" i="7"/>
  <c r="S83" i="7"/>
  <c r="T83" i="7"/>
  <c r="U83" i="7"/>
  <c r="I84" i="7"/>
  <c r="J84" i="7"/>
  <c r="K84" i="7"/>
  <c r="L84" i="7"/>
  <c r="M84" i="7"/>
  <c r="N84" i="7"/>
  <c r="O84" i="7"/>
  <c r="P84" i="7"/>
  <c r="R84" i="7"/>
  <c r="S84" i="7"/>
  <c r="T84" i="7"/>
  <c r="U84" i="7"/>
  <c r="I85" i="7"/>
  <c r="J85" i="7"/>
  <c r="K85" i="7"/>
  <c r="L85" i="7"/>
  <c r="M85" i="7"/>
  <c r="N85" i="7"/>
  <c r="O85" i="7"/>
  <c r="P85" i="7"/>
  <c r="R85" i="7"/>
  <c r="S85" i="7"/>
  <c r="T85" i="7"/>
  <c r="U85" i="7"/>
  <c r="I86" i="7"/>
  <c r="J86" i="7"/>
  <c r="K86" i="7"/>
  <c r="L86" i="7"/>
  <c r="M86" i="7"/>
  <c r="N86" i="7"/>
  <c r="O86" i="7"/>
  <c r="P86" i="7"/>
  <c r="R86" i="7"/>
  <c r="S86" i="7"/>
  <c r="T86" i="7"/>
  <c r="U86" i="7"/>
  <c r="I87" i="7"/>
  <c r="J87" i="7"/>
  <c r="K87" i="7"/>
  <c r="L87" i="7"/>
  <c r="M87" i="7"/>
  <c r="N87" i="7"/>
  <c r="O87" i="7"/>
  <c r="P87" i="7"/>
  <c r="R87" i="7"/>
  <c r="S87" i="7"/>
  <c r="T87" i="7"/>
  <c r="U87" i="7"/>
  <c r="I88" i="7"/>
  <c r="J88" i="7"/>
  <c r="K88" i="7"/>
  <c r="L88" i="7"/>
  <c r="M88" i="7"/>
  <c r="N88" i="7"/>
  <c r="O88" i="7"/>
  <c r="P88" i="7"/>
  <c r="R88" i="7"/>
  <c r="S88" i="7"/>
  <c r="T88" i="7"/>
  <c r="U88" i="7"/>
  <c r="I89" i="7"/>
  <c r="J89" i="7"/>
  <c r="K89" i="7"/>
  <c r="L89" i="7"/>
  <c r="M89" i="7"/>
  <c r="N89" i="7"/>
  <c r="O89" i="7"/>
  <c r="P89" i="7"/>
  <c r="R89" i="7"/>
  <c r="S89" i="7"/>
  <c r="T89" i="7"/>
  <c r="U89" i="7"/>
  <c r="I90" i="7"/>
  <c r="J90" i="7"/>
  <c r="K90" i="7"/>
  <c r="L90" i="7"/>
  <c r="M90" i="7"/>
  <c r="N90" i="7"/>
  <c r="O90" i="7"/>
  <c r="P90" i="7"/>
  <c r="R90" i="7"/>
  <c r="S90" i="7"/>
  <c r="T90" i="7"/>
  <c r="U90" i="7"/>
  <c r="I91" i="7"/>
  <c r="J91" i="7"/>
  <c r="K91" i="7"/>
  <c r="L91" i="7"/>
  <c r="M91" i="7"/>
  <c r="N91" i="7"/>
  <c r="O91" i="7"/>
  <c r="P91" i="7"/>
  <c r="R91" i="7"/>
  <c r="S91" i="7"/>
  <c r="T91" i="7"/>
  <c r="U91" i="7"/>
  <c r="I92" i="7"/>
  <c r="J92" i="7"/>
  <c r="K92" i="7"/>
  <c r="L92" i="7"/>
  <c r="M92" i="7"/>
  <c r="N92" i="7"/>
  <c r="O92" i="7"/>
  <c r="P92" i="7"/>
  <c r="R92" i="7"/>
  <c r="S92" i="7"/>
  <c r="T92" i="7"/>
  <c r="U92" i="7"/>
  <c r="I93" i="7"/>
  <c r="J93" i="7"/>
  <c r="K93" i="7"/>
  <c r="L93" i="7"/>
  <c r="M93" i="7"/>
  <c r="N93" i="7"/>
  <c r="O93" i="7"/>
  <c r="P93" i="7"/>
  <c r="R93" i="7"/>
  <c r="S93" i="7"/>
  <c r="T93" i="7"/>
  <c r="U93" i="7"/>
  <c r="I94" i="7"/>
  <c r="J94" i="7"/>
  <c r="K94" i="7"/>
  <c r="L94" i="7"/>
  <c r="M94" i="7"/>
  <c r="N94" i="7"/>
  <c r="O94" i="7"/>
  <c r="P94" i="7"/>
  <c r="R94" i="7"/>
  <c r="S94" i="7"/>
  <c r="T94" i="7"/>
  <c r="U94" i="7"/>
  <c r="I95" i="7"/>
  <c r="J95" i="7"/>
  <c r="K95" i="7"/>
  <c r="L95" i="7"/>
  <c r="M95" i="7"/>
  <c r="N95" i="7"/>
  <c r="O95" i="7"/>
  <c r="P95" i="7"/>
  <c r="R95" i="7"/>
  <c r="S95" i="7"/>
  <c r="T95" i="7"/>
  <c r="U95" i="7"/>
  <c r="I96" i="7"/>
  <c r="J96" i="7"/>
  <c r="K96" i="7"/>
  <c r="L96" i="7"/>
  <c r="M96" i="7"/>
  <c r="N96" i="7"/>
  <c r="O96" i="7"/>
  <c r="P96" i="7"/>
  <c r="R96" i="7"/>
  <c r="S96" i="7"/>
  <c r="T96" i="7"/>
  <c r="U96" i="7"/>
  <c r="I97" i="7"/>
  <c r="J97" i="7"/>
  <c r="K97" i="7"/>
  <c r="L97" i="7"/>
  <c r="M97" i="7"/>
  <c r="N97" i="7"/>
  <c r="O97" i="7"/>
  <c r="P97" i="7"/>
  <c r="R97" i="7"/>
  <c r="S97" i="7"/>
  <c r="T97" i="7"/>
  <c r="U97" i="7"/>
  <c r="I98" i="7"/>
  <c r="J98" i="7"/>
  <c r="K98" i="7"/>
  <c r="L98" i="7"/>
  <c r="M98" i="7"/>
  <c r="N98" i="7"/>
  <c r="O98" i="7"/>
  <c r="P98" i="7"/>
  <c r="R98" i="7"/>
  <c r="S98" i="7"/>
  <c r="T98" i="7"/>
  <c r="U98" i="7"/>
  <c r="I99" i="7"/>
  <c r="J99" i="7"/>
  <c r="K99" i="7"/>
  <c r="L99" i="7"/>
  <c r="M99" i="7"/>
  <c r="N99" i="7"/>
  <c r="O99" i="7"/>
  <c r="P99" i="7"/>
  <c r="R99" i="7"/>
  <c r="S99" i="7"/>
  <c r="T99" i="7"/>
  <c r="U99" i="7"/>
  <c r="I100" i="7"/>
  <c r="J100" i="7"/>
  <c r="K100" i="7"/>
  <c r="L100" i="7"/>
  <c r="M100" i="7"/>
  <c r="N100" i="7"/>
  <c r="O100" i="7"/>
  <c r="P100" i="7"/>
  <c r="R100" i="7"/>
  <c r="S100" i="7"/>
  <c r="T100" i="7"/>
  <c r="U100" i="7"/>
  <c r="I101" i="7"/>
  <c r="J101" i="7"/>
  <c r="K101" i="7"/>
  <c r="L101" i="7"/>
  <c r="M101" i="7"/>
  <c r="N101" i="7"/>
  <c r="O101" i="7"/>
  <c r="P101" i="7"/>
  <c r="R101" i="7"/>
  <c r="S101" i="7"/>
  <c r="T101" i="7"/>
  <c r="U101" i="7"/>
  <c r="I102" i="7"/>
  <c r="J102" i="7"/>
  <c r="K102" i="7"/>
  <c r="L102" i="7"/>
  <c r="M102" i="7"/>
  <c r="N102" i="7"/>
  <c r="O102" i="7"/>
  <c r="P102" i="7"/>
  <c r="R102" i="7"/>
  <c r="S102" i="7"/>
  <c r="T102" i="7"/>
  <c r="U102" i="7"/>
  <c r="I103" i="7"/>
  <c r="J103" i="7"/>
  <c r="K103" i="7"/>
  <c r="L103" i="7"/>
  <c r="M103" i="7"/>
  <c r="N103" i="7"/>
  <c r="O103" i="7"/>
  <c r="P103" i="7"/>
  <c r="R103" i="7"/>
  <c r="S103" i="7"/>
  <c r="T103" i="7"/>
  <c r="U103" i="7"/>
  <c r="I104" i="7"/>
  <c r="J104" i="7"/>
  <c r="K104" i="7"/>
  <c r="L104" i="7"/>
  <c r="M104" i="7"/>
  <c r="N104" i="7"/>
  <c r="O104" i="7"/>
  <c r="P104" i="7"/>
  <c r="R104" i="7"/>
  <c r="S104" i="7"/>
  <c r="T104" i="7"/>
  <c r="U104" i="7"/>
  <c r="I105" i="7"/>
  <c r="J105" i="7"/>
  <c r="K105" i="7"/>
  <c r="L105" i="7"/>
  <c r="M105" i="7"/>
  <c r="N105" i="7"/>
  <c r="O105" i="7"/>
  <c r="P105" i="7"/>
  <c r="R105" i="7"/>
  <c r="S105" i="7"/>
  <c r="T105" i="7"/>
  <c r="U105" i="7"/>
  <c r="I106" i="7"/>
  <c r="J106" i="7"/>
  <c r="K106" i="7"/>
  <c r="L106" i="7"/>
  <c r="M106" i="7"/>
  <c r="N106" i="7"/>
  <c r="O106" i="7"/>
  <c r="P106" i="7"/>
  <c r="R106" i="7"/>
  <c r="S106" i="7"/>
  <c r="T106" i="7"/>
  <c r="U106" i="7"/>
  <c r="I107" i="7"/>
  <c r="J107" i="7"/>
  <c r="K107" i="7"/>
  <c r="L107" i="7"/>
  <c r="M107" i="7"/>
  <c r="N107" i="7"/>
  <c r="O107" i="7"/>
  <c r="P107" i="7"/>
  <c r="R107" i="7"/>
  <c r="S107" i="7"/>
  <c r="T107" i="7"/>
  <c r="U107" i="7"/>
  <c r="I108" i="7"/>
  <c r="J108" i="7"/>
  <c r="K108" i="7"/>
  <c r="L108" i="7"/>
  <c r="M108" i="7"/>
  <c r="N108" i="7"/>
  <c r="O108" i="7"/>
  <c r="P108" i="7"/>
  <c r="R108" i="7"/>
  <c r="S108" i="7"/>
  <c r="T108" i="7"/>
  <c r="U108" i="7"/>
  <c r="I109" i="7"/>
  <c r="J109" i="7"/>
  <c r="K109" i="7"/>
  <c r="L109" i="7"/>
  <c r="M109" i="7"/>
  <c r="N109" i="7"/>
  <c r="O109" i="7"/>
  <c r="P109" i="7"/>
  <c r="R109" i="7"/>
  <c r="S109" i="7"/>
  <c r="T109" i="7"/>
  <c r="U109" i="7"/>
  <c r="I110" i="7"/>
  <c r="J110" i="7"/>
  <c r="K110" i="7"/>
  <c r="L110" i="7"/>
  <c r="M110" i="7"/>
  <c r="N110" i="7"/>
  <c r="O110" i="7"/>
  <c r="P110" i="7"/>
  <c r="R110" i="7"/>
  <c r="S110" i="7"/>
  <c r="T110" i="7"/>
  <c r="U110" i="7"/>
  <c r="I111" i="7"/>
  <c r="J111" i="7"/>
  <c r="K111" i="7"/>
  <c r="L111" i="7"/>
  <c r="M111" i="7"/>
  <c r="N111" i="7"/>
  <c r="O111" i="7"/>
  <c r="P111" i="7"/>
  <c r="R111" i="7"/>
  <c r="S111" i="7"/>
  <c r="T111" i="7"/>
  <c r="U111" i="7"/>
  <c r="I112" i="7"/>
  <c r="J112" i="7"/>
  <c r="K112" i="7"/>
  <c r="L112" i="7"/>
  <c r="M112" i="7"/>
  <c r="N112" i="7"/>
  <c r="O112" i="7"/>
  <c r="P112" i="7"/>
  <c r="R112" i="7"/>
  <c r="S112" i="7"/>
  <c r="T112" i="7"/>
  <c r="U112" i="7"/>
  <c r="I113" i="7"/>
  <c r="J113" i="7"/>
  <c r="K113" i="7"/>
  <c r="L113" i="7"/>
  <c r="M113" i="7"/>
  <c r="N113" i="7"/>
  <c r="O113" i="7"/>
  <c r="P113" i="7"/>
  <c r="R113" i="7"/>
  <c r="S113" i="7"/>
  <c r="T113" i="7"/>
  <c r="U113" i="7"/>
  <c r="I114" i="7"/>
  <c r="J114" i="7"/>
  <c r="K114" i="7"/>
  <c r="L114" i="7"/>
  <c r="M114" i="7"/>
  <c r="N114" i="7"/>
  <c r="O114" i="7"/>
  <c r="P114" i="7"/>
  <c r="R114" i="7"/>
  <c r="S114" i="7"/>
  <c r="T114" i="7"/>
  <c r="U114" i="7"/>
  <c r="I115" i="7"/>
  <c r="J115" i="7"/>
  <c r="K115" i="7"/>
  <c r="L115" i="7"/>
  <c r="M115" i="7"/>
  <c r="N115" i="7"/>
  <c r="O115" i="7"/>
  <c r="P115" i="7"/>
  <c r="R115" i="7"/>
  <c r="S115" i="7"/>
  <c r="T115" i="7"/>
  <c r="U115" i="7"/>
  <c r="I116" i="7"/>
  <c r="J116" i="7"/>
  <c r="K116" i="7"/>
  <c r="L116" i="7"/>
  <c r="M116" i="7"/>
  <c r="N116" i="7"/>
  <c r="O116" i="7"/>
  <c r="P116" i="7"/>
  <c r="R116" i="7"/>
  <c r="S116" i="7"/>
  <c r="T116" i="7"/>
  <c r="U116" i="7"/>
  <c r="I117" i="7"/>
  <c r="J117" i="7"/>
  <c r="K117" i="7"/>
  <c r="L117" i="7"/>
  <c r="M117" i="7"/>
  <c r="N117" i="7"/>
  <c r="O117" i="7"/>
  <c r="P117" i="7"/>
  <c r="R117" i="7"/>
  <c r="S117" i="7"/>
  <c r="T117" i="7"/>
  <c r="U117" i="7"/>
  <c r="I118" i="7"/>
  <c r="J118" i="7"/>
  <c r="K118" i="7"/>
  <c r="L118" i="7"/>
  <c r="M118" i="7"/>
  <c r="N118" i="7"/>
  <c r="O118" i="7"/>
  <c r="P118" i="7"/>
  <c r="R118" i="7"/>
  <c r="S118" i="7"/>
  <c r="T118" i="7"/>
  <c r="U118" i="7"/>
  <c r="I119" i="7"/>
  <c r="J119" i="7"/>
  <c r="K119" i="7"/>
  <c r="L119" i="7"/>
  <c r="M119" i="7"/>
  <c r="N119" i="7"/>
  <c r="O119" i="7"/>
  <c r="P119" i="7"/>
  <c r="R119" i="7"/>
  <c r="S119" i="7"/>
  <c r="T119" i="7"/>
  <c r="U119" i="7"/>
  <c r="I120" i="7"/>
  <c r="J120" i="7"/>
  <c r="K120" i="7"/>
  <c r="L120" i="7"/>
  <c r="M120" i="7"/>
  <c r="N120" i="7"/>
  <c r="O120" i="7"/>
  <c r="P120" i="7"/>
  <c r="R120" i="7"/>
  <c r="S120" i="7"/>
  <c r="T120" i="7"/>
  <c r="U120" i="7"/>
  <c r="I121" i="7"/>
  <c r="J121" i="7"/>
  <c r="K121" i="7"/>
  <c r="L121" i="7"/>
  <c r="M121" i="7"/>
  <c r="N121" i="7"/>
  <c r="O121" i="7"/>
  <c r="P121" i="7"/>
  <c r="R121" i="7"/>
  <c r="S121" i="7"/>
  <c r="T121" i="7"/>
  <c r="U121" i="7"/>
  <c r="I122" i="7"/>
  <c r="J122" i="7"/>
  <c r="K122" i="7"/>
  <c r="L122" i="7"/>
  <c r="M122" i="7"/>
  <c r="N122" i="7"/>
  <c r="O122" i="7"/>
  <c r="P122" i="7"/>
  <c r="R122" i="7"/>
  <c r="S122" i="7"/>
  <c r="T122" i="7"/>
  <c r="U122" i="7"/>
  <c r="I123" i="7"/>
  <c r="J123" i="7"/>
  <c r="K123" i="7"/>
  <c r="L123" i="7"/>
  <c r="M123" i="7"/>
  <c r="N123" i="7"/>
  <c r="O123" i="7"/>
  <c r="P123" i="7"/>
  <c r="R123" i="7"/>
  <c r="S123" i="7"/>
  <c r="T123" i="7"/>
  <c r="U123" i="7"/>
  <c r="I124" i="7"/>
  <c r="J124" i="7"/>
  <c r="K124" i="7"/>
  <c r="L124" i="7"/>
  <c r="M124" i="7"/>
  <c r="N124" i="7"/>
  <c r="O124" i="7"/>
  <c r="P124" i="7"/>
  <c r="R124" i="7"/>
  <c r="S124" i="7"/>
  <c r="T124" i="7"/>
  <c r="U124" i="7"/>
  <c r="I125" i="7"/>
  <c r="J125" i="7"/>
  <c r="K125" i="7"/>
  <c r="L125" i="7"/>
  <c r="M125" i="7"/>
  <c r="N125" i="7"/>
  <c r="O125" i="7"/>
  <c r="P125" i="7"/>
  <c r="R125" i="7"/>
  <c r="S125" i="7"/>
  <c r="T125" i="7"/>
  <c r="U125" i="7"/>
  <c r="I126" i="7"/>
  <c r="J126" i="7"/>
  <c r="K126" i="7"/>
  <c r="L126" i="7"/>
  <c r="M126" i="7"/>
  <c r="N126" i="7"/>
  <c r="O126" i="7"/>
  <c r="P126" i="7"/>
  <c r="R126" i="7"/>
  <c r="S126" i="7"/>
  <c r="T126" i="7"/>
  <c r="U126" i="7"/>
  <c r="I127" i="7"/>
  <c r="J127" i="7"/>
  <c r="K127" i="7"/>
  <c r="L127" i="7"/>
  <c r="M127" i="7"/>
  <c r="N127" i="7"/>
  <c r="O127" i="7"/>
  <c r="P127" i="7"/>
  <c r="R127" i="7"/>
  <c r="S127" i="7"/>
  <c r="T127" i="7"/>
  <c r="U127" i="7"/>
  <c r="I128" i="7"/>
  <c r="J128" i="7"/>
  <c r="K128" i="7"/>
  <c r="L128" i="7"/>
  <c r="M128" i="7"/>
  <c r="N128" i="7"/>
  <c r="O128" i="7"/>
  <c r="P128" i="7"/>
  <c r="R128" i="7"/>
  <c r="S128" i="7"/>
  <c r="T128" i="7"/>
  <c r="U128" i="7"/>
  <c r="I129" i="7"/>
  <c r="J129" i="7"/>
  <c r="K129" i="7"/>
  <c r="L129" i="7"/>
  <c r="M129" i="7"/>
  <c r="N129" i="7"/>
  <c r="O129" i="7"/>
  <c r="P129" i="7"/>
  <c r="R129" i="7"/>
  <c r="S129" i="7"/>
  <c r="T129" i="7"/>
  <c r="U129" i="7"/>
  <c r="I130" i="7"/>
  <c r="J130" i="7"/>
  <c r="K130" i="7"/>
  <c r="L130" i="7"/>
  <c r="M130" i="7"/>
  <c r="N130" i="7"/>
  <c r="O130" i="7"/>
  <c r="P130" i="7"/>
  <c r="R130" i="7"/>
  <c r="S130" i="7"/>
  <c r="T130" i="7"/>
  <c r="U130" i="7"/>
  <c r="I131" i="7"/>
  <c r="J131" i="7"/>
  <c r="K131" i="7"/>
  <c r="L131" i="7"/>
  <c r="M131" i="7"/>
  <c r="N131" i="7"/>
  <c r="O131" i="7"/>
  <c r="P131" i="7"/>
  <c r="R131" i="7"/>
  <c r="S131" i="7"/>
  <c r="T131" i="7"/>
  <c r="U131" i="7"/>
  <c r="I132" i="7"/>
  <c r="J132" i="7"/>
  <c r="K132" i="7"/>
  <c r="L132" i="7"/>
  <c r="M132" i="7"/>
  <c r="N132" i="7"/>
  <c r="O132" i="7"/>
  <c r="P132" i="7"/>
  <c r="R132" i="7"/>
  <c r="S132" i="7"/>
  <c r="T132" i="7"/>
  <c r="U132" i="7"/>
  <c r="I133" i="7"/>
  <c r="J133" i="7"/>
  <c r="K133" i="7"/>
  <c r="L133" i="7"/>
  <c r="M133" i="7"/>
  <c r="N133" i="7"/>
  <c r="O133" i="7"/>
  <c r="P133" i="7"/>
  <c r="R133" i="7"/>
  <c r="S133" i="7"/>
  <c r="T133" i="7"/>
  <c r="U133" i="7"/>
  <c r="I134" i="7"/>
  <c r="J134" i="7"/>
  <c r="K134" i="7"/>
  <c r="L134" i="7"/>
  <c r="M134" i="7"/>
  <c r="N134" i="7"/>
  <c r="O134" i="7"/>
  <c r="P134" i="7"/>
  <c r="R134" i="7"/>
  <c r="S134" i="7"/>
  <c r="T134" i="7"/>
  <c r="U134" i="7"/>
  <c r="I135" i="7"/>
  <c r="J135" i="7"/>
  <c r="K135" i="7"/>
  <c r="L135" i="7"/>
  <c r="M135" i="7"/>
  <c r="N135" i="7"/>
  <c r="O135" i="7"/>
  <c r="P135" i="7"/>
  <c r="R135" i="7"/>
  <c r="S135" i="7"/>
  <c r="T135" i="7"/>
  <c r="U135" i="7"/>
  <c r="I136" i="7"/>
  <c r="J136" i="7"/>
  <c r="K136" i="7"/>
  <c r="L136" i="7"/>
  <c r="M136" i="7"/>
  <c r="N136" i="7"/>
  <c r="O136" i="7"/>
  <c r="P136" i="7"/>
  <c r="R136" i="7"/>
  <c r="S136" i="7"/>
  <c r="T136" i="7"/>
  <c r="U136" i="7"/>
  <c r="I137" i="7"/>
  <c r="J137" i="7"/>
  <c r="K137" i="7"/>
  <c r="L137" i="7"/>
  <c r="M137" i="7"/>
  <c r="N137" i="7"/>
  <c r="O137" i="7"/>
  <c r="P137" i="7"/>
  <c r="R137" i="7"/>
  <c r="S137" i="7"/>
  <c r="T137" i="7"/>
  <c r="U137" i="7"/>
  <c r="I138" i="7"/>
  <c r="J138" i="7"/>
  <c r="K138" i="7"/>
  <c r="L138" i="7"/>
  <c r="M138" i="7"/>
  <c r="N138" i="7"/>
  <c r="O138" i="7"/>
  <c r="P138" i="7"/>
  <c r="R138" i="7"/>
  <c r="S138" i="7"/>
  <c r="T138" i="7"/>
  <c r="U138" i="7"/>
  <c r="I139" i="7"/>
  <c r="J139" i="7"/>
  <c r="K139" i="7"/>
  <c r="L139" i="7"/>
  <c r="M139" i="7"/>
  <c r="N139" i="7"/>
  <c r="O139" i="7"/>
  <c r="P139" i="7"/>
  <c r="R139" i="7"/>
  <c r="S139" i="7"/>
  <c r="T139" i="7"/>
  <c r="U139" i="7"/>
  <c r="I140" i="7"/>
  <c r="J140" i="7"/>
  <c r="K140" i="7"/>
  <c r="L140" i="7"/>
  <c r="M140" i="7"/>
  <c r="N140" i="7"/>
  <c r="O140" i="7"/>
  <c r="P140" i="7"/>
  <c r="R140" i="7"/>
  <c r="S140" i="7"/>
  <c r="T140" i="7"/>
  <c r="U140" i="7"/>
  <c r="I141" i="7"/>
  <c r="J141" i="7"/>
  <c r="K141" i="7"/>
  <c r="L141" i="7"/>
  <c r="M141" i="7"/>
  <c r="N141" i="7"/>
  <c r="O141" i="7"/>
  <c r="P141" i="7"/>
  <c r="R141" i="7"/>
  <c r="S141" i="7"/>
  <c r="T141" i="7"/>
  <c r="U141" i="7"/>
  <c r="I142" i="7"/>
  <c r="J142" i="7"/>
  <c r="K142" i="7"/>
  <c r="L142" i="7"/>
  <c r="M142" i="7"/>
  <c r="N142" i="7"/>
  <c r="O142" i="7"/>
  <c r="P142" i="7"/>
  <c r="R142" i="7"/>
  <c r="S142" i="7"/>
  <c r="T142" i="7"/>
  <c r="U142" i="7"/>
  <c r="I143" i="7"/>
  <c r="J143" i="7"/>
  <c r="K143" i="7"/>
  <c r="L143" i="7"/>
  <c r="M143" i="7"/>
  <c r="N143" i="7"/>
  <c r="O143" i="7"/>
  <c r="P143" i="7"/>
  <c r="R143" i="7"/>
  <c r="S143" i="7"/>
  <c r="T143" i="7"/>
  <c r="U143" i="7"/>
  <c r="I144" i="7"/>
  <c r="J144" i="7"/>
  <c r="K144" i="7"/>
  <c r="L144" i="7"/>
  <c r="M144" i="7"/>
  <c r="N144" i="7"/>
  <c r="O144" i="7"/>
  <c r="P144" i="7"/>
  <c r="R144" i="7"/>
  <c r="S144" i="7"/>
  <c r="T144" i="7"/>
  <c r="U144" i="7"/>
  <c r="I145" i="7"/>
  <c r="J145" i="7"/>
  <c r="K145" i="7"/>
  <c r="L145" i="7"/>
  <c r="M145" i="7"/>
  <c r="N145" i="7"/>
  <c r="O145" i="7"/>
  <c r="P145" i="7"/>
  <c r="R145" i="7"/>
  <c r="S145" i="7"/>
  <c r="T145" i="7"/>
  <c r="U145" i="7"/>
  <c r="I146" i="7"/>
  <c r="J146" i="7"/>
  <c r="K146" i="7"/>
  <c r="L146" i="7"/>
  <c r="M146" i="7"/>
  <c r="N146" i="7"/>
  <c r="O146" i="7"/>
  <c r="P146" i="7"/>
  <c r="R146" i="7"/>
  <c r="S146" i="7"/>
  <c r="T146" i="7"/>
  <c r="U146" i="7"/>
  <c r="I147" i="7"/>
  <c r="J147" i="7"/>
  <c r="K147" i="7"/>
  <c r="L147" i="7"/>
  <c r="M147" i="7"/>
  <c r="N147" i="7"/>
  <c r="O147" i="7"/>
  <c r="P147" i="7"/>
  <c r="R147" i="7"/>
  <c r="S147" i="7"/>
  <c r="T147" i="7"/>
  <c r="U147" i="7"/>
  <c r="I148" i="7"/>
  <c r="J148" i="7"/>
  <c r="K148" i="7"/>
  <c r="L148" i="7"/>
  <c r="M148" i="7"/>
  <c r="N148" i="7"/>
  <c r="O148" i="7"/>
  <c r="P148" i="7"/>
  <c r="R148" i="7"/>
  <c r="S148" i="7"/>
  <c r="T148" i="7"/>
  <c r="U148" i="7"/>
  <c r="I149" i="7"/>
  <c r="J149" i="7"/>
  <c r="K149" i="7"/>
  <c r="L149" i="7"/>
  <c r="M149" i="7"/>
  <c r="N149" i="7"/>
  <c r="O149" i="7"/>
  <c r="P149" i="7"/>
  <c r="R149" i="7"/>
  <c r="S149" i="7"/>
  <c r="T149" i="7"/>
  <c r="U149" i="7"/>
  <c r="I150" i="7"/>
  <c r="J150" i="7"/>
  <c r="K150" i="7"/>
  <c r="L150" i="7"/>
  <c r="M150" i="7"/>
  <c r="N150" i="7"/>
  <c r="O150" i="7"/>
  <c r="P150" i="7"/>
  <c r="R150" i="7"/>
  <c r="S150" i="7"/>
  <c r="T150" i="7"/>
  <c r="U150" i="7"/>
  <c r="I151" i="7"/>
  <c r="J151" i="7"/>
  <c r="K151" i="7"/>
  <c r="L151" i="7"/>
  <c r="M151" i="7"/>
  <c r="N151" i="7"/>
  <c r="O151" i="7"/>
  <c r="P151" i="7"/>
  <c r="R151" i="7"/>
  <c r="S151" i="7"/>
  <c r="T151" i="7"/>
  <c r="U151" i="7"/>
  <c r="I152" i="7"/>
  <c r="J152" i="7"/>
  <c r="K152" i="7"/>
  <c r="L152" i="7"/>
  <c r="M152" i="7"/>
  <c r="N152" i="7"/>
  <c r="O152" i="7"/>
  <c r="P152" i="7"/>
  <c r="R152" i="7"/>
  <c r="S152" i="7"/>
  <c r="T152" i="7"/>
  <c r="U152" i="7"/>
  <c r="I153" i="7"/>
  <c r="J153" i="7"/>
  <c r="K153" i="7"/>
  <c r="L153" i="7"/>
  <c r="M153" i="7"/>
  <c r="N153" i="7"/>
  <c r="O153" i="7"/>
  <c r="P153" i="7"/>
  <c r="R153" i="7"/>
  <c r="S153" i="7"/>
  <c r="T153" i="7"/>
  <c r="U153" i="7"/>
  <c r="I154" i="7"/>
  <c r="J154" i="7"/>
  <c r="K154" i="7"/>
  <c r="L154" i="7"/>
  <c r="M154" i="7"/>
  <c r="N154" i="7"/>
  <c r="O154" i="7"/>
  <c r="P154" i="7"/>
  <c r="R154" i="7"/>
  <c r="S154" i="7"/>
  <c r="T154" i="7"/>
  <c r="U154" i="7"/>
  <c r="I155" i="7"/>
  <c r="J155" i="7"/>
  <c r="K155" i="7"/>
  <c r="L155" i="7"/>
  <c r="M155" i="7"/>
  <c r="N155" i="7"/>
  <c r="O155" i="7"/>
  <c r="P155" i="7"/>
  <c r="R155" i="7"/>
  <c r="S155" i="7"/>
  <c r="T155" i="7"/>
  <c r="U155" i="7"/>
  <c r="I156" i="7"/>
  <c r="J156" i="7"/>
  <c r="K156" i="7"/>
  <c r="L156" i="7"/>
  <c r="M156" i="7"/>
  <c r="N156" i="7"/>
  <c r="O156" i="7"/>
  <c r="P156" i="7"/>
  <c r="R156" i="7"/>
  <c r="S156" i="7"/>
  <c r="T156" i="7"/>
  <c r="U156" i="7"/>
  <c r="I157" i="7"/>
  <c r="J157" i="7"/>
  <c r="K157" i="7"/>
  <c r="L157" i="7"/>
  <c r="M157" i="7"/>
  <c r="N157" i="7"/>
  <c r="O157" i="7"/>
  <c r="P157" i="7"/>
  <c r="R157" i="7"/>
  <c r="S157" i="7"/>
  <c r="T157" i="7"/>
  <c r="U157" i="7"/>
  <c r="I158" i="7"/>
  <c r="J158" i="7"/>
  <c r="K158" i="7"/>
  <c r="L158" i="7"/>
  <c r="M158" i="7"/>
  <c r="N158" i="7"/>
  <c r="O158" i="7"/>
  <c r="P158" i="7"/>
  <c r="R158" i="7"/>
  <c r="S158" i="7"/>
  <c r="T158" i="7"/>
  <c r="U158" i="7"/>
  <c r="I159" i="7"/>
  <c r="J159" i="7"/>
  <c r="K159" i="7"/>
  <c r="L159" i="7"/>
  <c r="M159" i="7"/>
  <c r="N159" i="7"/>
  <c r="O159" i="7"/>
  <c r="P159" i="7"/>
  <c r="R159" i="7"/>
  <c r="S159" i="7"/>
  <c r="T159" i="7"/>
  <c r="U159" i="7"/>
  <c r="I160" i="7"/>
  <c r="J160" i="7"/>
  <c r="K160" i="7"/>
  <c r="L160" i="7"/>
  <c r="M160" i="7"/>
  <c r="N160" i="7"/>
  <c r="O160" i="7"/>
  <c r="P160" i="7"/>
  <c r="R160" i="7"/>
  <c r="S160" i="7"/>
  <c r="T160" i="7"/>
  <c r="U160" i="7"/>
  <c r="I161" i="7"/>
  <c r="J161" i="7"/>
  <c r="K161" i="7"/>
  <c r="L161" i="7"/>
  <c r="M161" i="7"/>
  <c r="N161" i="7"/>
  <c r="O161" i="7"/>
  <c r="P161" i="7"/>
  <c r="R161" i="7"/>
  <c r="S161" i="7"/>
  <c r="T161" i="7"/>
  <c r="U161" i="7"/>
  <c r="I162" i="7"/>
  <c r="J162" i="7"/>
  <c r="K162" i="7"/>
  <c r="L162" i="7"/>
  <c r="M162" i="7"/>
  <c r="N162" i="7"/>
  <c r="O162" i="7"/>
  <c r="P162" i="7"/>
  <c r="R162" i="7"/>
  <c r="S162" i="7"/>
  <c r="T162" i="7"/>
  <c r="U162" i="7"/>
  <c r="I163" i="7"/>
  <c r="J163" i="7"/>
  <c r="K163" i="7"/>
  <c r="L163" i="7"/>
  <c r="M163" i="7"/>
  <c r="N163" i="7"/>
  <c r="O163" i="7"/>
  <c r="P163" i="7"/>
  <c r="R163" i="7"/>
  <c r="S163" i="7"/>
  <c r="T163" i="7"/>
  <c r="U163" i="7"/>
  <c r="I164" i="7"/>
  <c r="J164" i="7"/>
  <c r="K164" i="7"/>
  <c r="L164" i="7"/>
  <c r="M164" i="7"/>
  <c r="N164" i="7"/>
  <c r="O164" i="7"/>
  <c r="P164" i="7"/>
  <c r="R164" i="7"/>
  <c r="S164" i="7"/>
  <c r="T164" i="7"/>
  <c r="U164" i="7"/>
  <c r="I165" i="7"/>
  <c r="J165" i="7"/>
  <c r="K165" i="7"/>
  <c r="L165" i="7"/>
  <c r="M165" i="7"/>
  <c r="N165" i="7"/>
  <c r="O165" i="7"/>
  <c r="P165" i="7"/>
  <c r="R165" i="7"/>
  <c r="S165" i="7"/>
  <c r="T165" i="7"/>
  <c r="U165" i="7"/>
  <c r="I166" i="7"/>
  <c r="J166" i="7"/>
  <c r="K166" i="7"/>
  <c r="L166" i="7"/>
  <c r="M166" i="7"/>
  <c r="N166" i="7"/>
  <c r="O166" i="7"/>
  <c r="P166" i="7"/>
  <c r="R166" i="7"/>
  <c r="S166" i="7"/>
  <c r="T166" i="7"/>
  <c r="U166" i="7"/>
  <c r="I167" i="7"/>
  <c r="J167" i="7"/>
  <c r="K167" i="7"/>
  <c r="L167" i="7"/>
  <c r="M167" i="7"/>
  <c r="N167" i="7"/>
  <c r="O167" i="7"/>
  <c r="P167" i="7"/>
  <c r="R167" i="7"/>
  <c r="S167" i="7"/>
  <c r="T167" i="7"/>
  <c r="U167" i="7"/>
  <c r="I168" i="7"/>
  <c r="J168" i="7"/>
  <c r="K168" i="7"/>
  <c r="L168" i="7"/>
  <c r="M168" i="7"/>
  <c r="N168" i="7"/>
  <c r="O168" i="7"/>
  <c r="P168" i="7"/>
  <c r="R168" i="7"/>
  <c r="S168" i="7"/>
  <c r="T168" i="7"/>
  <c r="U168" i="7"/>
  <c r="I169" i="7"/>
  <c r="J169" i="7"/>
  <c r="K169" i="7"/>
  <c r="L169" i="7"/>
  <c r="M169" i="7"/>
  <c r="N169" i="7"/>
  <c r="O169" i="7"/>
  <c r="P169" i="7"/>
  <c r="R169" i="7"/>
  <c r="S169" i="7"/>
  <c r="T169" i="7"/>
  <c r="U169" i="7"/>
  <c r="C10" i="7"/>
  <c r="D10" i="7" s="1"/>
  <c r="C8" i="7"/>
  <c r="D8" i="7" s="1"/>
  <c r="C9" i="7"/>
  <c r="D9" i="7" s="1"/>
  <c r="C7" i="7"/>
  <c r="D7" i="7" s="1"/>
  <c r="C6" i="7"/>
  <c r="D6" i="7" s="1"/>
  <c r="F6" i="7" s="1"/>
  <c r="C5" i="7"/>
  <c r="D5" i="7" s="1"/>
  <c r="C4" i="7"/>
  <c r="D4" i="7" s="1"/>
  <c r="C3" i="7"/>
  <c r="D3" i="7" s="1"/>
  <c r="C2" i="7"/>
  <c r="D2" i="7" s="1"/>
  <c r="T170" i="7" l="1"/>
  <c r="E9" i="7" s="1"/>
  <c r="F9" i="7" s="1"/>
  <c r="R170" i="7"/>
  <c r="E7" i="7" s="1"/>
  <c r="F7" i="7" s="1"/>
  <c r="I170" i="7"/>
  <c r="E11" i="7" s="1"/>
  <c r="F11" i="7" s="1"/>
  <c r="P170" i="7"/>
  <c r="E2" i="7" s="1"/>
  <c r="F2" i="7" s="1"/>
  <c r="J170" i="7"/>
  <c r="E3" i="7" s="1"/>
  <c r="F3" i="7" s="1"/>
  <c r="N170" i="7"/>
  <c r="E14" i="7" s="1"/>
  <c r="F14" i="7" s="1"/>
  <c r="K170" i="7"/>
  <c r="E12" i="7" s="1"/>
  <c r="F12" i="7" s="1"/>
  <c r="S170" i="7"/>
  <c r="E8" i="7" s="1"/>
  <c r="F8" i="7" s="1"/>
  <c r="M170" i="7"/>
  <c r="E13" i="7" s="1"/>
  <c r="F13" i="7" s="1"/>
  <c r="O170" i="7"/>
  <c r="E5" i="7" s="1"/>
  <c r="F5" i="7" s="1"/>
  <c r="U170" i="7"/>
  <c r="E10" i="7" s="1"/>
  <c r="F10" i="7" s="1"/>
  <c r="L170" i="7"/>
  <c r="E4" i="7" s="1"/>
  <c r="F4" i="7" s="1"/>
  <c r="G1" i="6" l="1"/>
  <c r="H1" i="6"/>
  <c r="G2" i="6"/>
  <c r="H2" i="6"/>
  <c r="G3" i="6"/>
  <c r="H3" i="6"/>
  <c r="G4" i="6"/>
  <c r="H4" i="6"/>
  <c r="G5" i="6"/>
  <c r="H5" i="6"/>
  <c r="G6" i="6"/>
  <c r="H6" i="6"/>
  <c r="G7" i="6"/>
  <c r="H7" i="6"/>
  <c r="G8" i="6"/>
  <c r="H8" i="6"/>
  <c r="G9" i="6"/>
  <c r="H9" i="6"/>
  <c r="G10" i="6"/>
  <c r="H10" i="6"/>
  <c r="G11" i="6"/>
  <c r="H11" i="6"/>
  <c r="G12" i="6"/>
  <c r="H12" i="6"/>
  <c r="G13" i="6"/>
  <c r="H13" i="6"/>
  <c r="G14" i="6"/>
  <c r="H14" i="6"/>
  <c r="G15" i="6"/>
  <c r="H15" i="6"/>
  <c r="G16" i="6"/>
  <c r="H16" i="6"/>
  <c r="G17" i="6"/>
  <c r="H17" i="6"/>
  <c r="G18" i="6"/>
  <c r="H18" i="6"/>
  <c r="G19" i="6"/>
  <c r="H19" i="6"/>
  <c r="G20" i="6"/>
  <c r="H20" i="6"/>
  <c r="G21" i="6"/>
  <c r="H21" i="6"/>
  <c r="G22" i="6"/>
  <c r="H22" i="6"/>
  <c r="G23" i="6"/>
  <c r="H23" i="6"/>
  <c r="G24" i="6"/>
  <c r="H24" i="6"/>
  <c r="G25" i="6"/>
  <c r="H25" i="6"/>
  <c r="G26" i="6"/>
  <c r="H26" i="6"/>
  <c r="G27" i="6"/>
  <c r="H27" i="6"/>
  <c r="G28" i="6"/>
  <c r="H28" i="6"/>
  <c r="G29" i="6"/>
  <c r="H29" i="6"/>
  <c r="G30" i="6"/>
  <c r="H30" i="6"/>
  <c r="G31" i="6"/>
  <c r="H31" i="6"/>
  <c r="G32" i="6"/>
  <c r="H32" i="6"/>
  <c r="G33" i="6"/>
  <c r="H33" i="6"/>
  <c r="G34" i="6"/>
  <c r="H34" i="6"/>
  <c r="G35" i="6"/>
  <c r="H35" i="6"/>
  <c r="G36" i="6"/>
  <c r="H36" i="6"/>
  <c r="G37" i="6"/>
  <c r="H37" i="6"/>
  <c r="G38" i="6"/>
  <c r="H38" i="6"/>
  <c r="G39" i="6"/>
  <c r="H39" i="6"/>
  <c r="G40" i="6"/>
  <c r="H40" i="6"/>
  <c r="G41" i="6"/>
  <c r="H41" i="6"/>
  <c r="G42" i="6"/>
  <c r="H42" i="6"/>
  <c r="G43" i="6"/>
  <c r="H43" i="6"/>
  <c r="G44" i="6"/>
  <c r="H44" i="6"/>
  <c r="G45" i="6"/>
  <c r="H45" i="6"/>
  <c r="G46" i="6"/>
  <c r="H46" i="6"/>
  <c r="G47" i="6"/>
  <c r="H47" i="6"/>
  <c r="G48" i="6"/>
  <c r="H48" i="6"/>
  <c r="G49" i="6"/>
  <c r="H49" i="6"/>
  <c r="G50" i="6"/>
  <c r="H50" i="6"/>
  <c r="G51" i="6"/>
  <c r="H51" i="6"/>
  <c r="G52" i="6"/>
  <c r="H52" i="6"/>
  <c r="G53" i="6"/>
  <c r="H53" i="6"/>
  <c r="G54" i="6"/>
  <c r="H54" i="6"/>
  <c r="G55" i="6"/>
  <c r="H55" i="6"/>
  <c r="G56" i="6"/>
  <c r="H56" i="6"/>
  <c r="G57" i="6"/>
  <c r="H57" i="6"/>
  <c r="G58" i="6"/>
  <c r="H58" i="6"/>
  <c r="G59" i="6"/>
  <c r="H59" i="6"/>
  <c r="G60" i="6"/>
  <c r="H60" i="6"/>
  <c r="G61" i="6"/>
  <c r="H61" i="6"/>
  <c r="G62" i="6"/>
  <c r="H62" i="6"/>
  <c r="G63" i="6"/>
  <c r="H63" i="6"/>
  <c r="G64" i="6"/>
  <c r="H64" i="6"/>
  <c r="G65" i="6"/>
  <c r="H65" i="6"/>
  <c r="G66" i="6"/>
  <c r="H66" i="6"/>
  <c r="G67" i="6"/>
  <c r="H67" i="6"/>
  <c r="G68" i="6"/>
  <c r="H68" i="6"/>
  <c r="G69" i="6"/>
  <c r="H69" i="6"/>
  <c r="G70" i="6"/>
  <c r="H70" i="6"/>
  <c r="G71" i="6"/>
  <c r="H71" i="6"/>
  <c r="G72" i="6"/>
  <c r="H72" i="6"/>
  <c r="G73" i="6"/>
  <c r="H73" i="6"/>
  <c r="G74" i="6"/>
  <c r="H74" i="6"/>
  <c r="G75" i="6"/>
  <c r="H75" i="6"/>
  <c r="G76" i="6"/>
  <c r="H76" i="6"/>
  <c r="G77" i="6"/>
  <c r="H77" i="6"/>
  <c r="G78" i="6"/>
  <c r="H78" i="6"/>
  <c r="G79" i="6"/>
  <c r="H79" i="6"/>
  <c r="G80" i="6"/>
  <c r="H80" i="6"/>
  <c r="G81" i="6"/>
  <c r="H81" i="6"/>
  <c r="G82" i="6"/>
  <c r="H82" i="6"/>
  <c r="G83" i="6"/>
  <c r="H83" i="6"/>
  <c r="G84" i="6"/>
  <c r="H84" i="6"/>
  <c r="G85" i="6"/>
  <c r="H85" i="6"/>
  <c r="G86" i="6"/>
  <c r="H86" i="6"/>
  <c r="G87" i="6"/>
  <c r="H87" i="6"/>
  <c r="G88" i="6"/>
  <c r="H88" i="6"/>
  <c r="G89" i="6"/>
  <c r="H89" i="6"/>
  <c r="G90" i="6"/>
  <c r="H90" i="6"/>
  <c r="G91" i="6"/>
  <c r="H91" i="6"/>
  <c r="G92" i="6"/>
  <c r="H92" i="6"/>
  <c r="G93" i="6"/>
  <c r="H93" i="6"/>
  <c r="G94" i="6"/>
  <c r="H94" i="6"/>
  <c r="G95" i="6"/>
  <c r="H95" i="6"/>
  <c r="G96" i="6"/>
  <c r="H96" i="6"/>
  <c r="G97" i="6"/>
  <c r="H97" i="6"/>
  <c r="G98" i="6"/>
  <c r="H98" i="6"/>
  <c r="G99" i="6"/>
  <c r="H99" i="6"/>
  <c r="G100" i="6"/>
  <c r="H100" i="6"/>
  <c r="G101" i="6"/>
  <c r="H101" i="6"/>
  <c r="G102" i="6"/>
  <c r="H102" i="6"/>
  <c r="G103" i="6"/>
  <c r="H103" i="6"/>
  <c r="G104" i="6"/>
  <c r="H104" i="6"/>
  <c r="G105" i="6"/>
  <c r="H105" i="6"/>
  <c r="G106" i="6"/>
  <c r="H106" i="6"/>
  <c r="G107" i="6"/>
  <c r="H107" i="6"/>
  <c r="G108" i="6"/>
  <c r="H108" i="6"/>
  <c r="G109" i="6"/>
  <c r="H109" i="6"/>
  <c r="G110" i="6"/>
  <c r="H110" i="6"/>
  <c r="G111" i="6"/>
  <c r="H111" i="6"/>
  <c r="G112" i="6"/>
  <c r="H112" i="6"/>
  <c r="G113" i="6"/>
  <c r="H113" i="6"/>
  <c r="G114" i="6"/>
  <c r="H114" i="6"/>
  <c r="G115" i="6"/>
  <c r="H115" i="6"/>
  <c r="G116" i="6"/>
  <c r="H116" i="6"/>
  <c r="G117" i="6"/>
  <c r="H117" i="6"/>
  <c r="G118" i="6"/>
  <c r="H118" i="6"/>
  <c r="G119" i="6"/>
  <c r="H119" i="6"/>
  <c r="G120" i="6"/>
  <c r="H120" i="6"/>
  <c r="G121" i="6"/>
  <c r="H121" i="6"/>
  <c r="G122" i="6"/>
  <c r="H122" i="6"/>
  <c r="G123" i="6"/>
  <c r="H123" i="6"/>
  <c r="G124" i="6"/>
  <c r="H124" i="6"/>
  <c r="G125" i="6"/>
  <c r="H125" i="6"/>
  <c r="G126" i="6"/>
  <c r="H126" i="6"/>
  <c r="G127" i="6"/>
  <c r="H127" i="6"/>
  <c r="G128" i="6"/>
  <c r="H128" i="6"/>
  <c r="G129" i="6"/>
  <c r="H129" i="6"/>
  <c r="G130" i="6"/>
  <c r="H130" i="6"/>
  <c r="G131" i="6"/>
  <c r="H131" i="6"/>
  <c r="G132" i="6"/>
  <c r="H132" i="6"/>
  <c r="G133" i="6"/>
  <c r="H133" i="6"/>
  <c r="G134" i="6"/>
  <c r="H134" i="6"/>
  <c r="G135" i="6"/>
  <c r="H135" i="6"/>
  <c r="G136" i="6"/>
  <c r="H136" i="6"/>
  <c r="G137" i="6"/>
  <c r="H137" i="6"/>
  <c r="G138" i="6"/>
  <c r="H138" i="6"/>
  <c r="G139" i="6"/>
  <c r="H139" i="6"/>
  <c r="G140" i="6"/>
  <c r="H140" i="6"/>
  <c r="G141" i="6"/>
  <c r="H141" i="6"/>
  <c r="G142" i="6"/>
  <c r="H142" i="6"/>
  <c r="G143" i="6"/>
  <c r="H143" i="6"/>
  <c r="G144" i="6"/>
  <c r="H144" i="6"/>
  <c r="G145" i="6"/>
  <c r="H145" i="6"/>
  <c r="G146" i="6"/>
  <c r="H146" i="6"/>
  <c r="G147" i="6"/>
  <c r="H147" i="6"/>
  <c r="G148" i="6"/>
  <c r="H148" i="6"/>
  <c r="G149" i="6"/>
  <c r="H149" i="6"/>
  <c r="G150" i="6"/>
  <c r="H150" i="6"/>
  <c r="G151" i="6"/>
  <c r="H151" i="6"/>
  <c r="G152" i="6"/>
  <c r="H152" i="6"/>
  <c r="G153" i="6"/>
  <c r="H153" i="6"/>
  <c r="G154" i="6"/>
  <c r="H154" i="6"/>
  <c r="G155" i="6"/>
  <c r="H155" i="6"/>
  <c r="G156" i="6"/>
  <c r="H156" i="6"/>
  <c r="G157" i="6"/>
  <c r="H157" i="6"/>
  <c r="G158" i="6"/>
  <c r="H158" i="6"/>
  <c r="G159" i="6"/>
  <c r="H159" i="6"/>
  <c r="G160" i="6"/>
  <c r="H160" i="6"/>
  <c r="G161" i="6"/>
  <c r="H161" i="6"/>
  <c r="G162" i="6"/>
  <c r="H162" i="6"/>
  <c r="G163" i="6"/>
  <c r="H163" i="6"/>
  <c r="G164" i="6"/>
  <c r="H164" i="6"/>
  <c r="G165" i="6"/>
  <c r="H165" i="6"/>
  <c r="G166" i="6"/>
  <c r="H166" i="6"/>
  <c r="G167" i="6"/>
  <c r="H167" i="6"/>
  <c r="G168" i="6"/>
  <c r="H168" i="6"/>
  <c r="G169" i="6"/>
  <c r="H169" i="6"/>
  <c r="D1" i="6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B1" i="6"/>
  <c r="C1" i="6"/>
  <c r="E1" i="6"/>
  <c r="B2" i="6"/>
  <c r="C2" i="6"/>
  <c r="E2" i="6"/>
  <c r="B3" i="6"/>
  <c r="C3" i="6"/>
  <c r="E3" i="6"/>
  <c r="B4" i="6"/>
  <c r="C4" i="6"/>
  <c r="E4" i="6"/>
  <c r="B5" i="6"/>
  <c r="C5" i="6"/>
  <c r="E5" i="6"/>
  <c r="B6" i="6"/>
  <c r="C6" i="6"/>
  <c r="E6" i="6"/>
  <c r="B7" i="6"/>
  <c r="C7" i="6"/>
  <c r="E7" i="6"/>
  <c r="B8" i="6"/>
  <c r="C8" i="6"/>
  <c r="E8" i="6"/>
  <c r="B9" i="6"/>
  <c r="C9" i="6"/>
  <c r="E9" i="6"/>
  <c r="B10" i="6"/>
  <c r="C10" i="6"/>
  <c r="E10" i="6"/>
  <c r="B11" i="6"/>
  <c r="C11" i="6"/>
  <c r="E11" i="6"/>
  <c r="B12" i="6"/>
  <c r="C12" i="6"/>
  <c r="E12" i="6"/>
  <c r="B13" i="6"/>
  <c r="C13" i="6"/>
  <c r="E13" i="6"/>
  <c r="B14" i="6"/>
  <c r="C14" i="6"/>
  <c r="E14" i="6"/>
  <c r="B15" i="6"/>
  <c r="C15" i="6"/>
  <c r="E15" i="6"/>
  <c r="B16" i="6"/>
  <c r="C16" i="6"/>
  <c r="E16" i="6"/>
  <c r="B17" i="6"/>
  <c r="C17" i="6"/>
  <c r="E17" i="6"/>
  <c r="B18" i="6"/>
  <c r="C18" i="6"/>
  <c r="E18" i="6"/>
  <c r="B19" i="6"/>
  <c r="C19" i="6"/>
  <c r="E19" i="6"/>
  <c r="B20" i="6"/>
  <c r="C20" i="6"/>
  <c r="E20" i="6"/>
  <c r="B21" i="6"/>
  <c r="C21" i="6"/>
  <c r="E21" i="6"/>
  <c r="B22" i="6"/>
  <c r="C22" i="6"/>
  <c r="E22" i="6"/>
  <c r="B23" i="6"/>
  <c r="C23" i="6"/>
  <c r="E23" i="6"/>
  <c r="B24" i="6"/>
  <c r="C24" i="6"/>
  <c r="E24" i="6"/>
  <c r="B25" i="6"/>
  <c r="C25" i="6"/>
  <c r="E25" i="6"/>
  <c r="B26" i="6"/>
  <c r="C26" i="6"/>
  <c r="E26" i="6"/>
  <c r="B27" i="6"/>
  <c r="C27" i="6"/>
  <c r="E27" i="6"/>
  <c r="B28" i="6"/>
  <c r="C28" i="6"/>
  <c r="E28" i="6"/>
  <c r="B29" i="6"/>
  <c r="C29" i="6"/>
  <c r="E29" i="6"/>
  <c r="B30" i="6"/>
  <c r="C30" i="6"/>
  <c r="E30" i="6"/>
  <c r="B31" i="6"/>
  <c r="C31" i="6"/>
  <c r="E31" i="6"/>
  <c r="B32" i="6"/>
  <c r="C32" i="6"/>
  <c r="E32" i="6"/>
  <c r="B33" i="6"/>
  <c r="C33" i="6"/>
  <c r="E33" i="6"/>
  <c r="B34" i="6"/>
  <c r="C34" i="6"/>
  <c r="E34" i="6"/>
  <c r="B35" i="6"/>
  <c r="C35" i="6"/>
  <c r="E35" i="6"/>
  <c r="B36" i="6"/>
  <c r="C36" i="6"/>
  <c r="E36" i="6"/>
  <c r="B37" i="6"/>
  <c r="C37" i="6"/>
  <c r="E37" i="6"/>
  <c r="B38" i="6"/>
  <c r="C38" i="6"/>
  <c r="E38" i="6"/>
  <c r="B39" i="6"/>
  <c r="C39" i="6"/>
  <c r="E39" i="6"/>
  <c r="B40" i="6"/>
  <c r="C40" i="6"/>
  <c r="E40" i="6"/>
  <c r="B41" i="6"/>
  <c r="C41" i="6"/>
  <c r="E41" i="6"/>
  <c r="B42" i="6"/>
  <c r="C42" i="6"/>
  <c r="E42" i="6"/>
  <c r="B43" i="6"/>
  <c r="C43" i="6"/>
  <c r="E43" i="6"/>
  <c r="B44" i="6"/>
  <c r="C44" i="6"/>
  <c r="E44" i="6"/>
  <c r="B45" i="6"/>
  <c r="C45" i="6"/>
  <c r="E45" i="6"/>
  <c r="B46" i="6"/>
  <c r="C46" i="6"/>
  <c r="E46" i="6"/>
  <c r="B47" i="6"/>
  <c r="C47" i="6"/>
  <c r="E47" i="6"/>
  <c r="B48" i="6"/>
  <c r="C48" i="6"/>
  <c r="E48" i="6"/>
  <c r="B49" i="6"/>
  <c r="C49" i="6"/>
  <c r="E49" i="6"/>
  <c r="B50" i="6"/>
  <c r="C50" i="6"/>
  <c r="E50" i="6"/>
  <c r="B51" i="6"/>
  <c r="C51" i="6"/>
  <c r="E51" i="6"/>
  <c r="B52" i="6"/>
  <c r="C52" i="6"/>
  <c r="E52" i="6"/>
  <c r="B53" i="6"/>
  <c r="C53" i="6"/>
  <c r="E53" i="6"/>
  <c r="B54" i="6"/>
  <c r="C54" i="6"/>
  <c r="E54" i="6"/>
  <c r="B55" i="6"/>
  <c r="C55" i="6"/>
  <c r="E55" i="6"/>
  <c r="B56" i="6"/>
  <c r="C56" i="6"/>
  <c r="E56" i="6"/>
  <c r="B57" i="6"/>
  <c r="C57" i="6"/>
  <c r="E57" i="6"/>
  <c r="B58" i="6"/>
  <c r="C58" i="6"/>
  <c r="E58" i="6"/>
  <c r="B59" i="6"/>
  <c r="C59" i="6"/>
  <c r="E59" i="6"/>
  <c r="B60" i="6"/>
  <c r="C60" i="6"/>
  <c r="E60" i="6"/>
  <c r="B61" i="6"/>
  <c r="C61" i="6"/>
  <c r="E61" i="6"/>
  <c r="B62" i="6"/>
  <c r="C62" i="6"/>
  <c r="E62" i="6"/>
  <c r="B63" i="6"/>
  <c r="C63" i="6"/>
  <c r="E63" i="6"/>
  <c r="B64" i="6"/>
  <c r="C64" i="6"/>
  <c r="E64" i="6"/>
  <c r="B65" i="6"/>
  <c r="C65" i="6"/>
  <c r="E65" i="6"/>
  <c r="B66" i="6"/>
  <c r="C66" i="6"/>
  <c r="E66" i="6"/>
  <c r="B67" i="6"/>
  <c r="C67" i="6"/>
  <c r="E67" i="6"/>
  <c r="B68" i="6"/>
  <c r="C68" i="6"/>
  <c r="E68" i="6"/>
  <c r="B69" i="6"/>
  <c r="C69" i="6"/>
  <c r="E69" i="6"/>
  <c r="B70" i="6"/>
  <c r="C70" i="6"/>
  <c r="E70" i="6"/>
  <c r="B71" i="6"/>
  <c r="C71" i="6"/>
  <c r="E71" i="6"/>
  <c r="B72" i="6"/>
  <c r="C72" i="6"/>
  <c r="E72" i="6"/>
  <c r="B73" i="6"/>
  <c r="C73" i="6"/>
  <c r="E73" i="6"/>
  <c r="B74" i="6"/>
  <c r="C74" i="6"/>
  <c r="E74" i="6"/>
  <c r="B75" i="6"/>
  <c r="C75" i="6"/>
  <c r="E75" i="6"/>
  <c r="B76" i="6"/>
  <c r="C76" i="6"/>
  <c r="E76" i="6"/>
  <c r="B77" i="6"/>
  <c r="C77" i="6"/>
  <c r="E77" i="6"/>
  <c r="B78" i="6"/>
  <c r="C78" i="6"/>
  <c r="E78" i="6"/>
  <c r="B79" i="6"/>
  <c r="C79" i="6"/>
  <c r="E79" i="6"/>
  <c r="B80" i="6"/>
  <c r="C80" i="6"/>
  <c r="E80" i="6"/>
  <c r="B81" i="6"/>
  <c r="C81" i="6"/>
  <c r="E81" i="6"/>
  <c r="B82" i="6"/>
  <c r="C82" i="6"/>
  <c r="E82" i="6"/>
  <c r="B83" i="6"/>
  <c r="C83" i="6"/>
  <c r="E83" i="6"/>
  <c r="B84" i="6"/>
  <c r="C84" i="6"/>
  <c r="E84" i="6"/>
  <c r="B85" i="6"/>
  <c r="C85" i="6"/>
  <c r="E85" i="6"/>
  <c r="B86" i="6"/>
  <c r="C86" i="6"/>
  <c r="E86" i="6"/>
  <c r="B87" i="6"/>
  <c r="C87" i="6"/>
  <c r="E87" i="6"/>
  <c r="B88" i="6"/>
  <c r="C88" i="6"/>
  <c r="E88" i="6"/>
  <c r="B89" i="6"/>
  <c r="C89" i="6"/>
  <c r="E89" i="6"/>
  <c r="B90" i="6"/>
  <c r="C90" i="6"/>
  <c r="E90" i="6"/>
  <c r="B91" i="6"/>
  <c r="C91" i="6"/>
  <c r="E91" i="6"/>
  <c r="B92" i="6"/>
  <c r="C92" i="6"/>
  <c r="E92" i="6"/>
  <c r="B93" i="6"/>
  <c r="C93" i="6"/>
  <c r="E93" i="6"/>
  <c r="B94" i="6"/>
  <c r="C94" i="6"/>
  <c r="E94" i="6"/>
  <c r="B95" i="6"/>
  <c r="C95" i="6"/>
  <c r="E95" i="6"/>
  <c r="B96" i="6"/>
  <c r="C96" i="6"/>
  <c r="E96" i="6"/>
  <c r="B97" i="6"/>
  <c r="C97" i="6"/>
  <c r="E97" i="6"/>
  <c r="B98" i="6"/>
  <c r="C98" i="6"/>
  <c r="E98" i="6"/>
  <c r="B99" i="6"/>
  <c r="C99" i="6"/>
  <c r="E99" i="6"/>
  <c r="B100" i="6"/>
  <c r="C100" i="6"/>
  <c r="E100" i="6"/>
  <c r="B101" i="6"/>
  <c r="C101" i="6"/>
  <c r="E101" i="6"/>
  <c r="B102" i="6"/>
  <c r="C102" i="6"/>
  <c r="E102" i="6"/>
  <c r="B103" i="6"/>
  <c r="C103" i="6"/>
  <c r="E103" i="6"/>
  <c r="B104" i="6"/>
  <c r="C104" i="6"/>
  <c r="E104" i="6"/>
  <c r="B105" i="6"/>
  <c r="C105" i="6"/>
  <c r="E105" i="6"/>
  <c r="B106" i="6"/>
  <c r="C106" i="6"/>
  <c r="E106" i="6"/>
  <c r="B107" i="6"/>
  <c r="C107" i="6"/>
  <c r="E107" i="6"/>
  <c r="B108" i="6"/>
  <c r="C108" i="6"/>
  <c r="E108" i="6"/>
  <c r="B109" i="6"/>
  <c r="C109" i="6"/>
  <c r="E109" i="6"/>
  <c r="B110" i="6"/>
  <c r="C110" i="6"/>
  <c r="E110" i="6"/>
  <c r="B111" i="6"/>
  <c r="C111" i="6"/>
  <c r="E111" i="6"/>
  <c r="B112" i="6"/>
  <c r="C112" i="6"/>
  <c r="E112" i="6"/>
  <c r="B113" i="6"/>
  <c r="C113" i="6"/>
  <c r="E113" i="6"/>
  <c r="B114" i="6"/>
  <c r="C114" i="6"/>
  <c r="E114" i="6"/>
  <c r="B115" i="6"/>
  <c r="C115" i="6"/>
  <c r="E115" i="6"/>
  <c r="B116" i="6"/>
  <c r="C116" i="6"/>
  <c r="E116" i="6"/>
  <c r="B117" i="6"/>
  <c r="C117" i="6"/>
  <c r="E117" i="6"/>
  <c r="B118" i="6"/>
  <c r="C118" i="6"/>
  <c r="E118" i="6"/>
  <c r="B119" i="6"/>
  <c r="C119" i="6"/>
  <c r="E119" i="6"/>
  <c r="B120" i="6"/>
  <c r="C120" i="6"/>
  <c r="E120" i="6"/>
  <c r="B121" i="6"/>
  <c r="C121" i="6"/>
  <c r="E121" i="6"/>
  <c r="B122" i="6"/>
  <c r="C122" i="6"/>
  <c r="E122" i="6"/>
  <c r="B123" i="6"/>
  <c r="C123" i="6"/>
  <c r="E123" i="6"/>
  <c r="B124" i="6"/>
  <c r="C124" i="6"/>
  <c r="E124" i="6"/>
  <c r="B125" i="6"/>
  <c r="C125" i="6"/>
  <c r="E125" i="6"/>
  <c r="B126" i="6"/>
  <c r="C126" i="6"/>
  <c r="E126" i="6"/>
  <c r="B127" i="6"/>
  <c r="C127" i="6"/>
  <c r="E127" i="6"/>
  <c r="B128" i="6"/>
  <c r="C128" i="6"/>
  <c r="E128" i="6"/>
  <c r="B129" i="6"/>
  <c r="C129" i="6"/>
  <c r="E129" i="6"/>
  <c r="B130" i="6"/>
  <c r="C130" i="6"/>
  <c r="E130" i="6"/>
  <c r="B131" i="6"/>
  <c r="C131" i="6"/>
  <c r="E131" i="6"/>
  <c r="B132" i="6"/>
  <c r="C132" i="6"/>
  <c r="E132" i="6"/>
  <c r="B133" i="6"/>
  <c r="C133" i="6"/>
  <c r="E133" i="6"/>
  <c r="B134" i="6"/>
  <c r="C134" i="6"/>
  <c r="E134" i="6"/>
  <c r="B135" i="6"/>
  <c r="C135" i="6"/>
  <c r="E135" i="6"/>
  <c r="B136" i="6"/>
  <c r="C136" i="6"/>
  <c r="E136" i="6"/>
  <c r="B137" i="6"/>
  <c r="C137" i="6"/>
  <c r="E137" i="6"/>
  <c r="B138" i="6"/>
  <c r="C138" i="6"/>
  <c r="E138" i="6"/>
  <c r="B139" i="6"/>
  <c r="C139" i="6"/>
  <c r="E139" i="6"/>
  <c r="B140" i="6"/>
  <c r="C140" i="6"/>
  <c r="E140" i="6"/>
  <c r="B141" i="6"/>
  <c r="C141" i="6"/>
  <c r="E141" i="6"/>
  <c r="B142" i="6"/>
  <c r="C142" i="6"/>
  <c r="E142" i="6"/>
  <c r="B143" i="6"/>
  <c r="C143" i="6"/>
  <c r="E143" i="6"/>
  <c r="B144" i="6"/>
  <c r="C144" i="6"/>
  <c r="E144" i="6"/>
  <c r="B145" i="6"/>
  <c r="C145" i="6"/>
  <c r="E145" i="6"/>
  <c r="B146" i="6"/>
  <c r="C146" i="6"/>
  <c r="E146" i="6"/>
  <c r="B147" i="6"/>
  <c r="C147" i="6"/>
  <c r="E147" i="6"/>
  <c r="B148" i="6"/>
  <c r="C148" i="6"/>
  <c r="E148" i="6"/>
  <c r="B149" i="6"/>
  <c r="C149" i="6"/>
  <c r="E149" i="6"/>
  <c r="B150" i="6"/>
  <c r="C150" i="6"/>
  <c r="E150" i="6"/>
  <c r="B151" i="6"/>
  <c r="C151" i="6"/>
  <c r="E151" i="6"/>
  <c r="B152" i="6"/>
  <c r="C152" i="6"/>
  <c r="E152" i="6"/>
  <c r="B153" i="6"/>
  <c r="C153" i="6"/>
  <c r="E153" i="6"/>
  <c r="B154" i="6"/>
  <c r="C154" i="6"/>
  <c r="E154" i="6"/>
  <c r="B155" i="6"/>
  <c r="C155" i="6"/>
  <c r="E155" i="6"/>
  <c r="B156" i="6"/>
  <c r="C156" i="6"/>
  <c r="E156" i="6"/>
  <c r="B157" i="6"/>
  <c r="C157" i="6"/>
  <c r="E157" i="6"/>
  <c r="B158" i="6"/>
  <c r="C158" i="6"/>
  <c r="E158" i="6"/>
  <c r="B159" i="6"/>
  <c r="C159" i="6"/>
  <c r="E159" i="6"/>
  <c r="B160" i="6"/>
  <c r="C160" i="6"/>
  <c r="E160" i="6"/>
  <c r="B161" i="6"/>
  <c r="C161" i="6"/>
  <c r="E161" i="6"/>
  <c r="B162" i="6"/>
  <c r="C162" i="6"/>
  <c r="E162" i="6"/>
  <c r="B163" i="6"/>
  <c r="C163" i="6"/>
  <c r="E163" i="6"/>
  <c r="B164" i="6"/>
  <c r="C164" i="6"/>
  <c r="E164" i="6"/>
  <c r="B165" i="6"/>
  <c r="C165" i="6"/>
  <c r="E165" i="6"/>
  <c r="B166" i="6"/>
  <c r="C166" i="6"/>
  <c r="E166" i="6"/>
  <c r="B167" i="6"/>
  <c r="C167" i="6"/>
  <c r="E167" i="6"/>
  <c r="B168" i="6"/>
  <c r="C168" i="6"/>
  <c r="E168" i="6"/>
  <c r="B169" i="6"/>
  <c r="C169" i="6"/>
  <c r="E169" i="6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D13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B3" i="5"/>
  <c r="C3" i="5"/>
  <c r="D3" i="5"/>
  <c r="E3" i="5"/>
  <c r="B4" i="5"/>
  <c r="C4" i="5"/>
  <c r="D4" i="5"/>
  <c r="E4" i="5"/>
  <c r="B5" i="5"/>
  <c r="C5" i="5"/>
  <c r="D5" i="5"/>
  <c r="E5" i="5"/>
  <c r="B6" i="5"/>
  <c r="C6" i="5"/>
  <c r="D6" i="5"/>
  <c r="E6" i="5"/>
  <c r="B7" i="5"/>
  <c r="C7" i="5"/>
  <c r="D7" i="5"/>
  <c r="E7" i="5"/>
  <c r="B8" i="5"/>
  <c r="C8" i="5"/>
  <c r="D8" i="5"/>
  <c r="E8" i="5"/>
  <c r="B9" i="5"/>
  <c r="C9" i="5"/>
  <c r="D9" i="5"/>
  <c r="E9" i="5"/>
  <c r="B10" i="5"/>
  <c r="C10" i="5"/>
  <c r="D10" i="5"/>
  <c r="E10" i="5"/>
  <c r="B11" i="5"/>
  <c r="C11" i="5"/>
  <c r="D11" i="5"/>
  <c r="E11" i="5"/>
  <c r="B12" i="5"/>
  <c r="C12" i="5"/>
  <c r="D12" i="5"/>
  <c r="E12" i="5"/>
  <c r="C13" i="5"/>
  <c r="E13" i="5"/>
  <c r="B14" i="5"/>
  <c r="C14" i="5"/>
  <c r="D14" i="5"/>
  <c r="E14" i="5"/>
  <c r="B15" i="5"/>
  <c r="C15" i="5"/>
  <c r="D15" i="5"/>
  <c r="E15" i="5"/>
  <c r="B16" i="5"/>
  <c r="C16" i="5"/>
  <c r="D16" i="5"/>
  <c r="E16" i="5"/>
  <c r="B17" i="5"/>
  <c r="C17" i="5"/>
  <c r="D17" i="5"/>
  <c r="E17" i="5"/>
  <c r="B18" i="5"/>
  <c r="C18" i="5"/>
  <c r="D18" i="5"/>
  <c r="E18" i="5"/>
  <c r="B19" i="5"/>
  <c r="C19" i="5"/>
  <c r="D19" i="5"/>
  <c r="E19" i="5"/>
  <c r="B20" i="5"/>
  <c r="C20" i="5"/>
  <c r="D20" i="5"/>
  <c r="E20" i="5"/>
  <c r="B21" i="5"/>
  <c r="C21" i="5"/>
  <c r="D21" i="5"/>
  <c r="E21" i="5"/>
  <c r="B22" i="5"/>
  <c r="C22" i="5"/>
  <c r="D22" i="5"/>
  <c r="E22" i="5"/>
  <c r="B23" i="5"/>
  <c r="C23" i="5"/>
  <c r="D23" i="5"/>
  <c r="E23" i="5"/>
  <c r="B24" i="5"/>
  <c r="C24" i="5"/>
  <c r="D24" i="5"/>
  <c r="E24" i="5"/>
  <c r="B25" i="5"/>
  <c r="C25" i="5"/>
  <c r="D25" i="5"/>
  <c r="E25" i="5"/>
  <c r="B26" i="5"/>
  <c r="C26" i="5"/>
  <c r="D26" i="5"/>
  <c r="E26" i="5"/>
  <c r="B27" i="5"/>
  <c r="C27" i="5"/>
  <c r="D27" i="5"/>
  <c r="E27" i="5"/>
  <c r="B28" i="5"/>
  <c r="C28" i="5"/>
  <c r="D28" i="5"/>
  <c r="E28" i="5"/>
  <c r="B29" i="5"/>
  <c r="C29" i="5"/>
  <c r="D29" i="5"/>
  <c r="E29" i="5"/>
  <c r="B30" i="5"/>
  <c r="C30" i="5"/>
  <c r="D30" i="5"/>
  <c r="E30" i="5"/>
  <c r="B31" i="5"/>
  <c r="C31" i="5"/>
  <c r="D31" i="5"/>
  <c r="E31" i="5"/>
  <c r="B32" i="5"/>
  <c r="C32" i="5"/>
  <c r="D32" i="5"/>
  <c r="E32" i="5"/>
  <c r="B33" i="5"/>
  <c r="C33" i="5"/>
  <c r="D33" i="5"/>
  <c r="E33" i="5"/>
  <c r="B34" i="5"/>
  <c r="C34" i="5"/>
  <c r="D34" i="5"/>
  <c r="E34" i="5"/>
  <c r="B35" i="5"/>
  <c r="C35" i="5"/>
  <c r="D35" i="5"/>
  <c r="E35" i="5"/>
  <c r="B36" i="5"/>
  <c r="C36" i="5"/>
  <c r="D36" i="5"/>
  <c r="E36" i="5"/>
  <c r="B37" i="5"/>
  <c r="C37" i="5"/>
  <c r="D37" i="5"/>
  <c r="E37" i="5"/>
  <c r="B38" i="5"/>
  <c r="C38" i="5"/>
  <c r="D38" i="5"/>
  <c r="E38" i="5"/>
  <c r="B39" i="5"/>
  <c r="C39" i="5"/>
  <c r="D39" i="5"/>
  <c r="E39" i="5"/>
  <c r="B40" i="5"/>
  <c r="C40" i="5"/>
  <c r="D40" i="5"/>
  <c r="E40" i="5"/>
  <c r="B41" i="5"/>
  <c r="C41" i="5"/>
  <c r="D41" i="5"/>
  <c r="E41" i="5"/>
  <c r="B42" i="5"/>
  <c r="C42" i="5"/>
  <c r="D42" i="5"/>
  <c r="E42" i="5"/>
  <c r="B43" i="5"/>
  <c r="C43" i="5"/>
  <c r="D43" i="5"/>
  <c r="E43" i="5"/>
  <c r="B44" i="5"/>
  <c r="C44" i="5"/>
  <c r="D44" i="5"/>
  <c r="E44" i="5"/>
  <c r="B45" i="5"/>
  <c r="C45" i="5"/>
  <c r="D45" i="5"/>
  <c r="E45" i="5"/>
  <c r="B46" i="5"/>
  <c r="C46" i="5"/>
  <c r="D46" i="5"/>
  <c r="E46" i="5"/>
  <c r="B47" i="5"/>
  <c r="C47" i="5"/>
  <c r="D47" i="5"/>
  <c r="E47" i="5"/>
  <c r="B48" i="5"/>
  <c r="C48" i="5"/>
  <c r="D48" i="5"/>
  <c r="E48" i="5"/>
  <c r="B49" i="5"/>
  <c r="C49" i="5"/>
  <c r="D49" i="5"/>
  <c r="E49" i="5"/>
  <c r="B50" i="5"/>
  <c r="C50" i="5"/>
  <c r="D50" i="5"/>
  <c r="E50" i="5"/>
  <c r="B51" i="5"/>
  <c r="C51" i="5"/>
  <c r="D51" i="5"/>
  <c r="E51" i="5"/>
  <c r="B52" i="5"/>
  <c r="C52" i="5"/>
  <c r="D52" i="5"/>
  <c r="E52" i="5"/>
  <c r="B53" i="5"/>
  <c r="C53" i="5"/>
  <c r="D53" i="5"/>
  <c r="E53" i="5"/>
  <c r="B54" i="5"/>
  <c r="C54" i="5"/>
  <c r="D54" i="5"/>
  <c r="E54" i="5"/>
  <c r="B55" i="5"/>
  <c r="C55" i="5"/>
  <c r="D55" i="5"/>
  <c r="E55" i="5"/>
  <c r="B56" i="5"/>
  <c r="C56" i="5"/>
  <c r="D56" i="5"/>
  <c r="E56" i="5"/>
  <c r="B57" i="5"/>
  <c r="C57" i="5"/>
  <c r="D57" i="5"/>
  <c r="E57" i="5"/>
  <c r="B58" i="5"/>
  <c r="C58" i="5"/>
  <c r="D58" i="5"/>
  <c r="E58" i="5"/>
  <c r="B59" i="5"/>
  <c r="C59" i="5"/>
  <c r="D59" i="5"/>
  <c r="E59" i="5"/>
  <c r="B60" i="5"/>
  <c r="C60" i="5"/>
  <c r="D60" i="5"/>
  <c r="E60" i="5"/>
  <c r="B61" i="5"/>
  <c r="C61" i="5"/>
  <c r="D61" i="5"/>
  <c r="E61" i="5"/>
  <c r="B62" i="5"/>
  <c r="C62" i="5"/>
  <c r="D62" i="5"/>
  <c r="E62" i="5"/>
  <c r="B63" i="5"/>
  <c r="C63" i="5"/>
  <c r="D63" i="5"/>
  <c r="E63" i="5"/>
  <c r="B64" i="5"/>
  <c r="C64" i="5"/>
  <c r="D64" i="5"/>
  <c r="E64" i="5"/>
  <c r="B65" i="5"/>
  <c r="C65" i="5"/>
  <c r="D65" i="5"/>
  <c r="E65" i="5"/>
  <c r="B66" i="5"/>
  <c r="C66" i="5"/>
  <c r="D66" i="5"/>
  <c r="E66" i="5"/>
  <c r="B67" i="5"/>
  <c r="C67" i="5"/>
  <c r="D67" i="5"/>
  <c r="E67" i="5"/>
  <c r="B68" i="5"/>
  <c r="C68" i="5"/>
  <c r="D68" i="5"/>
  <c r="E68" i="5"/>
  <c r="B69" i="5"/>
  <c r="C69" i="5"/>
  <c r="D69" i="5"/>
  <c r="E69" i="5"/>
  <c r="B70" i="5"/>
  <c r="C70" i="5"/>
  <c r="D70" i="5"/>
  <c r="E70" i="5"/>
  <c r="B71" i="5"/>
  <c r="C71" i="5"/>
  <c r="D71" i="5"/>
  <c r="E71" i="5"/>
  <c r="B72" i="5"/>
  <c r="C72" i="5"/>
  <c r="D72" i="5"/>
  <c r="E72" i="5"/>
  <c r="B73" i="5"/>
  <c r="C73" i="5"/>
  <c r="D73" i="5"/>
  <c r="E73" i="5"/>
  <c r="B74" i="5"/>
  <c r="C74" i="5"/>
  <c r="D74" i="5"/>
  <c r="E74" i="5"/>
  <c r="B75" i="5"/>
  <c r="C75" i="5"/>
  <c r="D75" i="5"/>
  <c r="E75" i="5"/>
  <c r="B76" i="5"/>
  <c r="C76" i="5"/>
  <c r="D76" i="5"/>
  <c r="E76" i="5"/>
  <c r="B77" i="5"/>
  <c r="C77" i="5"/>
  <c r="D77" i="5"/>
  <c r="E77" i="5"/>
  <c r="B78" i="5"/>
  <c r="C78" i="5"/>
  <c r="D78" i="5"/>
  <c r="E78" i="5"/>
  <c r="B79" i="5"/>
  <c r="C79" i="5"/>
  <c r="D79" i="5"/>
  <c r="E79" i="5"/>
  <c r="B80" i="5"/>
  <c r="C80" i="5"/>
  <c r="D80" i="5"/>
  <c r="E80" i="5"/>
  <c r="B81" i="5"/>
  <c r="C81" i="5"/>
  <c r="D81" i="5"/>
  <c r="E81" i="5"/>
  <c r="B82" i="5"/>
  <c r="C82" i="5"/>
  <c r="D82" i="5"/>
  <c r="E82" i="5"/>
  <c r="B83" i="5"/>
  <c r="C83" i="5"/>
  <c r="D83" i="5"/>
  <c r="E83" i="5"/>
  <c r="B84" i="5"/>
  <c r="C84" i="5"/>
  <c r="D84" i="5"/>
  <c r="E84" i="5"/>
  <c r="B85" i="5"/>
  <c r="C85" i="5"/>
  <c r="D85" i="5"/>
  <c r="E85" i="5"/>
  <c r="B86" i="5"/>
  <c r="C86" i="5"/>
  <c r="D86" i="5"/>
  <c r="E86" i="5"/>
  <c r="B87" i="5"/>
  <c r="C87" i="5"/>
  <c r="D87" i="5"/>
  <c r="E87" i="5"/>
  <c r="B88" i="5"/>
  <c r="C88" i="5"/>
  <c r="D88" i="5"/>
  <c r="E88" i="5"/>
  <c r="B89" i="5"/>
  <c r="C89" i="5"/>
  <c r="D89" i="5"/>
  <c r="E89" i="5"/>
  <c r="B90" i="5"/>
  <c r="C90" i="5"/>
  <c r="D90" i="5"/>
  <c r="E90" i="5"/>
  <c r="B91" i="5"/>
  <c r="C91" i="5"/>
  <c r="D91" i="5"/>
  <c r="E91" i="5"/>
  <c r="B92" i="5"/>
  <c r="C92" i="5"/>
  <c r="D92" i="5"/>
  <c r="E92" i="5"/>
  <c r="B93" i="5"/>
  <c r="C93" i="5"/>
  <c r="D93" i="5"/>
  <c r="E93" i="5"/>
  <c r="B94" i="5"/>
  <c r="C94" i="5"/>
  <c r="D94" i="5"/>
  <c r="E94" i="5"/>
  <c r="B95" i="5"/>
  <c r="C95" i="5"/>
  <c r="D95" i="5"/>
  <c r="E95" i="5"/>
  <c r="B96" i="5"/>
  <c r="C96" i="5"/>
  <c r="D96" i="5"/>
  <c r="E96" i="5"/>
  <c r="B97" i="5"/>
  <c r="C97" i="5"/>
  <c r="D97" i="5"/>
  <c r="E97" i="5"/>
  <c r="B98" i="5"/>
  <c r="C98" i="5"/>
  <c r="D98" i="5"/>
  <c r="E98" i="5"/>
  <c r="B99" i="5"/>
  <c r="C99" i="5"/>
  <c r="D99" i="5"/>
  <c r="E99" i="5"/>
  <c r="B100" i="5"/>
  <c r="C100" i="5"/>
  <c r="D100" i="5"/>
  <c r="E100" i="5"/>
  <c r="B101" i="5"/>
  <c r="C101" i="5"/>
  <c r="D101" i="5"/>
  <c r="E101" i="5"/>
  <c r="B102" i="5"/>
  <c r="C102" i="5"/>
  <c r="D102" i="5"/>
  <c r="E102" i="5"/>
  <c r="B103" i="5"/>
  <c r="C103" i="5"/>
  <c r="D103" i="5"/>
  <c r="E103" i="5"/>
  <c r="B104" i="5"/>
  <c r="C104" i="5"/>
  <c r="D104" i="5"/>
  <c r="E104" i="5"/>
  <c r="B105" i="5"/>
  <c r="C105" i="5"/>
  <c r="D105" i="5"/>
  <c r="E105" i="5"/>
  <c r="B106" i="5"/>
  <c r="C106" i="5"/>
  <c r="D106" i="5"/>
  <c r="E106" i="5"/>
  <c r="B107" i="5"/>
  <c r="C107" i="5"/>
  <c r="D107" i="5"/>
  <c r="E107" i="5"/>
  <c r="B108" i="5"/>
  <c r="C108" i="5"/>
  <c r="D108" i="5"/>
  <c r="E108" i="5"/>
  <c r="B109" i="5"/>
  <c r="C109" i="5"/>
  <c r="D109" i="5"/>
  <c r="E109" i="5"/>
  <c r="B110" i="5"/>
  <c r="C110" i="5"/>
  <c r="D110" i="5"/>
  <c r="E110" i="5"/>
  <c r="B111" i="5"/>
  <c r="C111" i="5"/>
  <c r="D111" i="5"/>
  <c r="E111" i="5"/>
  <c r="B112" i="5"/>
  <c r="C112" i="5"/>
  <c r="D112" i="5"/>
  <c r="E112" i="5"/>
  <c r="B113" i="5"/>
  <c r="C113" i="5"/>
  <c r="D113" i="5"/>
  <c r="E113" i="5"/>
  <c r="B114" i="5"/>
  <c r="C114" i="5"/>
  <c r="D114" i="5"/>
  <c r="E114" i="5"/>
  <c r="B115" i="5"/>
  <c r="C115" i="5"/>
  <c r="D115" i="5"/>
  <c r="E115" i="5"/>
  <c r="B116" i="5"/>
  <c r="C116" i="5"/>
  <c r="D116" i="5"/>
  <c r="E116" i="5"/>
  <c r="B117" i="5"/>
  <c r="C117" i="5"/>
  <c r="D117" i="5"/>
  <c r="E117" i="5"/>
  <c r="B118" i="5"/>
  <c r="C118" i="5"/>
  <c r="D118" i="5"/>
  <c r="E118" i="5"/>
  <c r="B119" i="5"/>
  <c r="C119" i="5"/>
  <c r="D119" i="5"/>
  <c r="E119" i="5"/>
  <c r="B120" i="5"/>
  <c r="C120" i="5"/>
  <c r="D120" i="5"/>
  <c r="E120" i="5"/>
  <c r="B121" i="5"/>
  <c r="C121" i="5"/>
  <c r="D121" i="5"/>
  <c r="E121" i="5"/>
  <c r="B122" i="5"/>
  <c r="C122" i="5"/>
  <c r="D122" i="5"/>
  <c r="E122" i="5"/>
  <c r="B123" i="5"/>
  <c r="C123" i="5"/>
  <c r="D123" i="5"/>
  <c r="E123" i="5"/>
  <c r="B124" i="5"/>
  <c r="C124" i="5"/>
  <c r="D124" i="5"/>
  <c r="E124" i="5"/>
  <c r="B125" i="5"/>
  <c r="C125" i="5"/>
  <c r="D125" i="5"/>
  <c r="E125" i="5"/>
  <c r="B126" i="5"/>
  <c r="C126" i="5"/>
  <c r="D126" i="5"/>
  <c r="E126" i="5"/>
  <c r="B127" i="5"/>
  <c r="C127" i="5"/>
  <c r="D127" i="5"/>
  <c r="E127" i="5"/>
  <c r="B128" i="5"/>
  <c r="C128" i="5"/>
  <c r="D128" i="5"/>
  <c r="E128" i="5"/>
  <c r="B129" i="5"/>
  <c r="C129" i="5"/>
  <c r="D129" i="5"/>
  <c r="E129" i="5"/>
  <c r="B130" i="5"/>
  <c r="C130" i="5"/>
  <c r="D130" i="5"/>
  <c r="E130" i="5"/>
  <c r="B131" i="5"/>
  <c r="C131" i="5"/>
  <c r="D131" i="5"/>
  <c r="E131" i="5"/>
  <c r="B132" i="5"/>
  <c r="C132" i="5"/>
  <c r="D132" i="5"/>
  <c r="E132" i="5"/>
  <c r="B133" i="5"/>
  <c r="C133" i="5"/>
  <c r="D133" i="5"/>
  <c r="E133" i="5"/>
  <c r="B134" i="5"/>
  <c r="C134" i="5"/>
  <c r="D134" i="5"/>
  <c r="E134" i="5"/>
  <c r="B135" i="5"/>
  <c r="C135" i="5"/>
  <c r="D135" i="5"/>
  <c r="E135" i="5"/>
  <c r="B136" i="5"/>
  <c r="C136" i="5"/>
  <c r="D136" i="5"/>
  <c r="E136" i="5"/>
  <c r="B137" i="5"/>
  <c r="C137" i="5"/>
  <c r="D137" i="5"/>
  <c r="E137" i="5"/>
  <c r="B138" i="5"/>
  <c r="C138" i="5"/>
  <c r="D138" i="5"/>
  <c r="E138" i="5"/>
  <c r="B139" i="5"/>
  <c r="C139" i="5"/>
  <c r="D139" i="5"/>
  <c r="E139" i="5"/>
  <c r="B140" i="5"/>
  <c r="C140" i="5"/>
  <c r="D140" i="5"/>
  <c r="E140" i="5"/>
  <c r="B141" i="5"/>
  <c r="C141" i="5"/>
  <c r="D141" i="5"/>
  <c r="E141" i="5"/>
  <c r="B142" i="5"/>
  <c r="C142" i="5"/>
  <c r="D142" i="5"/>
  <c r="E142" i="5"/>
  <c r="B143" i="5"/>
  <c r="C143" i="5"/>
  <c r="D143" i="5"/>
  <c r="E143" i="5"/>
  <c r="B144" i="5"/>
  <c r="C144" i="5"/>
  <c r="D144" i="5"/>
  <c r="E144" i="5"/>
  <c r="B145" i="5"/>
  <c r="C145" i="5"/>
  <c r="D145" i="5"/>
  <c r="E145" i="5"/>
  <c r="B146" i="5"/>
  <c r="C146" i="5"/>
  <c r="D146" i="5"/>
  <c r="E146" i="5"/>
  <c r="B147" i="5"/>
  <c r="C147" i="5"/>
  <c r="D147" i="5"/>
  <c r="E147" i="5"/>
  <c r="B148" i="5"/>
  <c r="C148" i="5"/>
  <c r="D148" i="5"/>
  <c r="E148" i="5"/>
  <c r="B149" i="5"/>
  <c r="C149" i="5"/>
  <c r="D149" i="5"/>
  <c r="E149" i="5"/>
  <c r="B150" i="5"/>
  <c r="C150" i="5"/>
  <c r="D150" i="5"/>
  <c r="E150" i="5"/>
  <c r="B151" i="5"/>
  <c r="C151" i="5"/>
  <c r="D151" i="5"/>
  <c r="E151" i="5"/>
  <c r="B152" i="5"/>
  <c r="C152" i="5"/>
  <c r="D152" i="5"/>
  <c r="E152" i="5"/>
  <c r="B153" i="5"/>
  <c r="C153" i="5"/>
  <c r="D153" i="5"/>
  <c r="E153" i="5"/>
  <c r="B154" i="5"/>
  <c r="C154" i="5"/>
  <c r="D154" i="5"/>
  <c r="E154" i="5"/>
  <c r="B155" i="5"/>
  <c r="C155" i="5"/>
  <c r="D155" i="5"/>
  <c r="E155" i="5"/>
  <c r="B156" i="5"/>
  <c r="C156" i="5"/>
  <c r="D156" i="5"/>
  <c r="E156" i="5"/>
  <c r="B157" i="5"/>
  <c r="C157" i="5"/>
  <c r="D157" i="5"/>
  <c r="E157" i="5"/>
  <c r="B158" i="5"/>
  <c r="C158" i="5"/>
  <c r="D158" i="5"/>
  <c r="E158" i="5"/>
  <c r="B159" i="5"/>
  <c r="C159" i="5"/>
  <c r="D159" i="5"/>
  <c r="E159" i="5"/>
  <c r="B160" i="5"/>
  <c r="C160" i="5"/>
  <c r="D160" i="5"/>
  <c r="E160" i="5"/>
  <c r="B161" i="5"/>
  <c r="C161" i="5"/>
  <c r="D161" i="5"/>
  <c r="E161" i="5"/>
  <c r="B162" i="5"/>
  <c r="C162" i="5"/>
  <c r="D162" i="5"/>
  <c r="E162" i="5"/>
  <c r="B163" i="5"/>
  <c r="C163" i="5"/>
  <c r="D163" i="5"/>
  <c r="E163" i="5"/>
  <c r="B164" i="5"/>
  <c r="C164" i="5"/>
  <c r="D164" i="5"/>
  <c r="E164" i="5"/>
  <c r="B165" i="5"/>
  <c r="C165" i="5"/>
  <c r="D165" i="5"/>
  <c r="E165" i="5"/>
  <c r="B166" i="5"/>
  <c r="C166" i="5"/>
  <c r="D166" i="5"/>
  <c r="E166" i="5"/>
  <c r="B167" i="5"/>
  <c r="C167" i="5"/>
  <c r="D167" i="5"/>
  <c r="E167" i="5"/>
  <c r="B168" i="5"/>
  <c r="C168" i="5"/>
  <c r="D168" i="5"/>
  <c r="E168" i="5"/>
  <c r="B169" i="5"/>
  <c r="C169" i="5"/>
  <c r="D169" i="5"/>
  <c r="E169" i="5"/>
  <c r="B170" i="5"/>
  <c r="C170" i="5"/>
  <c r="D170" i="5"/>
  <c r="E170" i="5"/>
  <c r="B171" i="5"/>
  <c r="C171" i="5"/>
  <c r="D171" i="5"/>
  <c r="E171" i="5"/>
  <c r="U2" i="1" a="1"/>
  <c r="U2" i="1" s="1"/>
  <c r="T2" i="1" a="1"/>
  <c r="T2" i="1" s="1"/>
  <c r="S2" i="1" a="1"/>
  <c r="S2" i="1" s="1"/>
  <c r="B2" i="3"/>
  <c r="R2" i="3"/>
  <c r="S2" i="3"/>
  <c r="T2" i="3"/>
  <c r="R3" i="3"/>
  <c r="S3" i="3"/>
  <c r="C4" i="3" s="1"/>
  <c r="D4" i="3" s="1"/>
  <c r="T3" i="3"/>
  <c r="B4" i="3" s="1"/>
  <c r="R4" i="3"/>
  <c r="S4" i="3"/>
  <c r="C5" i="3" s="1"/>
  <c r="D5" i="3" s="1"/>
  <c r="T4" i="3"/>
  <c r="R5" i="3"/>
  <c r="S5" i="3"/>
  <c r="T5" i="3"/>
  <c r="B6" i="3" s="1"/>
  <c r="R6" i="3"/>
  <c r="S6" i="3"/>
  <c r="C7" i="3" s="1"/>
  <c r="D7" i="3" s="1"/>
  <c r="T6" i="3"/>
  <c r="B7" i="3" s="1"/>
  <c r="R7" i="3"/>
  <c r="S7" i="3"/>
  <c r="C8" i="3" s="1"/>
  <c r="D8" i="3" s="1"/>
  <c r="T7" i="3"/>
  <c r="R8" i="3"/>
  <c r="S8" i="3"/>
  <c r="C9" i="3" s="1"/>
  <c r="D9" i="3" s="1"/>
  <c r="T8" i="3"/>
  <c r="B9" i="3" s="1"/>
  <c r="R9" i="3"/>
  <c r="S9" i="3"/>
  <c r="C10" i="3" s="1"/>
  <c r="D10" i="3" s="1"/>
  <c r="T9" i="3"/>
  <c r="B10" i="3" s="1"/>
  <c r="R10" i="3"/>
  <c r="S10" i="3"/>
  <c r="C11" i="3" s="1"/>
  <c r="D11" i="3" s="1"/>
  <c r="T10" i="3"/>
  <c r="B11" i="3" s="1"/>
  <c r="R11" i="3"/>
  <c r="S11" i="3"/>
  <c r="C12" i="3" s="1"/>
  <c r="D12" i="3" s="1"/>
  <c r="T11" i="3"/>
  <c r="B12" i="3" s="1"/>
  <c r="R12" i="3"/>
  <c r="S12" i="3"/>
  <c r="C13" i="3" s="1"/>
  <c r="D13" i="3" s="1"/>
  <c r="T12" i="3"/>
  <c r="B13" i="3" s="1"/>
  <c r="R13" i="3"/>
  <c r="S13" i="3"/>
  <c r="T13" i="3"/>
  <c r="B14" i="3" s="1"/>
  <c r="R14" i="3"/>
  <c r="S14" i="3"/>
  <c r="C15" i="3" s="1"/>
  <c r="D15" i="3" s="1"/>
  <c r="T14" i="3"/>
  <c r="B15" i="3" s="1"/>
  <c r="R15" i="3"/>
  <c r="S15" i="3"/>
  <c r="C16" i="3" s="1"/>
  <c r="D16" i="3" s="1"/>
  <c r="T15" i="3"/>
  <c r="R16" i="3"/>
  <c r="S16" i="3"/>
  <c r="C17" i="3" s="1"/>
  <c r="D17" i="3" s="1"/>
  <c r="T16" i="3"/>
  <c r="B17" i="3" s="1"/>
  <c r="R17" i="3"/>
  <c r="S17" i="3"/>
  <c r="C18" i="3" s="1"/>
  <c r="D18" i="3" s="1"/>
  <c r="T17" i="3"/>
  <c r="B18" i="3" s="1"/>
  <c r="R18" i="3"/>
  <c r="S18" i="3"/>
  <c r="C19" i="3" s="1"/>
  <c r="D19" i="3" s="1"/>
  <c r="T18" i="3"/>
  <c r="B19" i="3" s="1"/>
  <c r="R19" i="3"/>
  <c r="S19" i="3"/>
  <c r="C20" i="3" s="1"/>
  <c r="D20" i="3" s="1"/>
  <c r="T19" i="3"/>
  <c r="B20" i="3" s="1"/>
  <c r="R20" i="3"/>
  <c r="S20" i="3"/>
  <c r="C21" i="3" s="1"/>
  <c r="D21" i="3" s="1"/>
  <c r="T20" i="3"/>
  <c r="B21" i="3" s="1"/>
  <c r="R21" i="3"/>
  <c r="S21" i="3"/>
  <c r="C22" i="3" s="1"/>
  <c r="D22" i="3" s="1"/>
  <c r="T21" i="3"/>
  <c r="B22" i="3" s="1"/>
  <c r="R22" i="3"/>
  <c r="S22" i="3"/>
  <c r="C23" i="3" s="1"/>
  <c r="D23" i="3" s="1"/>
  <c r="T22" i="3"/>
  <c r="B23" i="3" s="1"/>
  <c r="R23" i="3"/>
  <c r="S23" i="3"/>
  <c r="C24" i="3" s="1"/>
  <c r="D24" i="3" s="1"/>
  <c r="T23" i="3"/>
  <c r="R24" i="3"/>
  <c r="S24" i="3"/>
  <c r="C25" i="3" s="1"/>
  <c r="D25" i="3" s="1"/>
  <c r="T24" i="3"/>
  <c r="B25" i="3" s="1"/>
  <c r="R25" i="3"/>
  <c r="S25" i="3"/>
  <c r="C26" i="3" s="1"/>
  <c r="D26" i="3" s="1"/>
  <c r="T25" i="3"/>
  <c r="B26" i="3" s="1"/>
  <c r="R26" i="3"/>
  <c r="S26" i="3"/>
  <c r="T26" i="3"/>
  <c r="R27" i="3"/>
  <c r="S27" i="3"/>
  <c r="C28" i="3" s="1"/>
  <c r="D28" i="3" s="1"/>
  <c r="T27" i="3"/>
  <c r="B28" i="3" s="1"/>
  <c r="R28" i="3"/>
  <c r="S28" i="3"/>
  <c r="C29" i="3" s="1"/>
  <c r="D29" i="3" s="1"/>
  <c r="T28" i="3"/>
  <c r="R29" i="3"/>
  <c r="S29" i="3"/>
  <c r="C30" i="3" s="1"/>
  <c r="D30" i="3" s="1"/>
  <c r="T29" i="3"/>
  <c r="B30" i="3" s="1"/>
  <c r="R30" i="3"/>
  <c r="S30" i="3"/>
  <c r="C31" i="3" s="1"/>
  <c r="D31" i="3" s="1"/>
  <c r="T30" i="3"/>
  <c r="B31" i="3" s="1"/>
  <c r="R31" i="3"/>
  <c r="S31" i="3"/>
  <c r="C32" i="3" s="1"/>
  <c r="D32" i="3" s="1"/>
  <c r="T31" i="3"/>
  <c r="B32" i="3" s="1"/>
  <c r="R32" i="3"/>
  <c r="S32" i="3"/>
  <c r="C33" i="3" s="1"/>
  <c r="D33" i="3" s="1"/>
  <c r="T32" i="3"/>
  <c r="B33" i="3" s="1"/>
  <c r="R33" i="3"/>
  <c r="S33" i="3"/>
  <c r="C34" i="3" s="1"/>
  <c r="D34" i="3" s="1"/>
  <c r="T33" i="3"/>
  <c r="B34" i="3" s="1"/>
  <c r="R34" i="3"/>
  <c r="S34" i="3"/>
  <c r="C35" i="3" s="1"/>
  <c r="D35" i="3" s="1"/>
  <c r="T34" i="3"/>
  <c r="R35" i="3"/>
  <c r="S35" i="3"/>
  <c r="C36" i="3" s="1"/>
  <c r="D36" i="3" s="1"/>
  <c r="T35" i="3"/>
  <c r="B36" i="3" s="1"/>
  <c r="R36" i="3"/>
  <c r="S36" i="3"/>
  <c r="C37" i="3" s="1"/>
  <c r="D37" i="3" s="1"/>
  <c r="T36" i="3"/>
  <c r="B37" i="3" s="1"/>
  <c r="R37" i="3"/>
  <c r="S37" i="3"/>
  <c r="T37" i="3"/>
  <c r="B38" i="3" s="1"/>
  <c r="R38" i="3"/>
  <c r="S38" i="3"/>
  <c r="C39" i="3" s="1"/>
  <c r="D39" i="3" s="1"/>
  <c r="T38" i="3"/>
  <c r="B39" i="3" s="1"/>
  <c r="R39" i="3"/>
  <c r="S39" i="3"/>
  <c r="C40" i="3" s="1"/>
  <c r="D40" i="3" s="1"/>
  <c r="T39" i="3"/>
  <c r="B40" i="3" s="1"/>
  <c r="R40" i="3"/>
  <c r="S40" i="3"/>
  <c r="T40" i="3"/>
  <c r="B41" i="3" s="1"/>
  <c r="R41" i="3"/>
  <c r="S41" i="3"/>
  <c r="C42" i="3" s="1"/>
  <c r="D42" i="3" s="1"/>
  <c r="T41" i="3"/>
  <c r="B42" i="3" s="1"/>
  <c r="R42" i="3"/>
  <c r="S42" i="3"/>
  <c r="C43" i="3" s="1"/>
  <c r="D43" i="3" s="1"/>
  <c r="T42" i="3"/>
  <c r="R43" i="3"/>
  <c r="S43" i="3"/>
  <c r="C44" i="3" s="1"/>
  <c r="D44" i="3" s="1"/>
  <c r="T43" i="3"/>
  <c r="B44" i="3" s="1"/>
  <c r="R44" i="3"/>
  <c r="S44" i="3"/>
  <c r="C45" i="3" s="1"/>
  <c r="D45" i="3" s="1"/>
  <c r="T44" i="3"/>
  <c r="B45" i="3" s="1"/>
  <c r="R45" i="3"/>
  <c r="S45" i="3"/>
  <c r="T45" i="3"/>
  <c r="B46" i="3" s="1"/>
  <c r="R46" i="3"/>
  <c r="S46" i="3"/>
  <c r="C47" i="3" s="1"/>
  <c r="D47" i="3" s="1"/>
  <c r="T46" i="3"/>
  <c r="B47" i="3" s="1"/>
  <c r="R47" i="3"/>
  <c r="S47" i="3"/>
  <c r="C48" i="3" s="1"/>
  <c r="D48" i="3" s="1"/>
  <c r="T47" i="3"/>
  <c r="B48" i="3" s="1"/>
  <c r="R48" i="3"/>
  <c r="S48" i="3"/>
  <c r="T48" i="3"/>
  <c r="B49" i="3" s="1"/>
  <c r="R49" i="3"/>
  <c r="S49" i="3"/>
  <c r="C50" i="3" s="1"/>
  <c r="D50" i="3" s="1"/>
  <c r="T49" i="3"/>
  <c r="B50" i="3" s="1"/>
  <c r="R50" i="3"/>
  <c r="S50" i="3"/>
  <c r="C51" i="3" s="1"/>
  <c r="D51" i="3" s="1"/>
  <c r="T50" i="3"/>
  <c r="B51" i="3" s="1"/>
  <c r="R51" i="3"/>
  <c r="S51" i="3"/>
  <c r="C52" i="3" s="1"/>
  <c r="D52" i="3" s="1"/>
  <c r="T51" i="3"/>
  <c r="B52" i="3" s="1"/>
  <c r="R52" i="3"/>
  <c r="S52" i="3"/>
  <c r="C53" i="3" s="1"/>
  <c r="D53" i="3" s="1"/>
  <c r="T52" i="3"/>
  <c r="B53" i="3" s="1"/>
  <c r="R53" i="3"/>
  <c r="S53" i="3"/>
  <c r="T53" i="3"/>
  <c r="B54" i="3" s="1"/>
  <c r="R54" i="3"/>
  <c r="S54" i="3"/>
  <c r="C55" i="3" s="1"/>
  <c r="D55" i="3" s="1"/>
  <c r="T54" i="3"/>
  <c r="B55" i="3" s="1"/>
  <c r="R55" i="3"/>
  <c r="S55" i="3"/>
  <c r="C56" i="3" s="1"/>
  <c r="D56" i="3" s="1"/>
  <c r="T55" i="3"/>
  <c r="B56" i="3" s="1"/>
  <c r="R56" i="3"/>
  <c r="S56" i="3"/>
  <c r="C57" i="3" s="1"/>
  <c r="D57" i="3" s="1"/>
  <c r="T56" i="3"/>
  <c r="B57" i="3" s="1"/>
  <c r="R57" i="3"/>
  <c r="S57" i="3"/>
  <c r="C58" i="3" s="1"/>
  <c r="D58" i="3" s="1"/>
  <c r="T57" i="3"/>
  <c r="B58" i="3" s="1"/>
  <c r="R58" i="3"/>
  <c r="S58" i="3"/>
  <c r="T58" i="3"/>
  <c r="B59" i="3" s="1"/>
  <c r="R59" i="3"/>
  <c r="S59" i="3"/>
  <c r="C60" i="3" s="1"/>
  <c r="D60" i="3" s="1"/>
  <c r="T59" i="3"/>
  <c r="B60" i="3" s="1"/>
  <c r="R60" i="3"/>
  <c r="S60" i="3"/>
  <c r="C61" i="3" s="1"/>
  <c r="D61" i="3" s="1"/>
  <c r="T60" i="3"/>
  <c r="B61" i="3" s="1"/>
  <c r="R61" i="3"/>
  <c r="S61" i="3"/>
  <c r="C62" i="3" s="1"/>
  <c r="D62" i="3" s="1"/>
  <c r="T61" i="3"/>
  <c r="B62" i="3" s="1"/>
  <c r="R62" i="3"/>
  <c r="S62" i="3"/>
  <c r="C63" i="3" s="1"/>
  <c r="D63" i="3" s="1"/>
  <c r="T62" i="3"/>
  <c r="B63" i="3" s="1"/>
  <c r="R63" i="3"/>
  <c r="S63" i="3"/>
  <c r="C64" i="3" s="1"/>
  <c r="D64" i="3" s="1"/>
  <c r="T63" i="3"/>
  <c r="B64" i="3" s="1"/>
  <c r="R64" i="3"/>
  <c r="S64" i="3"/>
  <c r="C65" i="3" s="1"/>
  <c r="D65" i="3" s="1"/>
  <c r="T64" i="3"/>
  <c r="B65" i="3" s="1"/>
  <c r="R65" i="3"/>
  <c r="S65" i="3"/>
  <c r="C66" i="3" s="1"/>
  <c r="D66" i="3" s="1"/>
  <c r="T65" i="3"/>
  <c r="B66" i="3" s="1"/>
  <c r="R66" i="3"/>
  <c r="S66" i="3"/>
  <c r="C67" i="3" s="1"/>
  <c r="D67" i="3" s="1"/>
  <c r="T66" i="3"/>
  <c r="B67" i="3" s="1"/>
  <c r="R67" i="3"/>
  <c r="S67" i="3"/>
  <c r="C68" i="3" s="1"/>
  <c r="D68" i="3" s="1"/>
  <c r="T67" i="3"/>
  <c r="B68" i="3" s="1"/>
  <c r="R68" i="3"/>
  <c r="S68" i="3"/>
  <c r="C69" i="3" s="1"/>
  <c r="D69" i="3" s="1"/>
  <c r="T68" i="3"/>
  <c r="B69" i="3" s="1"/>
  <c r="R69" i="3"/>
  <c r="S69" i="3"/>
  <c r="C70" i="3" s="1"/>
  <c r="D70" i="3" s="1"/>
  <c r="T69" i="3"/>
  <c r="B70" i="3" s="1"/>
  <c r="R70" i="3"/>
  <c r="S70" i="3"/>
  <c r="C71" i="3" s="1"/>
  <c r="D71" i="3" s="1"/>
  <c r="T70" i="3"/>
  <c r="B71" i="3" s="1"/>
  <c r="R71" i="3"/>
  <c r="S71" i="3"/>
  <c r="C72" i="3" s="1"/>
  <c r="D72" i="3" s="1"/>
  <c r="T71" i="3"/>
  <c r="R72" i="3"/>
  <c r="S72" i="3"/>
  <c r="C73" i="3" s="1"/>
  <c r="D73" i="3" s="1"/>
  <c r="T72" i="3"/>
  <c r="B73" i="3" s="1"/>
  <c r="R73" i="3"/>
  <c r="S73" i="3"/>
  <c r="C74" i="3" s="1"/>
  <c r="D74" i="3" s="1"/>
  <c r="T73" i="3"/>
  <c r="B74" i="3" s="1"/>
  <c r="R74" i="3"/>
  <c r="S74" i="3"/>
  <c r="C75" i="3" s="1"/>
  <c r="D75" i="3" s="1"/>
  <c r="T74" i="3"/>
  <c r="R75" i="3"/>
  <c r="S75" i="3"/>
  <c r="C76" i="3" s="1"/>
  <c r="D76" i="3" s="1"/>
  <c r="T75" i="3"/>
  <c r="B76" i="3" s="1"/>
  <c r="R76" i="3"/>
  <c r="S76" i="3"/>
  <c r="C77" i="3" s="1"/>
  <c r="D77" i="3" s="1"/>
  <c r="T76" i="3"/>
  <c r="B77" i="3" s="1"/>
  <c r="R77" i="3"/>
  <c r="S77" i="3"/>
  <c r="T77" i="3"/>
  <c r="B78" i="3" s="1"/>
  <c r="R78" i="3"/>
  <c r="S78" i="3"/>
  <c r="C79" i="3" s="1"/>
  <c r="D79" i="3" s="1"/>
  <c r="T78" i="3"/>
  <c r="B79" i="3" s="1"/>
  <c r="R79" i="3"/>
  <c r="S79" i="3"/>
  <c r="T79" i="3"/>
  <c r="R80" i="3"/>
  <c r="S80" i="3"/>
  <c r="C81" i="3" s="1"/>
  <c r="D81" i="3" s="1"/>
  <c r="T80" i="3"/>
  <c r="B81" i="3" s="1"/>
  <c r="R81" i="3"/>
  <c r="S81" i="3"/>
  <c r="C82" i="3" s="1"/>
  <c r="D82" i="3" s="1"/>
  <c r="T81" i="3"/>
  <c r="B82" i="3" s="1"/>
  <c r="R82" i="3"/>
  <c r="S82" i="3"/>
  <c r="T82" i="3"/>
  <c r="R83" i="3"/>
  <c r="S83" i="3"/>
  <c r="C84" i="3" s="1"/>
  <c r="D84" i="3" s="1"/>
  <c r="T83" i="3"/>
  <c r="B84" i="3" s="1"/>
  <c r="R84" i="3"/>
  <c r="S84" i="3"/>
  <c r="C85" i="3" s="1"/>
  <c r="D85" i="3" s="1"/>
  <c r="T84" i="3"/>
  <c r="B85" i="3" s="1"/>
  <c r="R85" i="3"/>
  <c r="S85" i="3"/>
  <c r="T85" i="3"/>
  <c r="B86" i="3" s="1"/>
  <c r="R86" i="3"/>
  <c r="S86" i="3"/>
  <c r="C87" i="3" s="1"/>
  <c r="D87" i="3" s="1"/>
  <c r="T86" i="3"/>
  <c r="B87" i="3" s="1"/>
  <c r="R87" i="3"/>
  <c r="S87" i="3"/>
  <c r="C88" i="3" s="1"/>
  <c r="D88" i="3" s="1"/>
  <c r="T87" i="3"/>
  <c r="B88" i="3" s="1"/>
  <c r="R88" i="3"/>
  <c r="S88" i="3"/>
  <c r="C89" i="3" s="1"/>
  <c r="D89" i="3" s="1"/>
  <c r="T88" i="3"/>
  <c r="B89" i="3" s="1"/>
  <c r="R89" i="3"/>
  <c r="S89" i="3"/>
  <c r="C90" i="3" s="1"/>
  <c r="D90" i="3" s="1"/>
  <c r="T89" i="3"/>
  <c r="B90" i="3" s="1"/>
  <c r="R90" i="3"/>
  <c r="S90" i="3"/>
  <c r="T90" i="3"/>
  <c r="R91" i="3"/>
  <c r="S91" i="3"/>
  <c r="C92" i="3" s="1"/>
  <c r="D92" i="3" s="1"/>
  <c r="T91" i="3"/>
  <c r="B92" i="3" s="1"/>
  <c r="R92" i="3"/>
  <c r="S92" i="3"/>
  <c r="C93" i="3" s="1"/>
  <c r="D93" i="3" s="1"/>
  <c r="T92" i="3"/>
  <c r="B93" i="3" s="1"/>
  <c r="R93" i="3"/>
  <c r="S93" i="3"/>
  <c r="C94" i="3" s="1"/>
  <c r="D94" i="3" s="1"/>
  <c r="T93" i="3"/>
  <c r="B94" i="3" s="1"/>
  <c r="R94" i="3"/>
  <c r="S94" i="3"/>
  <c r="C95" i="3" s="1"/>
  <c r="D95" i="3" s="1"/>
  <c r="T94" i="3"/>
  <c r="B95" i="3" s="1"/>
  <c r="R95" i="3"/>
  <c r="S95" i="3"/>
  <c r="C96" i="3" s="1"/>
  <c r="D96" i="3" s="1"/>
  <c r="T95" i="3"/>
  <c r="B96" i="3" s="1"/>
  <c r="R96" i="3"/>
  <c r="S96" i="3"/>
  <c r="C97" i="3" s="1"/>
  <c r="D97" i="3" s="1"/>
  <c r="T96" i="3"/>
  <c r="B97" i="3" s="1"/>
  <c r="R97" i="3"/>
  <c r="S97" i="3"/>
  <c r="C98" i="3" s="1"/>
  <c r="D98" i="3" s="1"/>
  <c r="T97" i="3"/>
  <c r="B98" i="3" s="1"/>
  <c r="R98" i="3"/>
  <c r="S98" i="3"/>
  <c r="C99" i="3" s="1"/>
  <c r="D99" i="3" s="1"/>
  <c r="T98" i="3"/>
  <c r="B99" i="3" s="1"/>
  <c r="R99" i="3"/>
  <c r="S99" i="3"/>
  <c r="C100" i="3" s="1"/>
  <c r="D100" i="3" s="1"/>
  <c r="T99" i="3"/>
  <c r="B100" i="3" s="1"/>
  <c r="R100" i="3"/>
  <c r="S100" i="3"/>
  <c r="C101" i="3" s="1"/>
  <c r="D101" i="3" s="1"/>
  <c r="T100" i="3"/>
  <c r="B101" i="3" s="1"/>
  <c r="R101" i="3"/>
  <c r="S101" i="3"/>
  <c r="C102" i="3" s="1"/>
  <c r="D102" i="3" s="1"/>
  <c r="T101" i="3"/>
  <c r="B102" i="3" s="1"/>
  <c r="R102" i="3"/>
  <c r="S102" i="3"/>
  <c r="C103" i="3" s="1"/>
  <c r="D103" i="3" s="1"/>
  <c r="T102" i="3"/>
  <c r="B103" i="3" s="1"/>
  <c r="R103" i="3"/>
  <c r="S103" i="3"/>
  <c r="T103" i="3"/>
  <c r="R104" i="3"/>
  <c r="S104" i="3"/>
  <c r="C105" i="3" s="1"/>
  <c r="D105" i="3" s="1"/>
  <c r="T104" i="3"/>
  <c r="B105" i="3" s="1"/>
  <c r="R105" i="3"/>
  <c r="S105" i="3"/>
  <c r="C106" i="3" s="1"/>
  <c r="D106" i="3" s="1"/>
  <c r="T105" i="3"/>
  <c r="B106" i="3" s="1"/>
  <c r="R106" i="3"/>
  <c r="S106" i="3"/>
  <c r="C107" i="3" s="1"/>
  <c r="D107" i="3" s="1"/>
  <c r="T106" i="3"/>
  <c r="B107" i="3" s="1"/>
  <c r="R107" i="3"/>
  <c r="S107" i="3"/>
  <c r="C108" i="3" s="1"/>
  <c r="D108" i="3" s="1"/>
  <c r="T107" i="3"/>
  <c r="B108" i="3" s="1"/>
  <c r="R108" i="3"/>
  <c r="S108" i="3"/>
  <c r="C109" i="3" s="1"/>
  <c r="D109" i="3" s="1"/>
  <c r="T108" i="3"/>
  <c r="B109" i="3" s="1"/>
  <c r="R109" i="3"/>
  <c r="S109" i="3"/>
  <c r="T109" i="3"/>
  <c r="B110" i="3" s="1"/>
  <c r="R110" i="3"/>
  <c r="S110" i="3"/>
  <c r="C111" i="3" s="1"/>
  <c r="D111" i="3" s="1"/>
  <c r="T110" i="3"/>
  <c r="B111" i="3" s="1"/>
  <c r="R111" i="3"/>
  <c r="S111" i="3"/>
  <c r="C112" i="3" s="1"/>
  <c r="D112" i="3" s="1"/>
  <c r="T111" i="3"/>
  <c r="B112" i="3" s="1"/>
  <c r="R112" i="3"/>
  <c r="S112" i="3"/>
  <c r="T112" i="3"/>
  <c r="B113" i="3" s="1"/>
  <c r="R113" i="3"/>
  <c r="S113" i="3"/>
  <c r="C114" i="3" s="1"/>
  <c r="D114" i="3" s="1"/>
  <c r="T113" i="3"/>
  <c r="B114" i="3" s="1"/>
  <c r="R114" i="3"/>
  <c r="S114" i="3"/>
  <c r="T114" i="3"/>
  <c r="R115" i="3"/>
  <c r="S115" i="3"/>
  <c r="C116" i="3" s="1"/>
  <c r="D116" i="3" s="1"/>
  <c r="T115" i="3"/>
  <c r="B116" i="3" s="1"/>
  <c r="R116" i="3"/>
  <c r="S116" i="3"/>
  <c r="C117" i="3" s="1"/>
  <c r="D117" i="3" s="1"/>
  <c r="T116" i="3"/>
  <c r="B117" i="3" s="1"/>
  <c r="R117" i="3"/>
  <c r="S117" i="3"/>
  <c r="T117" i="3"/>
  <c r="B118" i="3" s="1"/>
  <c r="R118" i="3"/>
  <c r="S118" i="3"/>
  <c r="C119" i="3" s="1"/>
  <c r="D119" i="3" s="1"/>
  <c r="T118" i="3"/>
  <c r="B119" i="3" s="1"/>
  <c r="R119" i="3"/>
  <c r="S119" i="3"/>
  <c r="C120" i="3" s="1"/>
  <c r="D120" i="3" s="1"/>
  <c r="T119" i="3"/>
  <c r="B120" i="3" s="1"/>
  <c r="R120" i="3"/>
  <c r="S120" i="3"/>
  <c r="C121" i="3" s="1"/>
  <c r="D121" i="3" s="1"/>
  <c r="T120" i="3"/>
  <c r="B121" i="3" s="1"/>
  <c r="R121" i="3"/>
  <c r="S121" i="3"/>
  <c r="C122" i="3" s="1"/>
  <c r="D122" i="3" s="1"/>
  <c r="T121" i="3"/>
  <c r="B122" i="3" s="1"/>
  <c r="R122" i="3"/>
  <c r="S122" i="3"/>
  <c r="C123" i="3" s="1"/>
  <c r="D123" i="3" s="1"/>
  <c r="T122" i="3"/>
  <c r="R123" i="3"/>
  <c r="S123" i="3"/>
  <c r="C124" i="3" s="1"/>
  <c r="D124" i="3" s="1"/>
  <c r="T123" i="3"/>
  <c r="B124" i="3" s="1"/>
  <c r="R124" i="3"/>
  <c r="S124" i="3"/>
  <c r="C125" i="3" s="1"/>
  <c r="D125" i="3" s="1"/>
  <c r="T124" i="3"/>
  <c r="B125" i="3" s="1"/>
  <c r="R125" i="3"/>
  <c r="S125" i="3"/>
  <c r="T125" i="3"/>
  <c r="B126" i="3" s="1"/>
  <c r="R126" i="3"/>
  <c r="S126" i="3"/>
  <c r="C127" i="3" s="1"/>
  <c r="D127" i="3" s="1"/>
  <c r="T126" i="3"/>
  <c r="B127" i="3" s="1"/>
  <c r="R127" i="3"/>
  <c r="S127" i="3"/>
  <c r="C128" i="3" s="1"/>
  <c r="D128" i="3" s="1"/>
  <c r="T127" i="3"/>
  <c r="B128" i="3" s="1"/>
  <c r="R128" i="3"/>
  <c r="S128" i="3"/>
  <c r="C129" i="3" s="1"/>
  <c r="D129" i="3" s="1"/>
  <c r="T128" i="3"/>
  <c r="B129" i="3" s="1"/>
  <c r="R129" i="3"/>
  <c r="S129" i="3"/>
  <c r="C130" i="3" s="1"/>
  <c r="D130" i="3" s="1"/>
  <c r="T129" i="3"/>
  <c r="B130" i="3" s="1"/>
  <c r="R130" i="3"/>
  <c r="S130" i="3"/>
  <c r="C131" i="3" s="1"/>
  <c r="D131" i="3" s="1"/>
  <c r="T130" i="3"/>
  <c r="R131" i="3"/>
  <c r="S131" i="3"/>
  <c r="C132" i="3" s="1"/>
  <c r="D132" i="3" s="1"/>
  <c r="T131" i="3"/>
  <c r="B132" i="3" s="1"/>
  <c r="R132" i="3"/>
  <c r="S132" i="3"/>
  <c r="C133" i="3" s="1"/>
  <c r="D133" i="3" s="1"/>
  <c r="T132" i="3"/>
  <c r="B133" i="3" s="1"/>
  <c r="R133" i="3"/>
  <c r="S133" i="3"/>
  <c r="C134" i="3" s="1"/>
  <c r="D134" i="3" s="1"/>
  <c r="T133" i="3"/>
  <c r="B134" i="3" s="1"/>
  <c r="R134" i="3"/>
  <c r="S134" i="3"/>
  <c r="C135" i="3" s="1"/>
  <c r="D135" i="3" s="1"/>
  <c r="T134" i="3"/>
  <c r="B135" i="3" s="1"/>
  <c r="R135" i="3"/>
  <c r="S135" i="3"/>
  <c r="C136" i="3" s="1"/>
  <c r="D136" i="3" s="1"/>
  <c r="T135" i="3"/>
  <c r="R136" i="3"/>
  <c r="S136" i="3"/>
  <c r="C137" i="3" s="1"/>
  <c r="D137" i="3" s="1"/>
  <c r="T136" i="3"/>
  <c r="B137" i="3" s="1"/>
  <c r="R137" i="3"/>
  <c r="S137" i="3"/>
  <c r="C138" i="3" s="1"/>
  <c r="D138" i="3" s="1"/>
  <c r="T137" i="3"/>
  <c r="B138" i="3" s="1"/>
  <c r="R138" i="3"/>
  <c r="S138" i="3"/>
  <c r="C139" i="3" s="1"/>
  <c r="D139" i="3" s="1"/>
  <c r="T138" i="3"/>
  <c r="R139" i="3"/>
  <c r="S139" i="3"/>
  <c r="C140" i="3" s="1"/>
  <c r="D140" i="3" s="1"/>
  <c r="T139" i="3"/>
  <c r="B140" i="3" s="1"/>
  <c r="R140" i="3"/>
  <c r="S140" i="3"/>
  <c r="C141" i="3" s="1"/>
  <c r="D141" i="3" s="1"/>
  <c r="T140" i="3"/>
  <c r="B141" i="3" s="1"/>
  <c r="R141" i="3"/>
  <c r="S141" i="3"/>
  <c r="C142" i="3" s="1"/>
  <c r="D142" i="3" s="1"/>
  <c r="T141" i="3"/>
  <c r="B142" i="3" s="1"/>
  <c r="R142" i="3"/>
  <c r="S142" i="3"/>
  <c r="C143" i="3" s="1"/>
  <c r="D143" i="3" s="1"/>
  <c r="T142" i="3"/>
  <c r="B143" i="3" s="1"/>
  <c r="R143" i="3"/>
  <c r="S143" i="3"/>
  <c r="C144" i="3" s="1"/>
  <c r="D144" i="3" s="1"/>
  <c r="T143" i="3"/>
  <c r="B144" i="3" s="1"/>
  <c r="R144" i="3"/>
  <c r="S144" i="3"/>
  <c r="C145" i="3" s="1"/>
  <c r="D145" i="3" s="1"/>
  <c r="T144" i="3"/>
  <c r="B145" i="3" s="1"/>
  <c r="R145" i="3"/>
  <c r="S145" i="3"/>
  <c r="C146" i="3" s="1"/>
  <c r="D146" i="3" s="1"/>
  <c r="T145" i="3"/>
  <c r="B146" i="3" s="1"/>
  <c r="R146" i="3"/>
  <c r="S146" i="3"/>
  <c r="T146" i="3"/>
  <c r="B147" i="3" s="1"/>
  <c r="R147" i="3"/>
  <c r="S147" i="3"/>
  <c r="C148" i="3" s="1"/>
  <c r="D148" i="3" s="1"/>
  <c r="T147" i="3"/>
  <c r="B148" i="3" s="1"/>
  <c r="R148" i="3"/>
  <c r="S148" i="3"/>
  <c r="C149" i="3" s="1"/>
  <c r="D149" i="3" s="1"/>
  <c r="T148" i="3"/>
  <c r="B149" i="3" s="1"/>
  <c r="R149" i="3"/>
  <c r="S149" i="3"/>
  <c r="C150" i="3" s="1"/>
  <c r="D150" i="3" s="1"/>
  <c r="T149" i="3"/>
  <c r="B150" i="3" s="1"/>
  <c r="R150" i="3"/>
  <c r="S150" i="3"/>
  <c r="C151" i="3" s="1"/>
  <c r="D151" i="3" s="1"/>
  <c r="T150" i="3"/>
  <c r="B151" i="3" s="1"/>
  <c r="R151" i="3"/>
  <c r="S151" i="3"/>
  <c r="C152" i="3" s="1"/>
  <c r="D152" i="3" s="1"/>
  <c r="T151" i="3"/>
  <c r="R152" i="3"/>
  <c r="S152" i="3"/>
  <c r="C153" i="3" s="1"/>
  <c r="D153" i="3" s="1"/>
  <c r="T152" i="3"/>
  <c r="B153" i="3" s="1"/>
  <c r="R153" i="3"/>
  <c r="S153" i="3"/>
  <c r="C154" i="3" s="1"/>
  <c r="D154" i="3" s="1"/>
  <c r="T153" i="3"/>
  <c r="B154" i="3" s="1"/>
  <c r="R154" i="3"/>
  <c r="S154" i="3"/>
  <c r="T154" i="3"/>
  <c r="B155" i="3" s="1"/>
  <c r="R155" i="3"/>
  <c r="S155" i="3"/>
  <c r="C156" i="3" s="1"/>
  <c r="D156" i="3" s="1"/>
  <c r="T155" i="3"/>
  <c r="B156" i="3" s="1"/>
  <c r="R156" i="3"/>
  <c r="S156" i="3"/>
  <c r="C157" i="3" s="1"/>
  <c r="D157" i="3" s="1"/>
  <c r="T156" i="3"/>
  <c r="B157" i="3" s="1"/>
  <c r="R157" i="3"/>
  <c r="S157" i="3"/>
  <c r="T157" i="3"/>
  <c r="B158" i="3" s="1"/>
  <c r="R158" i="3"/>
  <c r="S158" i="3"/>
  <c r="C159" i="3" s="1"/>
  <c r="D159" i="3" s="1"/>
  <c r="T158" i="3"/>
  <c r="B159" i="3" s="1"/>
  <c r="R159" i="3"/>
  <c r="S159" i="3"/>
  <c r="C160" i="3" s="1"/>
  <c r="D160" i="3" s="1"/>
  <c r="T159" i="3"/>
  <c r="B160" i="3" s="1"/>
  <c r="R160" i="3"/>
  <c r="S160" i="3"/>
  <c r="C161" i="3" s="1"/>
  <c r="D161" i="3" s="1"/>
  <c r="T160" i="3"/>
  <c r="B161" i="3" s="1"/>
  <c r="R161" i="3"/>
  <c r="S161" i="3"/>
  <c r="C162" i="3" s="1"/>
  <c r="D162" i="3" s="1"/>
  <c r="T161" i="3"/>
  <c r="B162" i="3" s="1"/>
  <c r="R162" i="3"/>
  <c r="S162" i="3"/>
  <c r="C163" i="3" s="1"/>
  <c r="D163" i="3" s="1"/>
  <c r="T162" i="3"/>
  <c r="R163" i="3"/>
  <c r="S163" i="3"/>
  <c r="C164" i="3" s="1"/>
  <c r="D164" i="3" s="1"/>
  <c r="T163" i="3"/>
  <c r="B164" i="3" s="1"/>
  <c r="R164" i="3"/>
  <c r="S164" i="3"/>
  <c r="C165" i="3" s="1"/>
  <c r="D165" i="3" s="1"/>
  <c r="T164" i="3"/>
  <c r="B165" i="3" s="1"/>
  <c r="R165" i="3"/>
  <c r="S165" i="3"/>
  <c r="T165" i="3"/>
  <c r="R166" i="3"/>
  <c r="S166" i="3"/>
  <c r="C167" i="3" s="1"/>
  <c r="D167" i="3" s="1"/>
  <c r="T166" i="3"/>
  <c r="B167" i="3" s="1"/>
  <c r="R167" i="3"/>
  <c r="S167" i="3"/>
  <c r="C168" i="3" s="1"/>
  <c r="D168" i="3" s="1"/>
  <c r="T167" i="3"/>
  <c r="B168" i="3" s="1"/>
  <c r="R168" i="3"/>
  <c r="S168" i="3"/>
  <c r="C169" i="3" s="1"/>
  <c r="D169" i="3" s="1"/>
  <c r="T168" i="3"/>
  <c r="B169" i="3" s="1"/>
  <c r="R169" i="3"/>
  <c r="S169" i="3"/>
  <c r="C170" i="3" s="1"/>
  <c r="D170" i="3" s="1"/>
  <c r="T169" i="3"/>
  <c r="B170" i="3" s="1"/>
  <c r="R170" i="3"/>
  <c r="S170" i="3"/>
  <c r="C171" i="3" s="1"/>
  <c r="D171" i="3" s="1"/>
  <c r="T170" i="3"/>
  <c r="Q2" i="3" a="1"/>
  <c r="Q2" i="3" s="1"/>
  <c r="P2" i="3" a="1"/>
  <c r="P2" i="3" s="1"/>
  <c r="C6" i="3"/>
  <c r="D6" i="3" s="1"/>
  <c r="C14" i="3"/>
  <c r="D14" i="3" s="1"/>
  <c r="C27" i="3"/>
  <c r="D27" i="3" s="1"/>
  <c r="C38" i="3"/>
  <c r="D38" i="3" s="1"/>
  <c r="C41" i="3"/>
  <c r="D41" i="3" s="1"/>
  <c r="C46" i="3"/>
  <c r="D46" i="3" s="1"/>
  <c r="C49" i="3"/>
  <c r="D49" i="3" s="1"/>
  <c r="C54" i="3"/>
  <c r="D54" i="3" s="1"/>
  <c r="C59" i="3"/>
  <c r="D59" i="3" s="1"/>
  <c r="C78" i="3"/>
  <c r="D78" i="3" s="1"/>
  <c r="C80" i="3"/>
  <c r="D80" i="3" s="1"/>
  <c r="C83" i="3"/>
  <c r="D83" i="3" s="1"/>
  <c r="C86" i="3"/>
  <c r="D86" i="3" s="1"/>
  <c r="C91" i="3"/>
  <c r="D91" i="3" s="1"/>
  <c r="C104" i="3"/>
  <c r="D104" i="3" s="1"/>
  <c r="C110" i="3"/>
  <c r="D110" i="3" s="1"/>
  <c r="C113" i="3"/>
  <c r="D113" i="3" s="1"/>
  <c r="C115" i="3"/>
  <c r="D115" i="3" s="1"/>
  <c r="C118" i="3"/>
  <c r="D118" i="3" s="1"/>
  <c r="C126" i="3"/>
  <c r="D126" i="3" s="1"/>
  <c r="C147" i="3"/>
  <c r="D147" i="3" s="1"/>
  <c r="C155" i="3"/>
  <c r="D155" i="3" s="1"/>
  <c r="C158" i="3"/>
  <c r="D158" i="3" s="1"/>
  <c r="C166" i="3"/>
  <c r="D166" i="3" s="1"/>
  <c r="B5" i="3"/>
  <c r="B8" i="3"/>
  <c r="B16" i="3"/>
  <c r="B24" i="3"/>
  <c r="B27" i="3"/>
  <c r="B29" i="3"/>
  <c r="B35" i="3"/>
  <c r="B43" i="3"/>
  <c r="B72" i="3"/>
  <c r="B75" i="3"/>
  <c r="B80" i="3"/>
  <c r="B83" i="3"/>
  <c r="B91" i="3"/>
  <c r="B104" i="3"/>
  <c r="B115" i="3"/>
  <c r="B123" i="3"/>
  <c r="B131" i="3"/>
  <c r="B136" i="3"/>
  <c r="B139" i="3"/>
  <c r="B152" i="3"/>
  <c r="B163" i="3"/>
  <c r="B166" i="3"/>
  <c r="B171" i="3"/>
  <c r="I2" i="3" a="1"/>
  <c r="I2" i="3" s="1"/>
  <c r="D2" i="1"/>
  <c r="B2" i="1"/>
  <c r="AJ2" i="1" a="1"/>
  <c r="AJ2" i="1" s="1"/>
  <c r="AC2" i="1" a="1"/>
  <c r="AC2" i="1" s="1"/>
  <c r="Z2" i="1" a="1"/>
  <c r="Z2" i="1" s="1"/>
  <c r="J2" i="1" a="1"/>
  <c r="J2" i="1" s="1"/>
  <c r="K165" i="6" l="1"/>
  <c r="K157" i="6"/>
  <c r="K149" i="6"/>
  <c r="K141" i="6"/>
  <c r="K133" i="6"/>
  <c r="K125" i="6"/>
  <c r="K117" i="6"/>
  <c r="K109" i="6"/>
  <c r="K101" i="6"/>
  <c r="K93" i="6"/>
  <c r="K85" i="6"/>
  <c r="K77" i="6"/>
  <c r="K69" i="6"/>
  <c r="K61" i="6"/>
  <c r="K53" i="6"/>
  <c r="K45" i="6"/>
  <c r="K37" i="6"/>
  <c r="K29" i="6"/>
  <c r="K21" i="6"/>
  <c r="K13" i="6"/>
  <c r="K5" i="6"/>
  <c r="K167" i="6"/>
  <c r="K159" i="6"/>
  <c r="K151" i="6"/>
  <c r="K143" i="6"/>
  <c r="K135" i="6"/>
  <c r="K127" i="6"/>
  <c r="K119" i="6"/>
  <c r="K111" i="6"/>
  <c r="K103" i="6"/>
  <c r="K95" i="6"/>
  <c r="K87" i="6"/>
  <c r="K79" i="6"/>
  <c r="K71" i="6"/>
  <c r="K63" i="6"/>
  <c r="K55" i="6"/>
  <c r="K47" i="6"/>
  <c r="K39" i="6"/>
  <c r="K31" i="6"/>
  <c r="K23" i="6"/>
  <c r="K15" i="6"/>
  <c r="K7" i="6"/>
  <c r="K163" i="6"/>
  <c r="K155" i="6"/>
  <c r="K147" i="6"/>
  <c r="K139" i="6"/>
  <c r="K131" i="6"/>
  <c r="K123" i="6"/>
  <c r="K115" i="6"/>
  <c r="K107" i="6"/>
  <c r="K99" i="6"/>
  <c r="K91" i="6"/>
  <c r="K83" i="6"/>
  <c r="K75" i="6"/>
  <c r="K67" i="6"/>
  <c r="K59" i="6"/>
  <c r="K51" i="6"/>
  <c r="K43" i="6"/>
  <c r="K35" i="6"/>
  <c r="K27" i="6"/>
  <c r="K19" i="6"/>
  <c r="K11" i="6"/>
  <c r="K3" i="6"/>
  <c r="K169" i="6"/>
  <c r="K161" i="6"/>
  <c r="K153" i="6"/>
  <c r="K145" i="6"/>
  <c r="K137" i="6"/>
  <c r="K129" i="6"/>
  <c r="K121" i="6"/>
  <c r="K113" i="6"/>
  <c r="K105" i="6"/>
  <c r="K97" i="6"/>
  <c r="K89" i="6"/>
  <c r="K81" i="6"/>
  <c r="K73" i="6"/>
  <c r="K65" i="6"/>
  <c r="K57" i="6"/>
  <c r="K49" i="6"/>
  <c r="K41" i="6"/>
  <c r="K33" i="6"/>
  <c r="K25" i="6"/>
  <c r="K17" i="6"/>
  <c r="K9" i="6"/>
  <c r="K168" i="6"/>
  <c r="L168" i="6"/>
  <c r="K166" i="6"/>
  <c r="L166" i="6"/>
  <c r="K164" i="6"/>
  <c r="L164" i="6"/>
  <c r="L162" i="6"/>
  <c r="K162" i="6"/>
  <c r="K160" i="6"/>
  <c r="L160" i="6"/>
  <c r="K158" i="6"/>
  <c r="L158" i="6"/>
  <c r="K156" i="6"/>
  <c r="L156" i="6"/>
  <c r="K154" i="6"/>
  <c r="L154" i="6"/>
  <c r="K152" i="6"/>
  <c r="L152" i="6"/>
  <c r="K150" i="6"/>
  <c r="L150" i="6"/>
  <c r="K148" i="6"/>
  <c r="L148" i="6"/>
  <c r="L146" i="6"/>
  <c r="K146" i="6"/>
  <c r="K144" i="6"/>
  <c r="L144" i="6"/>
  <c r="K142" i="6"/>
  <c r="L142" i="6"/>
  <c r="K140" i="6"/>
  <c r="L140" i="6"/>
  <c r="K138" i="6"/>
  <c r="L138" i="6"/>
  <c r="K136" i="6"/>
  <c r="L136" i="6"/>
  <c r="K134" i="6"/>
  <c r="L134" i="6"/>
  <c r="K132" i="6"/>
  <c r="L132" i="6"/>
  <c r="L130" i="6"/>
  <c r="K130" i="6"/>
  <c r="K128" i="6"/>
  <c r="L128" i="6"/>
  <c r="K126" i="6"/>
  <c r="L126" i="6"/>
  <c r="K124" i="6"/>
  <c r="L124" i="6"/>
  <c r="L122" i="6"/>
  <c r="K122" i="6"/>
  <c r="K120" i="6"/>
  <c r="L120" i="6"/>
  <c r="K118" i="6"/>
  <c r="L118" i="6"/>
  <c r="K116" i="6"/>
  <c r="L116" i="6"/>
  <c r="K114" i="6"/>
  <c r="L114" i="6"/>
  <c r="K112" i="6"/>
  <c r="L112" i="6"/>
  <c r="K110" i="6"/>
  <c r="L110" i="6"/>
  <c r="K108" i="6"/>
  <c r="L108" i="6"/>
  <c r="K106" i="6"/>
  <c r="L106" i="6"/>
  <c r="K104" i="6"/>
  <c r="L104" i="6"/>
  <c r="K102" i="6"/>
  <c r="L102" i="6"/>
  <c r="K100" i="6"/>
  <c r="L100" i="6"/>
  <c r="K98" i="6"/>
  <c r="L98" i="6"/>
  <c r="K96" i="6"/>
  <c r="L96" i="6"/>
  <c r="K94" i="6"/>
  <c r="L94" i="6"/>
  <c r="K92" i="6"/>
  <c r="L92" i="6"/>
  <c r="K90" i="6"/>
  <c r="L90" i="6"/>
  <c r="K88" i="6"/>
  <c r="L88" i="6"/>
  <c r="K86" i="6"/>
  <c r="L86" i="6"/>
  <c r="K84" i="6"/>
  <c r="L84" i="6"/>
  <c r="K82" i="6"/>
  <c r="L82" i="6"/>
  <c r="K80" i="6"/>
  <c r="L80" i="6"/>
  <c r="K78" i="6"/>
  <c r="L78" i="6"/>
  <c r="K76" i="6"/>
  <c r="L76" i="6"/>
  <c r="K74" i="6"/>
  <c r="L74" i="6"/>
  <c r="K72" i="6"/>
  <c r="L72" i="6"/>
  <c r="K70" i="6"/>
  <c r="L70" i="6"/>
  <c r="K68" i="6"/>
  <c r="L68" i="6"/>
  <c r="K66" i="6"/>
  <c r="L66" i="6"/>
  <c r="K64" i="6"/>
  <c r="L64" i="6"/>
  <c r="K62" i="6"/>
  <c r="L62" i="6"/>
  <c r="K60" i="6"/>
  <c r="L60" i="6"/>
  <c r="K58" i="6"/>
  <c r="L58" i="6"/>
  <c r="K56" i="6"/>
  <c r="L56" i="6"/>
  <c r="K54" i="6"/>
  <c r="L54" i="6"/>
  <c r="K52" i="6"/>
  <c r="L52" i="6"/>
  <c r="K50" i="6"/>
  <c r="L50" i="6"/>
  <c r="K48" i="6"/>
  <c r="L48" i="6"/>
  <c r="K46" i="6"/>
  <c r="L46" i="6"/>
  <c r="K44" i="6"/>
  <c r="L44" i="6"/>
  <c r="K42" i="6"/>
  <c r="L42" i="6"/>
  <c r="K40" i="6"/>
  <c r="L40" i="6"/>
  <c r="K38" i="6"/>
  <c r="L38" i="6"/>
  <c r="K36" i="6"/>
  <c r="L36" i="6"/>
  <c r="K34" i="6"/>
  <c r="L34" i="6"/>
  <c r="K32" i="6"/>
  <c r="L32" i="6"/>
  <c r="K30" i="6"/>
  <c r="L30" i="6"/>
  <c r="K28" i="6"/>
  <c r="L28" i="6"/>
  <c r="K26" i="6"/>
  <c r="L26" i="6"/>
  <c r="K24" i="6"/>
  <c r="L24" i="6"/>
  <c r="K22" i="6"/>
  <c r="L22" i="6"/>
  <c r="K20" i="6"/>
  <c r="L20" i="6"/>
  <c r="L18" i="6"/>
  <c r="K18" i="6"/>
  <c r="K16" i="6"/>
  <c r="L16" i="6"/>
  <c r="K14" i="6"/>
  <c r="L14" i="6"/>
  <c r="K12" i="6"/>
  <c r="L12" i="6"/>
  <c r="K10" i="6"/>
  <c r="L10" i="6"/>
  <c r="K8" i="6"/>
  <c r="L8" i="6"/>
  <c r="K6" i="6"/>
  <c r="L6" i="6"/>
  <c r="K4" i="6"/>
  <c r="L4" i="6"/>
  <c r="K2" i="6"/>
  <c r="L2" i="6"/>
  <c r="L169" i="6"/>
  <c r="L161" i="6"/>
  <c r="L153" i="6"/>
  <c r="L145" i="6"/>
  <c r="L137" i="6"/>
  <c r="L129" i="6"/>
  <c r="L121" i="6"/>
  <c r="L113" i="6"/>
  <c r="L105" i="6"/>
  <c r="L97" i="6"/>
  <c r="L89" i="6"/>
  <c r="L81" i="6"/>
  <c r="L73" i="6"/>
  <c r="L65" i="6"/>
  <c r="L57" i="6"/>
  <c r="L49" i="6"/>
  <c r="L41" i="6"/>
  <c r="L33" i="6"/>
  <c r="L25" i="6"/>
  <c r="L17" i="6"/>
  <c r="L9" i="6"/>
  <c r="L167" i="6"/>
  <c r="L159" i="6"/>
  <c r="L151" i="6"/>
  <c r="L143" i="6"/>
  <c r="L135" i="6"/>
  <c r="L127" i="6"/>
  <c r="L119" i="6"/>
  <c r="L111" i="6"/>
  <c r="L103" i="6"/>
  <c r="L95" i="6"/>
  <c r="L87" i="6"/>
  <c r="L79" i="6"/>
  <c r="L71" i="6"/>
  <c r="L63" i="6"/>
  <c r="L55" i="6"/>
  <c r="L47" i="6"/>
  <c r="L39" i="6"/>
  <c r="L31" i="6"/>
  <c r="L23" i="6"/>
  <c r="L15" i="6"/>
  <c r="L7" i="6"/>
  <c r="L165" i="6"/>
  <c r="L157" i="6"/>
  <c r="L149" i="6"/>
  <c r="L141" i="6"/>
  <c r="L133" i="6"/>
  <c r="L125" i="6"/>
  <c r="L117" i="6"/>
  <c r="L109" i="6"/>
  <c r="L101" i="6"/>
  <c r="L93" i="6"/>
  <c r="L85" i="6"/>
  <c r="L77" i="6"/>
  <c r="L69" i="6"/>
  <c r="L61" i="6"/>
  <c r="L53" i="6"/>
  <c r="L45" i="6"/>
  <c r="L37" i="6"/>
  <c r="L29" i="6"/>
  <c r="L21" i="6"/>
  <c r="L13" i="6"/>
  <c r="L5" i="6"/>
  <c r="L163" i="6"/>
  <c r="L155" i="6"/>
  <c r="L147" i="6"/>
  <c r="L139" i="6"/>
  <c r="L131" i="6"/>
  <c r="L123" i="6"/>
  <c r="L115" i="6"/>
  <c r="L107" i="6"/>
  <c r="L99" i="6"/>
  <c r="L91" i="6"/>
  <c r="L83" i="6"/>
  <c r="L75" i="6"/>
  <c r="L67" i="6"/>
  <c r="L59" i="6"/>
  <c r="L51" i="6"/>
  <c r="L43" i="6"/>
  <c r="L35" i="6"/>
  <c r="L27" i="6"/>
  <c r="L19" i="6"/>
  <c r="L11" i="6"/>
  <c r="L3" i="6"/>
  <c r="D152" i="1"/>
  <c r="E152" i="1" s="1"/>
  <c r="D140" i="1"/>
  <c r="E140" i="1" s="1"/>
  <c r="D113" i="1"/>
  <c r="E113" i="1" s="1"/>
  <c r="D102" i="1"/>
  <c r="E102" i="1" s="1"/>
  <c r="D88" i="1"/>
  <c r="E88" i="1" s="1"/>
  <c r="D63" i="1"/>
  <c r="E63" i="1" s="1"/>
  <c r="D49" i="1"/>
  <c r="E49" i="1" s="1"/>
  <c r="D38" i="1"/>
  <c r="E38" i="1" s="1"/>
  <c r="D24" i="1"/>
  <c r="E24" i="1" s="1"/>
  <c r="D164" i="1"/>
  <c r="E164" i="1" s="1"/>
  <c r="D137" i="1"/>
  <c r="E137" i="1" s="1"/>
  <c r="D100" i="1"/>
  <c r="E100" i="1" s="1"/>
  <c r="D73" i="1"/>
  <c r="E73" i="1" s="1"/>
  <c r="D48" i="1"/>
  <c r="E48" i="1" s="1"/>
  <c r="D23" i="1"/>
  <c r="E23" i="1" s="1"/>
  <c r="D161" i="1"/>
  <c r="E161" i="1" s="1"/>
  <c r="D136" i="1"/>
  <c r="E136" i="1" s="1"/>
  <c r="D111" i="1"/>
  <c r="E111" i="1" s="1"/>
  <c r="D86" i="1"/>
  <c r="E86" i="1" s="1"/>
  <c r="D60" i="1"/>
  <c r="E60" i="1" s="1"/>
  <c r="D33" i="1"/>
  <c r="E33" i="1" s="1"/>
  <c r="D6" i="1"/>
  <c r="E6" i="1" s="1"/>
  <c r="D160" i="1"/>
  <c r="E160" i="1" s="1"/>
  <c r="D148" i="1"/>
  <c r="E148" i="1" s="1"/>
  <c r="D135" i="1"/>
  <c r="E135" i="1" s="1"/>
  <c r="D121" i="1"/>
  <c r="E121" i="1" s="1"/>
  <c r="D110" i="1"/>
  <c r="E110" i="1" s="1"/>
  <c r="D96" i="1"/>
  <c r="E96" i="1" s="1"/>
  <c r="D84" i="1"/>
  <c r="E84" i="1" s="1"/>
  <c r="D71" i="1"/>
  <c r="E71" i="1" s="1"/>
  <c r="D57" i="1"/>
  <c r="E57" i="1" s="1"/>
  <c r="D46" i="1"/>
  <c r="E46" i="1" s="1"/>
  <c r="D32" i="1"/>
  <c r="E32" i="1" s="1"/>
  <c r="D20" i="1"/>
  <c r="E20" i="1" s="1"/>
  <c r="D119" i="1"/>
  <c r="E119" i="1" s="1"/>
  <c r="D151" i="1"/>
  <c r="E151" i="1" s="1"/>
  <c r="D126" i="1"/>
  <c r="E126" i="1" s="1"/>
  <c r="D112" i="1"/>
  <c r="E112" i="1" s="1"/>
  <c r="D87" i="1"/>
  <c r="E87" i="1" s="1"/>
  <c r="D62" i="1"/>
  <c r="E62" i="1" s="1"/>
  <c r="D36" i="1"/>
  <c r="E36" i="1" s="1"/>
  <c r="D7" i="1"/>
  <c r="E7" i="1" s="1"/>
  <c r="D150" i="1"/>
  <c r="E150" i="1" s="1"/>
  <c r="D124" i="1"/>
  <c r="E124" i="1" s="1"/>
  <c r="D97" i="1"/>
  <c r="E97" i="1" s="1"/>
  <c r="D72" i="1"/>
  <c r="E72" i="1" s="1"/>
  <c r="D47" i="1"/>
  <c r="E47" i="1" s="1"/>
  <c r="D22" i="1"/>
  <c r="E22" i="1" s="1"/>
  <c r="D4" i="1"/>
  <c r="E4" i="1" s="1"/>
  <c r="D159" i="1"/>
  <c r="E159" i="1" s="1"/>
  <c r="D145" i="1"/>
  <c r="E145" i="1" s="1"/>
  <c r="D134" i="1"/>
  <c r="E134" i="1" s="1"/>
  <c r="D120" i="1"/>
  <c r="E120" i="1" s="1"/>
  <c r="D108" i="1"/>
  <c r="E108" i="1" s="1"/>
  <c r="D95" i="1"/>
  <c r="E95" i="1" s="1"/>
  <c r="D81" i="1"/>
  <c r="E81" i="1" s="1"/>
  <c r="D70" i="1"/>
  <c r="E70" i="1" s="1"/>
  <c r="D56" i="1"/>
  <c r="E56" i="1" s="1"/>
  <c r="D44" i="1"/>
  <c r="E44" i="1" s="1"/>
  <c r="D31" i="1"/>
  <c r="E31" i="1" s="1"/>
  <c r="D16" i="1"/>
  <c r="E16" i="1" s="1"/>
  <c r="D55" i="1"/>
  <c r="E55" i="1" s="1"/>
  <c r="D167" i="1"/>
  <c r="E167" i="1" s="1"/>
  <c r="D153" i="1"/>
  <c r="E153" i="1" s="1"/>
  <c r="D142" i="1"/>
  <c r="E142" i="1" s="1"/>
  <c r="D128" i="1"/>
  <c r="E128" i="1" s="1"/>
  <c r="D116" i="1"/>
  <c r="E116" i="1" s="1"/>
  <c r="D103" i="1"/>
  <c r="E103" i="1" s="1"/>
  <c r="D89" i="1"/>
  <c r="E89" i="1" s="1"/>
  <c r="D78" i="1"/>
  <c r="E78" i="1" s="1"/>
  <c r="D64" i="1"/>
  <c r="E64" i="1" s="1"/>
  <c r="D52" i="1"/>
  <c r="E52" i="1" s="1"/>
  <c r="D39" i="1"/>
  <c r="E39" i="1" s="1"/>
  <c r="D25" i="1"/>
  <c r="E25" i="1" s="1"/>
  <c r="D12" i="1"/>
  <c r="E12" i="1" s="1"/>
  <c r="D156" i="1"/>
  <c r="E156" i="1" s="1"/>
  <c r="D143" i="1"/>
  <c r="E143" i="1" s="1"/>
  <c r="D118" i="1"/>
  <c r="E118" i="1" s="1"/>
  <c r="D104" i="1"/>
  <c r="E104" i="1" s="1"/>
  <c r="D92" i="1"/>
  <c r="E92" i="1" s="1"/>
  <c r="D79" i="1"/>
  <c r="E79" i="1" s="1"/>
  <c r="D65" i="1"/>
  <c r="E65" i="1" s="1"/>
  <c r="D54" i="1"/>
  <c r="E54" i="1" s="1"/>
  <c r="D28" i="1"/>
  <c r="E28" i="1" s="1"/>
  <c r="D14" i="1"/>
  <c r="E14" i="1" s="1"/>
  <c r="D166" i="1"/>
  <c r="E166" i="1" s="1"/>
  <c r="D127" i="1"/>
  <c r="E127" i="1" s="1"/>
  <c r="D76" i="1"/>
  <c r="E76" i="1" s="1"/>
  <c r="D8" i="1"/>
  <c r="E8" i="1" s="1"/>
  <c r="D169" i="1"/>
  <c r="E169" i="1" s="1"/>
  <c r="D158" i="1"/>
  <c r="E158" i="1" s="1"/>
  <c r="D144" i="1"/>
  <c r="E144" i="1" s="1"/>
  <c r="D132" i="1"/>
  <c r="E132" i="1" s="1"/>
  <c r="D105" i="1"/>
  <c r="E105" i="1" s="1"/>
  <c r="D94" i="1"/>
  <c r="E94" i="1" s="1"/>
  <c r="D80" i="1"/>
  <c r="E80" i="1" s="1"/>
  <c r="D68" i="1"/>
  <c r="E68" i="1" s="1"/>
  <c r="D41" i="1"/>
  <c r="E41" i="1" s="1"/>
  <c r="D30" i="1"/>
  <c r="E30" i="1" s="1"/>
  <c r="D15" i="1"/>
  <c r="E15" i="1" s="1"/>
  <c r="D168" i="1"/>
  <c r="E168" i="1" s="1"/>
  <c r="D129" i="1"/>
  <c r="E129" i="1" s="1"/>
  <c r="D40" i="1"/>
  <c r="E40" i="1" s="1"/>
  <c r="D165" i="1"/>
  <c r="E165" i="1" s="1"/>
  <c r="D157" i="1"/>
  <c r="E157" i="1" s="1"/>
  <c r="D149" i="1"/>
  <c r="E149" i="1" s="1"/>
  <c r="D141" i="1"/>
  <c r="E141" i="1" s="1"/>
  <c r="D133" i="1"/>
  <c r="E133" i="1" s="1"/>
  <c r="D125" i="1"/>
  <c r="E125" i="1" s="1"/>
  <c r="D117" i="1"/>
  <c r="E117" i="1" s="1"/>
  <c r="D109" i="1"/>
  <c r="E109" i="1" s="1"/>
  <c r="D101" i="1"/>
  <c r="E101" i="1" s="1"/>
  <c r="D93" i="1"/>
  <c r="E93" i="1" s="1"/>
  <c r="D85" i="1"/>
  <c r="E85" i="1" s="1"/>
  <c r="D77" i="1"/>
  <c r="E77" i="1" s="1"/>
  <c r="D69" i="1"/>
  <c r="E69" i="1" s="1"/>
  <c r="D61" i="1"/>
  <c r="E61" i="1" s="1"/>
  <c r="D53" i="1"/>
  <c r="E53" i="1" s="1"/>
  <c r="D45" i="1"/>
  <c r="E45" i="1" s="1"/>
  <c r="D37" i="1"/>
  <c r="E37" i="1" s="1"/>
  <c r="D29" i="1"/>
  <c r="E29" i="1" s="1"/>
  <c r="D21" i="1"/>
  <c r="E21" i="1" s="1"/>
  <c r="D13" i="1"/>
  <c r="E13" i="1" s="1"/>
  <c r="D5" i="1"/>
  <c r="E5" i="1" s="1"/>
  <c r="D171" i="1"/>
  <c r="E171" i="1" s="1"/>
  <c r="D163" i="1"/>
  <c r="E163" i="1" s="1"/>
  <c r="D155" i="1"/>
  <c r="E155" i="1" s="1"/>
  <c r="D147" i="1"/>
  <c r="E147" i="1" s="1"/>
  <c r="D139" i="1"/>
  <c r="E139" i="1" s="1"/>
  <c r="D131" i="1"/>
  <c r="E131" i="1" s="1"/>
  <c r="D123" i="1"/>
  <c r="E123" i="1" s="1"/>
  <c r="D115" i="1"/>
  <c r="E115" i="1" s="1"/>
  <c r="D107" i="1"/>
  <c r="E107" i="1" s="1"/>
  <c r="D99" i="1"/>
  <c r="E99" i="1" s="1"/>
  <c r="D91" i="1"/>
  <c r="E91" i="1" s="1"/>
  <c r="D83" i="1"/>
  <c r="E83" i="1" s="1"/>
  <c r="D75" i="1"/>
  <c r="E75" i="1" s="1"/>
  <c r="D67" i="1"/>
  <c r="E67" i="1" s="1"/>
  <c r="D59" i="1"/>
  <c r="E59" i="1" s="1"/>
  <c r="D51" i="1"/>
  <c r="E51" i="1" s="1"/>
  <c r="D43" i="1"/>
  <c r="E43" i="1" s="1"/>
  <c r="D35" i="1"/>
  <c r="E35" i="1" s="1"/>
  <c r="D27" i="1"/>
  <c r="E27" i="1" s="1"/>
  <c r="D19" i="1"/>
  <c r="E19" i="1" s="1"/>
  <c r="D11" i="1"/>
  <c r="E11" i="1" s="1"/>
  <c r="D170" i="1"/>
  <c r="E170" i="1" s="1"/>
  <c r="D162" i="1"/>
  <c r="E162" i="1" s="1"/>
  <c r="D154" i="1"/>
  <c r="E154" i="1" s="1"/>
  <c r="D146" i="1"/>
  <c r="E146" i="1" s="1"/>
  <c r="D138" i="1"/>
  <c r="E138" i="1" s="1"/>
  <c r="D130" i="1"/>
  <c r="E130" i="1" s="1"/>
  <c r="D122" i="1"/>
  <c r="E122" i="1" s="1"/>
  <c r="D114" i="1"/>
  <c r="E114" i="1" s="1"/>
  <c r="D106" i="1"/>
  <c r="E106" i="1" s="1"/>
  <c r="D98" i="1"/>
  <c r="E98" i="1" s="1"/>
  <c r="D90" i="1"/>
  <c r="E90" i="1" s="1"/>
  <c r="D82" i="1"/>
  <c r="E82" i="1" s="1"/>
  <c r="D74" i="1"/>
  <c r="E74" i="1" s="1"/>
  <c r="D66" i="1"/>
  <c r="E66" i="1" s="1"/>
  <c r="D58" i="1"/>
  <c r="E58" i="1" s="1"/>
  <c r="D50" i="1"/>
  <c r="E50" i="1" s="1"/>
  <c r="D42" i="1"/>
  <c r="E42" i="1" s="1"/>
  <c r="D34" i="1"/>
  <c r="E34" i="1" s="1"/>
  <c r="D26" i="1"/>
  <c r="E26" i="1" s="1"/>
  <c r="D18" i="1"/>
  <c r="E18" i="1" s="1"/>
  <c r="D10" i="1"/>
  <c r="E10" i="1" s="1"/>
  <c r="D17" i="1"/>
  <c r="E17" i="1" s="1"/>
  <c r="D9" i="1"/>
  <c r="E9" i="1" s="1"/>
  <c r="B171" i="1"/>
  <c r="B163" i="1"/>
  <c r="B155" i="1"/>
  <c r="B147" i="1"/>
  <c r="B139" i="1"/>
  <c r="B131" i="1"/>
  <c r="B123" i="1"/>
  <c r="B115" i="1"/>
  <c r="B107" i="1"/>
  <c r="B99" i="1"/>
  <c r="B91" i="1"/>
  <c r="B83" i="1"/>
  <c r="B75" i="1"/>
  <c r="B67" i="1"/>
  <c r="B59" i="1"/>
  <c r="B51" i="1"/>
  <c r="B43" i="1"/>
  <c r="B35" i="1"/>
  <c r="B27" i="1"/>
  <c r="B19" i="1"/>
  <c r="B11" i="1"/>
  <c r="B170" i="1"/>
  <c r="B162" i="1"/>
  <c r="B154" i="1"/>
  <c r="B146" i="1"/>
  <c r="B138" i="1"/>
  <c r="B130" i="1"/>
  <c r="B122" i="1"/>
  <c r="B114" i="1"/>
  <c r="B106" i="1"/>
  <c r="B98" i="1"/>
  <c r="B90" i="1"/>
  <c r="B82" i="1"/>
  <c r="B74" i="1"/>
  <c r="B66" i="1"/>
  <c r="B58" i="1"/>
  <c r="B50" i="1"/>
  <c r="B42" i="1"/>
  <c r="B34" i="1"/>
  <c r="B26" i="1"/>
  <c r="B18" i="1"/>
  <c r="B10" i="1"/>
  <c r="B169" i="1"/>
  <c r="B161" i="1"/>
  <c r="B153" i="1"/>
  <c r="B145" i="1"/>
  <c r="B137" i="1"/>
  <c r="B129" i="1"/>
  <c r="B121" i="1"/>
  <c r="B113" i="1"/>
  <c r="B105" i="1"/>
  <c r="B97" i="1"/>
  <c r="B89" i="1"/>
  <c r="B81" i="1"/>
  <c r="B73" i="1"/>
  <c r="B65" i="1"/>
  <c r="B57" i="1"/>
  <c r="B49" i="1"/>
  <c r="B41" i="1"/>
  <c r="B33" i="1"/>
  <c r="B25" i="1"/>
  <c r="B17" i="1"/>
  <c r="B9" i="1"/>
  <c r="B156" i="1"/>
  <c r="B132" i="1"/>
  <c r="B124" i="1"/>
  <c r="B108" i="1"/>
  <c r="B92" i="1"/>
  <c r="B84" i="1"/>
  <c r="B76" i="1"/>
  <c r="B68" i="1"/>
  <c r="B60" i="1"/>
  <c r="B52" i="1"/>
  <c r="B44" i="1"/>
  <c r="B36" i="1"/>
  <c r="B28" i="1"/>
  <c r="B20" i="1"/>
  <c r="B12" i="1"/>
  <c r="B168" i="1"/>
  <c r="B160" i="1"/>
  <c r="B152" i="1"/>
  <c r="B144" i="1"/>
  <c r="B136" i="1"/>
  <c r="B128" i="1"/>
  <c r="B120" i="1"/>
  <c r="B112" i="1"/>
  <c r="B104" i="1"/>
  <c r="B96" i="1"/>
  <c r="B88" i="1"/>
  <c r="B80" i="1"/>
  <c r="B72" i="1"/>
  <c r="B64" i="1"/>
  <c r="B56" i="1"/>
  <c r="B48" i="1"/>
  <c r="B40" i="1"/>
  <c r="B32" i="1"/>
  <c r="B24" i="1"/>
  <c r="B16" i="1"/>
  <c r="B8" i="1"/>
  <c r="B63" i="1"/>
  <c r="B55" i="1"/>
  <c r="B47" i="1"/>
  <c r="B39" i="1"/>
  <c r="B31" i="1"/>
  <c r="B23" i="1"/>
  <c r="B15" i="1"/>
  <c r="B7" i="1"/>
  <c r="B164" i="1"/>
  <c r="B140" i="1"/>
  <c r="B100" i="1"/>
  <c r="B167" i="1"/>
  <c r="B143" i="1"/>
  <c r="B87" i="1"/>
  <c r="B166" i="1"/>
  <c r="B158" i="1"/>
  <c r="B150" i="1"/>
  <c r="B142" i="1"/>
  <c r="B134" i="1"/>
  <c r="B126" i="1"/>
  <c r="B118" i="1"/>
  <c r="B110" i="1"/>
  <c r="B102" i="1"/>
  <c r="B94" i="1"/>
  <c r="B86" i="1"/>
  <c r="B78" i="1"/>
  <c r="B70" i="1"/>
  <c r="B62" i="1"/>
  <c r="B54" i="1"/>
  <c r="B46" i="1"/>
  <c r="B38" i="1"/>
  <c r="B30" i="1"/>
  <c r="B22" i="1"/>
  <c r="B14" i="1"/>
  <c r="B6" i="1"/>
  <c r="B148" i="1"/>
  <c r="B116" i="1"/>
  <c r="B159" i="1"/>
  <c r="B151" i="1"/>
  <c r="B135" i="1"/>
  <c r="B127" i="1"/>
  <c r="B119" i="1"/>
  <c r="B111" i="1"/>
  <c r="B103" i="1"/>
  <c r="B95" i="1"/>
  <c r="B79" i="1"/>
  <c r="B71" i="1"/>
  <c r="B4" i="1"/>
  <c r="G4" i="1" s="1"/>
  <c r="B165" i="1"/>
  <c r="B157" i="1"/>
  <c r="B149" i="1"/>
  <c r="B141" i="1"/>
  <c r="B133" i="1"/>
  <c r="B125" i="1"/>
  <c r="B117" i="1"/>
  <c r="B109" i="1"/>
  <c r="B101" i="1"/>
  <c r="B93" i="1"/>
  <c r="B85" i="1"/>
  <c r="B77" i="1"/>
  <c r="B69" i="1"/>
  <c r="B61" i="1"/>
  <c r="B53" i="1"/>
  <c r="B45" i="1"/>
  <c r="B37" i="1"/>
  <c r="B29" i="1"/>
  <c r="B21" i="1"/>
  <c r="B13" i="1"/>
  <c r="B5" i="1"/>
  <c r="G13" i="1" l="1"/>
  <c r="C13" i="1"/>
  <c r="G103" i="1"/>
  <c r="C103" i="1"/>
  <c r="G126" i="1"/>
  <c r="C126" i="1"/>
  <c r="G104" i="1"/>
  <c r="C104" i="1"/>
  <c r="G9" i="1"/>
  <c r="C9" i="1"/>
  <c r="C34" i="1"/>
  <c r="G34" i="1"/>
  <c r="C59" i="1"/>
  <c r="G59" i="1"/>
  <c r="G85" i="1"/>
  <c r="C85" i="1"/>
  <c r="G70" i="1"/>
  <c r="C70" i="1"/>
  <c r="G48" i="1"/>
  <c r="C48" i="1"/>
  <c r="G81" i="1"/>
  <c r="C81" i="1"/>
  <c r="C106" i="1"/>
  <c r="G106" i="1"/>
  <c r="C131" i="1"/>
  <c r="G131" i="1"/>
  <c r="G29" i="1"/>
  <c r="C29" i="1"/>
  <c r="G14" i="1"/>
  <c r="C14" i="1"/>
  <c r="G140" i="1"/>
  <c r="C140" i="1"/>
  <c r="G120" i="1"/>
  <c r="C120" i="1"/>
  <c r="G84" i="1"/>
  <c r="C84" i="1"/>
  <c r="C50" i="1"/>
  <c r="G50" i="1"/>
  <c r="G37" i="1"/>
  <c r="C37" i="1"/>
  <c r="G101" i="1"/>
  <c r="C101" i="1"/>
  <c r="G165" i="1"/>
  <c r="C165" i="1"/>
  <c r="C127" i="1"/>
  <c r="G127" i="1"/>
  <c r="C22" i="1"/>
  <c r="G22" i="1"/>
  <c r="C86" i="1"/>
  <c r="G86" i="1"/>
  <c r="C150" i="1"/>
  <c r="G150" i="1"/>
  <c r="G164" i="1"/>
  <c r="C164" i="1"/>
  <c r="C63" i="1"/>
  <c r="G63" i="1"/>
  <c r="G64" i="1"/>
  <c r="C64" i="1"/>
  <c r="G128" i="1"/>
  <c r="C128" i="1"/>
  <c r="G28" i="1"/>
  <c r="C28" i="1"/>
  <c r="G92" i="1"/>
  <c r="C92" i="1"/>
  <c r="G33" i="1"/>
  <c r="C33" i="1"/>
  <c r="G97" i="1"/>
  <c r="C97" i="1"/>
  <c r="G161" i="1"/>
  <c r="C161" i="1"/>
  <c r="C58" i="1"/>
  <c r="G58" i="1"/>
  <c r="C122" i="1"/>
  <c r="G122" i="1"/>
  <c r="C19" i="1"/>
  <c r="G19" i="1"/>
  <c r="C83" i="1"/>
  <c r="G83" i="1"/>
  <c r="C147" i="1"/>
  <c r="G147" i="1"/>
  <c r="G141" i="1"/>
  <c r="C141" i="1"/>
  <c r="G40" i="1"/>
  <c r="C40" i="1"/>
  <c r="G73" i="1"/>
  <c r="C73" i="1"/>
  <c r="C162" i="1"/>
  <c r="G162" i="1"/>
  <c r="G149" i="1"/>
  <c r="C149" i="1"/>
  <c r="C47" i="1"/>
  <c r="G47" i="1"/>
  <c r="G76" i="1"/>
  <c r="C76" i="1"/>
  <c r="C170" i="1"/>
  <c r="G170" i="1"/>
  <c r="G119" i="1"/>
  <c r="C119" i="1"/>
  <c r="G55" i="1"/>
  <c r="C55" i="1"/>
  <c r="G89" i="1"/>
  <c r="C89" i="1"/>
  <c r="C75" i="1"/>
  <c r="G75" i="1"/>
  <c r="C4" i="1"/>
  <c r="G94" i="1"/>
  <c r="C94" i="1"/>
  <c r="G72" i="1"/>
  <c r="C72" i="1"/>
  <c r="G108" i="1"/>
  <c r="C108" i="1"/>
  <c r="G169" i="1"/>
  <c r="C169" i="1"/>
  <c r="C27" i="1"/>
  <c r="G27" i="1"/>
  <c r="G117" i="1"/>
  <c r="C117" i="1"/>
  <c r="G102" i="1"/>
  <c r="C102" i="1"/>
  <c r="G15" i="1"/>
  <c r="C15" i="1"/>
  <c r="G80" i="1"/>
  <c r="C80" i="1"/>
  <c r="G144" i="1"/>
  <c r="C144" i="1"/>
  <c r="G44" i="1"/>
  <c r="C44" i="1"/>
  <c r="G124" i="1"/>
  <c r="C124" i="1"/>
  <c r="G49" i="1"/>
  <c r="C49" i="1"/>
  <c r="G113" i="1"/>
  <c r="C113" i="1"/>
  <c r="C10" i="1"/>
  <c r="G10" i="1"/>
  <c r="C74" i="1"/>
  <c r="G74" i="1"/>
  <c r="C138" i="1"/>
  <c r="G138" i="1"/>
  <c r="C35" i="1"/>
  <c r="G35" i="1"/>
  <c r="C99" i="1"/>
  <c r="G99" i="1"/>
  <c r="C163" i="1"/>
  <c r="G163" i="1"/>
  <c r="G77" i="1"/>
  <c r="C77" i="1"/>
  <c r="C62" i="1"/>
  <c r="G62" i="1"/>
  <c r="G167" i="1"/>
  <c r="C167" i="1"/>
  <c r="G168" i="1"/>
  <c r="C168" i="1"/>
  <c r="G137" i="1"/>
  <c r="C137" i="1"/>
  <c r="C123" i="1"/>
  <c r="G123" i="1"/>
  <c r="G21" i="1"/>
  <c r="C21" i="1"/>
  <c r="G6" i="1"/>
  <c r="C6" i="1"/>
  <c r="G134" i="1"/>
  <c r="C134" i="1"/>
  <c r="G112" i="1"/>
  <c r="C112" i="1"/>
  <c r="G17" i="1"/>
  <c r="C17" i="1"/>
  <c r="C42" i="1"/>
  <c r="G42" i="1"/>
  <c r="C67" i="1"/>
  <c r="G67" i="1"/>
  <c r="G157" i="1"/>
  <c r="C157" i="1"/>
  <c r="G142" i="1"/>
  <c r="C142" i="1"/>
  <c r="G20" i="1"/>
  <c r="C20" i="1"/>
  <c r="G153" i="1"/>
  <c r="C153" i="1"/>
  <c r="C114" i="1"/>
  <c r="G114" i="1"/>
  <c r="C139" i="1"/>
  <c r="G139" i="1"/>
  <c r="G109" i="1"/>
  <c r="C109" i="1"/>
  <c r="G135" i="1"/>
  <c r="C135" i="1"/>
  <c r="G158" i="1"/>
  <c r="C158" i="1"/>
  <c r="G7" i="1"/>
  <c r="C7" i="1"/>
  <c r="G136" i="1"/>
  <c r="C136" i="1"/>
  <c r="G41" i="1"/>
  <c r="C41" i="1"/>
  <c r="C66" i="1"/>
  <c r="G66" i="1"/>
  <c r="C91" i="1"/>
  <c r="G91" i="1"/>
  <c r="G53" i="1"/>
  <c r="C53" i="1"/>
  <c r="C151" i="1"/>
  <c r="G151" i="1"/>
  <c r="G16" i="1"/>
  <c r="C16" i="1"/>
  <c r="G61" i="1"/>
  <c r="C61" i="1"/>
  <c r="G125" i="1"/>
  <c r="C125" i="1"/>
  <c r="G79" i="1"/>
  <c r="C79" i="1"/>
  <c r="G159" i="1"/>
  <c r="C159" i="1"/>
  <c r="C46" i="1"/>
  <c r="G46" i="1"/>
  <c r="C110" i="1"/>
  <c r="G110" i="1"/>
  <c r="C87" i="1"/>
  <c r="G87" i="1"/>
  <c r="C23" i="1"/>
  <c r="G23" i="1"/>
  <c r="G24" i="1"/>
  <c r="C24" i="1"/>
  <c r="G88" i="1"/>
  <c r="C88" i="1"/>
  <c r="G152" i="1"/>
  <c r="C152" i="1"/>
  <c r="G52" i="1"/>
  <c r="C52" i="1"/>
  <c r="G132" i="1"/>
  <c r="C132" i="1"/>
  <c r="G57" i="1"/>
  <c r="C57" i="1"/>
  <c r="G121" i="1"/>
  <c r="C121" i="1"/>
  <c r="C18" i="1"/>
  <c r="G18" i="1"/>
  <c r="C82" i="1"/>
  <c r="G82" i="1"/>
  <c r="C146" i="1"/>
  <c r="G146" i="1"/>
  <c r="C43" i="1"/>
  <c r="G43" i="1"/>
  <c r="C107" i="1"/>
  <c r="G107" i="1"/>
  <c r="C171" i="1"/>
  <c r="G171" i="1"/>
  <c r="G148" i="1"/>
  <c r="C148" i="1"/>
  <c r="G39" i="1"/>
  <c r="C39" i="1"/>
  <c r="G68" i="1"/>
  <c r="C68" i="1"/>
  <c r="C98" i="1"/>
  <c r="G98" i="1"/>
  <c r="C111" i="1"/>
  <c r="G111" i="1"/>
  <c r="G100" i="1"/>
  <c r="C100" i="1"/>
  <c r="G12" i="1"/>
  <c r="C12" i="1"/>
  <c r="G145" i="1"/>
  <c r="C145" i="1"/>
  <c r="G93" i="1"/>
  <c r="C93" i="1"/>
  <c r="G78" i="1"/>
  <c r="C78" i="1"/>
  <c r="G56" i="1"/>
  <c r="C56" i="1"/>
  <c r="G25" i="1"/>
  <c r="C25" i="1"/>
  <c r="C11" i="1"/>
  <c r="G11" i="1"/>
  <c r="G45" i="1"/>
  <c r="C45" i="1"/>
  <c r="G30" i="1"/>
  <c r="C30" i="1"/>
  <c r="G8" i="1"/>
  <c r="C8" i="1"/>
  <c r="G36" i="1"/>
  <c r="C36" i="1"/>
  <c r="G105" i="1"/>
  <c r="C105" i="1"/>
  <c r="C130" i="1"/>
  <c r="G130" i="1"/>
  <c r="C155" i="1"/>
  <c r="G155" i="1"/>
  <c r="G71" i="1"/>
  <c r="C71" i="1"/>
  <c r="G38" i="1"/>
  <c r="C38" i="1"/>
  <c r="G166" i="1"/>
  <c r="C166" i="1"/>
  <c r="G5" i="1"/>
  <c r="C5" i="1"/>
  <c r="G69" i="1"/>
  <c r="C69" i="1"/>
  <c r="G133" i="1"/>
  <c r="C133" i="1"/>
  <c r="G95" i="1"/>
  <c r="C95" i="1"/>
  <c r="G116" i="1"/>
  <c r="C116" i="1"/>
  <c r="G54" i="1"/>
  <c r="C54" i="1"/>
  <c r="G118" i="1"/>
  <c r="C118" i="1"/>
  <c r="G143" i="1"/>
  <c r="C143" i="1"/>
  <c r="G31" i="1"/>
  <c r="C31" i="1"/>
  <c r="G32" i="1"/>
  <c r="C32" i="1"/>
  <c r="G96" i="1"/>
  <c r="C96" i="1"/>
  <c r="G160" i="1"/>
  <c r="C160" i="1"/>
  <c r="G60" i="1"/>
  <c r="C60" i="1"/>
  <c r="G156" i="1"/>
  <c r="C156" i="1"/>
  <c r="G65" i="1"/>
  <c r="C65" i="1"/>
  <c r="G129" i="1"/>
  <c r="C129" i="1"/>
  <c r="C26" i="1"/>
  <c r="G26" i="1"/>
  <c r="C90" i="1"/>
  <c r="G90" i="1"/>
  <c r="C154" i="1"/>
  <c r="G154" i="1"/>
  <c r="C51" i="1"/>
  <c r="G51" i="1"/>
  <c r="C115" i="1"/>
  <c r="G1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<sst xmlns="http://schemas.openxmlformats.org/spreadsheetml/2006/main" count="145" uniqueCount="89">
  <si>
    <t>Hora</t>
  </si>
  <si>
    <t xml:space="preserve">Links </t>
  </si>
  <si>
    <t>ES_gas</t>
  </si>
  <si>
    <t>Los atributos que tengan un valor de 0 en los resultados en todas sus horas, no aparecerán en el excel de dispatching que da vscode</t>
  </si>
  <si>
    <t>Generadores</t>
  </si>
  <si>
    <t>ES_CCGT</t>
  </si>
  <si>
    <t>Storage</t>
  </si>
  <si>
    <t>En Storage Units, si es negativo significa carga (consumo de electricidad/h2) y si número positivo (aportan electricidad/h2)</t>
  </si>
  <si>
    <t>Precios Marginales</t>
  </si>
  <si>
    <t>Stores</t>
  </si>
  <si>
    <t>Tambien tenemos en las hojas de resultados los valores del nivel en el que se encuentran los almacenamientos, por si se necesitan para algún calculo.</t>
  </si>
  <si>
    <t>Producción Total</t>
  </si>
  <si>
    <t>SRES_ Excedentes</t>
  </si>
  <si>
    <t>SRES_Electrolizador</t>
  </si>
  <si>
    <t>Capacidad Instalada (MW)</t>
  </si>
  <si>
    <t>% Usage SRES Excedentes</t>
  </si>
  <si>
    <t>% Usage SRES Electrolizador</t>
  </si>
  <si>
    <t>Capacidad Restante Utilizable</t>
  </si>
  <si>
    <t>Mode: 2 bus SRES</t>
  </si>
  <si>
    <t>Horas</t>
  </si>
  <si>
    <t>Capacidad SRES_ bus</t>
  </si>
  <si>
    <t>Link SRES Excedentes</t>
  </si>
  <si>
    <t>Link SRES Electrolizador</t>
  </si>
  <si>
    <t>Links p0</t>
  </si>
  <si>
    <t>Capacidad Link Electrolizador</t>
  </si>
  <si>
    <t>%Utilización SRES</t>
  </si>
  <si>
    <t>Mode: 1 bus SRES</t>
  </si>
  <si>
    <t>MODE 2BUS: % Utilización Electrolizador SRES</t>
  </si>
  <si>
    <t>MODE 1BUS: % Utilización Electrolizador SRES</t>
  </si>
  <si>
    <t>La hoja para comparar sres lo que hay que hacer es darle a run con un modo, copiar los datos que nos interesan en esta hoja, darle a run el otro modo y copiar los resultados en hoja; luego comparar sin importar los vinculos pq pegas como valores.</t>
  </si>
  <si>
    <t>Idea: estaría bien tener una tabla o una gráfica que poniendo el precio marginal que asignamos, me diga cual es el merit order de las tecnologías, y que tecnología está casando en cada hora</t>
  </si>
  <si>
    <t>Resultados Precios Marginales</t>
  </si>
  <si>
    <t>Eficiencia</t>
  </si>
  <si>
    <t>Turbina</t>
  </si>
  <si>
    <t>electricidad</t>
  </si>
  <si>
    <t>hidrógeno</t>
  </si>
  <si>
    <t>PT_hydrogen_bus</t>
  </si>
  <si>
    <t>PT_SRES_electrolyzer_bus</t>
  </si>
  <si>
    <t>SRES excedentes y Electricity market estan acoplados, funcionan como un solo bus</t>
  </si>
  <si>
    <t>Perfil Eólico y Solar</t>
  </si>
  <si>
    <t>Capacidad Instalada</t>
  </si>
  <si>
    <t>Interconexion</t>
  </si>
  <si>
    <t>Para 168 h</t>
  </si>
  <si>
    <t>Flujo Total</t>
  </si>
  <si>
    <t>Copiar y Pegar en formato valores para la comparación según el mode</t>
  </si>
  <si>
    <t>Celza: ESh2-&gt;PTh2</t>
  </si>
  <si>
    <t>Celza: PTh2 -&gt; ESh2</t>
  </si>
  <si>
    <t>Irun-Larrau: ESh2-&gt;FRh2S</t>
  </si>
  <si>
    <t>BarMar: ESh2-&gt;FRh2SW</t>
  </si>
  <si>
    <t>Francia Interno: FRh2S-&gt;FRh2SW</t>
  </si>
  <si>
    <t>Francia Interno: FRh2SW-&gt;FRh2S</t>
  </si>
  <si>
    <t>Francia Interno: FRh2S-&gt;FRh2</t>
  </si>
  <si>
    <t>Marruecos: MAh2-&gt;ESh2</t>
  </si>
  <si>
    <t>Francia Interno: FRh2&gt;FRh2S</t>
  </si>
  <si>
    <t>%Utilizacion Total</t>
  </si>
  <si>
    <t>FR_FR STOSW</t>
  </si>
  <si>
    <t>PT00 -&gt; ES00</t>
  </si>
  <si>
    <t>ES00 -&gt; PT00</t>
  </si>
  <si>
    <t>ES00 -&gt; FR00</t>
  </si>
  <si>
    <t>FR00 -&gt; ES00</t>
  </si>
  <si>
    <t>mode 1 bus sres</t>
  </si>
  <si>
    <t>mode 2 bus sres</t>
  </si>
  <si>
    <r>
      <t>BarMar</t>
    </r>
    <r>
      <rPr>
        <sz val="10"/>
        <color theme="1"/>
        <rFont val="Tahoma"/>
        <family val="2"/>
      </rPr>
      <t xml:space="preserve">: </t>
    </r>
    <r>
      <rPr>
        <sz val="10"/>
        <color theme="0" tint="-0.34998626667073579"/>
        <rFont val="Tahoma"/>
        <family val="2"/>
      </rPr>
      <t>ESh2-&gt;FRh2SW</t>
    </r>
  </si>
  <si>
    <r>
      <t xml:space="preserve">Celza: </t>
    </r>
    <r>
      <rPr>
        <sz val="11"/>
        <color theme="0" tint="-0.34998626667073579"/>
        <rFont val="Tahoma"/>
        <family val="2"/>
      </rPr>
      <t>ESh2-&gt;PTh2</t>
    </r>
  </si>
  <si>
    <r>
      <t xml:space="preserve">Celza: </t>
    </r>
    <r>
      <rPr>
        <sz val="11"/>
        <color theme="0" tint="-0.34998626667073579"/>
        <rFont val="Tahoma"/>
        <family val="2"/>
      </rPr>
      <t>PTh2 -&gt; ESh2</t>
    </r>
  </si>
  <si>
    <r>
      <t xml:space="preserve">Irun-Larrau: </t>
    </r>
    <r>
      <rPr>
        <sz val="11"/>
        <color theme="0" tint="-0.34998626667073579"/>
        <rFont val="Tahoma"/>
        <family val="2"/>
      </rPr>
      <t>ESh2-&gt;FRh2S</t>
    </r>
  </si>
  <si>
    <r>
      <t xml:space="preserve">Francia Interno: </t>
    </r>
    <r>
      <rPr>
        <sz val="11"/>
        <color theme="0" tint="-0.34998626667073579"/>
        <rFont val="Tahoma"/>
        <family val="2"/>
      </rPr>
      <t>FRh2S-&gt;FRh2SW</t>
    </r>
  </si>
  <si>
    <r>
      <t xml:space="preserve">Francia Interno: </t>
    </r>
    <r>
      <rPr>
        <sz val="11"/>
        <color theme="0" tint="-0.34998626667073579"/>
        <rFont val="Tahoma"/>
        <family val="2"/>
      </rPr>
      <t>FRh2SW-&gt;FRh2S</t>
    </r>
  </si>
  <si>
    <r>
      <t xml:space="preserve">Francia Interno: </t>
    </r>
    <r>
      <rPr>
        <sz val="11"/>
        <color theme="0" tint="-0.34998626667073579"/>
        <rFont val="Tahoma"/>
        <family val="2"/>
      </rPr>
      <t>FRh2S-&gt;FRh2</t>
    </r>
  </si>
  <si>
    <r>
      <t xml:space="preserve">Francia Interno: </t>
    </r>
    <r>
      <rPr>
        <sz val="11"/>
        <color theme="0" tint="-0.34998626667073579"/>
        <rFont val="Tahoma"/>
        <family val="2"/>
      </rPr>
      <t>FRh2&gt;FRh2S</t>
    </r>
  </si>
  <si>
    <r>
      <t xml:space="preserve">Marruecos: </t>
    </r>
    <r>
      <rPr>
        <sz val="11"/>
        <color theme="0" tint="-0.34998626667073579"/>
        <rFont val="Tahoma"/>
        <family val="2"/>
      </rPr>
      <t>MAh2-&gt;ESh2</t>
    </r>
  </si>
  <si>
    <t>Precios por bus que casa la demanda</t>
  </si>
  <si>
    <t>BUS ES00: bus electricidad de España.</t>
  </si>
  <si>
    <t>Precio Final Casación - Merit Order</t>
  </si>
  <si>
    <t>Marginal Cost establecido</t>
  </si>
  <si>
    <t>Generación de la energía consumida</t>
  </si>
  <si>
    <t>Importación Electricidad de Portugal - CCGT</t>
  </si>
  <si>
    <t>Importación Electricidad de Portugal - biomasa</t>
  </si>
  <si>
    <t>Importación Electricidad de Portugal - renovables</t>
  </si>
  <si>
    <t>Generación en España Solar, Eólica, Run of River</t>
  </si>
  <si>
    <t>Generación en España Biomasa</t>
  </si>
  <si>
    <t>Generación en España - CCGT</t>
  </si>
  <si>
    <t>Coste Anterior</t>
  </si>
  <si>
    <t>Importación Electricidad de Francia - Nuclear</t>
  </si>
  <si>
    <t>Importación Electricidad de Portugal - Turbina</t>
  </si>
  <si>
    <t>Importación Electricidad de Francia - renovables</t>
  </si>
  <si>
    <t>Importación Electricidad de Francia - biomasa</t>
  </si>
  <si>
    <t>Importación Electricidad de Francia - CCGT</t>
  </si>
  <si>
    <t>Importación Electricidad de Francia - Turbina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</si>
</sst>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ahoma"/>
      <family val="2"/>
    </font>
    <font>
      <sz val="11"/>
      <color rgb="FFFF0000"/>
      <name val="Tahoma"/>
      <family val="2"/>
    </font>
    <font>
      <sz val="11"/>
      <color theme="1"/>
      <name val="Ta"/>
    </font>
    <font>
      <sz val="11"/>
      <name val="Tahoma"/>
      <family val="2"/>
    </font>
    <font>
      <sz val="11"/>
      <name val="Aptos Narrow"/>
      <family val="2"/>
      <scheme val="minor"/>
    </font>
    <font>
      <sz val="12"/>
      <color theme="1"/>
      <name val="Tahoma"/>
      <family val="2"/>
    </font>
    <font>
      <sz val="11"/>
      <color rgb="FF0070C0"/>
      <name val="Tahoma"/>
      <family val="2"/>
    </font>
    <font>
      <sz val="10"/>
      <color theme="1"/>
      <name val="Tahoma"/>
      <family val="2"/>
    </font>
    <font>
      <sz val="10"/>
      <color theme="0" tint="-0.34998626667073579"/>
      <name val="Tahoma"/>
      <family val="2"/>
    </font>
    <font>
      <sz val="11"/>
      <color theme="0" tint="-0.34998626667073579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4" fillId="2" borderId="0" xfId="0" applyFont="1" applyFill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/>
    <xf numFmtId="0" fontId="2" fillId="2" borderId="2" xfId="0" applyFont="1" applyFill="1" applyBorder="1"/>
    <xf numFmtId="0" fontId="3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9" fontId="2" fillId="2" borderId="0" xfId="1" applyFont="1" applyFill="1"/>
    <xf numFmtId="0" fontId="5" fillId="2" borderId="0" xfId="0" applyFont="1" applyFill="1"/>
    <xf numFmtId="0" fontId="6" fillId="2" borderId="0" xfId="0" applyFont="1" applyFill="1"/>
    <xf numFmtId="0" fontId="5" fillId="2" borderId="4" xfId="0" applyFont="1" applyFill="1" applyBorder="1" applyAlignment="1">
      <alignment horizontal="center"/>
    </xf>
    <xf numFmtId="9" fontId="5" fillId="2" borderId="0" xfId="1" applyFont="1" applyFill="1"/>
    <xf numFmtId="0" fontId="6" fillId="3" borderId="0" xfId="0" applyFont="1" applyFill="1"/>
    <xf numFmtId="0" fontId="5" fillId="2" borderId="3" xfId="0" applyFont="1" applyFill="1" applyBorder="1"/>
    <xf numFmtId="0" fontId="5" fillId="2" borderId="1" xfId="0" applyFont="1" applyFill="1" applyBorder="1"/>
    <xf numFmtId="0" fontId="5" fillId="2" borderId="2" xfId="0" applyFont="1" applyFill="1" applyBorder="1"/>
    <xf numFmtId="0" fontId="5" fillId="2" borderId="2" xfId="0" applyFont="1" applyFill="1" applyBorder="1" applyAlignment="1">
      <alignment horizontal="center"/>
    </xf>
    <xf numFmtId="0" fontId="5" fillId="2" borderId="6" xfId="0" applyFont="1" applyFill="1" applyBorder="1"/>
    <xf numFmtId="0" fontId="5" fillId="2" borderId="7" xfId="0" applyFont="1" applyFill="1" applyBorder="1"/>
    <xf numFmtId="0" fontId="5" fillId="2" borderId="8" xfId="0" applyFont="1" applyFill="1" applyBorder="1"/>
    <xf numFmtId="0" fontId="5" fillId="2" borderId="9" xfId="0" applyFont="1" applyFill="1" applyBorder="1"/>
    <xf numFmtId="9" fontId="5" fillId="2" borderId="0" xfId="1" applyFont="1" applyFill="1" applyBorder="1"/>
    <xf numFmtId="0" fontId="5" fillId="2" borderId="10" xfId="0" applyFont="1" applyFill="1" applyBorder="1" applyAlignment="1">
      <alignment horizontal="center"/>
    </xf>
    <xf numFmtId="9" fontId="5" fillId="2" borderId="1" xfId="1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7" fillId="2" borderId="0" xfId="0" applyFont="1" applyFill="1"/>
    <xf numFmtId="0" fontId="7" fillId="2" borderId="2" xfId="0" applyFont="1" applyFill="1" applyBorder="1"/>
    <xf numFmtId="0" fontId="7" fillId="2" borderId="1" xfId="0" applyFont="1" applyFill="1" applyBorder="1"/>
    <xf numFmtId="0" fontId="2" fillId="4" borderId="0" xfId="0" applyFont="1" applyFill="1"/>
    <xf numFmtId="0" fontId="2" fillId="2" borderId="3" xfId="0" applyFont="1" applyFill="1" applyBorder="1"/>
    <xf numFmtId="0" fontId="2" fillId="2" borderId="6" xfId="0" applyFont="1" applyFill="1" applyBorder="1"/>
    <xf numFmtId="0" fontId="2" fillId="2" borderId="9" xfId="0" applyFont="1" applyFill="1" applyBorder="1"/>
    <xf numFmtId="0" fontId="2" fillId="2" borderId="5" xfId="0" applyFont="1" applyFill="1" applyBorder="1" applyAlignment="1">
      <alignment horizontal="center"/>
    </xf>
    <xf numFmtId="0" fontId="2" fillId="2" borderId="4" xfId="0" applyFont="1" applyFill="1" applyBorder="1"/>
    <xf numFmtId="9" fontId="2" fillId="2" borderId="9" xfId="1" applyFont="1" applyFill="1" applyBorder="1"/>
    <xf numFmtId="0" fontId="2" fillId="2" borderId="10" xfId="0" applyFont="1" applyFill="1" applyBorder="1"/>
    <xf numFmtId="9" fontId="2" fillId="2" borderId="7" xfId="1" applyFont="1" applyFill="1" applyBorder="1"/>
    <xf numFmtId="0" fontId="5" fillId="5" borderId="2" xfId="0" applyFont="1" applyFill="1" applyBorder="1"/>
    <xf numFmtId="0" fontId="5" fillId="5" borderId="8" xfId="0" applyFont="1" applyFill="1" applyBorder="1"/>
    <xf numFmtId="9" fontId="2" fillId="5" borderId="9" xfId="1" applyFont="1" applyFill="1" applyBorder="1"/>
    <xf numFmtId="0" fontId="8" fillId="2" borderId="0" xfId="0" applyFont="1" applyFill="1"/>
    <xf numFmtId="10" fontId="2" fillId="2" borderId="0" xfId="1" applyNumberFormat="1" applyFont="1" applyFill="1"/>
    <xf numFmtId="0" fontId="3" fillId="2" borderId="0" xfId="0" applyFont="1" applyFill="1"/>
    <xf numFmtId="0" fontId="8" fillId="2" borderId="1" xfId="0" applyFont="1" applyFill="1" applyBorder="1"/>
    <xf numFmtId="10" fontId="2" fillId="2" borderId="1" xfId="1" applyNumberFormat="1" applyFont="1" applyFill="1" applyBorder="1"/>
    <xf numFmtId="0" fontId="2" fillId="2" borderId="13" xfId="0" applyFont="1" applyFill="1" applyBorder="1"/>
    <xf numFmtId="0" fontId="2" fillId="6" borderId="13" xfId="0" applyFont="1" applyFill="1" applyBorder="1"/>
    <xf numFmtId="10" fontId="2" fillId="2" borderId="13" xfId="1" applyNumberFormat="1" applyFont="1" applyFill="1" applyBorder="1"/>
    <xf numFmtId="0" fontId="11" fillId="2" borderId="13" xfId="0" applyFont="1" applyFill="1" applyBorder="1"/>
    <xf numFmtId="0" fontId="7" fillId="5" borderId="0" xfId="0" applyFont="1" applyFill="1"/>
    <xf numFmtId="2" fontId="7" fillId="2" borderId="0" xfId="0" applyNumberFormat="1" applyFont="1" applyFill="1"/>
    <xf numFmtId="0" fontId="5" fillId="3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0" xfId="0" applyFont="1" applyFill="1" applyAlignme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E07D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s-ES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Utilización</a:t>
            </a:r>
            <a:r>
              <a:rPr lang="es-ES" sz="120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SRES Electrolizadores 1BUS/2BUS Mode</a:t>
            </a:r>
            <a:endParaRPr lang="es-ES" sz="12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c:rich>
      </c:tx>
      <c:layout>
        <c:manualLayout>
          <c:xMode val="edge"/>
          <c:yMode val="edge"/>
          <c:x val="0.14571286020120316"/>
          <c:y val="2.55063679308636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E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'Para Comparar SRES'!$E$4</c:f>
              <c:strCache>
                <c:ptCount val="1"/>
                <c:pt idx="0">
                  <c:v>MODE 2BUS: % Utilización Electrolizador SRES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'Para Comparar SRES'!$E$5:$E$172</c:f>
              <c:numCache>
                <c:formatCode>0%</c:formatCode>
                <c:ptCount val="168"/>
                <c:pt idx="0">
                  <c:v>0.137569108</c:v>
                </c:pt>
                <c:pt idx="1">
                  <c:v>0.1472159385</c:v>
                </c:pt>
                <c:pt idx="2">
                  <c:v>0.14972769</c:v>
                </c:pt>
                <c:pt idx="3">
                  <c:v>0.15348561700000002</c:v>
                </c:pt>
                <c:pt idx="4">
                  <c:v>0.16090683950000001</c:v>
                </c:pt>
                <c:pt idx="5">
                  <c:v>0.1618715775</c:v>
                </c:pt>
                <c:pt idx="6">
                  <c:v>0.15136730100000001</c:v>
                </c:pt>
                <c:pt idx="7">
                  <c:v>0.12266664400000001</c:v>
                </c:pt>
                <c:pt idx="8">
                  <c:v>0.10047183750000001</c:v>
                </c:pt>
                <c:pt idx="9">
                  <c:v>0.20900213000000001</c:v>
                </c:pt>
                <c:pt idx="10">
                  <c:v>0.38681538250000003</c:v>
                </c:pt>
                <c:pt idx="11">
                  <c:v>0.49274317550000002</c:v>
                </c:pt>
                <c:pt idx="12">
                  <c:v>0.52352298543602116</c:v>
                </c:pt>
                <c:pt idx="13">
                  <c:v>0.52352298543602116</c:v>
                </c:pt>
                <c:pt idx="14">
                  <c:v>0.52173405000000006</c:v>
                </c:pt>
                <c:pt idx="15">
                  <c:v>0.45921048550000004</c:v>
                </c:pt>
                <c:pt idx="16">
                  <c:v>0.33235692849999998</c:v>
                </c:pt>
                <c:pt idx="17">
                  <c:v>0.13939906199999999</c:v>
                </c:pt>
                <c:pt idx="18">
                  <c:v>7.9490754499999997E-2</c:v>
                </c:pt>
                <c:pt idx="19">
                  <c:v>7.7469371500000009E-2</c:v>
                </c:pt>
                <c:pt idx="20">
                  <c:v>7.8231867499999996E-2</c:v>
                </c:pt>
                <c:pt idx="21">
                  <c:v>8.0872818499999999E-2</c:v>
                </c:pt>
                <c:pt idx="22">
                  <c:v>8.6466108999999999E-2</c:v>
                </c:pt>
                <c:pt idx="23">
                  <c:v>9.1552286499999996E-2</c:v>
                </c:pt>
                <c:pt idx="24">
                  <c:v>9.5654084E-2</c:v>
                </c:pt>
                <c:pt idx="25">
                  <c:v>9.2314950499999993E-2</c:v>
                </c:pt>
                <c:pt idx="26">
                  <c:v>8.7601657999999999E-2</c:v>
                </c:pt>
                <c:pt idx="27">
                  <c:v>8.2043902499999988E-2</c:v>
                </c:pt>
                <c:pt idx="28">
                  <c:v>7.7927700000000003E-2</c:v>
                </c:pt>
                <c:pt idx="29">
                  <c:v>7.4070865499999999E-2</c:v>
                </c:pt>
                <c:pt idx="30">
                  <c:v>6.68940965E-2</c:v>
                </c:pt>
                <c:pt idx="31">
                  <c:v>5.7628776E-2</c:v>
                </c:pt>
                <c:pt idx="32">
                  <c:v>6.0687014500000004E-2</c:v>
                </c:pt>
                <c:pt idx="33">
                  <c:v>0.16144252349999999</c:v>
                </c:pt>
                <c:pt idx="34">
                  <c:v>0.320429358</c:v>
                </c:pt>
                <c:pt idx="35">
                  <c:v>0.41978464449999997</c:v>
                </c:pt>
                <c:pt idx="36">
                  <c:v>0.4801225845</c:v>
                </c:pt>
                <c:pt idx="37">
                  <c:v>0.49760531249999995</c:v>
                </c:pt>
                <c:pt idx="38">
                  <c:v>0.47601111149999997</c:v>
                </c:pt>
                <c:pt idx="39">
                  <c:v>0.40767566499999996</c:v>
                </c:pt>
                <c:pt idx="40">
                  <c:v>0.27468575699999997</c:v>
                </c:pt>
                <c:pt idx="41">
                  <c:v>9.2596544000000003E-2</c:v>
                </c:pt>
                <c:pt idx="42">
                  <c:v>5.7813811499999992E-2</c:v>
                </c:pt>
                <c:pt idx="43">
                  <c:v>6.9138307499999996E-2</c:v>
                </c:pt>
                <c:pt idx="44">
                  <c:v>6.5308859499999997E-2</c:v>
                </c:pt>
                <c:pt idx="45">
                  <c:v>5.7015317000000003E-2</c:v>
                </c:pt>
                <c:pt idx="46">
                  <c:v>5.36974115E-2</c:v>
                </c:pt>
                <c:pt idx="47">
                  <c:v>5.1712478499999999E-2</c:v>
                </c:pt>
                <c:pt idx="48">
                  <c:v>5.3874884500000005E-2</c:v>
                </c:pt>
                <c:pt idx="49">
                  <c:v>5.5748259000000001E-2</c:v>
                </c:pt>
                <c:pt idx="50">
                  <c:v>5.6754227500000004E-2</c:v>
                </c:pt>
                <c:pt idx="51">
                  <c:v>5.4581539999999998E-2</c:v>
                </c:pt>
                <c:pt idx="52">
                  <c:v>5.2371183000000002E-2</c:v>
                </c:pt>
                <c:pt idx="53">
                  <c:v>5.0667737000000004E-2</c:v>
                </c:pt>
                <c:pt idx="54">
                  <c:v>4.6813309500000004E-2</c:v>
                </c:pt>
                <c:pt idx="55">
                  <c:v>4.02590315E-2</c:v>
                </c:pt>
                <c:pt idx="56">
                  <c:v>4.3651841999999996E-2</c:v>
                </c:pt>
                <c:pt idx="57">
                  <c:v>0.15218203249999998</c:v>
                </c:pt>
                <c:pt idx="58">
                  <c:v>0.3013970695</c:v>
                </c:pt>
                <c:pt idx="59">
                  <c:v>0.38975452550000006</c:v>
                </c:pt>
                <c:pt idx="60">
                  <c:v>0.43600436050000002</c:v>
                </c:pt>
                <c:pt idx="61">
                  <c:v>0.44274735700000001</c:v>
                </c:pt>
                <c:pt idx="62">
                  <c:v>0.41433707400000003</c:v>
                </c:pt>
                <c:pt idx="63">
                  <c:v>0.349591824</c:v>
                </c:pt>
                <c:pt idx="64">
                  <c:v>0.22550651500000002</c:v>
                </c:pt>
                <c:pt idx="65">
                  <c:v>6.2051748999999996E-2</c:v>
                </c:pt>
                <c:pt idx="66">
                  <c:v>1.6193571499999997E-2</c:v>
                </c:pt>
                <c:pt idx="67">
                  <c:v>1.6517008E-2</c:v>
                </c:pt>
                <c:pt idx="68">
                  <c:v>1.0881455999999999E-2</c:v>
                </c:pt>
                <c:pt idx="69">
                  <c:v>8.743486E-3</c:v>
                </c:pt>
                <c:pt idx="70">
                  <c:v>9.3609334999999998E-3</c:v>
                </c:pt>
                <c:pt idx="71">
                  <c:v>9.7192045000000001E-3</c:v>
                </c:pt>
                <c:pt idx="72">
                  <c:v>1.13987715E-2</c:v>
                </c:pt>
                <c:pt idx="73">
                  <c:v>1.3365763999999999E-2</c:v>
                </c:pt>
                <c:pt idx="74">
                  <c:v>1.63255465E-2</c:v>
                </c:pt>
                <c:pt idx="75">
                  <c:v>2.0290869E-2</c:v>
                </c:pt>
                <c:pt idx="76">
                  <c:v>2.5491142000000001E-2</c:v>
                </c:pt>
                <c:pt idx="77">
                  <c:v>2.9686881500000002E-2</c:v>
                </c:pt>
                <c:pt idx="78">
                  <c:v>3.3030476500000003E-2</c:v>
                </c:pt>
                <c:pt idx="79">
                  <c:v>3.4984913499999999E-2</c:v>
                </c:pt>
                <c:pt idx="80">
                  <c:v>4.2807224999999997E-2</c:v>
                </c:pt>
                <c:pt idx="81">
                  <c:v>0.11992259750000001</c:v>
                </c:pt>
                <c:pt idx="82">
                  <c:v>0.23203382</c:v>
                </c:pt>
                <c:pt idx="83">
                  <c:v>0.31911248849999996</c:v>
                </c:pt>
                <c:pt idx="84">
                  <c:v>0.37937366449999999</c:v>
                </c:pt>
                <c:pt idx="85">
                  <c:v>0.40132437700000007</c:v>
                </c:pt>
                <c:pt idx="86">
                  <c:v>0.38831428649999999</c:v>
                </c:pt>
                <c:pt idx="87">
                  <c:v>0.35343019949999999</c:v>
                </c:pt>
                <c:pt idx="88">
                  <c:v>0.27939292050000003</c:v>
                </c:pt>
                <c:pt idx="89">
                  <c:v>0.15399440650000001</c:v>
                </c:pt>
                <c:pt idx="90">
                  <c:v>0.1113760765</c:v>
                </c:pt>
                <c:pt idx="91">
                  <c:v>0.1273688835</c:v>
                </c:pt>
                <c:pt idx="92">
                  <c:v>0.13750777550000001</c:v>
                </c:pt>
                <c:pt idx="93">
                  <c:v>0.1440934545</c:v>
                </c:pt>
                <c:pt idx="94">
                  <c:v>0.15973650549999999</c:v>
                </c:pt>
                <c:pt idx="95">
                  <c:v>0.1769914685</c:v>
                </c:pt>
                <c:pt idx="96">
                  <c:v>0.18350994500000001</c:v>
                </c:pt>
                <c:pt idx="97">
                  <c:v>0.171254141</c:v>
                </c:pt>
                <c:pt idx="98">
                  <c:v>0.16735095750000001</c:v>
                </c:pt>
                <c:pt idx="99">
                  <c:v>0.17869441450000001</c:v>
                </c:pt>
                <c:pt idx="100">
                  <c:v>0.20742859850000001</c:v>
                </c:pt>
                <c:pt idx="101">
                  <c:v>0.23538138749999998</c:v>
                </c:pt>
                <c:pt idx="102">
                  <c:v>0.24878473200000001</c:v>
                </c:pt>
                <c:pt idx="103">
                  <c:v>0.25679506549999997</c:v>
                </c:pt>
                <c:pt idx="104">
                  <c:v>0.27408849799999996</c:v>
                </c:pt>
                <c:pt idx="105">
                  <c:v>0.355208044</c:v>
                </c:pt>
                <c:pt idx="106">
                  <c:v>0.49925891249999999</c:v>
                </c:pt>
                <c:pt idx="107">
                  <c:v>0.52459103173444344</c:v>
                </c:pt>
                <c:pt idx="108">
                  <c:v>0.45543590253505706</c:v>
                </c:pt>
                <c:pt idx="109">
                  <c:v>0.52351970148334803</c:v>
                </c:pt>
                <c:pt idx="110">
                  <c:v>0.52459103173444344</c:v>
                </c:pt>
                <c:pt idx="111">
                  <c:v>0.52566236198597738</c:v>
                </c:pt>
                <c:pt idx="112">
                  <c:v>0.45757856303768629</c:v>
                </c:pt>
                <c:pt idx="113">
                  <c:v>0.36257969849999999</c:v>
                </c:pt>
                <c:pt idx="114">
                  <c:v>0.26703963299999994</c:v>
                </c:pt>
                <c:pt idx="115">
                  <c:v>0.24170503900000001</c:v>
                </c:pt>
                <c:pt idx="116">
                  <c:v>0.23497530550000001</c:v>
                </c:pt>
                <c:pt idx="117">
                  <c:v>0.23513192849999998</c:v>
                </c:pt>
                <c:pt idx="118">
                  <c:v>0.234673727</c:v>
                </c:pt>
                <c:pt idx="119">
                  <c:v>0.23937082700000001</c:v>
                </c:pt>
                <c:pt idx="120">
                  <c:v>0.24651134299999999</c:v>
                </c:pt>
                <c:pt idx="121">
                  <c:v>0.246931128</c:v>
                </c:pt>
                <c:pt idx="122">
                  <c:v>0.24364427900000002</c:v>
                </c:pt>
                <c:pt idx="123">
                  <c:v>0.2430156765</c:v>
                </c:pt>
                <c:pt idx="124">
                  <c:v>0.24217606150000001</c:v>
                </c:pt>
                <c:pt idx="125">
                  <c:v>0.2394199135</c:v>
                </c:pt>
                <c:pt idx="126">
                  <c:v>0.23637616049999999</c:v>
                </c:pt>
                <c:pt idx="127">
                  <c:v>0.22874214399999998</c:v>
                </c:pt>
                <c:pt idx="128">
                  <c:v>0.22287800050000001</c:v>
                </c:pt>
                <c:pt idx="129">
                  <c:v>0.33922182449999999</c:v>
                </c:pt>
                <c:pt idx="130">
                  <c:v>0.52079639249999998</c:v>
                </c:pt>
                <c:pt idx="131">
                  <c:v>0.52552228277344437</c:v>
                </c:pt>
                <c:pt idx="132">
                  <c:v>0.52444166874145492</c:v>
                </c:pt>
                <c:pt idx="133">
                  <c:v>0.52444166874145492</c:v>
                </c:pt>
                <c:pt idx="134">
                  <c:v>0.52552228277344437</c:v>
                </c:pt>
                <c:pt idx="135">
                  <c:v>0.52444166874145481</c:v>
                </c:pt>
                <c:pt idx="136">
                  <c:v>0.42445063199999999</c:v>
                </c:pt>
                <c:pt idx="137">
                  <c:v>0.22807142350000001</c:v>
                </c:pt>
                <c:pt idx="138">
                  <c:v>0.17315436300000003</c:v>
                </c:pt>
                <c:pt idx="139">
                  <c:v>0.19218388450000001</c:v>
                </c:pt>
                <c:pt idx="140">
                  <c:v>0.20682130949999999</c:v>
                </c:pt>
                <c:pt idx="141">
                  <c:v>0.21610219899999999</c:v>
                </c:pt>
                <c:pt idx="142">
                  <c:v>0.22923816300000002</c:v>
                </c:pt>
                <c:pt idx="143">
                  <c:v>0.24307121700000001</c:v>
                </c:pt>
                <c:pt idx="144">
                  <c:v>0.26178529099999998</c:v>
                </c:pt>
                <c:pt idx="145">
                  <c:v>0.282023574</c:v>
                </c:pt>
                <c:pt idx="146">
                  <c:v>0.30216264250000002</c:v>
                </c:pt>
                <c:pt idx="147">
                  <c:v>0.32340261749999999</c:v>
                </c:pt>
                <c:pt idx="148">
                  <c:v>0.34444284149999999</c:v>
                </c:pt>
                <c:pt idx="149">
                  <c:v>0.35446709850000002</c:v>
                </c:pt>
                <c:pt idx="150">
                  <c:v>0.34855354</c:v>
                </c:pt>
                <c:pt idx="151">
                  <c:v>0.33536397200000001</c:v>
                </c:pt>
                <c:pt idx="152">
                  <c:v>0.32113396550000001</c:v>
                </c:pt>
                <c:pt idx="153">
                  <c:v>0.33643357150000008</c:v>
                </c:pt>
                <c:pt idx="154">
                  <c:v>0.39578982050000006</c:v>
                </c:pt>
                <c:pt idx="155">
                  <c:v>0.46669866550000005</c:v>
                </c:pt>
                <c:pt idx="156">
                  <c:v>0.54136546000000008</c:v>
                </c:pt>
                <c:pt idx="157">
                  <c:v>0.58814713900000004</c:v>
                </c:pt>
                <c:pt idx="158">
                  <c:v>0.59705146649999996</c:v>
                </c:pt>
                <c:pt idx="159">
                  <c:v>0.55856540750000006</c:v>
                </c:pt>
                <c:pt idx="160">
                  <c:v>0.50371671899999992</c:v>
                </c:pt>
                <c:pt idx="161">
                  <c:v>0.41284058199999996</c:v>
                </c:pt>
                <c:pt idx="162">
                  <c:v>0.35847267599999999</c:v>
                </c:pt>
                <c:pt idx="163">
                  <c:v>0.34858253150000001</c:v>
                </c:pt>
                <c:pt idx="164">
                  <c:v>0.3513222285</c:v>
                </c:pt>
                <c:pt idx="165">
                  <c:v>0.35843973300000004</c:v>
                </c:pt>
                <c:pt idx="166">
                  <c:v>0.36677005900000004</c:v>
                </c:pt>
                <c:pt idx="167">
                  <c:v>0.37645962499999996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AF-48FF-831B-7C34CA74DCA8}"/>
            </c:ext>
          </c:extLst>
        </c:ser>
        <c:ser>
          <c:idx val="1"/>
          <c:order val="1"/>
          <c:tx>
            <c:strRef>
              <c:f>'Para Comparar SRES'!$K$4</c:f>
              <c:strCache>
                <c:ptCount val="1"/>
                <c:pt idx="0">
                  <c:v>MODE 1BUS: % Utilización Electrolizador SRES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'Para Comparar SRES'!$K$5:$K$172</c:f>
              <c:numCache>
                <c:formatCode>0%</c:formatCode>
                <c:ptCount val="168"/>
                <c:pt idx="0">
                  <c:v>0.32071140115314356</c:v>
                </c:pt>
                <c:pt idx="1">
                  <c:v>0.34320081444745582</c:v>
                </c:pt>
                <c:pt idx="2">
                  <c:v>0.34905639754038037</c:v>
                </c:pt>
                <c:pt idx="3">
                  <c:v>0.35781715823093618</c:v>
                </c:pt>
                <c:pt idx="4">
                  <c:v>0.37511806757639943</c:v>
                </c:pt>
                <c:pt idx="5">
                  <c:v>0.37736713700938346</c:v>
                </c:pt>
                <c:pt idx="6">
                  <c:v>0.35287878142293128</c:v>
                </c:pt>
                <c:pt idx="7">
                  <c:v>0.28596966167719756</c:v>
                </c:pt>
                <c:pt idx="8">
                  <c:v>0.23422744427448774</c:v>
                </c:pt>
                <c:pt idx="9">
                  <c:v>0.45485371893454934</c:v>
                </c:pt>
                <c:pt idx="10">
                  <c:v>0.45758184699035953</c:v>
                </c:pt>
                <c:pt idx="11">
                  <c:v>0.45651051673926379</c:v>
                </c:pt>
                <c:pt idx="12">
                  <c:v>0.45543918648773007</c:v>
                </c:pt>
                <c:pt idx="13">
                  <c:v>0</c:v>
                </c:pt>
                <c:pt idx="14">
                  <c:v>0</c:v>
                </c:pt>
                <c:pt idx="15">
                  <c:v>0.45758184699035953</c:v>
                </c:pt>
                <c:pt idx="16">
                  <c:v>0.45758184699035953</c:v>
                </c:pt>
                <c:pt idx="17">
                  <c:v>0.3249772645975485</c:v>
                </c:pt>
                <c:pt idx="18">
                  <c:v>0.18531479648495766</c:v>
                </c:pt>
                <c:pt idx="19">
                  <c:v>0.18060239716185703</c:v>
                </c:pt>
                <c:pt idx="20">
                  <c:v>0.18237998490730981</c:v>
                </c:pt>
                <c:pt idx="21">
                  <c:v>0.18853676754478096</c:v>
                </c:pt>
                <c:pt idx="22">
                  <c:v>0.20157626499730186</c:v>
                </c:pt>
                <c:pt idx="23">
                  <c:v>0.21343354266852577</c:v>
                </c:pt>
                <c:pt idx="24">
                  <c:v>0.22299596000622823</c:v>
                </c:pt>
                <c:pt idx="25">
                  <c:v>0.21521152206815275</c:v>
                </c:pt>
                <c:pt idx="26">
                  <c:v>0.20422354181811286</c:v>
                </c:pt>
                <c:pt idx="27">
                  <c:v>0.19126688621726687</c:v>
                </c:pt>
                <c:pt idx="28">
                  <c:v>0.18167088686539878</c:v>
                </c:pt>
                <c:pt idx="29">
                  <c:v>0.17267954560795029</c:v>
                </c:pt>
                <c:pt idx="30">
                  <c:v>0.15594852455820676</c:v>
                </c:pt>
                <c:pt idx="31">
                  <c:v>0.13434851593063069</c:v>
                </c:pt>
                <c:pt idx="32">
                  <c:v>0.14147809095221164</c:v>
                </c:pt>
                <c:pt idx="33">
                  <c:v>0.37636635474422758</c:v>
                </c:pt>
                <c:pt idx="34">
                  <c:v>0</c:v>
                </c:pt>
                <c:pt idx="35">
                  <c:v>0.45650969575109568</c:v>
                </c:pt>
                <c:pt idx="36">
                  <c:v>0.45543836549956196</c:v>
                </c:pt>
                <c:pt idx="37">
                  <c:v>0.45543836549956196</c:v>
                </c:pt>
                <c:pt idx="38">
                  <c:v>0.45650969575109568</c:v>
                </c:pt>
                <c:pt idx="39">
                  <c:v>0.45758102600219114</c:v>
                </c:pt>
                <c:pt idx="40">
                  <c:v>0.45758102600219114</c:v>
                </c:pt>
                <c:pt idx="41">
                  <c:v>0.21586771978542085</c:v>
                </c:pt>
                <c:pt idx="42">
                  <c:v>0.13477988449702269</c:v>
                </c:pt>
                <c:pt idx="43">
                  <c:v>0.16118039721302757</c:v>
                </c:pt>
                <c:pt idx="44">
                  <c:v>0.15225290141416623</c:v>
                </c:pt>
                <c:pt idx="45">
                  <c:v>0.1329183743944945</c:v>
                </c:pt>
                <c:pt idx="46">
                  <c:v>0.12518342475886318</c:v>
                </c:pt>
                <c:pt idx="47">
                  <c:v>0.12055600038372577</c:v>
                </c:pt>
                <c:pt idx="48">
                  <c:v>0.12559716309971841</c:v>
                </c:pt>
                <c:pt idx="49">
                  <c:v>0.12996451394987854</c:v>
                </c:pt>
                <c:pt idx="50">
                  <c:v>0.13230970301042638</c:v>
                </c:pt>
                <c:pt idx="51">
                  <c:v>0.12724457129209818</c:v>
                </c:pt>
                <c:pt idx="52">
                  <c:v>0.12209162161593497</c:v>
                </c:pt>
                <c:pt idx="53">
                  <c:v>0.1181204208035497</c:v>
                </c:pt>
                <c:pt idx="54">
                  <c:v>0.10913469092465707</c:v>
                </c:pt>
                <c:pt idx="55">
                  <c:v>9.3854867485464413E-2</c:v>
                </c:pt>
                <c:pt idx="56">
                  <c:v>0.10176441640503807</c:v>
                </c:pt>
                <c:pt idx="57">
                  <c:v>0.2811704707567923</c:v>
                </c:pt>
                <c:pt idx="58">
                  <c:v>0.27459346852026328</c:v>
                </c:pt>
                <c:pt idx="59">
                  <c:v>0.45650887476292729</c:v>
                </c:pt>
                <c:pt idx="60">
                  <c:v>0.45543754451139357</c:v>
                </c:pt>
                <c:pt idx="61">
                  <c:v>0.45543754451139357</c:v>
                </c:pt>
                <c:pt idx="62">
                  <c:v>0.45650887476292729</c:v>
                </c:pt>
                <c:pt idx="63">
                  <c:v>0.43400223541717792</c:v>
                </c:pt>
                <c:pt idx="64">
                  <c:v>0.44094134803760981</c:v>
                </c:pt>
                <c:pt idx="65">
                  <c:v>0.14465942071682084</c:v>
                </c:pt>
                <c:pt idx="66">
                  <c:v>3.7751665820752761E-2</c:v>
                </c:pt>
                <c:pt idx="67">
                  <c:v>3.8505685291916558E-2</c:v>
                </c:pt>
                <c:pt idx="68">
                  <c:v>2.5367664667465029E-2</c:v>
                </c:pt>
                <c:pt idx="69">
                  <c:v>2.0383468983624541E-2</c:v>
                </c:pt>
                <c:pt idx="70">
                  <c:v>2.1822908809486501E-2</c:v>
                </c:pt>
                <c:pt idx="71">
                  <c:v>2.2658136980061961E-2</c:v>
                </c:pt>
                <c:pt idx="72">
                  <c:v>2.6573669280384661E-2</c:v>
                </c:pt>
                <c:pt idx="73">
                  <c:v>3.1159269419136194E-2</c:v>
                </c:pt>
                <c:pt idx="74">
                  <c:v>3.8059335912869321E-2</c:v>
                </c:pt>
                <c:pt idx="75">
                  <c:v>4.7303592515878526E-2</c:v>
                </c:pt>
                <c:pt idx="76">
                  <c:v>5.9426858156365642E-2</c:v>
                </c:pt>
                <c:pt idx="77">
                  <c:v>6.9208280115709814E-2</c:v>
                </c:pt>
                <c:pt idx="78">
                  <c:v>7.7003119036513495E-2</c:v>
                </c:pt>
                <c:pt idx="79">
                  <c:v>8.1559448853928226E-2</c:v>
                </c:pt>
                <c:pt idx="80">
                  <c:v>9.979539006161349E-2</c:v>
                </c:pt>
                <c:pt idx="81">
                  <c:v>0.27957216967859327</c:v>
                </c:pt>
                <c:pt idx="82">
                  <c:v>0.42933336244007519</c:v>
                </c:pt>
                <c:pt idx="83">
                  <c:v>0.45650805377475889</c:v>
                </c:pt>
                <c:pt idx="84">
                  <c:v>0</c:v>
                </c:pt>
                <c:pt idx="85">
                  <c:v>0.45543672352322545</c:v>
                </c:pt>
                <c:pt idx="86">
                  <c:v>0.45650805377475889</c:v>
                </c:pt>
                <c:pt idx="87">
                  <c:v>0.45757938402585463</c:v>
                </c:pt>
                <c:pt idx="88">
                  <c:v>0.45757938402585463</c:v>
                </c:pt>
                <c:pt idx="89">
                  <c:v>0.35900303261511962</c:v>
                </c:pt>
                <c:pt idx="90">
                  <c:v>0.25964824547111476</c:v>
                </c:pt>
                <c:pt idx="91">
                  <c:v>0.29693187434635765</c:v>
                </c:pt>
                <c:pt idx="92">
                  <c:v>0.32056841823861293</c:v>
                </c:pt>
                <c:pt idx="93">
                  <c:v>0.33592144603926444</c:v>
                </c:pt>
                <c:pt idx="94">
                  <c:v>0.37238969736004846</c:v>
                </c:pt>
                <c:pt idx="95">
                  <c:v>0.40184268158554787</c:v>
                </c:pt>
                <c:pt idx="96">
                  <c:v>0.42781211888417792</c:v>
                </c:pt>
                <c:pt idx="97">
                  <c:v>0.39924047129380247</c:v>
                </c:pt>
                <c:pt idx="98">
                  <c:v>0.39014107777848772</c:v>
                </c:pt>
                <c:pt idx="99">
                  <c:v>0.41658579375636867</c:v>
                </c:pt>
                <c:pt idx="100">
                  <c:v>0.48357307415388529</c:v>
                </c:pt>
                <c:pt idx="101">
                  <c:v>0.5148937636656441</c:v>
                </c:pt>
                <c:pt idx="102">
                  <c:v>0.52025766517002647</c:v>
                </c:pt>
                <c:pt idx="103">
                  <c:v>0.52539564191586352</c:v>
                </c:pt>
                <c:pt idx="104">
                  <c:v>0.52968821316915005</c:v>
                </c:pt>
                <c:pt idx="105">
                  <c:v>0.1932386781688385</c:v>
                </c:pt>
                <c:pt idx="106">
                  <c:v>0</c:v>
                </c:pt>
                <c:pt idx="107">
                  <c:v>0.45650723278615241</c:v>
                </c:pt>
                <c:pt idx="108">
                  <c:v>0.59003047229842243</c:v>
                </c:pt>
                <c:pt idx="109">
                  <c:v>0.59003047229842243</c:v>
                </c:pt>
                <c:pt idx="110">
                  <c:v>0.59110180254951783</c:v>
                </c:pt>
                <c:pt idx="111">
                  <c:v>0.45757856303768618</c:v>
                </c:pt>
                <c:pt idx="112">
                  <c:v>0</c:v>
                </c:pt>
                <c:pt idx="113">
                  <c:v>0.2840878099568192</c:v>
                </c:pt>
                <c:pt idx="114">
                  <c:v>0.52861688291761622</c:v>
                </c:pt>
                <c:pt idx="115">
                  <c:v>0.52076780858238403</c:v>
                </c:pt>
                <c:pt idx="116">
                  <c:v>0.51517798179272578</c:v>
                </c:pt>
                <c:pt idx="117">
                  <c:v>0.51071777949912356</c:v>
                </c:pt>
                <c:pt idx="118">
                  <c:v>0.507387201175723</c:v>
                </c:pt>
                <c:pt idx="119">
                  <c:v>0.507387201175723</c:v>
                </c:pt>
                <c:pt idx="120">
                  <c:v>0.5247838593277826</c:v>
                </c:pt>
                <c:pt idx="121">
                  <c:v>0.5247838593277826</c:v>
                </c:pt>
                <c:pt idx="122">
                  <c:v>0.5247838593277826</c:v>
                </c:pt>
                <c:pt idx="123">
                  <c:v>0.5247838593277826</c:v>
                </c:pt>
                <c:pt idx="124">
                  <c:v>0.45904270995664143</c:v>
                </c:pt>
                <c:pt idx="125">
                  <c:v>0.52910631414022791</c:v>
                </c:pt>
                <c:pt idx="126">
                  <c:v>0.53018692817221746</c:v>
                </c:pt>
                <c:pt idx="127">
                  <c:v>0.52910631414022791</c:v>
                </c:pt>
                <c:pt idx="128">
                  <c:v>0.49663369660734447</c:v>
                </c:pt>
                <c:pt idx="129">
                  <c:v>5.3646191440841443E-2</c:v>
                </c:pt>
                <c:pt idx="130">
                  <c:v>0.45635786979316412</c:v>
                </c:pt>
                <c:pt idx="131">
                  <c:v>0.59203305358851899</c:v>
                </c:pt>
                <c:pt idx="132">
                  <c:v>0.59095243955652943</c:v>
                </c:pt>
                <c:pt idx="133">
                  <c:v>0.59095243955652943</c:v>
                </c:pt>
                <c:pt idx="134">
                  <c:v>0.59203305358851899</c:v>
                </c:pt>
                <c:pt idx="135">
                  <c:v>0</c:v>
                </c:pt>
                <c:pt idx="136">
                  <c:v>9.0160780040040939E-2</c:v>
                </c:pt>
                <c:pt idx="137">
                  <c:v>0.53169689915764851</c:v>
                </c:pt>
                <c:pt idx="138">
                  <c:v>0.40367041047703928</c:v>
                </c:pt>
                <c:pt idx="139">
                  <c:v>0.44803345586168158</c:v>
                </c:pt>
                <c:pt idx="140">
                  <c:v>0.48215731658355276</c:v>
                </c:pt>
                <c:pt idx="141">
                  <c:v>0.50379362082921597</c:v>
                </c:pt>
                <c:pt idx="142">
                  <c:v>0.5247838593277826</c:v>
                </c:pt>
                <c:pt idx="143">
                  <c:v>0.5247838593277826</c:v>
                </c:pt>
                <c:pt idx="144">
                  <c:v>0.52599857931244542</c:v>
                </c:pt>
                <c:pt idx="145">
                  <c:v>0.40086448554627363</c:v>
                </c:pt>
                <c:pt idx="146">
                  <c:v>0.52599857931244542</c:v>
                </c:pt>
                <c:pt idx="147">
                  <c:v>0.10742382982532893</c:v>
                </c:pt>
                <c:pt idx="148">
                  <c:v>5.2699684238387424E-2</c:v>
                </c:pt>
                <c:pt idx="149">
                  <c:v>0.5303210341248904</c:v>
                </c:pt>
                <c:pt idx="150">
                  <c:v>0.53140164815687996</c:v>
                </c:pt>
                <c:pt idx="151">
                  <c:v>0.12295727331487862</c:v>
                </c:pt>
                <c:pt idx="152">
                  <c:v>0.27218232861953329</c:v>
                </c:pt>
                <c:pt idx="153">
                  <c:v>0.26709338028900925</c:v>
                </c:pt>
                <c:pt idx="154">
                  <c:v>0.12987054499255049</c:v>
                </c:pt>
                <c:pt idx="155">
                  <c:v>0.13095115902453994</c:v>
                </c:pt>
                <c:pt idx="156">
                  <c:v>0.52331585686809812</c:v>
                </c:pt>
                <c:pt idx="157">
                  <c:v>0.52331585686809812</c:v>
                </c:pt>
                <c:pt idx="158">
                  <c:v>0.52439647090008779</c:v>
                </c:pt>
                <c:pt idx="159">
                  <c:v>4.7855734168711722E-2</c:v>
                </c:pt>
                <c:pt idx="160">
                  <c:v>0.53493064145546565</c:v>
                </c:pt>
                <c:pt idx="161">
                  <c:v>0.61294686442769508</c:v>
                </c:pt>
                <c:pt idx="162">
                  <c:v>0.60834047498282484</c:v>
                </c:pt>
                <c:pt idx="163">
                  <c:v>0.59727984218799324</c:v>
                </c:pt>
                <c:pt idx="164">
                  <c:v>0.5961992285942157</c:v>
                </c:pt>
                <c:pt idx="165">
                  <c:v>0.59511861500087637</c:v>
                </c:pt>
                <c:pt idx="166">
                  <c:v>0.59295738737554782</c:v>
                </c:pt>
                <c:pt idx="167">
                  <c:v>0.52599857931244542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AF-48FF-831B-7C34CA74D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46532720"/>
        <c:axId val="1346535120"/>
      </c:barChart>
      <c:catAx>
        <c:axId val="13465327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ES"/>
          </a:p>
        </c:txPr>
        <c:crossAx val="1346535120"/>
        <c:crosses val="autoZero"/>
        <c:auto val="1"/>
        <c:lblAlgn val="ctr"/>
        <c:lblOffset val="100"/>
        <c:noMultiLvlLbl val="0"/>
      </c:catAx>
      <c:valAx>
        <c:axId val="134653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4653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71197941720494"/>
          <c:y val="0.10815787374081016"/>
          <c:w val="0.83525051870606315"/>
          <c:h val="0.75294957682615582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Mode.2busSRES!$C$3</c:f>
              <c:strCache>
                <c:ptCount val="1"/>
                <c:pt idx="0">
                  <c:v>% Usage SRES Excedentes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Mode.2busSRES!$C$4:$C$172</c:f>
              <c:numCache>
                <c:formatCode>0%</c:formatCode>
                <c:ptCount val="169"/>
                <c:pt idx="0">
                  <c:v>0.137569108</c:v>
                </c:pt>
                <c:pt idx="1">
                  <c:v>0.14721593849999998</c:v>
                </c:pt>
                <c:pt idx="2">
                  <c:v>0.14972768999999997</c:v>
                </c:pt>
                <c:pt idx="3">
                  <c:v>0.15348561699999999</c:v>
                </c:pt>
                <c:pt idx="4">
                  <c:v>0.16090683950000001</c:v>
                </c:pt>
                <c:pt idx="5">
                  <c:v>0.1618715775</c:v>
                </c:pt>
                <c:pt idx="6">
                  <c:v>0.15136730100000001</c:v>
                </c:pt>
                <c:pt idx="7">
                  <c:v>0.12266664400000001</c:v>
                </c:pt>
                <c:pt idx="8">
                  <c:v>0.10047183750000001</c:v>
                </c:pt>
                <c:pt idx="9">
                  <c:v>0.20900213000000001</c:v>
                </c:pt>
                <c:pt idx="10">
                  <c:v>0.38681538249999997</c:v>
                </c:pt>
                <c:pt idx="11">
                  <c:v>0.49274317550000002</c:v>
                </c:pt>
                <c:pt idx="12">
                  <c:v>0.545278559</c:v>
                </c:pt>
                <c:pt idx="13">
                  <c:v>0.55382860150000002</c:v>
                </c:pt>
                <c:pt idx="14">
                  <c:v>0.52173405000000006</c:v>
                </c:pt>
                <c:pt idx="15">
                  <c:v>0.45921048549999999</c:v>
                </c:pt>
                <c:pt idx="16">
                  <c:v>0.33235692849999998</c:v>
                </c:pt>
                <c:pt idx="17">
                  <c:v>0.13939906199999999</c:v>
                </c:pt>
                <c:pt idx="18">
                  <c:v>7.949075450000001E-2</c:v>
                </c:pt>
                <c:pt idx="19">
                  <c:v>7.7469371499999995E-2</c:v>
                </c:pt>
                <c:pt idx="20">
                  <c:v>7.823186750000001E-2</c:v>
                </c:pt>
                <c:pt idx="21">
                  <c:v>8.0872818500000013E-2</c:v>
                </c:pt>
                <c:pt idx="22">
                  <c:v>8.6466109000000013E-2</c:v>
                </c:pt>
                <c:pt idx="23">
                  <c:v>9.1552286499999996E-2</c:v>
                </c:pt>
                <c:pt idx="24">
                  <c:v>9.5654084E-2</c:v>
                </c:pt>
                <c:pt idx="25">
                  <c:v>9.2314950500000006E-2</c:v>
                </c:pt>
                <c:pt idx="26">
                  <c:v>8.7601658000000013E-2</c:v>
                </c:pt>
                <c:pt idx="27">
                  <c:v>8.2043902500000002E-2</c:v>
                </c:pt>
                <c:pt idx="28">
                  <c:v>7.7927700000000003E-2</c:v>
                </c:pt>
                <c:pt idx="29">
                  <c:v>7.4070865499999999E-2</c:v>
                </c:pt>
                <c:pt idx="30">
                  <c:v>6.68940965E-2</c:v>
                </c:pt>
                <c:pt idx="31">
                  <c:v>5.7628776000000007E-2</c:v>
                </c:pt>
                <c:pt idx="32">
                  <c:v>6.0687014500000004E-2</c:v>
                </c:pt>
                <c:pt idx="33">
                  <c:v>0.16144252349999999</c:v>
                </c:pt>
                <c:pt idx="34">
                  <c:v>0.320429358</c:v>
                </c:pt>
                <c:pt idx="35">
                  <c:v>0.41978464450000003</c:v>
                </c:pt>
                <c:pt idx="36">
                  <c:v>0.4801225845</c:v>
                </c:pt>
                <c:pt idx="37">
                  <c:v>0.49760531250000006</c:v>
                </c:pt>
                <c:pt idx="38">
                  <c:v>0.47601111150000003</c:v>
                </c:pt>
                <c:pt idx="39">
                  <c:v>0.40767566500000002</c:v>
                </c:pt>
                <c:pt idx="40">
                  <c:v>0.27468575700000003</c:v>
                </c:pt>
                <c:pt idx="41">
                  <c:v>9.2596544000000003E-2</c:v>
                </c:pt>
                <c:pt idx="42">
                  <c:v>5.7813811500000006E-2</c:v>
                </c:pt>
                <c:pt idx="43">
                  <c:v>6.913830750000001E-2</c:v>
                </c:pt>
                <c:pt idx="44">
                  <c:v>6.5308859499999997E-2</c:v>
                </c:pt>
                <c:pt idx="45">
                  <c:v>5.7015317000000003E-2</c:v>
                </c:pt>
                <c:pt idx="46">
                  <c:v>5.3697411500000007E-2</c:v>
                </c:pt>
                <c:pt idx="47">
                  <c:v>5.1712478499999999E-2</c:v>
                </c:pt>
                <c:pt idx="48">
                  <c:v>5.3874884500000005E-2</c:v>
                </c:pt>
                <c:pt idx="49">
                  <c:v>5.5748259000000001E-2</c:v>
                </c:pt>
                <c:pt idx="50">
                  <c:v>5.6754227500000004E-2</c:v>
                </c:pt>
                <c:pt idx="51">
                  <c:v>5.4581539999999998E-2</c:v>
                </c:pt>
                <c:pt idx="52">
                  <c:v>5.2371183000000002E-2</c:v>
                </c:pt>
                <c:pt idx="53">
                  <c:v>5.0667736999999997E-2</c:v>
                </c:pt>
                <c:pt idx="54">
                  <c:v>4.6813309500000004E-2</c:v>
                </c:pt>
                <c:pt idx="55">
                  <c:v>4.02590315E-2</c:v>
                </c:pt>
                <c:pt idx="56">
                  <c:v>4.3651841999999996E-2</c:v>
                </c:pt>
                <c:pt idx="57">
                  <c:v>0.15218203249999998</c:v>
                </c:pt>
                <c:pt idx="58">
                  <c:v>0.3013970695</c:v>
                </c:pt>
                <c:pt idx="59">
                  <c:v>0.3897545255</c:v>
                </c:pt>
                <c:pt idx="60">
                  <c:v>0.43600436049999997</c:v>
                </c:pt>
                <c:pt idx="61">
                  <c:v>0.44274735700000001</c:v>
                </c:pt>
                <c:pt idx="62">
                  <c:v>0.41433707400000003</c:v>
                </c:pt>
                <c:pt idx="63">
                  <c:v>0.34959182400000005</c:v>
                </c:pt>
                <c:pt idx="64">
                  <c:v>0.22550651499999999</c:v>
                </c:pt>
                <c:pt idx="65">
                  <c:v>6.2051748999999996E-2</c:v>
                </c:pt>
                <c:pt idx="66">
                  <c:v>1.61935715E-2</c:v>
                </c:pt>
                <c:pt idx="67">
                  <c:v>1.6517008E-2</c:v>
                </c:pt>
                <c:pt idx="68">
                  <c:v>1.0881455999999998E-2</c:v>
                </c:pt>
                <c:pt idx="69">
                  <c:v>8.7434860000000017E-3</c:v>
                </c:pt>
                <c:pt idx="70">
                  <c:v>9.3609334999999998E-3</c:v>
                </c:pt>
                <c:pt idx="71">
                  <c:v>9.7192045000000001E-3</c:v>
                </c:pt>
                <c:pt idx="72">
                  <c:v>1.13987715E-2</c:v>
                </c:pt>
                <c:pt idx="73">
                  <c:v>1.3365764000000002E-2</c:v>
                </c:pt>
                <c:pt idx="74">
                  <c:v>1.63255465E-2</c:v>
                </c:pt>
                <c:pt idx="75">
                  <c:v>2.0290869E-2</c:v>
                </c:pt>
                <c:pt idx="76">
                  <c:v>2.5491142000000001E-2</c:v>
                </c:pt>
                <c:pt idx="77">
                  <c:v>2.9686881500000002E-2</c:v>
                </c:pt>
                <c:pt idx="78">
                  <c:v>3.3030476500000003E-2</c:v>
                </c:pt>
                <c:pt idx="79">
                  <c:v>3.4984913500000006E-2</c:v>
                </c:pt>
                <c:pt idx="80">
                  <c:v>4.2807225000000004E-2</c:v>
                </c:pt>
                <c:pt idx="81">
                  <c:v>0.11992259750000002</c:v>
                </c:pt>
                <c:pt idx="82">
                  <c:v>0.23203382000000003</c:v>
                </c:pt>
                <c:pt idx="83">
                  <c:v>0.31911248850000001</c:v>
                </c:pt>
                <c:pt idx="84">
                  <c:v>0.37937366449999999</c:v>
                </c:pt>
                <c:pt idx="85">
                  <c:v>0.40132437700000001</c:v>
                </c:pt>
                <c:pt idx="86">
                  <c:v>0.38831428650000005</c:v>
                </c:pt>
                <c:pt idx="87">
                  <c:v>0.35343019949999999</c:v>
                </c:pt>
                <c:pt idx="88">
                  <c:v>0.27939292049999997</c:v>
                </c:pt>
                <c:pt idx="89">
                  <c:v>0.15399440649999999</c:v>
                </c:pt>
                <c:pt idx="90">
                  <c:v>0.1113760765</c:v>
                </c:pt>
                <c:pt idx="91">
                  <c:v>0.1273688835</c:v>
                </c:pt>
                <c:pt idx="92">
                  <c:v>0.13750777550000001</c:v>
                </c:pt>
                <c:pt idx="93">
                  <c:v>0.1440934545</c:v>
                </c:pt>
                <c:pt idx="94">
                  <c:v>0.15973650549999999</c:v>
                </c:pt>
                <c:pt idx="95">
                  <c:v>0.1769914685</c:v>
                </c:pt>
                <c:pt idx="96">
                  <c:v>0.18350994500000001</c:v>
                </c:pt>
                <c:pt idx="97">
                  <c:v>0.171254141</c:v>
                </c:pt>
                <c:pt idx="98">
                  <c:v>0.16735095750000001</c:v>
                </c:pt>
                <c:pt idx="99">
                  <c:v>0.17869441450000001</c:v>
                </c:pt>
                <c:pt idx="100">
                  <c:v>0.20742859850000001</c:v>
                </c:pt>
                <c:pt idx="101">
                  <c:v>0.23538138750000004</c:v>
                </c:pt>
                <c:pt idx="102">
                  <c:v>0.24878473200000001</c:v>
                </c:pt>
                <c:pt idx="103">
                  <c:v>0.25679506550000003</c:v>
                </c:pt>
                <c:pt idx="104">
                  <c:v>0.27408849800000001</c:v>
                </c:pt>
                <c:pt idx="105">
                  <c:v>0.35520804400000006</c:v>
                </c:pt>
                <c:pt idx="106">
                  <c:v>0.4992589125000001</c:v>
                </c:pt>
                <c:pt idx="107">
                  <c:v>0.61450218700000003</c:v>
                </c:pt>
                <c:pt idx="108">
                  <c:v>0.69936585500000004</c:v>
                </c:pt>
                <c:pt idx="109">
                  <c:v>0.74157466350000001</c:v>
                </c:pt>
                <c:pt idx="110">
                  <c:v>0.73918647400000015</c:v>
                </c:pt>
                <c:pt idx="111">
                  <c:v>0.67177886400000009</c:v>
                </c:pt>
                <c:pt idx="112">
                  <c:v>0.55078592300000007</c:v>
                </c:pt>
                <c:pt idx="113">
                  <c:v>0.36257969850000005</c:v>
                </c:pt>
                <c:pt idx="114">
                  <c:v>0.267039633</c:v>
                </c:pt>
                <c:pt idx="115">
                  <c:v>0.24170503900000001</c:v>
                </c:pt>
                <c:pt idx="116">
                  <c:v>0.23497530550000001</c:v>
                </c:pt>
                <c:pt idx="117">
                  <c:v>0.2351319285</c:v>
                </c:pt>
                <c:pt idx="118">
                  <c:v>0.23467372700000003</c:v>
                </c:pt>
                <c:pt idx="119">
                  <c:v>0.23937082700000001</c:v>
                </c:pt>
                <c:pt idx="120">
                  <c:v>0.24651134300000002</c:v>
                </c:pt>
                <c:pt idx="121">
                  <c:v>0.24693112800000003</c:v>
                </c:pt>
                <c:pt idx="122">
                  <c:v>0.24364427899999999</c:v>
                </c:pt>
                <c:pt idx="123">
                  <c:v>0.2430156765</c:v>
                </c:pt>
                <c:pt idx="124">
                  <c:v>0.24217606150000001</c:v>
                </c:pt>
                <c:pt idx="125">
                  <c:v>0.2394199135</c:v>
                </c:pt>
                <c:pt idx="126">
                  <c:v>0.23637616050000002</c:v>
                </c:pt>
                <c:pt idx="127">
                  <c:v>0.22874214400000004</c:v>
                </c:pt>
                <c:pt idx="128">
                  <c:v>0.22287800050000001</c:v>
                </c:pt>
                <c:pt idx="129">
                  <c:v>0.33922182450000005</c:v>
                </c:pt>
                <c:pt idx="130">
                  <c:v>0.52079639250000009</c:v>
                </c:pt>
                <c:pt idx="131">
                  <c:v>0.62779123650000002</c:v>
                </c:pt>
                <c:pt idx="132">
                  <c:v>0.67584344399999996</c:v>
                </c:pt>
                <c:pt idx="133">
                  <c:v>0.67583734900000003</c:v>
                </c:pt>
                <c:pt idx="134">
                  <c:v>0.63394426349999999</c:v>
                </c:pt>
                <c:pt idx="135">
                  <c:v>0.55365693849999997</c:v>
                </c:pt>
                <c:pt idx="136">
                  <c:v>0.42445063200000005</c:v>
                </c:pt>
                <c:pt idx="137">
                  <c:v>0.22807142350000001</c:v>
                </c:pt>
                <c:pt idx="138">
                  <c:v>0.17315436300000001</c:v>
                </c:pt>
                <c:pt idx="139">
                  <c:v>0.19218388450000001</c:v>
                </c:pt>
                <c:pt idx="140">
                  <c:v>0.20682130949999999</c:v>
                </c:pt>
                <c:pt idx="141">
                  <c:v>0.21610219899999999</c:v>
                </c:pt>
                <c:pt idx="142">
                  <c:v>0.22923816299999999</c:v>
                </c:pt>
                <c:pt idx="143">
                  <c:v>0.24307121700000001</c:v>
                </c:pt>
                <c:pt idx="144">
                  <c:v>0.26178529100000003</c:v>
                </c:pt>
                <c:pt idx="145">
                  <c:v>0.282023574</c:v>
                </c:pt>
                <c:pt idx="146">
                  <c:v>0.30216264250000002</c:v>
                </c:pt>
                <c:pt idx="147">
                  <c:v>0.32340261749999999</c:v>
                </c:pt>
                <c:pt idx="148">
                  <c:v>0.34444284150000004</c:v>
                </c:pt>
                <c:pt idx="149">
                  <c:v>0.35446709850000002</c:v>
                </c:pt>
                <c:pt idx="150">
                  <c:v>0.34855354000000005</c:v>
                </c:pt>
                <c:pt idx="151">
                  <c:v>0.33536397200000001</c:v>
                </c:pt>
                <c:pt idx="152">
                  <c:v>0.32113396550000001</c:v>
                </c:pt>
                <c:pt idx="153">
                  <c:v>0.33643357150000003</c:v>
                </c:pt>
                <c:pt idx="154">
                  <c:v>0.3957898205</c:v>
                </c:pt>
                <c:pt idx="155">
                  <c:v>0.4666986655</c:v>
                </c:pt>
                <c:pt idx="156">
                  <c:v>0.54136546000000008</c:v>
                </c:pt>
                <c:pt idx="157">
                  <c:v>0.58814713900000004</c:v>
                </c:pt>
                <c:pt idx="158">
                  <c:v>0.59705146650000007</c:v>
                </c:pt>
                <c:pt idx="159">
                  <c:v>0.55856540750000006</c:v>
                </c:pt>
                <c:pt idx="160">
                  <c:v>0.50371671900000003</c:v>
                </c:pt>
                <c:pt idx="161">
                  <c:v>0.41284058199999996</c:v>
                </c:pt>
                <c:pt idx="162">
                  <c:v>0.35847267599999999</c:v>
                </c:pt>
                <c:pt idx="163">
                  <c:v>0.34858253150000001</c:v>
                </c:pt>
                <c:pt idx="164">
                  <c:v>0.3513222285</c:v>
                </c:pt>
                <c:pt idx="165">
                  <c:v>0.35843973300000004</c:v>
                </c:pt>
                <c:pt idx="166">
                  <c:v>0.36677005899999998</c:v>
                </c:pt>
                <c:pt idx="167">
                  <c:v>0.37645962500000002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23-4A6C-97CD-FF3CDEC33AF0}"/>
            </c:ext>
          </c:extLst>
        </c:ser>
        <c:ser>
          <c:idx val="1"/>
          <c:order val="1"/>
          <c:tx>
            <c:strRef>
              <c:f>Mode.2busSRES!$E$3</c:f>
              <c:strCache>
                <c:ptCount val="1"/>
                <c:pt idx="0">
                  <c:v>% Usage SRES Electrolizador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Mode.2busSRES!$E$4:$E$172</c:f>
              <c:numCache>
                <c:formatCode>0%</c:formatCode>
                <c:ptCount val="169"/>
                <c:pt idx="0">
                  <c:v>0.137569108</c:v>
                </c:pt>
                <c:pt idx="1">
                  <c:v>0.1472159385</c:v>
                </c:pt>
                <c:pt idx="2">
                  <c:v>0.14972769</c:v>
                </c:pt>
                <c:pt idx="3">
                  <c:v>0.15348561700000002</c:v>
                </c:pt>
                <c:pt idx="4">
                  <c:v>0.16090683950000001</c:v>
                </c:pt>
                <c:pt idx="5">
                  <c:v>0.1618715775</c:v>
                </c:pt>
                <c:pt idx="6">
                  <c:v>0.15136730100000001</c:v>
                </c:pt>
                <c:pt idx="7">
                  <c:v>0.12266664400000001</c:v>
                </c:pt>
                <c:pt idx="8">
                  <c:v>0.10047183750000001</c:v>
                </c:pt>
                <c:pt idx="9">
                  <c:v>0.20900213000000001</c:v>
                </c:pt>
                <c:pt idx="10">
                  <c:v>0.38681538250000003</c:v>
                </c:pt>
                <c:pt idx="11">
                  <c:v>0.49274317550000002</c:v>
                </c:pt>
                <c:pt idx="12">
                  <c:v>0.52352298543602116</c:v>
                </c:pt>
                <c:pt idx="13">
                  <c:v>0.52352298543602116</c:v>
                </c:pt>
                <c:pt idx="14">
                  <c:v>0.52173405000000006</c:v>
                </c:pt>
                <c:pt idx="15">
                  <c:v>0.45921048550000004</c:v>
                </c:pt>
                <c:pt idx="16">
                  <c:v>0.33235692849999998</c:v>
                </c:pt>
                <c:pt idx="17">
                  <c:v>0.13939906199999999</c:v>
                </c:pt>
                <c:pt idx="18">
                  <c:v>7.9490754499999997E-2</c:v>
                </c:pt>
                <c:pt idx="19">
                  <c:v>7.7469371500000009E-2</c:v>
                </c:pt>
                <c:pt idx="20">
                  <c:v>7.8231867499999996E-2</c:v>
                </c:pt>
                <c:pt idx="21">
                  <c:v>8.0872818499999999E-2</c:v>
                </c:pt>
                <c:pt idx="22">
                  <c:v>8.6466108999999999E-2</c:v>
                </c:pt>
                <c:pt idx="23">
                  <c:v>9.1552286499999996E-2</c:v>
                </c:pt>
                <c:pt idx="24">
                  <c:v>9.5654084E-2</c:v>
                </c:pt>
                <c:pt idx="25">
                  <c:v>9.2314950499999993E-2</c:v>
                </c:pt>
                <c:pt idx="26">
                  <c:v>8.7601657999999999E-2</c:v>
                </c:pt>
                <c:pt idx="27">
                  <c:v>8.2043902499999988E-2</c:v>
                </c:pt>
                <c:pt idx="28">
                  <c:v>7.7927700000000003E-2</c:v>
                </c:pt>
                <c:pt idx="29">
                  <c:v>7.4070865499999999E-2</c:v>
                </c:pt>
                <c:pt idx="30">
                  <c:v>6.68940965E-2</c:v>
                </c:pt>
                <c:pt idx="31">
                  <c:v>5.7628776E-2</c:v>
                </c:pt>
                <c:pt idx="32">
                  <c:v>6.0687014500000004E-2</c:v>
                </c:pt>
                <c:pt idx="33">
                  <c:v>0.16144252349999999</c:v>
                </c:pt>
                <c:pt idx="34">
                  <c:v>0.320429358</c:v>
                </c:pt>
                <c:pt idx="35">
                  <c:v>0.41978464449999997</c:v>
                </c:pt>
                <c:pt idx="36">
                  <c:v>0.4801225845</c:v>
                </c:pt>
                <c:pt idx="37">
                  <c:v>0.49760531249999995</c:v>
                </c:pt>
                <c:pt idx="38">
                  <c:v>0.47601111149999997</c:v>
                </c:pt>
                <c:pt idx="39">
                  <c:v>0.40767566499999996</c:v>
                </c:pt>
                <c:pt idx="40">
                  <c:v>0.27468575699999997</c:v>
                </c:pt>
                <c:pt idx="41">
                  <c:v>9.2596544000000003E-2</c:v>
                </c:pt>
                <c:pt idx="42">
                  <c:v>5.7813811499999992E-2</c:v>
                </c:pt>
                <c:pt idx="43">
                  <c:v>6.9138307499999996E-2</c:v>
                </c:pt>
                <c:pt idx="44">
                  <c:v>6.5308859499999997E-2</c:v>
                </c:pt>
                <c:pt idx="45">
                  <c:v>5.7015317000000003E-2</c:v>
                </c:pt>
                <c:pt idx="46">
                  <c:v>5.36974115E-2</c:v>
                </c:pt>
                <c:pt idx="47">
                  <c:v>5.1712478499999999E-2</c:v>
                </c:pt>
                <c:pt idx="48">
                  <c:v>5.3874884500000005E-2</c:v>
                </c:pt>
                <c:pt idx="49">
                  <c:v>5.5748259000000001E-2</c:v>
                </c:pt>
                <c:pt idx="50">
                  <c:v>5.6754227500000004E-2</c:v>
                </c:pt>
                <c:pt idx="51">
                  <c:v>5.4581539999999998E-2</c:v>
                </c:pt>
                <c:pt idx="52">
                  <c:v>5.2371183000000002E-2</c:v>
                </c:pt>
                <c:pt idx="53">
                  <c:v>5.0667737000000004E-2</c:v>
                </c:pt>
                <c:pt idx="54">
                  <c:v>4.6813309500000004E-2</c:v>
                </c:pt>
                <c:pt idx="55">
                  <c:v>4.02590315E-2</c:v>
                </c:pt>
                <c:pt idx="56">
                  <c:v>4.3651841999999996E-2</c:v>
                </c:pt>
                <c:pt idx="57">
                  <c:v>0.15218203249999998</c:v>
                </c:pt>
                <c:pt idx="58">
                  <c:v>0.3013970695</c:v>
                </c:pt>
                <c:pt idx="59">
                  <c:v>0.38975452550000006</c:v>
                </c:pt>
                <c:pt idx="60">
                  <c:v>0.43600436050000002</c:v>
                </c:pt>
                <c:pt idx="61">
                  <c:v>0.44274735700000001</c:v>
                </c:pt>
                <c:pt idx="62">
                  <c:v>0.41433707400000003</c:v>
                </c:pt>
                <c:pt idx="63">
                  <c:v>0.349591824</c:v>
                </c:pt>
                <c:pt idx="64">
                  <c:v>0.22550651500000002</c:v>
                </c:pt>
                <c:pt idx="65">
                  <c:v>6.2051748999999996E-2</c:v>
                </c:pt>
                <c:pt idx="66">
                  <c:v>1.6193571499999997E-2</c:v>
                </c:pt>
                <c:pt idx="67">
                  <c:v>1.6517008E-2</c:v>
                </c:pt>
                <c:pt idx="68">
                  <c:v>1.0881455999999999E-2</c:v>
                </c:pt>
                <c:pt idx="69">
                  <c:v>8.743486E-3</c:v>
                </c:pt>
                <c:pt idx="70">
                  <c:v>9.3609334999999998E-3</c:v>
                </c:pt>
                <c:pt idx="71">
                  <c:v>9.7192045000000001E-3</c:v>
                </c:pt>
                <c:pt idx="72">
                  <c:v>1.13987715E-2</c:v>
                </c:pt>
                <c:pt idx="73">
                  <c:v>1.3365763999999999E-2</c:v>
                </c:pt>
                <c:pt idx="74">
                  <c:v>1.63255465E-2</c:v>
                </c:pt>
                <c:pt idx="75">
                  <c:v>2.0290869E-2</c:v>
                </c:pt>
                <c:pt idx="76">
                  <c:v>2.5491142000000001E-2</c:v>
                </c:pt>
                <c:pt idx="77">
                  <c:v>2.9686881500000002E-2</c:v>
                </c:pt>
                <c:pt idx="78">
                  <c:v>3.3030476500000003E-2</c:v>
                </c:pt>
                <c:pt idx="79">
                  <c:v>3.4984913499999999E-2</c:v>
                </c:pt>
                <c:pt idx="80">
                  <c:v>4.2807224999999997E-2</c:v>
                </c:pt>
                <c:pt idx="81">
                  <c:v>0.11992259750000001</c:v>
                </c:pt>
                <c:pt idx="82">
                  <c:v>0.23203382</c:v>
                </c:pt>
                <c:pt idx="83">
                  <c:v>0.31911248849999996</c:v>
                </c:pt>
                <c:pt idx="84">
                  <c:v>0.37937366449999999</c:v>
                </c:pt>
                <c:pt idx="85">
                  <c:v>0.40132437700000007</c:v>
                </c:pt>
                <c:pt idx="86">
                  <c:v>0.38831428649999999</c:v>
                </c:pt>
                <c:pt idx="87">
                  <c:v>0.35343019949999999</c:v>
                </c:pt>
                <c:pt idx="88">
                  <c:v>0.27939292050000003</c:v>
                </c:pt>
                <c:pt idx="89">
                  <c:v>0.15399440650000001</c:v>
                </c:pt>
                <c:pt idx="90">
                  <c:v>0.1113760765</c:v>
                </c:pt>
                <c:pt idx="91">
                  <c:v>0.1273688835</c:v>
                </c:pt>
                <c:pt idx="92">
                  <c:v>0.13750777550000001</c:v>
                </c:pt>
                <c:pt idx="93">
                  <c:v>0.1440934545</c:v>
                </c:pt>
                <c:pt idx="94">
                  <c:v>0.15973650549999999</c:v>
                </c:pt>
                <c:pt idx="95">
                  <c:v>0.1769914685</c:v>
                </c:pt>
                <c:pt idx="96">
                  <c:v>0.18350994500000001</c:v>
                </c:pt>
                <c:pt idx="97">
                  <c:v>0.171254141</c:v>
                </c:pt>
                <c:pt idx="98">
                  <c:v>0.16735095750000001</c:v>
                </c:pt>
                <c:pt idx="99">
                  <c:v>0.17869441450000001</c:v>
                </c:pt>
                <c:pt idx="100">
                  <c:v>0.20742859850000001</c:v>
                </c:pt>
                <c:pt idx="101">
                  <c:v>0.23538138749999998</c:v>
                </c:pt>
                <c:pt idx="102">
                  <c:v>0.24878473200000001</c:v>
                </c:pt>
                <c:pt idx="103">
                  <c:v>0.25679506549999997</c:v>
                </c:pt>
                <c:pt idx="104">
                  <c:v>0.27408849799999996</c:v>
                </c:pt>
                <c:pt idx="105">
                  <c:v>0.355208044</c:v>
                </c:pt>
                <c:pt idx="106">
                  <c:v>0.49925891249999999</c:v>
                </c:pt>
                <c:pt idx="107">
                  <c:v>0.52459103173444344</c:v>
                </c:pt>
                <c:pt idx="108">
                  <c:v>0.45543590253505706</c:v>
                </c:pt>
                <c:pt idx="109">
                  <c:v>0.52351970148334803</c:v>
                </c:pt>
                <c:pt idx="110">
                  <c:v>0.52459103173444344</c:v>
                </c:pt>
                <c:pt idx="111">
                  <c:v>0.52566236198597738</c:v>
                </c:pt>
                <c:pt idx="112">
                  <c:v>0.45757856303768629</c:v>
                </c:pt>
                <c:pt idx="113">
                  <c:v>0.36257969849999999</c:v>
                </c:pt>
                <c:pt idx="114">
                  <c:v>0.26703963299999994</c:v>
                </c:pt>
                <c:pt idx="115">
                  <c:v>0.24170503900000001</c:v>
                </c:pt>
                <c:pt idx="116">
                  <c:v>0.23497530550000001</c:v>
                </c:pt>
                <c:pt idx="117">
                  <c:v>0.23513192849999998</c:v>
                </c:pt>
                <c:pt idx="118">
                  <c:v>0.234673727</c:v>
                </c:pt>
                <c:pt idx="119">
                  <c:v>0.23937082700000001</c:v>
                </c:pt>
                <c:pt idx="120">
                  <c:v>0.24651134299999999</c:v>
                </c:pt>
                <c:pt idx="121">
                  <c:v>0.246931128</c:v>
                </c:pt>
                <c:pt idx="122">
                  <c:v>0.24364427900000002</c:v>
                </c:pt>
                <c:pt idx="123">
                  <c:v>0.2430156765</c:v>
                </c:pt>
                <c:pt idx="124">
                  <c:v>0.24217606150000001</c:v>
                </c:pt>
                <c:pt idx="125">
                  <c:v>0.2394199135</c:v>
                </c:pt>
                <c:pt idx="126">
                  <c:v>0.23637616049999999</c:v>
                </c:pt>
                <c:pt idx="127">
                  <c:v>0.22874214399999998</c:v>
                </c:pt>
                <c:pt idx="128">
                  <c:v>0.22287800050000001</c:v>
                </c:pt>
                <c:pt idx="129">
                  <c:v>0.33922182449999999</c:v>
                </c:pt>
                <c:pt idx="130">
                  <c:v>0.52079639249999998</c:v>
                </c:pt>
                <c:pt idx="131">
                  <c:v>0.52552228277344437</c:v>
                </c:pt>
                <c:pt idx="132">
                  <c:v>0.52444166874145492</c:v>
                </c:pt>
                <c:pt idx="133">
                  <c:v>0.52444166874145492</c:v>
                </c:pt>
                <c:pt idx="134">
                  <c:v>0.52552228277344437</c:v>
                </c:pt>
                <c:pt idx="135">
                  <c:v>0.52444166874145481</c:v>
                </c:pt>
                <c:pt idx="136">
                  <c:v>0.42445063199999999</c:v>
                </c:pt>
                <c:pt idx="137">
                  <c:v>0.22807142350000001</c:v>
                </c:pt>
                <c:pt idx="138">
                  <c:v>0.17315436300000003</c:v>
                </c:pt>
                <c:pt idx="139">
                  <c:v>0.19218388450000001</c:v>
                </c:pt>
                <c:pt idx="140">
                  <c:v>0.20682130949999999</c:v>
                </c:pt>
                <c:pt idx="141">
                  <c:v>0.21610219899999999</c:v>
                </c:pt>
                <c:pt idx="142">
                  <c:v>0.22923816300000002</c:v>
                </c:pt>
                <c:pt idx="143">
                  <c:v>0.24307121700000001</c:v>
                </c:pt>
                <c:pt idx="144">
                  <c:v>0.26178529099999998</c:v>
                </c:pt>
                <c:pt idx="145">
                  <c:v>0.282023574</c:v>
                </c:pt>
                <c:pt idx="146">
                  <c:v>0.30216264250000002</c:v>
                </c:pt>
                <c:pt idx="147">
                  <c:v>0.32340261749999999</c:v>
                </c:pt>
                <c:pt idx="148">
                  <c:v>0.34444284149999999</c:v>
                </c:pt>
                <c:pt idx="149">
                  <c:v>0.35446709850000002</c:v>
                </c:pt>
                <c:pt idx="150">
                  <c:v>0.34855354</c:v>
                </c:pt>
                <c:pt idx="151">
                  <c:v>0.33536397200000001</c:v>
                </c:pt>
                <c:pt idx="152">
                  <c:v>0.32113396550000001</c:v>
                </c:pt>
                <c:pt idx="153">
                  <c:v>0.33643357150000008</c:v>
                </c:pt>
                <c:pt idx="154">
                  <c:v>0.39578982050000006</c:v>
                </c:pt>
                <c:pt idx="155">
                  <c:v>0.46669866550000005</c:v>
                </c:pt>
                <c:pt idx="156">
                  <c:v>0.54136546000000008</c:v>
                </c:pt>
                <c:pt idx="157">
                  <c:v>0.58814713900000004</c:v>
                </c:pt>
                <c:pt idx="158">
                  <c:v>0.59705146649999996</c:v>
                </c:pt>
                <c:pt idx="159">
                  <c:v>0.55856540750000006</c:v>
                </c:pt>
                <c:pt idx="160">
                  <c:v>0.50371671899999992</c:v>
                </c:pt>
                <c:pt idx="161">
                  <c:v>0.41284058199999996</c:v>
                </c:pt>
                <c:pt idx="162">
                  <c:v>0.35847267599999999</c:v>
                </c:pt>
                <c:pt idx="163">
                  <c:v>0.34858253150000001</c:v>
                </c:pt>
                <c:pt idx="164">
                  <c:v>0.3513222285</c:v>
                </c:pt>
                <c:pt idx="165">
                  <c:v>0.35843973300000004</c:v>
                </c:pt>
                <c:pt idx="166">
                  <c:v>0.36677005900000004</c:v>
                </c:pt>
                <c:pt idx="167">
                  <c:v>0.37645962499999996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23-4A6C-97CD-FF3CDEC33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426214768"/>
        <c:axId val="1426218128"/>
      </c:barChart>
      <c:catAx>
        <c:axId val="1426214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s-ES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Utilización sres excedentes vs</a:t>
                </a:r>
                <a:r>
                  <a:rPr lang="es-ES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electrolizador</a:t>
                </a:r>
                <a:endParaRPr lang="es-ES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ES"/>
          </a:p>
        </c:txPr>
        <c:crossAx val="1426218128"/>
        <c:crosses val="autoZero"/>
        <c:auto val="1"/>
        <c:lblAlgn val="ctr"/>
        <c:lblOffset val="100"/>
        <c:noMultiLvlLbl val="0"/>
      </c:catAx>
      <c:valAx>
        <c:axId val="142621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ES"/>
          </a:p>
        </c:txPr>
        <c:crossAx val="1426214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9.6907833431405979E-2"/>
          <c:y val="7.9524948027743635E-3"/>
          <c:w val="0.73349652659565556"/>
          <c:h val="9.60619417856941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Capacidad Restante Utilizable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Mode.2busSRES!$B$3</c:f>
              <c:strCache>
                <c:ptCount val="1"/>
                <c:pt idx="0">
                  <c:v>SRES_ Excedentes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Mode.2busSRES!$B$4:$B$171</c:f>
              <c:numCache>
                <c:formatCode>General</c:formatCode>
                <c:ptCount val="168"/>
                <c:pt idx="0">
                  <c:v>5970.4387567924796</c:v>
                </c:pt>
                <c:pt idx="1">
                  <c:v>6389.1069558870586</c:v>
                </c:pt>
                <c:pt idx="2">
                  <c:v>6498.1158658163986</c:v>
                </c:pt>
                <c:pt idx="3">
                  <c:v>6661.2082441285193</c:v>
                </c:pt>
                <c:pt idx="4">
                  <c:v>6983.28603529062</c:v>
                </c:pt>
                <c:pt idx="5">
                  <c:v>7025.1552400058999</c:v>
                </c:pt>
                <c:pt idx="6">
                  <c:v>6569.2742617875601</c:v>
                </c:pt>
                <c:pt idx="7">
                  <c:v>5323.6783762766399</c:v>
                </c:pt>
                <c:pt idx="8">
                  <c:v>4360.4335398915</c:v>
                </c:pt>
                <c:pt idx="9">
                  <c:v>9070.6004810628001</c:v>
                </c:pt>
                <c:pt idx="10">
                  <c:v>16787.617401731699</c:v>
                </c:pt>
                <c:pt idx="11">
                  <c:v>21384.83700970278</c:v>
                </c:pt>
                <c:pt idx="12">
                  <c:v>23664.849538034039</c:v>
                </c:pt>
                <c:pt idx="13">
                  <c:v>24035.917620515342</c:v>
                </c:pt>
                <c:pt idx="14">
                  <c:v>22643.028207018</c:v>
                </c:pt>
                <c:pt idx="15">
                  <c:v>19929.533018086378</c:v>
                </c:pt>
                <c:pt idx="16">
                  <c:v>14424.144459851459</c:v>
                </c:pt>
                <c:pt idx="17">
                  <c:v>6049.8579552127194</c:v>
                </c:pt>
                <c:pt idx="18">
                  <c:v>3449.8637693680203</c:v>
                </c:pt>
                <c:pt idx="19">
                  <c:v>3362.1366365765398</c:v>
                </c:pt>
                <c:pt idx="20">
                  <c:v>3395.2286274783</c:v>
                </c:pt>
                <c:pt idx="21">
                  <c:v>3509.8447388598602</c:v>
                </c:pt>
                <c:pt idx="22">
                  <c:v>3752.5910855120401</c:v>
                </c:pt>
                <c:pt idx="23">
                  <c:v>3973.3289510939398</c:v>
                </c:pt>
                <c:pt idx="24">
                  <c:v>4151.3451578030399</c:v>
                </c:pt>
                <c:pt idx="25">
                  <c:v>4006.4282331217801</c:v>
                </c:pt>
                <c:pt idx="26">
                  <c:v>3801.8734124704802</c:v>
                </c:pt>
                <c:pt idx="27">
                  <c:v>3560.6692691828998</c:v>
                </c:pt>
                <c:pt idx="28">
                  <c:v>3382.0278918119998</c:v>
                </c:pt>
                <c:pt idx="29">
                  <c:v>3214.6429715191798</c:v>
                </c:pt>
                <c:pt idx="30">
                  <c:v>2903.1743546975399</c:v>
                </c:pt>
                <c:pt idx="31">
                  <c:v>2501.0635217385602</c:v>
                </c:pt>
                <c:pt idx="32">
                  <c:v>2633.78972701362</c:v>
                </c:pt>
                <c:pt idx="33">
                  <c:v>7006.5344851896598</c:v>
                </c:pt>
                <c:pt idx="34">
                  <c:v>13906.49314828248</c:v>
                </c:pt>
                <c:pt idx="35">
                  <c:v>18218.468866056421</c:v>
                </c:pt>
                <c:pt idx="36">
                  <c:v>20837.108913362819</c:v>
                </c:pt>
                <c:pt idx="37">
                  <c:v>21595.851616162501</c:v>
                </c:pt>
                <c:pt idx="38">
                  <c:v>20658.672794210939</c:v>
                </c:pt>
                <c:pt idx="39">
                  <c:v>17692.944483707401</c:v>
                </c:pt>
                <c:pt idx="40">
                  <c:v>11921.24099206692</c:v>
                </c:pt>
                <c:pt idx="41">
                  <c:v>4018.6492671206402</c:v>
                </c:pt>
                <c:pt idx="42">
                  <c:v>2509.0939810229402</c:v>
                </c:pt>
                <c:pt idx="43">
                  <c:v>3000.5721246447001</c:v>
                </c:pt>
                <c:pt idx="44">
                  <c:v>2834.3757664018199</c:v>
                </c:pt>
                <c:pt idx="45">
                  <c:v>2474.4396710605201</c:v>
                </c:pt>
                <c:pt idx="46">
                  <c:v>2330.4440322389401</c:v>
                </c:pt>
                <c:pt idx="47">
                  <c:v>2244.2988134094599</c:v>
                </c:pt>
                <c:pt idx="48">
                  <c:v>2338.14628235082</c:v>
                </c:pt>
                <c:pt idx="49">
                  <c:v>2419.4499113660399</c:v>
                </c:pt>
                <c:pt idx="50">
                  <c:v>2463.1085016399002</c:v>
                </c:pt>
                <c:pt idx="51">
                  <c:v>2368.8148201223999</c:v>
                </c:pt>
                <c:pt idx="52">
                  <c:v>2272.8862988794799</c:v>
                </c:pt>
                <c:pt idx="53">
                  <c:v>2198.9574919957199</c:v>
                </c:pt>
                <c:pt idx="54">
                  <c:v>2031.67703444382</c:v>
                </c:pt>
                <c:pt idx="55">
                  <c:v>1747.22425312614</c:v>
                </c:pt>
                <c:pt idx="56">
                  <c:v>1894.4707359895199</c:v>
                </c:pt>
                <c:pt idx="57">
                  <c:v>6604.6332504056991</c:v>
                </c:pt>
                <c:pt idx="58">
                  <c:v>13080.500201589421</c:v>
                </c:pt>
                <c:pt idx="59">
                  <c:v>16915.174914708779</c:v>
                </c:pt>
                <c:pt idx="60">
                  <c:v>18922.397403781379</c:v>
                </c:pt>
                <c:pt idx="61">
                  <c:v>19215.040484962919</c:v>
                </c:pt>
                <c:pt idx="62">
                  <c:v>17982.04670328744</c:v>
                </c:pt>
                <c:pt idx="63">
                  <c:v>15172.131341197441</c:v>
                </c:pt>
                <c:pt idx="64">
                  <c:v>9786.8835281333995</c:v>
                </c:pt>
                <c:pt idx="65">
                  <c:v>2693.0186038304396</c:v>
                </c:pt>
                <c:pt idx="66">
                  <c:v>702.79387792854004</c:v>
                </c:pt>
                <c:pt idx="67">
                  <c:v>716.8308797164799</c:v>
                </c:pt>
                <c:pt idx="68">
                  <c:v>472.25040255935988</c:v>
                </c:pt>
                <c:pt idx="69">
                  <c:v>379.46344526616002</c:v>
                </c:pt>
                <c:pt idx="70">
                  <c:v>406.26039508925999</c:v>
                </c:pt>
                <c:pt idx="71">
                  <c:v>421.80919885001998</c:v>
                </c:pt>
                <c:pt idx="72">
                  <c:v>494.70166764053999</c:v>
                </c:pt>
                <c:pt idx="73">
                  <c:v>580.06827666384004</c:v>
                </c:pt>
                <c:pt idx="74">
                  <c:v>708.52153485954</c:v>
                </c:pt>
                <c:pt idx="75">
                  <c:v>880.61478661763988</c:v>
                </c:pt>
                <c:pt idx="76">
                  <c:v>1106.30434669752</c:v>
                </c:pt>
                <c:pt idx="77">
                  <c:v>1288.39759487214</c:v>
                </c:pt>
                <c:pt idx="78">
                  <c:v>1433.50814669034</c:v>
                </c:pt>
                <c:pt idx="79">
                  <c:v>1518.3298525380601</c:v>
                </c:pt>
                <c:pt idx="80">
                  <c:v>1857.8147298210001</c:v>
                </c:pt>
                <c:pt idx="81">
                  <c:v>5204.5879655571007</c:v>
                </c:pt>
                <c:pt idx="82">
                  <c:v>10070.165693119201</c:v>
                </c:pt>
                <c:pt idx="83">
                  <c:v>13849.34159140506</c:v>
                </c:pt>
                <c:pt idx="84">
                  <c:v>16464.65011488762</c:v>
                </c:pt>
                <c:pt idx="85">
                  <c:v>17417.301379074121</c:v>
                </c:pt>
                <c:pt idx="86">
                  <c:v>16852.669175813942</c:v>
                </c:pt>
                <c:pt idx="87">
                  <c:v>15338.71514901222</c:v>
                </c:pt>
                <c:pt idx="88">
                  <c:v>12125.529816814978</c:v>
                </c:pt>
                <c:pt idx="89">
                  <c:v>6683.289484561139</c:v>
                </c:pt>
                <c:pt idx="90">
                  <c:v>4833.6727146263402</c:v>
                </c:pt>
                <c:pt idx="91">
                  <c:v>5527.7535015912599</c:v>
                </c:pt>
                <c:pt idx="92">
                  <c:v>5967.7769532787806</c:v>
                </c:pt>
                <c:pt idx="93">
                  <c:v>6253.5925241800196</c:v>
                </c:pt>
                <c:pt idx="94">
                  <c:v>6932.4940546375792</c:v>
                </c:pt>
                <c:pt idx="95">
                  <c:v>7681.3518566538596</c:v>
                </c:pt>
                <c:pt idx="96">
                  <c:v>7964.2508686241999</c:v>
                </c:pt>
                <c:pt idx="97">
                  <c:v>7432.3543675779592</c:v>
                </c:pt>
                <c:pt idx="98">
                  <c:v>7262.9579210786997</c:v>
                </c:pt>
                <c:pt idx="99">
                  <c:v>7755.2589637576202</c:v>
                </c:pt>
                <c:pt idx="100">
                  <c:v>9002.3099063166592</c:v>
                </c:pt>
                <c:pt idx="101">
                  <c:v>10215.448649689501</c:v>
                </c:pt>
                <c:pt idx="102">
                  <c:v>10797.14790351792</c:v>
                </c:pt>
                <c:pt idx="103">
                  <c:v>11144.79285287118</c:v>
                </c:pt>
                <c:pt idx="104">
                  <c:v>11895.320214260881</c:v>
                </c:pt>
                <c:pt idx="105">
                  <c:v>15415.872818060641</c:v>
                </c:pt>
                <c:pt idx="106">
                  <c:v>21667.617128578502</c:v>
                </c:pt>
                <c:pt idx="107">
                  <c:v>26669.12453483772</c:v>
                </c:pt>
                <c:pt idx="108">
                  <c:v>30352.170386023798</c:v>
                </c:pt>
                <c:pt idx="109">
                  <c:v>32184.014103048059</c:v>
                </c:pt>
                <c:pt idx="110">
                  <c:v>32080.367729551443</c:v>
                </c:pt>
                <c:pt idx="111">
                  <c:v>29154.907114899841</c:v>
                </c:pt>
                <c:pt idx="112">
                  <c:v>23903.866712393879</c:v>
                </c:pt>
                <c:pt idx="113">
                  <c:v>15735.799379832661</c:v>
                </c:pt>
                <c:pt idx="114">
                  <c:v>11589.40257476148</c:v>
                </c:pt>
                <c:pt idx="115">
                  <c:v>10489.89234238284</c:v>
                </c:pt>
                <c:pt idx="116">
                  <c:v>10197.82486956558</c:v>
                </c:pt>
                <c:pt idx="117">
                  <c:v>10204.62223885146</c:v>
                </c:pt>
                <c:pt idx="118">
                  <c:v>10184.736495360121</c:v>
                </c:pt>
                <c:pt idx="119">
                  <c:v>10388.58856863612</c:v>
                </c:pt>
                <c:pt idx="120">
                  <c:v>10698.48382120908</c:v>
                </c:pt>
                <c:pt idx="121">
                  <c:v>10716.702305503681</c:v>
                </c:pt>
                <c:pt idx="122">
                  <c:v>10574.054505117239</c:v>
                </c:pt>
                <c:pt idx="123">
                  <c:v>10546.773433202339</c:v>
                </c:pt>
                <c:pt idx="124">
                  <c:v>10510.33451163294</c:v>
                </c:pt>
                <c:pt idx="125">
                  <c:v>10390.71890113806</c:v>
                </c:pt>
                <c:pt idx="126">
                  <c:v>10258.62136018938</c:v>
                </c:pt>
                <c:pt idx="127">
                  <c:v>9927.3084030566406</c:v>
                </c:pt>
                <c:pt idx="128">
                  <c:v>9672.8071553797799</c:v>
                </c:pt>
                <c:pt idx="129">
                  <c:v>14722.07792569722</c:v>
                </c:pt>
                <c:pt idx="130">
                  <c:v>22602.334284087301</c:v>
                </c:pt>
                <c:pt idx="131">
                  <c:v>27245.86343595594</c:v>
                </c:pt>
                <c:pt idx="132">
                  <c:v>29331.308098484638</c:v>
                </c:pt>
                <c:pt idx="133">
                  <c:v>29331.043578166438</c:v>
                </c:pt>
                <c:pt idx="134">
                  <c:v>27512.902100424057</c:v>
                </c:pt>
                <c:pt idx="135">
                  <c:v>24028.467521847058</c:v>
                </c:pt>
                <c:pt idx="136">
                  <c:v>18420.970670521921</c:v>
                </c:pt>
                <c:pt idx="137">
                  <c:v>9898.1994284736593</c:v>
                </c:pt>
                <c:pt idx="138">
                  <c:v>7514.82316628028</c:v>
                </c:pt>
                <c:pt idx="139">
                  <c:v>8340.6960263908204</c:v>
                </c:pt>
                <c:pt idx="140">
                  <c:v>8975.9538309238196</c:v>
                </c:pt>
                <c:pt idx="141">
                  <c:v>9378.7403516324393</c:v>
                </c:pt>
                <c:pt idx="142">
                  <c:v>9948.8354094082788</c:v>
                </c:pt>
                <c:pt idx="143">
                  <c:v>10549.18386646452</c:v>
                </c:pt>
                <c:pt idx="144">
                  <c:v>11361.366443871961</c:v>
                </c:pt>
                <c:pt idx="145">
                  <c:v>12239.69902122744</c:v>
                </c:pt>
                <c:pt idx="146">
                  <c:v>13113.725732937301</c:v>
                </c:pt>
                <c:pt idx="147">
                  <c:v>14035.5313023483</c:v>
                </c:pt>
                <c:pt idx="148">
                  <c:v>14948.66776624974</c:v>
                </c:pt>
                <c:pt idx="149">
                  <c:v>15383.716109376661</c:v>
                </c:pt>
                <c:pt idx="150">
                  <c:v>15127.070272442401</c:v>
                </c:pt>
                <c:pt idx="151">
                  <c:v>14554.64882465232</c:v>
                </c:pt>
                <c:pt idx="152">
                  <c:v>13937.07280375518</c:v>
                </c:pt>
                <c:pt idx="153">
                  <c:v>14601.06897232854</c:v>
                </c:pt>
                <c:pt idx="154">
                  <c:v>17177.10406217898</c:v>
                </c:pt>
                <c:pt idx="155">
                  <c:v>20254.516735287179</c:v>
                </c:pt>
                <c:pt idx="156">
                  <c:v>23495.022763197601</c:v>
                </c:pt>
                <c:pt idx="157">
                  <c:v>25525.327047858838</c:v>
                </c:pt>
                <c:pt idx="158">
                  <c:v>25911.77094345474</c:v>
                </c:pt>
                <c:pt idx="159">
                  <c:v>24241.492916720701</c:v>
                </c:pt>
                <c:pt idx="160">
                  <c:v>21861.083969243638</c:v>
                </c:pt>
                <c:pt idx="161">
                  <c:v>17917.099608943918</c:v>
                </c:pt>
                <c:pt idx="162">
                  <c:v>15557.55641042256</c:v>
                </c:pt>
                <c:pt idx="163">
                  <c:v>15128.32849078614</c:v>
                </c:pt>
                <c:pt idx="164">
                  <c:v>15247.23013511946</c:v>
                </c:pt>
                <c:pt idx="165">
                  <c:v>15556.12669871748</c:v>
                </c:pt>
                <c:pt idx="166">
                  <c:v>15917.659181774039</c:v>
                </c:pt>
                <c:pt idx="167">
                  <c:v>16338.182082765001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2C-44B7-9AFF-4CDFD26B6BBC}"/>
            </c:ext>
          </c:extLst>
        </c:ser>
        <c:ser>
          <c:idx val="1"/>
          <c:order val="1"/>
          <c:tx>
            <c:strRef>
              <c:f>Mode.2busSRES!$D$3</c:f>
              <c:strCache>
                <c:ptCount val="1"/>
                <c:pt idx="0">
                  <c:v>SRES_Electrolizador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Mode.2busSRES!$D$4:$D$171</c:f>
              <c:numCache>
                <c:formatCode>General</c:formatCode>
                <c:ptCount val="168"/>
                <c:pt idx="0">
                  <c:v>4484.7529207999996</c:v>
                </c:pt>
                <c:pt idx="1">
                  <c:v>4799.2395950999999</c:v>
                </c:pt>
                <c:pt idx="2">
                  <c:v>4881.1226939999997</c:v>
                </c:pt>
                <c:pt idx="3">
                  <c:v>5003.6311142000004</c:v>
                </c:pt>
                <c:pt idx="4">
                  <c:v>5245.5629677000006</c:v>
                </c:pt>
                <c:pt idx="5">
                  <c:v>5277.0134264999997</c:v>
                </c:pt>
                <c:pt idx="6">
                  <c:v>4934.5740126000001</c:v>
                </c:pt>
                <c:pt idx="7">
                  <c:v>3998.9325944000002</c:v>
                </c:pt>
                <c:pt idx="8">
                  <c:v>3275.3819025000003</c:v>
                </c:pt>
                <c:pt idx="9">
                  <c:v>6813.4694380000001</c:v>
                </c:pt>
                <c:pt idx="10">
                  <c:v>12610.181469500001</c:v>
                </c:pt>
                <c:pt idx="11">
                  <c:v>16063.4275213</c:v>
                </c:pt>
                <c:pt idx="12">
                  <c:v>17066.849325214291</c:v>
                </c:pt>
                <c:pt idx="13">
                  <c:v>17066.849325214291</c:v>
                </c:pt>
                <c:pt idx="14">
                  <c:v>17008.530030000002</c:v>
                </c:pt>
                <c:pt idx="15">
                  <c:v>14970.261827300001</c:v>
                </c:pt>
                <c:pt idx="16">
                  <c:v>10834.835869099999</c:v>
                </c:pt>
                <c:pt idx="17">
                  <c:v>4544.4094212</c:v>
                </c:pt>
                <c:pt idx="18">
                  <c:v>2591.3985966999999</c:v>
                </c:pt>
                <c:pt idx="19">
                  <c:v>2525.5015109000001</c:v>
                </c:pt>
                <c:pt idx="20">
                  <c:v>2550.3588804999999</c:v>
                </c:pt>
                <c:pt idx="21">
                  <c:v>2636.4538831</c:v>
                </c:pt>
                <c:pt idx="22">
                  <c:v>2818.7951533999999</c:v>
                </c:pt>
                <c:pt idx="23">
                  <c:v>2984.6045399</c:v>
                </c:pt>
                <c:pt idx="24">
                  <c:v>3118.3231384000001</c:v>
                </c:pt>
                <c:pt idx="25">
                  <c:v>3009.4673862999998</c:v>
                </c:pt>
                <c:pt idx="26">
                  <c:v>2855.8140508000001</c:v>
                </c:pt>
                <c:pt idx="27">
                  <c:v>2674.6312214999998</c:v>
                </c:pt>
                <c:pt idx="28">
                  <c:v>2540.4430200000002</c:v>
                </c:pt>
                <c:pt idx="29">
                  <c:v>2414.7102153000001</c:v>
                </c:pt>
                <c:pt idx="30">
                  <c:v>2180.7475459000002</c:v>
                </c:pt>
                <c:pt idx="31">
                  <c:v>1878.6980976</c:v>
                </c:pt>
                <c:pt idx="32">
                  <c:v>1978.3966727000002</c:v>
                </c:pt>
                <c:pt idx="33">
                  <c:v>5263.0262660999997</c:v>
                </c:pt>
                <c:pt idx="34">
                  <c:v>10445.9970708</c:v>
                </c:pt>
                <c:pt idx="35">
                  <c:v>13684.9794107</c:v>
                </c:pt>
                <c:pt idx="36">
                  <c:v>15651.9962547</c:v>
                </c:pt>
                <c:pt idx="37">
                  <c:v>16221.933187499999</c:v>
                </c:pt>
                <c:pt idx="38">
                  <c:v>15517.962234899998</c:v>
                </c:pt>
                <c:pt idx="39">
                  <c:v>13290.226678999999</c:v>
                </c:pt>
                <c:pt idx="40">
                  <c:v>8954.7556781999992</c:v>
                </c:pt>
                <c:pt idx="41">
                  <c:v>3018.6473344000001</c:v>
                </c:pt>
                <c:pt idx="42">
                  <c:v>1884.7302548999999</c:v>
                </c:pt>
                <c:pt idx="43">
                  <c:v>2253.9088244999998</c:v>
                </c:pt>
                <c:pt idx="44">
                  <c:v>2129.0688196999999</c:v>
                </c:pt>
                <c:pt idx="45">
                  <c:v>1858.6993342000001</c:v>
                </c:pt>
                <c:pt idx="46">
                  <c:v>1750.5356148999999</c:v>
                </c:pt>
                <c:pt idx="47">
                  <c:v>1685.8267991</c:v>
                </c:pt>
                <c:pt idx="48">
                  <c:v>1756.3212347000001</c:v>
                </c:pt>
                <c:pt idx="49">
                  <c:v>1817.3932434000001</c:v>
                </c:pt>
                <c:pt idx="50">
                  <c:v>1850.1878165000001</c:v>
                </c:pt>
                <c:pt idx="51">
                  <c:v>1779.3582039999999</c:v>
                </c:pt>
                <c:pt idx="52">
                  <c:v>1707.3005658</c:v>
                </c:pt>
                <c:pt idx="53">
                  <c:v>1651.7682262000001</c:v>
                </c:pt>
                <c:pt idx="54">
                  <c:v>1526.1138897000001</c:v>
                </c:pt>
                <c:pt idx="55">
                  <c:v>1312.4444269000001</c:v>
                </c:pt>
                <c:pt idx="56">
                  <c:v>1423.0500491999999</c:v>
                </c:pt>
                <c:pt idx="57">
                  <c:v>4961.1342594999996</c:v>
                </c:pt>
                <c:pt idx="58">
                  <c:v>9825.5444657000007</c:v>
                </c:pt>
                <c:pt idx="59">
                  <c:v>12705.997531300001</c:v>
                </c:pt>
                <c:pt idx="60">
                  <c:v>14213.742152300001</c:v>
                </c:pt>
                <c:pt idx="61">
                  <c:v>14433.5638382</c:v>
                </c:pt>
                <c:pt idx="62">
                  <c:v>13507.3886124</c:v>
                </c:pt>
                <c:pt idx="63">
                  <c:v>11396.6934624</c:v>
                </c:pt>
                <c:pt idx="64">
                  <c:v>7351.5123890000004</c:v>
                </c:pt>
                <c:pt idx="65">
                  <c:v>2022.8870173999999</c:v>
                </c:pt>
                <c:pt idx="66">
                  <c:v>527.91043089999994</c:v>
                </c:pt>
                <c:pt idx="67">
                  <c:v>538.45446079999999</c:v>
                </c:pt>
                <c:pt idx="68">
                  <c:v>354.7354656</c:v>
                </c:pt>
                <c:pt idx="69">
                  <c:v>285.03764360000002</c:v>
                </c:pt>
                <c:pt idx="70">
                  <c:v>305.16643210000001</c:v>
                </c:pt>
                <c:pt idx="71">
                  <c:v>316.84606669999999</c:v>
                </c:pt>
                <c:pt idx="72">
                  <c:v>371.59995090000001</c:v>
                </c:pt>
                <c:pt idx="73">
                  <c:v>435.72390639999998</c:v>
                </c:pt>
                <c:pt idx="74">
                  <c:v>532.21281590000001</c:v>
                </c:pt>
                <c:pt idx="75">
                  <c:v>661.48232940000003</c:v>
                </c:pt>
                <c:pt idx="76">
                  <c:v>831.0112292</c:v>
                </c:pt>
                <c:pt idx="77">
                  <c:v>967.79233690000001</c:v>
                </c:pt>
                <c:pt idx="78">
                  <c:v>1076.7935339000001</c:v>
                </c:pt>
                <c:pt idx="79">
                  <c:v>1140.5081800999999</c:v>
                </c:pt>
                <c:pt idx="80">
                  <c:v>1395.515535</c:v>
                </c:pt>
                <c:pt idx="81">
                  <c:v>3909.4766785000002</c:v>
                </c:pt>
                <c:pt idx="82">
                  <c:v>7564.3025319999997</c:v>
                </c:pt>
                <c:pt idx="83">
                  <c:v>10403.067125099999</c:v>
                </c:pt>
                <c:pt idx="84">
                  <c:v>12367.5814627</c:v>
                </c:pt>
                <c:pt idx="85">
                  <c:v>13083.174690200001</c:v>
                </c:pt>
                <c:pt idx="86">
                  <c:v>12659.045739900001</c:v>
                </c:pt>
                <c:pt idx="87">
                  <c:v>11521.8245037</c:v>
                </c:pt>
                <c:pt idx="88">
                  <c:v>9108.2092083000007</c:v>
                </c:pt>
                <c:pt idx="89">
                  <c:v>5020.2176519000004</c:v>
                </c:pt>
                <c:pt idx="90">
                  <c:v>3630.8600939000003</c:v>
                </c:pt>
                <c:pt idx="91">
                  <c:v>4152.2256021000003</c:v>
                </c:pt>
                <c:pt idx="92">
                  <c:v>4482.7534813000002</c:v>
                </c:pt>
                <c:pt idx="93">
                  <c:v>4697.4466167</c:v>
                </c:pt>
                <c:pt idx="94">
                  <c:v>5207.4100792999998</c:v>
                </c:pt>
                <c:pt idx="95">
                  <c:v>5769.9218731000001</c:v>
                </c:pt>
                <c:pt idx="96">
                  <c:v>5982.424207</c:v>
                </c:pt>
                <c:pt idx="97">
                  <c:v>5582.8849965999998</c:v>
                </c:pt>
                <c:pt idx="98">
                  <c:v>5455.6412145000004</c:v>
                </c:pt>
                <c:pt idx="99">
                  <c:v>5825.4379127000002</c:v>
                </c:pt>
                <c:pt idx="100">
                  <c:v>6762.1723111000001</c:v>
                </c:pt>
                <c:pt idx="101">
                  <c:v>7673.4332324999996</c:v>
                </c:pt>
                <c:pt idx="102">
                  <c:v>8110.3822632000001</c:v>
                </c:pt>
                <c:pt idx="103">
                  <c:v>8371.5191352999991</c:v>
                </c:pt>
                <c:pt idx="104">
                  <c:v>8935.2850347999993</c:v>
                </c:pt>
                <c:pt idx="105">
                  <c:v>11579.7822344</c:v>
                </c:pt>
                <c:pt idx="106">
                  <c:v>16275.8405475</c:v>
                </c:pt>
                <c:pt idx="107">
                  <c:v>17101.667634542857</c:v>
                </c:pt>
                <c:pt idx="108">
                  <c:v>14847.21042264286</c:v>
                </c:pt>
                <c:pt idx="109">
                  <c:v>17066.742268357146</c:v>
                </c:pt>
                <c:pt idx="110">
                  <c:v>17101.667634542857</c:v>
                </c:pt>
                <c:pt idx="111">
                  <c:v>17136.593000742861</c:v>
                </c:pt>
                <c:pt idx="112">
                  <c:v>14917.061155028574</c:v>
                </c:pt>
                <c:pt idx="113">
                  <c:v>11820.0981711</c:v>
                </c:pt>
                <c:pt idx="114">
                  <c:v>8705.4920357999981</c:v>
                </c:pt>
                <c:pt idx="115">
                  <c:v>7879.5842714</c:v>
                </c:pt>
                <c:pt idx="116">
                  <c:v>7660.1949592999999</c:v>
                </c:pt>
                <c:pt idx="117">
                  <c:v>7665.3008690999995</c:v>
                </c:pt>
                <c:pt idx="118">
                  <c:v>7650.3635002000001</c:v>
                </c:pt>
                <c:pt idx="119">
                  <c:v>7803.4889602000003</c:v>
                </c:pt>
                <c:pt idx="120">
                  <c:v>8036.2697817999997</c:v>
                </c:pt>
                <c:pt idx="121">
                  <c:v>8049.9547727999998</c:v>
                </c:pt>
                <c:pt idx="122">
                  <c:v>7942.8034954000004</c:v>
                </c:pt>
                <c:pt idx="123">
                  <c:v>7922.3110538999999</c:v>
                </c:pt>
                <c:pt idx="124">
                  <c:v>7894.9396049000006</c:v>
                </c:pt>
                <c:pt idx="125">
                  <c:v>7805.0891800999998</c:v>
                </c:pt>
                <c:pt idx="126">
                  <c:v>7705.8628322999994</c:v>
                </c:pt>
                <c:pt idx="127">
                  <c:v>7456.9938943999996</c:v>
                </c:pt>
                <c:pt idx="128">
                  <c:v>7265.8228163000003</c:v>
                </c:pt>
                <c:pt idx="129">
                  <c:v>11058.631478699999</c:v>
                </c:pt>
                <c:pt idx="130">
                  <c:v>16977.962395499999</c:v>
                </c:pt>
                <c:pt idx="131">
                  <c:v>17132.026418414287</c:v>
                </c:pt>
                <c:pt idx="132">
                  <c:v>17096.798400971431</c:v>
                </c:pt>
                <c:pt idx="133">
                  <c:v>17096.798400971431</c:v>
                </c:pt>
                <c:pt idx="134">
                  <c:v>17132.026418414287</c:v>
                </c:pt>
                <c:pt idx="135">
                  <c:v>17096.798400971427</c:v>
                </c:pt>
                <c:pt idx="136">
                  <c:v>13837.0906032</c:v>
                </c:pt>
                <c:pt idx="137">
                  <c:v>7435.1284061000006</c:v>
                </c:pt>
                <c:pt idx="138">
                  <c:v>5644.8322338000007</c:v>
                </c:pt>
                <c:pt idx="139">
                  <c:v>6265.1946347000003</c:v>
                </c:pt>
                <c:pt idx="140">
                  <c:v>6742.3746897000001</c:v>
                </c:pt>
                <c:pt idx="141">
                  <c:v>7044.9316873999996</c:v>
                </c:pt>
                <c:pt idx="142">
                  <c:v>7473.1641138000005</c:v>
                </c:pt>
                <c:pt idx="143">
                  <c:v>7924.1216742000006</c:v>
                </c:pt>
                <c:pt idx="144">
                  <c:v>8534.2004865999988</c:v>
                </c:pt>
                <c:pt idx="145">
                  <c:v>9193.9685124000007</c:v>
                </c:pt>
                <c:pt idx="146">
                  <c:v>9850.5021455000006</c:v>
                </c:pt>
                <c:pt idx="147">
                  <c:v>10542.9253305</c:v>
                </c:pt>
                <c:pt idx="148">
                  <c:v>11228.8366329</c:v>
                </c:pt>
                <c:pt idx="149">
                  <c:v>11555.6274111</c:v>
                </c:pt>
                <c:pt idx="150">
                  <c:v>11362.845404</c:v>
                </c:pt>
                <c:pt idx="151">
                  <c:v>10932.865487200001</c:v>
                </c:pt>
                <c:pt idx="152">
                  <c:v>10468.9672753</c:v>
                </c:pt>
                <c:pt idx="153">
                  <c:v>10967.734430900002</c:v>
                </c:pt>
                <c:pt idx="154">
                  <c:v>12902.748148300001</c:v>
                </c:pt>
                <c:pt idx="155">
                  <c:v>15214.376495300001</c:v>
                </c:pt>
                <c:pt idx="156">
                  <c:v>17648.513996000001</c:v>
                </c:pt>
                <c:pt idx="157">
                  <c:v>19173.596731400001</c:v>
                </c:pt>
                <c:pt idx="158">
                  <c:v>19463.8778079</c:v>
                </c:pt>
                <c:pt idx="159">
                  <c:v>18209.232284500002</c:v>
                </c:pt>
                <c:pt idx="160">
                  <c:v>16421.165039399999</c:v>
                </c:pt>
                <c:pt idx="161">
                  <c:v>13458.602973199999</c:v>
                </c:pt>
                <c:pt idx="162">
                  <c:v>11686.2092376</c:v>
                </c:pt>
                <c:pt idx="163">
                  <c:v>11363.7905269</c:v>
                </c:pt>
                <c:pt idx="164">
                  <c:v>11453.1046491</c:v>
                </c:pt>
                <c:pt idx="165">
                  <c:v>11685.135295800001</c:v>
                </c:pt>
                <c:pt idx="166">
                  <c:v>11956.7039234</c:v>
                </c:pt>
                <c:pt idx="167">
                  <c:v>12272.583774999999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2C-44B7-9AFF-4CDFD26B6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7637072"/>
        <c:axId val="1347635152"/>
      </c:barChart>
      <c:lineChart>
        <c:grouping val="standard"/>
        <c:varyColors val="0"/>
        <c:ser>
          <c:idx val="2"/>
          <c:order val="2"/>
          <c:tx>
            <c:strRef>
              <c:f>Mode.2busSRES!$G$3</c:f>
              <c:strCache>
                <c:ptCount val="1"/>
                <c:pt idx="0">
                  <c:v>Capacidad Restante Utilizable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Mode.2busSRES!$G$4:$G$171</c:f>
              <c:numCache>
                <c:formatCode>General</c:formatCode>
                <c:ptCount val="168"/>
                <c:pt idx="0">
                  <c:v>65544.368322407507</c:v>
                </c:pt>
                <c:pt idx="1">
                  <c:v>64811.213449012947</c:v>
                </c:pt>
                <c:pt idx="2">
                  <c:v>64620.321440183609</c:v>
                </c:pt>
                <c:pt idx="3">
                  <c:v>64334.720641671483</c:v>
                </c:pt>
                <c:pt idx="4">
                  <c:v>63770.710997009381</c:v>
                </c:pt>
                <c:pt idx="5">
                  <c:v>63697.391333494095</c:v>
                </c:pt>
                <c:pt idx="6">
                  <c:v>64495.711725612433</c:v>
                </c:pt>
                <c:pt idx="7">
                  <c:v>66676.949029323354</c:v>
                </c:pt>
                <c:pt idx="8">
                  <c:v>68363.744557608501</c:v>
                </c:pt>
                <c:pt idx="9">
                  <c:v>60115.49008093719</c:v>
                </c:pt>
                <c:pt idx="10">
                  <c:v>46601.761128768303</c:v>
                </c:pt>
                <c:pt idx="11">
                  <c:v>38551.295468997218</c:v>
                </c:pt>
                <c:pt idx="12">
                  <c:v>35267.861136751671</c:v>
                </c:pt>
                <c:pt idx="13">
                  <c:v>34896.793054270369</c:v>
                </c:pt>
                <c:pt idx="14">
                  <c:v>36348.001762981999</c:v>
                </c:pt>
                <c:pt idx="15">
                  <c:v>41099.765154613619</c:v>
                </c:pt>
                <c:pt idx="16">
                  <c:v>50740.579671048545</c:v>
                </c:pt>
                <c:pt idx="17">
                  <c:v>65405.29262358728</c:v>
                </c:pt>
                <c:pt idx="18">
                  <c:v>69958.297633931972</c:v>
                </c:pt>
                <c:pt idx="19">
                  <c:v>70111.921852523461</c:v>
                </c:pt>
                <c:pt idx="20">
                  <c:v>70053.972492021698</c:v>
                </c:pt>
                <c:pt idx="21">
                  <c:v>69853.261378040144</c:v>
                </c:pt>
                <c:pt idx="22">
                  <c:v>69428.17376108795</c:v>
                </c:pt>
                <c:pt idx="23">
                  <c:v>69041.626509006062</c:v>
                </c:pt>
                <c:pt idx="24">
                  <c:v>68729.891703796966</c:v>
                </c:pt>
                <c:pt idx="25">
                  <c:v>68983.664380578208</c:v>
                </c:pt>
                <c:pt idx="26">
                  <c:v>69341.872536729512</c:v>
                </c:pt>
                <c:pt idx="27">
                  <c:v>69764.259509317111</c:v>
                </c:pt>
                <c:pt idx="28">
                  <c:v>70077.08908818799</c:v>
                </c:pt>
                <c:pt idx="29">
                  <c:v>70370.206813180819</c:v>
                </c:pt>
                <c:pt idx="30">
                  <c:v>70915.638099402466</c:v>
                </c:pt>
                <c:pt idx="31">
                  <c:v>71619.798380661436</c:v>
                </c:pt>
                <c:pt idx="32">
                  <c:v>71387.373600286388</c:v>
                </c:pt>
                <c:pt idx="33">
                  <c:v>63729.99924871033</c:v>
                </c:pt>
                <c:pt idx="34">
                  <c:v>51647.069780917518</c:v>
                </c:pt>
                <c:pt idx="35">
                  <c:v>44096.111723243579</c:v>
                </c:pt>
                <c:pt idx="36">
                  <c:v>39510.454831937182</c:v>
                </c:pt>
                <c:pt idx="37">
                  <c:v>38181.775196337498</c:v>
                </c:pt>
                <c:pt idx="38">
                  <c:v>39822.924970889057</c:v>
                </c:pt>
                <c:pt idx="39">
                  <c:v>45016.388837292601</c:v>
                </c:pt>
                <c:pt idx="40">
                  <c:v>55123.563329733079</c:v>
                </c:pt>
                <c:pt idx="41">
                  <c:v>68962.263398479365</c:v>
                </c:pt>
                <c:pt idx="42">
                  <c:v>71605.73576407705</c:v>
                </c:pt>
                <c:pt idx="43">
                  <c:v>70745.079050855289</c:v>
                </c:pt>
                <c:pt idx="44">
                  <c:v>71036.11541389818</c:v>
                </c:pt>
                <c:pt idx="45">
                  <c:v>71666.42099473947</c:v>
                </c:pt>
                <c:pt idx="46">
                  <c:v>71918.580352861056</c:v>
                </c:pt>
                <c:pt idx="47">
                  <c:v>72069.434387490532</c:v>
                </c:pt>
                <c:pt idx="48">
                  <c:v>71905.092482949185</c:v>
                </c:pt>
                <c:pt idx="49">
                  <c:v>71762.716845233954</c:v>
                </c:pt>
                <c:pt idx="50">
                  <c:v>71686.263681860102</c:v>
                </c:pt>
                <c:pt idx="51">
                  <c:v>71851.386975877598</c:v>
                </c:pt>
                <c:pt idx="52">
                  <c:v>72019.373135320508</c:v>
                </c:pt>
                <c:pt idx="53">
                  <c:v>72148.834281804273</c:v>
                </c:pt>
                <c:pt idx="54">
                  <c:v>72441.769075856166</c:v>
                </c:pt>
                <c:pt idx="55">
                  <c:v>72939.89131997386</c:v>
                </c:pt>
                <c:pt idx="56">
                  <c:v>72682.039214810473</c:v>
                </c:pt>
                <c:pt idx="57">
                  <c:v>64433.792490094304</c:v>
                </c:pt>
                <c:pt idx="58">
                  <c:v>53093.51533271058</c:v>
                </c:pt>
                <c:pt idx="59">
                  <c:v>46378.387553991211</c:v>
                </c:pt>
                <c:pt idx="60">
                  <c:v>42863.420443918621</c:v>
                </c:pt>
                <c:pt idx="61">
                  <c:v>42350.955676837082</c:v>
                </c:pt>
                <c:pt idx="62">
                  <c:v>44510.124684312555</c:v>
                </c:pt>
                <c:pt idx="63">
                  <c:v>49430.735196402558</c:v>
                </c:pt>
                <c:pt idx="64">
                  <c:v>58861.164082866591</c:v>
                </c:pt>
                <c:pt idx="65">
                  <c:v>71283.654378769555</c:v>
                </c:pt>
                <c:pt idx="66">
                  <c:v>74768.855691171455</c:v>
                </c:pt>
                <c:pt idx="67">
                  <c:v>74744.274659483519</c:v>
                </c:pt>
                <c:pt idx="68">
                  <c:v>75172.574131840636</c:v>
                </c:pt>
                <c:pt idx="69">
                  <c:v>75335.058911133849</c:v>
                </c:pt>
                <c:pt idx="70">
                  <c:v>75288.133172810733</c:v>
                </c:pt>
                <c:pt idx="71">
                  <c:v>75260.90473444997</c:v>
                </c:pt>
                <c:pt idx="72">
                  <c:v>75133.258381459469</c:v>
                </c:pt>
                <c:pt idx="73">
                  <c:v>74983.767816936161</c:v>
                </c:pt>
                <c:pt idx="74">
                  <c:v>74758.825649240462</c:v>
                </c:pt>
                <c:pt idx="75">
                  <c:v>74457.462883982356</c:v>
                </c:pt>
                <c:pt idx="76">
                  <c:v>74062.244424102479</c:v>
                </c:pt>
                <c:pt idx="77">
                  <c:v>73743.370068227858</c:v>
                </c:pt>
                <c:pt idx="78">
                  <c:v>73489.258319409666</c:v>
                </c:pt>
                <c:pt idx="79">
                  <c:v>73340.721967361926</c:v>
                </c:pt>
                <c:pt idx="80">
                  <c:v>72746.229735179004</c:v>
                </c:pt>
                <c:pt idx="81">
                  <c:v>66885.495355942898</c:v>
                </c:pt>
                <c:pt idx="82">
                  <c:v>58365.091774880799</c:v>
                </c:pt>
                <c:pt idx="83">
                  <c:v>51747.151283494939</c:v>
                </c:pt>
                <c:pt idx="84">
                  <c:v>47167.328422412378</c:v>
                </c:pt>
                <c:pt idx="85">
                  <c:v>45499.083930725872</c:v>
                </c:pt>
                <c:pt idx="86">
                  <c:v>46487.845084286055</c:v>
                </c:pt>
                <c:pt idx="87">
                  <c:v>49139.020347287777</c:v>
                </c:pt>
                <c:pt idx="88">
                  <c:v>54765.82097488502</c:v>
                </c:pt>
                <c:pt idx="89">
                  <c:v>64296.052863538855</c:v>
                </c:pt>
                <c:pt idx="90">
                  <c:v>67535.027191473651</c:v>
                </c:pt>
                <c:pt idx="91">
                  <c:v>66319.580896308733</c:v>
                </c:pt>
                <c:pt idx="92">
                  <c:v>65549.029565421224</c:v>
                </c:pt>
                <c:pt idx="93">
                  <c:v>65048.520859119984</c:v>
                </c:pt>
                <c:pt idx="94">
                  <c:v>63859.655866062429</c:v>
                </c:pt>
                <c:pt idx="95">
                  <c:v>62548.286270246143</c:v>
                </c:pt>
                <c:pt idx="96">
                  <c:v>62052.884924375801</c:v>
                </c:pt>
                <c:pt idx="97">
                  <c:v>62984.320635822034</c:v>
                </c:pt>
                <c:pt idx="98">
                  <c:v>63280.960864421293</c:v>
                </c:pt>
                <c:pt idx="99">
                  <c:v>62418.863123542382</c:v>
                </c:pt>
                <c:pt idx="100">
                  <c:v>60235.077782583336</c:v>
                </c:pt>
                <c:pt idx="101">
                  <c:v>58110.678117810501</c:v>
                </c:pt>
                <c:pt idx="102">
                  <c:v>57092.029833282075</c:v>
                </c:pt>
                <c:pt idx="103">
                  <c:v>56483.248011828822</c:v>
                </c:pt>
                <c:pt idx="104">
                  <c:v>55168.95475093912</c:v>
                </c:pt>
                <c:pt idx="105">
                  <c:v>49003.904947539355</c:v>
                </c:pt>
                <c:pt idx="106">
                  <c:v>38056.102323921499</c:v>
                </c:pt>
                <c:pt idx="107">
                  <c:v>32228.767830619421</c:v>
                </c:pt>
                <c:pt idx="108">
                  <c:v>30800.17919133334</c:v>
                </c:pt>
                <c:pt idx="109">
                  <c:v>26748.803628594793</c:v>
                </c:pt>
                <c:pt idx="110">
                  <c:v>26817.524635905698</c:v>
                </c:pt>
                <c:pt idx="111">
                  <c:v>29708.059884357295</c:v>
                </c:pt>
                <c:pt idx="112">
                  <c:v>37178.632132577543</c:v>
                </c:pt>
                <c:pt idx="113">
                  <c:v>48443.662449067335</c:v>
                </c:pt>
                <c:pt idx="114">
                  <c:v>55704.665389438524</c:v>
                </c:pt>
                <c:pt idx="115">
                  <c:v>57630.083386217157</c:v>
                </c:pt>
                <c:pt idx="116">
                  <c:v>58141.540171134417</c:v>
                </c:pt>
                <c:pt idx="117">
                  <c:v>58129.63689204854</c:v>
                </c:pt>
                <c:pt idx="118">
                  <c:v>58164.460004439876</c:v>
                </c:pt>
                <c:pt idx="119">
                  <c:v>57807.482471163879</c:v>
                </c:pt>
                <c:pt idx="120">
                  <c:v>57264.806396990913</c:v>
                </c:pt>
                <c:pt idx="121">
                  <c:v>57232.90292169631</c:v>
                </c:pt>
                <c:pt idx="122">
                  <c:v>57482.701999482757</c:v>
                </c:pt>
                <c:pt idx="123">
                  <c:v>57530.475512897661</c:v>
                </c:pt>
                <c:pt idx="124">
                  <c:v>57594.285883467055</c:v>
                </c:pt>
                <c:pt idx="125">
                  <c:v>57803.751918761947</c:v>
                </c:pt>
                <c:pt idx="126">
                  <c:v>58035.075807510613</c:v>
                </c:pt>
                <c:pt idx="127">
                  <c:v>58615.257702543357</c:v>
                </c:pt>
                <c:pt idx="128">
                  <c:v>59060.930028320217</c:v>
                </c:pt>
                <c:pt idx="129">
                  <c:v>50218.85059560278</c:v>
                </c:pt>
                <c:pt idx="130">
                  <c:v>36419.263320412698</c:v>
                </c:pt>
                <c:pt idx="131">
                  <c:v>31621.670145629774</c:v>
                </c:pt>
                <c:pt idx="132">
                  <c:v>29571.453500543928</c:v>
                </c:pt>
                <c:pt idx="133">
                  <c:v>29571.718020862125</c:v>
                </c:pt>
                <c:pt idx="134">
                  <c:v>31354.631481161654</c:v>
                </c:pt>
                <c:pt idx="135">
                  <c:v>34874.294077181512</c:v>
                </c:pt>
                <c:pt idx="136">
                  <c:v>43741.498726278078</c:v>
                </c:pt>
                <c:pt idx="137">
                  <c:v>58666.232165426336</c:v>
                </c:pt>
                <c:pt idx="138">
                  <c:v>62839.904599919711</c:v>
                </c:pt>
                <c:pt idx="139">
                  <c:v>61393.669338909174</c:v>
                </c:pt>
                <c:pt idx="140">
                  <c:v>60281.231479376169</c:v>
                </c:pt>
                <c:pt idx="141">
                  <c:v>59575.887960967557</c:v>
                </c:pt>
                <c:pt idx="142">
                  <c:v>58577.560476791725</c:v>
                </c:pt>
                <c:pt idx="143">
                  <c:v>57526.254459335476</c:v>
                </c:pt>
                <c:pt idx="144">
                  <c:v>56103.993069528042</c:v>
                </c:pt>
                <c:pt idx="145">
                  <c:v>54565.892466372556</c:v>
                </c:pt>
                <c:pt idx="146">
                  <c:v>53035.332121562693</c:v>
                </c:pt>
                <c:pt idx="147">
                  <c:v>51421.103367151693</c:v>
                </c:pt>
                <c:pt idx="148">
                  <c:v>49822.055600850261</c:v>
                </c:pt>
                <c:pt idx="149">
                  <c:v>49060.216479523333</c:v>
                </c:pt>
                <c:pt idx="150">
                  <c:v>49509.644323557593</c:v>
                </c:pt>
                <c:pt idx="151">
                  <c:v>50512.045688147671</c:v>
                </c:pt>
                <c:pt idx="152">
                  <c:v>51593.519920944818</c:v>
                </c:pt>
                <c:pt idx="153">
                  <c:v>50430.756596771454</c:v>
                </c:pt>
                <c:pt idx="154">
                  <c:v>45919.707789521017</c:v>
                </c:pt>
                <c:pt idx="155">
                  <c:v>40530.666769412819</c:v>
                </c:pt>
                <c:pt idx="156">
                  <c:v>34856.023240802395</c:v>
                </c:pt>
                <c:pt idx="157">
                  <c:v>31300.636220741158</c:v>
                </c:pt>
                <c:pt idx="158">
                  <c:v>30623.911248645254</c:v>
                </c:pt>
                <c:pt idx="159">
                  <c:v>33548.834798779295</c:v>
                </c:pt>
                <c:pt idx="160">
                  <c:v>37717.310991356353</c:v>
                </c:pt>
                <c:pt idx="161">
                  <c:v>44623.857417856081</c:v>
                </c:pt>
                <c:pt idx="162">
                  <c:v>48755.794351977434</c:v>
                </c:pt>
                <c:pt idx="163">
                  <c:v>49507.440982313856</c:v>
                </c:pt>
                <c:pt idx="164">
                  <c:v>49299.225215780534</c:v>
                </c:pt>
                <c:pt idx="165">
                  <c:v>48758.298005482517</c:v>
                </c:pt>
                <c:pt idx="166">
                  <c:v>48125.19689482596</c:v>
                </c:pt>
                <c:pt idx="167">
                  <c:v>47388.794142234998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2C-44B7-9AFF-4CDFD26B6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7637072"/>
        <c:axId val="1347635152"/>
      </c:lineChart>
      <c:catAx>
        <c:axId val="13476370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47635152"/>
        <c:crosses val="autoZero"/>
        <c:auto val="1"/>
        <c:lblAlgn val="ctr"/>
        <c:lblOffset val="100"/>
        <c:noMultiLvlLbl val="0"/>
      </c:catAx>
      <c:valAx>
        <c:axId val="134763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4763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s-ES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% Utilización Interconexiones MODE</a:t>
            </a:r>
            <a:r>
              <a:rPr lang="es-ES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1bus VS 2bus</a:t>
            </a:r>
            <a:endParaRPr lang="es-ES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c:rich>
      </c:tx>
      <c:layout>
        <c:manualLayout>
          <c:xMode val="edge"/>
          <c:yMode val="edge"/>
          <c:x val="0.18247345295430309"/>
          <c:y val="3.11747862256539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'Utilizacion de Interconexiones'!$A$20</c:f>
              <c:strCache>
                <c:ptCount val="1"/>
                <c:pt idx="0">
                  <c:v>mode 2 bus sres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'Utilizacion de Interconexiones'!$B$21:$B$29</c:f>
              <c:strCache>
                <c:ptCount val="9"/>
                <c:pt idx="0">
                  <c:v>BarMar: ESh2-&gt;FRh2SW</c:v>
                </c:pt>
                <c:pt idx="1">
                  <c:v>Celza: ESh2-&gt;PTh2</c:v>
                </c:pt>
                <c:pt idx="2">
                  <c:v>Celza: PTh2 -&gt; ESh2</c:v>
                </c:pt>
                <c:pt idx="3">
                  <c:v>Irun-Larrau: ESh2-&gt;FRh2S</c:v>
                </c:pt>
                <c:pt idx="4">
                  <c:v>Francia Interno: FRh2S-&gt;FRh2SW</c:v>
                </c:pt>
                <c:pt idx="5">
                  <c:v>Francia Interno: FRh2SW-&gt;FRh2S</c:v>
                </c:pt>
                <c:pt idx="6">
                  <c:v>Francia Interno: FRh2S-&gt;FRh2</c:v>
                </c:pt>
                <c:pt idx="7">
                  <c:v>Francia Interno: FRh2&gt;FRh2S</c:v>
                </c:pt>
                <c:pt idx="8">
                  <c:v>Marruecos: MAh2-&gt;ESh2</c:v>
                </c:pt>
              </c:strCache>
            </c:strRef>
          </c:cat>
          <c:val>
            <c:numRef>
              <c:f>'Utilizacion de Interconexiones'!$F$21:$F$29</c:f>
              <c:numCache>
                <c:formatCode>0.00%</c:formatCode>
                <c:ptCount val="9"/>
                <c:pt idx="0">
                  <c:v>0.19097515612095992</c:v>
                </c:pt>
                <c:pt idx="1">
                  <c:v>0.17243494148366476</c:v>
                </c:pt>
                <c:pt idx="2">
                  <c:v>6.2819392585623829E-2</c:v>
                </c:pt>
                <c:pt idx="3">
                  <c:v>3.8719687850245142E-4</c:v>
                </c:pt>
                <c:pt idx="4">
                  <c:v>0</c:v>
                </c:pt>
                <c:pt idx="5">
                  <c:v>0.64099382586883069</c:v>
                </c:pt>
                <c:pt idx="6">
                  <c:v>0.33854428901576161</c:v>
                </c:pt>
                <c:pt idx="7">
                  <c:v>8.50157642505975E-4</c:v>
                </c:pt>
                <c:pt idx="8">
                  <c:v>0.40550363885074481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C8-4D87-9C2F-8ED641F138D1}"/>
            </c:ext>
          </c:extLst>
        </c:ser>
        <c:ser>
          <c:idx val="1"/>
          <c:order val="1"/>
          <c:tx>
            <c:strRef>
              <c:f>'Utilizacion de Interconexiones'!$A$36</c:f>
              <c:strCache>
                <c:ptCount val="1"/>
                <c:pt idx="0">
                  <c:v>mode 1 bus sres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val>
            <c:numRef>
              <c:f>'Utilizacion de Interconexiones'!$F$37:$F$45</c:f>
              <c:numCache>
                <c:formatCode>0.00%</c:formatCode>
                <c:ptCount val="9"/>
                <c:pt idx="0">
                  <c:v>0.16018838496524182</c:v>
                </c:pt>
                <c:pt idx="1">
                  <c:v>0.17313461878544392</c:v>
                </c:pt>
                <c:pt idx="2">
                  <c:v>0.18499408606365506</c:v>
                </c:pt>
                <c:pt idx="3">
                  <c:v>3.8719687850245142E-4</c:v>
                </c:pt>
                <c:pt idx="4">
                  <c:v>0</c:v>
                </c:pt>
                <c:pt idx="5">
                  <c:v>0.78681276840565839</c:v>
                </c:pt>
                <c:pt idx="6">
                  <c:v>0.33744532614034678</c:v>
                </c:pt>
                <c:pt idx="7">
                  <c:v>8.7093958859569913E-4</c:v>
                </c:pt>
                <c:pt idx="8">
                  <c:v>0.38860765389863033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C8-4D87-9C2F-8ED641F13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99392400"/>
        <c:axId val="1799390960"/>
      </c:barChart>
      <c:catAx>
        <c:axId val="179939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ES"/>
          </a:p>
        </c:txPr>
        <c:crossAx val="1799390960"/>
        <c:crosses val="autoZero"/>
        <c:auto val="1"/>
        <c:lblAlgn val="ctr"/>
        <c:lblOffset val="100"/>
        <c:noMultiLvlLbl val="0"/>
      </c:catAx>
      <c:valAx>
        <c:axId val="179939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99392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s-ES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% Utilización Interconexiones MODE</a:t>
            </a:r>
            <a:r>
              <a:rPr lang="es-ES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1bus VS 2bus</a:t>
            </a:r>
            <a:endParaRPr lang="es-ES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c:rich>
      </c:tx>
      <c:layout>
        <c:manualLayout>
          <c:xMode val="edge"/>
          <c:yMode val="edge"/>
          <c:x val="0.18247345295430309"/>
          <c:y val="3.11747862256539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'Utilizacion de Interconexiones'!$A$20</c:f>
              <c:strCache>
                <c:ptCount val="1"/>
                <c:pt idx="0">
                  <c:v>mode 2 bus sres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'Utilizacion de Interconexiones'!$B$21:$B$29</c:f>
              <c:strCache>
                <c:ptCount val="9"/>
                <c:pt idx="0">
                  <c:v>BarMar: ESh2-&gt;FRh2SW</c:v>
                </c:pt>
                <c:pt idx="1">
                  <c:v>Celza: ESh2-&gt;PTh2</c:v>
                </c:pt>
                <c:pt idx="2">
                  <c:v>Celza: PTh2 -&gt; ESh2</c:v>
                </c:pt>
                <c:pt idx="3">
                  <c:v>Irun-Larrau: ESh2-&gt;FRh2S</c:v>
                </c:pt>
                <c:pt idx="4">
                  <c:v>Francia Interno: FRh2S-&gt;FRh2SW</c:v>
                </c:pt>
                <c:pt idx="5">
                  <c:v>Francia Interno: FRh2SW-&gt;FRh2S</c:v>
                </c:pt>
                <c:pt idx="6">
                  <c:v>Francia Interno: FRh2S-&gt;FRh2</c:v>
                </c:pt>
                <c:pt idx="7">
                  <c:v>Francia Interno: FRh2&gt;FRh2S</c:v>
                </c:pt>
                <c:pt idx="8">
                  <c:v>Marruecos: MAh2-&gt;ESh2</c:v>
                </c:pt>
              </c:strCache>
            </c:strRef>
          </c:cat>
          <c:val>
            <c:numRef>
              <c:f>'Utilizacion de Interconexiones'!$F$21:$F$29</c:f>
              <c:numCache>
                <c:formatCode>0.00%</c:formatCode>
                <c:ptCount val="9"/>
                <c:pt idx="0">
                  <c:v>0.19097515612095992</c:v>
                </c:pt>
                <c:pt idx="1">
                  <c:v>0.17243494148366476</c:v>
                </c:pt>
                <c:pt idx="2">
                  <c:v>6.2819392585623829E-2</c:v>
                </c:pt>
                <c:pt idx="3">
                  <c:v>3.8719687850245142E-4</c:v>
                </c:pt>
                <c:pt idx="4">
                  <c:v>0</c:v>
                </c:pt>
                <c:pt idx="5">
                  <c:v>0.64099382586883069</c:v>
                </c:pt>
                <c:pt idx="6">
                  <c:v>0.33854428901576161</c:v>
                </c:pt>
                <c:pt idx="7">
                  <c:v>8.50157642505975E-4</c:v>
                </c:pt>
                <c:pt idx="8">
                  <c:v>0.40550363885074481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4B-40A9-865F-FF05CCA5A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99392400"/>
        <c:axId val="179939096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'Utilizacion de Interconexiones'!$A$36</c15:sqref>
                        </c15:formulaRef>
                      </c:ext>
                    </c:extLst>
                    <c:strCache>
                      <c:ptCount val="1"/>
                      <c:pt idx="0">
                        <c:v>mode 1 bus sres</c:v>
                      </c:pt>
                    </c:strCache>
                  </c:strRef>
                </c:tx>
                <c:spPr>
                  <a:solidFill>
                    <a:schemeClr val="accent4">
                      <a:lumMod val="20000"/>
                      <a:lumOff val="80000"/>
                    </a:schemeClr>
                  </a:solidFill>
                  <a:ln>
                    <a:solidFill>
                      <a:sysClr val="windowText" lastClr="000000"/>
                    </a:solidFill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'Utilizacion de Interconexiones'!$F$37:$F$45</c15:sqref>
                        </c15:formulaRef>
                      </c:ext>
                    </c:extLst>
                    <c:numCache>
                      <c:formatCode>0.00%</c:formatCode>
                      <c:ptCount val="9"/>
                      <c:pt idx="0">
                        <c:v>0.16018838496524182</c:v>
                      </c:pt>
                      <c:pt idx="1">
                        <c:v>0.17313461878544392</c:v>
                      </c:pt>
                      <c:pt idx="2">
                        <c:v>0.18499408606365506</c:v>
                      </c:pt>
                      <c:pt idx="3">
                        <c:v>3.8719687850245142E-4</c:v>
                      </c:pt>
                      <c:pt idx="4">
                        <c:v>0</c:v>
                      </c:pt>
                      <c:pt idx="5">
                        <c:v>0.78681276840565839</c:v>
                      </c:pt>
                      <c:pt idx="6">
                        <c:v>0.33744532614034678</c:v>
                      </c:pt>
                      <c:pt idx="7">
                        <c:v>8.7093958859569913E-4</c:v>
                      </c:pt>
                      <c:pt idx="8">
                        <c:v>0.38860765389863033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14B-40A9-865F-FF05CCA5A037}"/>
                  </c:ext>
                </c:extLst>
              </c15:ser>
            </c15:filteredBarSeries>
          </c:ext>
        </c:extLst>
      </c:barChart>
      <c:catAx>
        <c:axId val="179939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ES"/>
          </a:p>
        </c:txPr>
        <c:crossAx val="1799390960"/>
        <c:crosses val="autoZero"/>
        <c:auto val="1"/>
        <c:lblAlgn val="ctr"/>
        <c:lblOffset val="100"/>
        <c:noMultiLvlLbl val="0"/>
      </c:catAx>
      <c:valAx>
        <c:axId val="179939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99392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'Precios PT'!$K$1</c:f>
              <c:strCache>
                <c:ptCount val="1"/>
                <c:pt idx="0">
                  <c:v>PT_hydrogen_bus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'Precios PT'!$K$2:$K$169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1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46-420D-87B6-CF0FD47BD89C}"/>
            </c:ext>
          </c:extLst>
        </c:ser>
        <c:ser>
          <c:idx val="1"/>
          <c:order val="1"/>
          <c:tx>
            <c:strRef>
              <c:f>'Precios PT'!$L$1</c:f>
              <c:strCache>
                <c:ptCount val="1"/>
                <c:pt idx="0">
                  <c:v>PT_SRES_electrolyzer_bus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'Precios PT'!$L$2:$L$169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46-420D-87B6-CF0FD47BD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92012144"/>
        <c:axId val="1492004944"/>
      </c:barChart>
      <c:catAx>
        <c:axId val="14920121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92004944"/>
        <c:crosses val="autoZero"/>
        <c:auto val="1"/>
        <c:lblAlgn val="ctr"/>
        <c:lblOffset val="100"/>
        <c:noMultiLvlLbl val="0"/>
      </c:catAx>
      <c:valAx>
        <c:axId val="149200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9201214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2741332</xdr:colOff>
      <xdr:row>13</xdr:row>
      <xdr:rowOff>68542</xdr:rowOff>
    </xdr:from>
    <xdr:to>
      <xdr:col>8</xdr:col>
      <xdr:colOff>283322</xdr:colOff>
      <xdr:row>37</xdr:row>
      <xdr:rowOff>11206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567617D-3F21-F993-4592-31692BF70A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533960</xdr:colOff>
      <xdr:row>28</xdr:row>
      <xdr:rowOff>82736</xdr:rowOff>
    </xdr:from>
    <xdr:to>
      <xdr:col>3</xdr:col>
      <xdr:colOff>1011706</xdr:colOff>
      <xdr:row>53</xdr:row>
      <xdr:rowOff>68729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E1DFA0A-12DB-93AC-8178-FF4AEE8B77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1175871</xdr:colOff>
      <xdr:row>5</xdr:row>
      <xdr:rowOff>44263</xdr:rowOff>
    </xdr:from>
    <xdr:to>
      <xdr:col>6</xdr:col>
      <xdr:colOff>918883</xdr:colOff>
      <xdr:row>26</xdr:row>
      <xdr:rowOff>104028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326952A-A594-7145-4EF0-96BDC27C4F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711652</xdr:colOff>
      <xdr:row>0</xdr:row>
      <xdr:rowOff>118835</xdr:rowOff>
    </xdr:from>
    <xdr:to>
      <xdr:col>10</xdr:col>
      <xdr:colOff>1864177</xdr:colOff>
      <xdr:row>18</xdr:row>
      <xdr:rowOff>150585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FB88446-6776-AE2A-0285-35EE87DFC5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672353</xdr:colOff>
      <xdr:row>19</xdr:row>
      <xdr:rowOff>0</xdr:rowOff>
    </xdr:from>
    <xdr:to>
      <xdr:col>10</xdr:col>
      <xdr:colOff>1249643</xdr:colOff>
      <xdr:row>35</xdr:row>
      <xdr:rowOff>7471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0CEBBC7-16C0-43CB-AA33-FE2E075DEC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92075</xdr:colOff>
      <xdr:row>8</xdr:row>
      <xdr:rowOff>74611</xdr:rowOff>
    </xdr:from>
    <xdr:to>
      <xdr:col>17</xdr:col>
      <xdr:colOff>400050</xdr:colOff>
      <xdr:row>29</xdr:row>
      <xdr:rowOff>158750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AEB4BD2-B4B4-29AC-B060-9D699EAFA6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XT10348\Downloads\WinPython%203.12.10\WPy64-31241\PROYECTOS%20PYPSA\Dispatching-Project-in-PypSA\hojas_de_datos\ResultadosDispatchingg.xlsx" TargetMode="External"/><Relationship Id="rId1" Type="http://schemas.openxmlformats.org/officeDocument/2006/relationships/externalLinkPath" Target="ResultadosDispatchingg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Parte%20III.%20Modelo%20Espa&#241;a-Portugal-Francia/modelo_dispatching.xlsx" TargetMode="External"/><Relationship Id="rId2" Type="http://schemas.openxmlformats.org/officeDocument/2006/relationships/externalLinkPath" Target="file:///C:\Users\EXT10348\Downloads\WinPython%203.12.10\WPy64-31241\PROYECTOS%20PYPSA\Dispatching-Project-in-PypSA\Parte%20III.%20Modelo%20Espa&#241;a-Portugal-Francia\modelo_dispatching.xlsx" TargetMode="External"/><Relationship Id="rId1" Type="http://schemas.openxmlformats.org/officeDocument/2006/relationships/externalLinkPath" Target="/Users/EXT10348/Downloads/WinPython%203.12.10/WPy64-31241/PROYECTOS%20PYPSA/Dispatching-Project-in-PypSA/Parte%20III.%20Modelo%20Espa&#241;a-Portugal-Francia/modelo_dispatch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etwork"/>
      <sheetName val="crs"/>
      <sheetName val="meta"/>
      <sheetName val="snapshots"/>
      <sheetName val="sub_networks"/>
      <sheetName val="generators"/>
      <sheetName val="generators-p_max_pu"/>
      <sheetName val="generators-p"/>
      <sheetName val="links"/>
      <sheetName val="links-p0"/>
      <sheetName val="links-p1"/>
      <sheetName val="storage_units"/>
      <sheetName val="storage_units-p"/>
      <sheetName val="storage_units-p_dispatch"/>
      <sheetName val="storage_units-p_store"/>
      <sheetName val="storage_units-state_of_charge"/>
      <sheetName val="loads"/>
      <sheetName val="loads-p_set"/>
      <sheetName val="loads-p"/>
      <sheetName val="carriers"/>
      <sheetName val="buses"/>
      <sheetName val="buses-p"/>
      <sheetName val="buses-marginal_price"/>
      <sheetName val="stores"/>
      <sheetName val="stores-p"/>
      <sheetName val="stores-e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B1" t="str">
            <v>ES_solar</v>
          </cell>
          <cell r="C1" t="str">
            <v>ES_wind</v>
          </cell>
          <cell r="D1" t="str">
            <v>ES_water</v>
          </cell>
          <cell r="E1" t="str">
            <v>ES_SRES_excedentes_solar</v>
          </cell>
          <cell r="F1" t="str">
            <v>ES_SRES_excedentes_wind</v>
          </cell>
        </row>
        <row r="2">
          <cell r="B2">
            <v>0</v>
          </cell>
          <cell r="C2">
            <v>0.27513821599999999</v>
          </cell>
          <cell r="D2">
            <v>0.15811435523114359</v>
          </cell>
          <cell r="E2">
            <v>0</v>
          </cell>
          <cell r="F2">
            <v>0.27513821599999999</v>
          </cell>
        </row>
        <row r="3">
          <cell r="B3">
            <v>0</v>
          </cell>
          <cell r="C3">
            <v>0.29443187700000001</v>
          </cell>
          <cell r="D3">
            <v>0.15811435523114359</v>
          </cell>
          <cell r="E3">
            <v>0</v>
          </cell>
          <cell r="F3">
            <v>0.29443187700000001</v>
          </cell>
        </row>
        <row r="4">
          <cell r="B4">
            <v>0</v>
          </cell>
          <cell r="C4">
            <v>0.29945537999999999</v>
          </cell>
          <cell r="D4">
            <v>0.15811435523114359</v>
          </cell>
          <cell r="E4">
            <v>0</v>
          </cell>
          <cell r="F4">
            <v>0.29945537999999999</v>
          </cell>
        </row>
        <row r="5">
          <cell r="B5">
            <v>0</v>
          </cell>
          <cell r="C5">
            <v>0.30697123399999998</v>
          </cell>
          <cell r="D5">
            <v>0.15811435523114359</v>
          </cell>
          <cell r="E5">
            <v>0</v>
          </cell>
          <cell r="F5">
            <v>0.30697123399999998</v>
          </cell>
        </row>
        <row r="6">
          <cell r="B6">
            <v>0</v>
          </cell>
          <cell r="C6">
            <v>0.32181367900000002</v>
          </cell>
          <cell r="D6">
            <v>0.15811435523114359</v>
          </cell>
          <cell r="E6">
            <v>0</v>
          </cell>
          <cell r="F6">
            <v>0.32181367900000002</v>
          </cell>
        </row>
        <row r="7">
          <cell r="B7">
            <v>0</v>
          </cell>
          <cell r="C7">
            <v>0.323743155</v>
          </cell>
          <cell r="D7">
            <v>0.15811435523114359</v>
          </cell>
          <cell r="E7">
            <v>0</v>
          </cell>
          <cell r="F7">
            <v>0.323743155</v>
          </cell>
        </row>
        <row r="8">
          <cell r="B8">
            <v>0</v>
          </cell>
          <cell r="C8">
            <v>0.30273460200000002</v>
          </cell>
          <cell r="D8">
            <v>0.15811435523114359</v>
          </cell>
          <cell r="E8">
            <v>0</v>
          </cell>
          <cell r="F8">
            <v>0.30273460200000002</v>
          </cell>
        </row>
        <row r="9">
          <cell r="B9">
            <v>0</v>
          </cell>
          <cell r="C9">
            <v>0.24533328800000001</v>
          </cell>
          <cell r="D9">
            <v>0.15811435523114359</v>
          </cell>
          <cell r="E9">
            <v>0</v>
          </cell>
          <cell r="F9">
            <v>0.24533328800000001</v>
          </cell>
        </row>
        <row r="10">
          <cell r="B10">
            <v>9.4880399999999997E-3</v>
          </cell>
          <cell r="C10">
            <v>0.19145563500000001</v>
          </cell>
          <cell r="D10">
            <v>0.15811435523114359</v>
          </cell>
          <cell r="E10">
            <v>9.4880399999999997E-3</v>
          </cell>
          <cell r="F10">
            <v>0.19145563500000001</v>
          </cell>
        </row>
        <row r="11">
          <cell r="B11">
            <v>0.25333195600000002</v>
          </cell>
          <cell r="C11">
            <v>0.16467230399999999</v>
          </cell>
          <cell r="D11">
            <v>0.15811435523114359</v>
          </cell>
          <cell r="E11">
            <v>0.25333195600000002</v>
          </cell>
          <cell r="F11">
            <v>0.16467230399999999</v>
          </cell>
        </row>
        <row r="12">
          <cell r="B12">
            <v>0.61809580500000005</v>
          </cell>
          <cell r="C12">
            <v>0.15553496</v>
          </cell>
          <cell r="D12">
            <v>0.15811435523114359</v>
          </cell>
          <cell r="E12">
            <v>0.61809580500000005</v>
          </cell>
          <cell r="F12">
            <v>0.15553496</v>
          </cell>
        </row>
        <row r="13">
          <cell r="B13">
            <v>0.82067192099999997</v>
          </cell>
          <cell r="C13">
            <v>0.16481443000000001</v>
          </cell>
          <cell r="D13">
            <v>0.15811435523114359</v>
          </cell>
          <cell r="E13">
            <v>0.82067192099999997</v>
          </cell>
          <cell r="F13">
            <v>0.16481443000000001</v>
          </cell>
        </row>
        <row r="14">
          <cell r="B14">
            <v>0.90059444</v>
          </cell>
          <cell r="C14">
            <v>0.189962678</v>
          </cell>
          <cell r="D14">
            <v>0.15811435523114359</v>
          </cell>
          <cell r="E14">
            <v>0.90059444</v>
          </cell>
          <cell r="F14">
            <v>0.189962678</v>
          </cell>
        </row>
        <row r="15">
          <cell r="B15">
            <v>0.90052196299999998</v>
          </cell>
          <cell r="C15">
            <v>0.20713524</v>
          </cell>
          <cell r="D15">
            <v>0.15811435523114359</v>
          </cell>
          <cell r="E15">
            <v>0.90052196299999998</v>
          </cell>
          <cell r="F15">
            <v>0.20713524</v>
          </cell>
        </row>
        <row r="16">
          <cell r="B16">
            <v>0.82937190999999999</v>
          </cell>
          <cell r="C16">
            <v>0.21409618999999999</v>
          </cell>
          <cell r="D16">
            <v>0.15811435523114359</v>
          </cell>
          <cell r="E16">
            <v>0.82937190999999999</v>
          </cell>
          <cell r="F16">
            <v>0.21409618999999999</v>
          </cell>
        </row>
        <row r="17">
          <cell r="B17">
            <v>0.70370061399999995</v>
          </cell>
          <cell r="C17">
            <v>0.214720357</v>
          </cell>
          <cell r="D17">
            <v>0.15811435523114359</v>
          </cell>
          <cell r="E17">
            <v>0.70370061399999995</v>
          </cell>
          <cell r="F17">
            <v>0.214720357</v>
          </cell>
        </row>
        <row r="18">
          <cell r="B18">
            <v>0.458227365</v>
          </cell>
          <cell r="C18">
            <v>0.20648649199999999</v>
          </cell>
          <cell r="D18">
            <v>0.15811435523114359</v>
          </cell>
          <cell r="E18">
            <v>0.458227365</v>
          </cell>
          <cell r="F18">
            <v>0.20648649199999999</v>
          </cell>
        </row>
        <row r="19">
          <cell r="B19">
            <v>0.106881658</v>
          </cell>
          <cell r="C19">
            <v>0.17191646599999999</v>
          </cell>
          <cell r="D19">
            <v>0.15811435523114359</v>
          </cell>
          <cell r="E19">
            <v>0.106881658</v>
          </cell>
          <cell r="F19">
            <v>0.17191646599999999</v>
          </cell>
        </row>
        <row r="20">
          <cell r="B20">
            <v>8.2300000000000008E-6</v>
          </cell>
          <cell r="C20">
            <v>0.158973279</v>
          </cell>
          <cell r="D20">
            <v>0.15811435523114359</v>
          </cell>
          <cell r="E20">
            <v>8.2300000000000008E-6</v>
          </cell>
          <cell r="F20">
            <v>0.158973279</v>
          </cell>
        </row>
        <row r="21">
          <cell r="B21">
            <v>0</v>
          </cell>
          <cell r="C21">
            <v>0.15493874299999999</v>
          </cell>
          <cell r="D21">
            <v>0.15811435523114359</v>
          </cell>
          <cell r="E21">
            <v>0</v>
          </cell>
          <cell r="F21">
            <v>0.15493874299999999</v>
          </cell>
        </row>
        <row r="22">
          <cell r="B22">
            <v>0</v>
          </cell>
          <cell r="C22">
            <v>0.15646373499999999</v>
          </cell>
          <cell r="D22">
            <v>0.15811435523114359</v>
          </cell>
          <cell r="E22">
            <v>0</v>
          </cell>
          <cell r="F22">
            <v>0.15646373499999999</v>
          </cell>
        </row>
        <row r="23">
          <cell r="B23">
            <v>0</v>
          </cell>
          <cell r="C23">
            <v>0.161745637</v>
          </cell>
          <cell r="D23">
            <v>0.15811435523114359</v>
          </cell>
          <cell r="E23">
            <v>0</v>
          </cell>
          <cell r="F23">
            <v>0.161745637</v>
          </cell>
        </row>
        <row r="24">
          <cell r="B24">
            <v>0</v>
          </cell>
          <cell r="C24">
            <v>0.172932218</v>
          </cell>
          <cell r="D24">
            <v>0.15811435523114359</v>
          </cell>
          <cell r="E24">
            <v>0</v>
          </cell>
          <cell r="F24">
            <v>0.172932218</v>
          </cell>
        </row>
        <row r="25">
          <cell r="B25">
            <v>0</v>
          </cell>
          <cell r="C25">
            <v>0.18310457299999999</v>
          </cell>
          <cell r="D25">
            <v>0.15811435523114359</v>
          </cell>
          <cell r="E25">
            <v>0</v>
          </cell>
          <cell r="F25">
            <v>0.18310457299999999</v>
          </cell>
        </row>
        <row r="26">
          <cell r="B26">
            <v>0</v>
          </cell>
          <cell r="C26">
            <v>0.191308168</v>
          </cell>
          <cell r="D26">
            <v>0.16173965936739659</v>
          </cell>
          <cell r="E26">
            <v>0</v>
          </cell>
          <cell r="F26">
            <v>0.191308168</v>
          </cell>
        </row>
        <row r="27">
          <cell r="B27">
            <v>0</v>
          </cell>
          <cell r="C27">
            <v>0.18462990100000001</v>
          </cell>
          <cell r="D27">
            <v>0.16173965936739659</v>
          </cell>
          <cell r="E27">
            <v>0</v>
          </cell>
          <cell r="F27">
            <v>0.18462990100000001</v>
          </cell>
        </row>
        <row r="28">
          <cell r="B28">
            <v>0</v>
          </cell>
          <cell r="C28">
            <v>0.175203316</v>
          </cell>
          <cell r="D28">
            <v>0.16173965936739659</v>
          </cell>
          <cell r="E28">
            <v>0</v>
          </cell>
          <cell r="F28">
            <v>0.175203316</v>
          </cell>
        </row>
        <row r="29">
          <cell r="B29">
            <v>0</v>
          </cell>
          <cell r="C29">
            <v>0.164087805</v>
          </cell>
          <cell r="D29">
            <v>0.16173965936739659</v>
          </cell>
          <cell r="E29">
            <v>0</v>
          </cell>
          <cell r="F29">
            <v>0.164087805</v>
          </cell>
        </row>
        <row r="30">
          <cell r="B30">
            <v>0</v>
          </cell>
          <cell r="C30">
            <v>0.15585540000000001</v>
          </cell>
          <cell r="D30">
            <v>0.16173965936739659</v>
          </cell>
          <cell r="E30">
            <v>0</v>
          </cell>
          <cell r="F30">
            <v>0.15585540000000001</v>
          </cell>
        </row>
        <row r="31">
          <cell r="B31">
            <v>0</v>
          </cell>
          <cell r="C31">
            <v>0.148141731</v>
          </cell>
          <cell r="D31">
            <v>0.16173965936739659</v>
          </cell>
          <cell r="E31">
            <v>0</v>
          </cell>
          <cell r="F31">
            <v>0.148141731</v>
          </cell>
        </row>
        <row r="32">
          <cell r="B32">
            <v>0</v>
          </cell>
          <cell r="C32">
            <v>0.133788193</v>
          </cell>
          <cell r="D32">
            <v>0.16173965936739659</v>
          </cell>
          <cell r="E32">
            <v>0</v>
          </cell>
          <cell r="F32">
            <v>0.133788193</v>
          </cell>
        </row>
        <row r="33">
          <cell r="B33">
            <v>0</v>
          </cell>
          <cell r="C33">
            <v>0.115257552</v>
          </cell>
          <cell r="D33">
            <v>0.16173965936739659</v>
          </cell>
          <cell r="E33">
            <v>0</v>
          </cell>
          <cell r="F33">
            <v>0.115257552</v>
          </cell>
        </row>
        <row r="34">
          <cell r="B34">
            <v>7.9333939999999999E-3</v>
          </cell>
          <cell r="C34">
            <v>0.113440635</v>
          </cell>
          <cell r="D34">
            <v>0.16173965936739659</v>
          </cell>
          <cell r="E34">
            <v>7.9333939999999999E-3</v>
          </cell>
          <cell r="F34">
            <v>0.113440635</v>
          </cell>
        </row>
        <row r="35">
          <cell r="B35">
            <v>0.219832848</v>
          </cell>
          <cell r="C35">
            <v>0.103052199</v>
          </cell>
          <cell r="D35">
            <v>0.16173965936739659</v>
          </cell>
          <cell r="E35">
            <v>0.219832848</v>
          </cell>
          <cell r="F35">
            <v>0.103052199</v>
          </cell>
        </row>
        <row r="36">
          <cell r="B36">
            <v>0.55434557600000001</v>
          </cell>
          <cell r="C36">
            <v>8.6513140000000002E-2</v>
          </cell>
          <cell r="D36">
            <v>0.16173965936739659</v>
          </cell>
          <cell r="E36">
            <v>0.55434557600000001</v>
          </cell>
          <cell r="F36">
            <v>8.6513140000000002E-2</v>
          </cell>
        </row>
        <row r="37">
          <cell r="B37">
            <v>0.75789682000000003</v>
          </cell>
          <cell r="C37">
            <v>8.1672468999999998E-2</v>
          </cell>
          <cell r="D37">
            <v>0.16173965936739659</v>
          </cell>
          <cell r="E37">
            <v>0.75789682000000003</v>
          </cell>
          <cell r="F37">
            <v>8.1672468999999998E-2</v>
          </cell>
        </row>
        <row r="38">
          <cell r="B38">
            <v>0.87286365799999999</v>
          </cell>
          <cell r="C38">
            <v>8.7381510999999995E-2</v>
          </cell>
          <cell r="D38">
            <v>0.16173965936739659</v>
          </cell>
          <cell r="E38">
            <v>0.87286365799999999</v>
          </cell>
          <cell r="F38">
            <v>8.7381510999999995E-2</v>
          </cell>
        </row>
        <row r="39">
          <cell r="B39">
            <v>0.90580659200000002</v>
          </cell>
          <cell r="C39">
            <v>8.9404032999999994E-2</v>
          </cell>
          <cell r="D39">
            <v>0.16173965936739659</v>
          </cell>
          <cell r="E39">
            <v>0.90580659200000002</v>
          </cell>
          <cell r="F39">
            <v>8.9404032999999994E-2</v>
          </cell>
        </row>
        <row r="40">
          <cell r="B40">
            <v>0.86813232600000001</v>
          </cell>
          <cell r="C40">
            <v>8.3889897000000005E-2</v>
          </cell>
          <cell r="D40">
            <v>0.16173965936739659</v>
          </cell>
          <cell r="E40">
            <v>0.86813232600000001</v>
          </cell>
          <cell r="F40">
            <v>8.3889897000000005E-2</v>
          </cell>
        </row>
        <row r="41">
          <cell r="B41">
            <v>0.73682766</v>
          </cell>
          <cell r="C41">
            <v>7.8523670000000004E-2</v>
          </cell>
          <cell r="D41">
            <v>0.16173965936739659</v>
          </cell>
          <cell r="E41">
            <v>0.73682766</v>
          </cell>
          <cell r="F41">
            <v>7.8523670000000004E-2</v>
          </cell>
        </row>
        <row r="42">
          <cell r="B42">
            <v>0.476664702</v>
          </cell>
          <cell r="C42">
            <v>7.2706811999999996E-2</v>
          </cell>
          <cell r="D42">
            <v>0.16173965936739659</v>
          </cell>
          <cell r="E42">
            <v>0.476664702</v>
          </cell>
          <cell r="F42">
            <v>7.2706811999999996E-2</v>
          </cell>
        </row>
        <row r="43">
          <cell r="B43">
            <v>0.111706449</v>
          </cell>
          <cell r="C43">
            <v>7.3486639000000006E-2</v>
          </cell>
          <cell r="D43">
            <v>0.16173965936739659</v>
          </cell>
          <cell r="E43">
            <v>0.111706449</v>
          </cell>
          <cell r="F43">
            <v>7.3486639000000006E-2</v>
          </cell>
        </row>
        <row r="44">
          <cell r="B44">
            <v>1.6500000000000001E-5</v>
          </cell>
          <cell r="C44">
            <v>0.115611123</v>
          </cell>
          <cell r="D44">
            <v>0.16173965936739659</v>
          </cell>
          <cell r="E44">
            <v>1.6500000000000001E-5</v>
          </cell>
          <cell r="F44">
            <v>0.115611123</v>
          </cell>
        </row>
        <row r="45">
          <cell r="B45">
            <v>0</v>
          </cell>
          <cell r="C45">
            <v>0.13827661499999999</v>
          </cell>
          <cell r="D45">
            <v>0.16173965936739659</v>
          </cell>
          <cell r="E45">
            <v>0</v>
          </cell>
          <cell r="F45">
            <v>0.13827661499999999</v>
          </cell>
        </row>
        <row r="46">
          <cell r="B46">
            <v>0</v>
          </cell>
          <cell r="C46">
            <v>0.13061771899999999</v>
          </cell>
          <cell r="D46">
            <v>0.16173965936739659</v>
          </cell>
          <cell r="E46">
            <v>0</v>
          </cell>
          <cell r="F46">
            <v>0.13061771899999999</v>
          </cell>
        </row>
        <row r="47">
          <cell r="B47">
            <v>0</v>
          </cell>
          <cell r="C47">
            <v>0.11403063400000001</v>
          </cell>
          <cell r="D47">
            <v>0.16173965936739659</v>
          </cell>
          <cell r="E47">
            <v>0</v>
          </cell>
          <cell r="F47">
            <v>0.11403063400000001</v>
          </cell>
        </row>
        <row r="48">
          <cell r="B48">
            <v>0</v>
          </cell>
          <cell r="C48">
            <v>0.107394823</v>
          </cell>
          <cell r="D48">
            <v>0.16173965936739659</v>
          </cell>
          <cell r="E48">
            <v>0</v>
          </cell>
          <cell r="F48">
            <v>0.107394823</v>
          </cell>
        </row>
        <row r="49">
          <cell r="B49">
            <v>0</v>
          </cell>
          <cell r="C49">
            <v>0.103424957</v>
          </cell>
          <cell r="D49">
            <v>0.16173965936739659</v>
          </cell>
          <cell r="E49">
            <v>0</v>
          </cell>
          <cell r="F49">
            <v>0.103424957</v>
          </cell>
        </row>
        <row r="50">
          <cell r="B50">
            <v>0</v>
          </cell>
          <cell r="C50">
            <v>0.107749769</v>
          </cell>
          <cell r="D50">
            <v>0.16793187347931879</v>
          </cell>
          <cell r="E50">
            <v>0</v>
          </cell>
          <cell r="F50">
            <v>0.107749769</v>
          </cell>
        </row>
        <row r="51">
          <cell r="B51">
            <v>0</v>
          </cell>
          <cell r="C51">
            <v>0.111496518</v>
          </cell>
          <cell r="D51">
            <v>0.16793187347931879</v>
          </cell>
          <cell r="E51">
            <v>0</v>
          </cell>
          <cell r="F51">
            <v>0.111496518</v>
          </cell>
        </row>
        <row r="52">
          <cell r="B52">
            <v>0</v>
          </cell>
          <cell r="C52">
            <v>0.11350845499999999</v>
          </cell>
          <cell r="D52">
            <v>0.16793187347931879</v>
          </cell>
          <cell r="E52">
            <v>0</v>
          </cell>
          <cell r="F52">
            <v>0.11350845499999999</v>
          </cell>
        </row>
        <row r="53">
          <cell r="B53">
            <v>0</v>
          </cell>
          <cell r="C53">
            <v>0.10916308</v>
          </cell>
          <cell r="D53">
            <v>0.16793187347931879</v>
          </cell>
          <cell r="E53">
            <v>0</v>
          </cell>
          <cell r="F53">
            <v>0.10916308</v>
          </cell>
        </row>
        <row r="54">
          <cell r="B54">
            <v>0</v>
          </cell>
          <cell r="C54">
            <v>0.104742366</v>
          </cell>
          <cell r="D54">
            <v>0.16793187347931879</v>
          </cell>
          <cell r="E54">
            <v>0</v>
          </cell>
          <cell r="F54">
            <v>0.104742366</v>
          </cell>
        </row>
        <row r="55">
          <cell r="B55">
            <v>0</v>
          </cell>
          <cell r="C55">
            <v>0.10133547399999999</v>
          </cell>
          <cell r="D55">
            <v>0.16793187347931879</v>
          </cell>
          <cell r="E55">
            <v>0</v>
          </cell>
          <cell r="F55">
            <v>0.10133547399999999</v>
          </cell>
        </row>
        <row r="56">
          <cell r="B56">
            <v>0</v>
          </cell>
          <cell r="C56">
            <v>9.3626618999999994E-2</v>
          </cell>
          <cell r="D56">
            <v>0.16793187347931879</v>
          </cell>
          <cell r="E56">
            <v>0</v>
          </cell>
          <cell r="F56">
            <v>9.3626618999999994E-2</v>
          </cell>
        </row>
        <row r="57">
          <cell r="B57">
            <v>0</v>
          </cell>
          <cell r="C57">
            <v>8.0518063000000001E-2</v>
          </cell>
          <cell r="D57">
            <v>0.16793187347931879</v>
          </cell>
          <cell r="E57">
            <v>0</v>
          </cell>
          <cell r="F57">
            <v>8.0518063000000001E-2</v>
          </cell>
        </row>
        <row r="58">
          <cell r="B58">
            <v>1.0129816E-2</v>
          </cell>
          <cell r="C58">
            <v>7.7173868000000007E-2</v>
          </cell>
          <cell r="D58">
            <v>0.16793187347931879</v>
          </cell>
          <cell r="E58">
            <v>1.0129816E-2</v>
          </cell>
          <cell r="F58">
            <v>7.7173868000000007E-2</v>
          </cell>
        </row>
        <row r="59">
          <cell r="B59">
            <v>0.24075664299999999</v>
          </cell>
          <cell r="C59">
            <v>6.3607421999999997E-2</v>
          </cell>
          <cell r="D59">
            <v>0.16793187347931879</v>
          </cell>
          <cell r="E59">
            <v>0.24075664299999999</v>
          </cell>
          <cell r="F59">
            <v>6.3607421999999997E-2</v>
          </cell>
        </row>
        <row r="60">
          <cell r="B60">
            <v>0.57076075199999998</v>
          </cell>
          <cell r="C60">
            <v>3.2033387000000003E-2</v>
          </cell>
          <cell r="D60">
            <v>0.16793187347931879</v>
          </cell>
          <cell r="E60">
            <v>0.57076075199999998</v>
          </cell>
          <cell r="F60">
            <v>3.2033387000000003E-2</v>
          </cell>
        </row>
        <row r="61">
          <cell r="B61">
            <v>0.76406692799999998</v>
          </cell>
          <cell r="C61">
            <v>1.5442123E-2</v>
          </cell>
          <cell r="D61">
            <v>0.16793187347931879</v>
          </cell>
          <cell r="E61">
            <v>0.76406692799999998</v>
          </cell>
          <cell r="F61">
            <v>1.5442123E-2</v>
          </cell>
        </row>
        <row r="62">
          <cell r="B62">
            <v>0.86059442200000003</v>
          </cell>
          <cell r="C62">
            <v>1.1414298999999999E-2</v>
          </cell>
          <cell r="D62">
            <v>0.16793187347931879</v>
          </cell>
          <cell r="E62">
            <v>0.86059442200000003</v>
          </cell>
          <cell r="F62">
            <v>1.1414298999999999E-2</v>
          </cell>
        </row>
        <row r="63">
          <cell r="B63">
            <v>0.87515930900000005</v>
          </cell>
          <cell r="C63">
            <v>1.0335405000000001E-2</v>
          </cell>
          <cell r="D63">
            <v>0.16793187347931879</v>
          </cell>
          <cell r="E63">
            <v>0.87515930900000005</v>
          </cell>
          <cell r="F63">
            <v>1.0335405000000001E-2</v>
          </cell>
        </row>
        <row r="64">
          <cell r="B64">
            <v>0.81846577700000001</v>
          </cell>
          <cell r="C64">
            <v>1.0208371000000001E-2</v>
          </cell>
          <cell r="D64">
            <v>0.16793187347931879</v>
          </cell>
          <cell r="E64">
            <v>0.81846577700000001</v>
          </cell>
          <cell r="F64">
            <v>1.0208371000000001E-2</v>
          </cell>
        </row>
        <row r="65">
          <cell r="B65">
            <v>0.68812325699999999</v>
          </cell>
          <cell r="C65">
            <v>1.1060390999999999E-2</v>
          </cell>
          <cell r="D65">
            <v>0.16793187347931879</v>
          </cell>
          <cell r="E65">
            <v>0.68812325699999999</v>
          </cell>
          <cell r="F65">
            <v>1.1060390999999999E-2</v>
          </cell>
        </row>
        <row r="66">
          <cell r="B66">
            <v>0.44111408699999999</v>
          </cell>
          <cell r="C66">
            <v>9.8989430000000003E-3</v>
          </cell>
          <cell r="D66">
            <v>0.16793187347931879</v>
          </cell>
          <cell r="E66">
            <v>0.44111408699999999</v>
          </cell>
          <cell r="F66">
            <v>9.8989430000000003E-3</v>
          </cell>
        </row>
        <row r="67">
          <cell r="B67">
            <v>0.10632327599999999</v>
          </cell>
          <cell r="C67">
            <v>1.7780221999999998E-2</v>
          </cell>
          <cell r="D67">
            <v>0.16793187347931879</v>
          </cell>
          <cell r="E67">
            <v>0.10632327599999999</v>
          </cell>
          <cell r="F67">
            <v>1.7780221999999998E-2</v>
          </cell>
        </row>
        <row r="68">
          <cell r="B68">
            <v>3.8399999999999998E-5</v>
          </cell>
          <cell r="C68">
            <v>3.2348742999999999E-2</v>
          </cell>
          <cell r="D68">
            <v>0.16793187347931879</v>
          </cell>
          <cell r="E68">
            <v>3.8399999999999998E-5</v>
          </cell>
          <cell r="F68">
            <v>3.2348742999999999E-2</v>
          </cell>
        </row>
        <row r="69">
          <cell r="B69">
            <v>0</v>
          </cell>
          <cell r="C69">
            <v>3.3034015999999999E-2</v>
          </cell>
          <cell r="D69">
            <v>0.16793187347931879</v>
          </cell>
          <cell r="E69">
            <v>0</v>
          </cell>
          <cell r="F69">
            <v>3.3034015999999999E-2</v>
          </cell>
        </row>
        <row r="70">
          <cell r="B70">
            <v>0</v>
          </cell>
          <cell r="C70">
            <v>2.1762911999999999E-2</v>
          </cell>
          <cell r="D70">
            <v>0.16793187347931879</v>
          </cell>
          <cell r="E70">
            <v>0</v>
          </cell>
          <cell r="F70">
            <v>2.1762911999999999E-2</v>
          </cell>
        </row>
        <row r="71">
          <cell r="B71">
            <v>0</v>
          </cell>
          <cell r="C71">
            <v>1.7486972E-2</v>
          </cell>
          <cell r="D71">
            <v>0.16793187347931879</v>
          </cell>
          <cell r="E71">
            <v>0</v>
          </cell>
          <cell r="F71">
            <v>1.7486972E-2</v>
          </cell>
        </row>
        <row r="72">
          <cell r="B72">
            <v>0</v>
          </cell>
          <cell r="C72">
            <v>1.8721867E-2</v>
          </cell>
          <cell r="D72">
            <v>0.16793187347931879</v>
          </cell>
          <cell r="E72">
            <v>0</v>
          </cell>
          <cell r="F72">
            <v>1.8721867E-2</v>
          </cell>
        </row>
        <row r="73">
          <cell r="B73">
            <v>0</v>
          </cell>
          <cell r="C73">
            <v>1.9438409E-2</v>
          </cell>
          <cell r="D73">
            <v>0.16793187347931879</v>
          </cell>
          <cell r="E73">
            <v>0</v>
          </cell>
          <cell r="F73">
            <v>1.9438409E-2</v>
          </cell>
        </row>
        <row r="74">
          <cell r="B74">
            <v>0</v>
          </cell>
          <cell r="C74">
            <v>2.2797543E-2</v>
          </cell>
          <cell r="D74">
            <v>0.1694160583941606</v>
          </cell>
          <cell r="E74">
            <v>0</v>
          </cell>
          <cell r="F74">
            <v>2.2797543E-2</v>
          </cell>
        </row>
        <row r="75">
          <cell r="B75">
            <v>0</v>
          </cell>
          <cell r="C75">
            <v>2.6731528000000001E-2</v>
          </cell>
          <cell r="D75">
            <v>0.1694160583941606</v>
          </cell>
          <cell r="E75">
            <v>0</v>
          </cell>
          <cell r="F75">
            <v>2.6731528000000001E-2</v>
          </cell>
        </row>
        <row r="76">
          <cell r="B76">
            <v>0</v>
          </cell>
          <cell r="C76">
            <v>3.2651092999999999E-2</v>
          </cell>
          <cell r="D76">
            <v>0.1694160583941606</v>
          </cell>
          <cell r="E76">
            <v>0</v>
          </cell>
          <cell r="F76">
            <v>3.2651092999999999E-2</v>
          </cell>
        </row>
        <row r="77">
          <cell r="B77">
            <v>0</v>
          </cell>
          <cell r="C77">
            <v>4.0581737999999999E-2</v>
          </cell>
          <cell r="D77">
            <v>0.1694160583941606</v>
          </cell>
          <cell r="E77">
            <v>0</v>
          </cell>
          <cell r="F77">
            <v>4.0581737999999999E-2</v>
          </cell>
        </row>
        <row r="78">
          <cell r="B78">
            <v>0</v>
          </cell>
          <cell r="C78">
            <v>5.0982284000000003E-2</v>
          </cell>
          <cell r="D78">
            <v>0.1694160583941606</v>
          </cell>
          <cell r="E78">
            <v>0</v>
          </cell>
          <cell r="F78">
            <v>5.0982284000000003E-2</v>
          </cell>
        </row>
        <row r="79">
          <cell r="B79">
            <v>0</v>
          </cell>
          <cell r="C79">
            <v>5.9373763000000003E-2</v>
          </cell>
          <cell r="D79">
            <v>0.1694160583941606</v>
          </cell>
          <cell r="E79">
            <v>0</v>
          </cell>
          <cell r="F79">
            <v>5.9373763000000003E-2</v>
          </cell>
        </row>
        <row r="80">
          <cell r="B80">
            <v>0</v>
          </cell>
          <cell r="C80">
            <v>6.6060953000000006E-2</v>
          </cell>
          <cell r="D80">
            <v>0.1694160583941606</v>
          </cell>
          <cell r="E80">
            <v>0</v>
          </cell>
          <cell r="F80">
            <v>6.6060953000000006E-2</v>
          </cell>
        </row>
        <row r="81">
          <cell r="B81">
            <v>0</v>
          </cell>
          <cell r="C81">
            <v>6.9969826999999998E-2</v>
          </cell>
          <cell r="D81">
            <v>0.1694160583941606</v>
          </cell>
          <cell r="E81">
            <v>0</v>
          </cell>
          <cell r="F81">
            <v>6.9969826999999998E-2</v>
          </cell>
        </row>
        <row r="82">
          <cell r="B82">
            <v>6.8601549999999997E-3</v>
          </cell>
          <cell r="C82">
            <v>7.8754295000000002E-2</v>
          </cell>
          <cell r="D82">
            <v>0.1694160583941606</v>
          </cell>
          <cell r="E82">
            <v>6.8601549999999997E-3</v>
          </cell>
          <cell r="F82">
            <v>7.8754295000000002E-2</v>
          </cell>
        </row>
        <row r="83">
          <cell r="B83">
            <v>0.14890668700000001</v>
          </cell>
          <cell r="C83">
            <v>9.0938508000000001E-2</v>
          </cell>
          <cell r="D83">
            <v>0.1694160583941606</v>
          </cell>
          <cell r="E83">
            <v>0.14890668700000001</v>
          </cell>
          <cell r="F83">
            <v>9.0938508000000001E-2</v>
          </cell>
        </row>
        <row r="84">
          <cell r="B84">
            <v>0.36346963500000001</v>
          </cell>
          <cell r="C84">
            <v>0.100598005</v>
          </cell>
          <cell r="D84">
            <v>0.1694160583941606</v>
          </cell>
          <cell r="E84">
            <v>0.36346963500000001</v>
          </cell>
          <cell r="F84">
            <v>0.100598005</v>
          </cell>
        </row>
        <row r="85">
          <cell r="B85">
            <v>0.52272643299999999</v>
          </cell>
          <cell r="C85">
            <v>0.11549854399999999</v>
          </cell>
          <cell r="D85">
            <v>0.1694160583941606</v>
          </cell>
          <cell r="E85">
            <v>0.52272643299999999</v>
          </cell>
          <cell r="F85">
            <v>0.11549854399999999</v>
          </cell>
        </row>
        <row r="86">
          <cell r="B86">
            <v>0.62047013699999998</v>
          </cell>
          <cell r="C86">
            <v>0.13827719199999999</v>
          </cell>
          <cell r="D86">
            <v>0.1694160583941606</v>
          </cell>
          <cell r="E86">
            <v>0.62047013699999998</v>
          </cell>
          <cell r="F86">
            <v>0.13827719199999999</v>
          </cell>
        </row>
        <row r="87">
          <cell r="B87">
            <v>0.63995515599999997</v>
          </cell>
          <cell r="C87">
            <v>0.16269359799999999</v>
          </cell>
          <cell r="D87">
            <v>0.1694160583941606</v>
          </cell>
          <cell r="E87">
            <v>0.63995515599999997</v>
          </cell>
          <cell r="F87">
            <v>0.16269359799999999</v>
          </cell>
        </row>
        <row r="88">
          <cell r="B88">
            <v>0.588145633</v>
          </cell>
          <cell r="C88">
            <v>0.18848293999999999</v>
          </cell>
          <cell r="D88">
            <v>0.1694160583941606</v>
          </cell>
          <cell r="E88">
            <v>0.588145633</v>
          </cell>
          <cell r="F88">
            <v>0.18848293999999999</v>
          </cell>
        </row>
        <row r="89">
          <cell r="B89">
            <v>0.49928330100000001</v>
          </cell>
          <cell r="C89">
            <v>0.20757709799999999</v>
          </cell>
          <cell r="D89">
            <v>0.1694160583941606</v>
          </cell>
          <cell r="E89">
            <v>0.49928330100000001</v>
          </cell>
          <cell r="F89">
            <v>0.20757709799999999</v>
          </cell>
        </row>
        <row r="90">
          <cell r="B90">
            <v>0.346339126</v>
          </cell>
          <cell r="C90">
            <v>0.21244671500000001</v>
          </cell>
          <cell r="D90">
            <v>0.1694160583941606</v>
          </cell>
          <cell r="E90">
            <v>0.346339126</v>
          </cell>
          <cell r="F90">
            <v>0.21244671500000001</v>
          </cell>
        </row>
        <row r="91">
          <cell r="B91">
            <v>0.10341510299999999</v>
          </cell>
          <cell r="C91">
            <v>0.20457370999999999</v>
          </cell>
          <cell r="D91">
            <v>0.1694160583941606</v>
          </cell>
          <cell r="E91">
            <v>0.10341510299999999</v>
          </cell>
          <cell r="F91">
            <v>0.20457370999999999</v>
          </cell>
        </row>
        <row r="92">
          <cell r="B92">
            <v>7.7100000000000004E-5</v>
          </cell>
          <cell r="C92">
            <v>0.22267505300000001</v>
          </cell>
          <cell r="D92">
            <v>0.1694160583941606</v>
          </cell>
          <cell r="E92">
            <v>7.7100000000000004E-5</v>
          </cell>
          <cell r="F92">
            <v>0.22267505300000001</v>
          </cell>
        </row>
        <row r="93">
          <cell r="B93">
            <v>0</v>
          </cell>
          <cell r="C93">
            <v>0.254737767</v>
          </cell>
          <cell r="D93">
            <v>0.1694160583941606</v>
          </cell>
          <cell r="E93">
            <v>0</v>
          </cell>
          <cell r="F93">
            <v>0.254737767</v>
          </cell>
        </row>
        <row r="94">
          <cell r="B94">
            <v>0</v>
          </cell>
          <cell r="C94">
            <v>0.27501555100000002</v>
          </cell>
          <cell r="D94">
            <v>0.1694160583941606</v>
          </cell>
          <cell r="E94">
            <v>0</v>
          </cell>
          <cell r="F94">
            <v>0.27501555100000002</v>
          </cell>
        </row>
        <row r="95">
          <cell r="B95">
            <v>0</v>
          </cell>
          <cell r="C95">
            <v>0.28818690899999999</v>
          </cell>
          <cell r="D95">
            <v>0.1694160583941606</v>
          </cell>
          <cell r="E95">
            <v>0</v>
          </cell>
          <cell r="F95">
            <v>0.28818690899999999</v>
          </cell>
        </row>
        <row r="96">
          <cell r="B96">
            <v>0</v>
          </cell>
          <cell r="C96">
            <v>0.31947301099999997</v>
          </cell>
          <cell r="D96">
            <v>0.1694160583941606</v>
          </cell>
          <cell r="E96">
            <v>0</v>
          </cell>
          <cell r="F96">
            <v>0.31947301099999997</v>
          </cell>
        </row>
        <row r="97">
          <cell r="B97">
            <v>0</v>
          </cell>
          <cell r="C97">
            <v>0.353982937</v>
          </cell>
          <cell r="D97">
            <v>0.1694160583941606</v>
          </cell>
          <cell r="E97">
            <v>0</v>
          </cell>
          <cell r="F97">
            <v>0.353982937</v>
          </cell>
        </row>
        <row r="98">
          <cell r="B98">
            <v>0</v>
          </cell>
          <cell r="C98">
            <v>0.36701989000000002</v>
          </cell>
          <cell r="D98">
            <v>0.1713990267639903</v>
          </cell>
          <cell r="E98">
            <v>0</v>
          </cell>
          <cell r="F98">
            <v>0.36701989000000002</v>
          </cell>
        </row>
        <row r="99">
          <cell r="B99">
            <v>0</v>
          </cell>
          <cell r="C99">
            <v>0.342508282</v>
          </cell>
          <cell r="D99">
            <v>0.1713990267639903</v>
          </cell>
          <cell r="E99">
            <v>0</v>
          </cell>
          <cell r="F99">
            <v>0.342508282</v>
          </cell>
        </row>
        <row r="100">
          <cell r="B100">
            <v>0</v>
          </cell>
          <cell r="C100">
            <v>0.33470191500000002</v>
          </cell>
          <cell r="D100">
            <v>0.1713990267639903</v>
          </cell>
          <cell r="E100">
            <v>0</v>
          </cell>
          <cell r="F100">
            <v>0.33470191500000002</v>
          </cell>
        </row>
        <row r="101">
          <cell r="B101">
            <v>0</v>
          </cell>
          <cell r="C101">
            <v>0.35738882900000002</v>
          </cell>
          <cell r="D101">
            <v>0.1713990267639903</v>
          </cell>
          <cell r="E101">
            <v>0</v>
          </cell>
          <cell r="F101">
            <v>0.35738882900000002</v>
          </cell>
        </row>
        <row r="102">
          <cell r="B102">
            <v>0</v>
          </cell>
          <cell r="C102">
            <v>0.41485719700000001</v>
          </cell>
          <cell r="D102">
            <v>0.1713990267639903</v>
          </cell>
          <cell r="E102">
            <v>0</v>
          </cell>
          <cell r="F102">
            <v>0.41485719700000001</v>
          </cell>
        </row>
        <row r="103">
          <cell r="B103">
            <v>0</v>
          </cell>
          <cell r="C103">
            <v>0.47076277500000002</v>
          </cell>
          <cell r="D103">
            <v>0.1713990267639903</v>
          </cell>
          <cell r="E103">
            <v>0</v>
          </cell>
          <cell r="F103">
            <v>0.47076277500000002</v>
          </cell>
        </row>
        <row r="104">
          <cell r="B104">
            <v>0</v>
          </cell>
          <cell r="C104">
            <v>0.49756946400000002</v>
          </cell>
          <cell r="D104">
            <v>0.1713990267639903</v>
          </cell>
          <cell r="E104">
            <v>0</v>
          </cell>
          <cell r="F104">
            <v>0.49756946400000002</v>
          </cell>
        </row>
        <row r="105">
          <cell r="B105">
            <v>0</v>
          </cell>
          <cell r="C105">
            <v>0.51359013099999995</v>
          </cell>
          <cell r="D105">
            <v>0.1713990267639903</v>
          </cell>
          <cell r="E105">
            <v>0</v>
          </cell>
          <cell r="F105">
            <v>0.51359013099999995</v>
          </cell>
        </row>
        <row r="106">
          <cell r="B106">
            <v>5.0014889999999996E-3</v>
          </cell>
          <cell r="C106">
            <v>0.54317550699999995</v>
          </cell>
          <cell r="D106">
            <v>0.1713990267639903</v>
          </cell>
          <cell r="E106">
            <v>5.0014889999999996E-3</v>
          </cell>
          <cell r="F106">
            <v>0.54317550699999995</v>
          </cell>
        </row>
        <row r="107">
          <cell r="B107">
            <v>0.13470918700000001</v>
          </cell>
          <cell r="C107">
            <v>0.57570690099999999</v>
          </cell>
          <cell r="D107">
            <v>0.1713990267639903</v>
          </cell>
          <cell r="E107">
            <v>0.13470918700000001</v>
          </cell>
          <cell r="F107">
            <v>0.57570690099999999</v>
          </cell>
        </row>
        <row r="108">
          <cell r="B108">
            <v>0.38300015199999998</v>
          </cell>
          <cell r="C108">
            <v>0.61551767300000004</v>
          </cell>
          <cell r="D108">
            <v>0.1713990267639903</v>
          </cell>
          <cell r="E108">
            <v>0.38300015199999998</v>
          </cell>
          <cell r="F108">
            <v>0.61551767300000004</v>
          </cell>
        </row>
        <row r="109">
          <cell r="B109">
            <v>0.58491644200000004</v>
          </cell>
          <cell r="C109">
            <v>0.64408793200000003</v>
          </cell>
          <cell r="D109">
            <v>0.1713990267639903</v>
          </cell>
          <cell r="E109">
            <v>0.58491644200000004</v>
          </cell>
          <cell r="F109">
            <v>0.64408793200000003</v>
          </cell>
        </row>
        <row r="110">
          <cell r="B110">
            <v>0.72836839600000003</v>
          </cell>
          <cell r="C110">
            <v>0.67036331400000004</v>
          </cell>
          <cell r="D110">
            <v>0.1713990267639903</v>
          </cell>
          <cell r="E110">
            <v>0.72836839600000003</v>
          </cell>
          <cell r="F110">
            <v>0.67036331400000004</v>
          </cell>
        </row>
        <row r="111">
          <cell r="B111">
            <v>0.79454962699999998</v>
          </cell>
          <cell r="C111">
            <v>0.68859970000000004</v>
          </cell>
          <cell r="D111">
            <v>0.1713990267639903</v>
          </cell>
          <cell r="E111">
            <v>0.79454962699999998</v>
          </cell>
          <cell r="F111">
            <v>0.68859970000000004</v>
          </cell>
        </row>
        <row r="112">
          <cell r="B112">
            <v>0.78169858299999995</v>
          </cell>
          <cell r="C112">
            <v>0.69667436500000002</v>
          </cell>
          <cell r="D112">
            <v>0.1713990267639903</v>
          </cell>
          <cell r="E112">
            <v>0.78169858299999995</v>
          </cell>
          <cell r="F112">
            <v>0.69667436500000002</v>
          </cell>
        </row>
        <row r="113">
          <cell r="B113">
            <v>0.65610926199999997</v>
          </cell>
          <cell r="C113">
            <v>0.68744846599999998</v>
          </cell>
          <cell r="D113">
            <v>0.1713990267639903</v>
          </cell>
          <cell r="E113">
            <v>0.65610926199999997</v>
          </cell>
          <cell r="F113">
            <v>0.68744846599999998</v>
          </cell>
        </row>
        <row r="114">
          <cell r="B114">
            <v>0.42836328400000001</v>
          </cell>
          <cell r="C114">
            <v>0.67320856200000001</v>
          </cell>
          <cell r="D114">
            <v>0.1713990267639903</v>
          </cell>
          <cell r="E114">
            <v>0.42836328400000001</v>
          </cell>
          <cell r="F114">
            <v>0.67320856200000001</v>
          </cell>
        </row>
        <row r="115">
          <cell r="B115">
            <v>0.11466275500000001</v>
          </cell>
          <cell r="C115">
            <v>0.61049664199999998</v>
          </cell>
          <cell r="D115">
            <v>0.1713990267639903</v>
          </cell>
          <cell r="E115">
            <v>0.11466275500000001</v>
          </cell>
          <cell r="F115">
            <v>0.61049664199999998</v>
          </cell>
        </row>
        <row r="116">
          <cell r="B116">
            <v>1.35544E-4</v>
          </cell>
          <cell r="C116">
            <v>0.53394372199999995</v>
          </cell>
          <cell r="D116">
            <v>0.1713990267639903</v>
          </cell>
          <cell r="E116">
            <v>1.35544E-4</v>
          </cell>
          <cell r="F116">
            <v>0.53394372199999995</v>
          </cell>
        </row>
        <row r="117">
          <cell r="B117">
            <v>0</v>
          </cell>
          <cell r="C117">
            <v>0.48341007800000002</v>
          </cell>
          <cell r="D117">
            <v>0.1713990267639903</v>
          </cell>
          <cell r="E117">
            <v>0</v>
          </cell>
          <cell r="F117">
            <v>0.48341007800000002</v>
          </cell>
        </row>
        <row r="118">
          <cell r="B118">
            <v>0</v>
          </cell>
          <cell r="C118">
            <v>0.46995061100000002</v>
          </cell>
          <cell r="D118">
            <v>0.1713990267639903</v>
          </cell>
          <cell r="E118">
            <v>0</v>
          </cell>
          <cell r="F118">
            <v>0.46995061100000002</v>
          </cell>
        </row>
        <row r="119">
          <cell r="B119">
            <v>0</v>
          </cell>
          <cell r="C119">
            <v>0.47026385700000001</v>
          </cell>
          <cell r="D119">
            <v>0.1713990267639903</v>
          </cell>
          <cell r="E119">
            <v>0</v>
          </cell>
          <cell r="F119">
            <v>0.47026385700000001</v>
          </cell>
        </row>
        <row r="120">
          <cell r="B120">
            <v>0</v>
          </cell>
          <cell r="C120">
            <v>0.469347454</v>
          </cell>
          <cell r="D120">
            <v>0.1713990267639903</v>
          </cell>
          <cell r="E120">
            <v>0</v>
          </cell>
          <cell r="F120">
            <v>0.469347454</v>
          </cell>
        </row>
        <row r="121">
          <cell r="B121">
            <v>0</v>
          </cell>
          <cell r="C121">
            <v>0.47874165400000002</v>
          </cell>
          <cell r="D121">
            <v>0.1713990267639903</v>
          </cell>
          <cell r="E121">
            <v>0</v>
          </cell>
          <cell r="F121">
            <v>0.47874165400000002</v>
          </cell>
        </row>
        <row r="122">
          <cell r="B122">
            <v>0</v>
          </cell>
          <cell r="C122">
            <v>0.49302268599999999</v>
          </cell>
          <cell r="D122">
            <v>0.17338199513381999</v>
          </cell>
          <cell r="E122">
            <v>0</v>
          </cell>
          <cell r="F122">
            <v>0.49302268599999999</v>
          </cell>
        </row>
        <row r="123">
          <cell r="B123">
            <v>0</v>
          </cell>
          <cell r="C123">
            <v>0.493862256</v>
          </cell>
          <cell r="D123">
            <v>0.17338199513381999</v>
          </cell>
          <cell r="E123">
            <v>0</v>
          </cell>
          <cell r="F123">
            <v>0.493862256</v>
          </cell>
        </row>
        <row r="124">
          <cell r="B124">
            <v>0</v>
          </cell>
          <cell r="C124">
            <v>0.48728855799999998</v>
          </cell>
          <cell r="D124">
            <v>0.17338199513381999</v>
          </cell>
          <cell r="E124">
            <v>0</v>
          </cell>
          <cell r="F124">
            <v>0.48728855799999998</v>
          </cell>
        </row>
        <row r="125">
          <cell r="B125">
            <v>0</v>
          </cell>
          <cell r="C125">
            <v>0.486031353</v>
          </cell>
          <cell r="D125">
            <v>0.17338199513381999</v>
          </cell>
          <cell r="E125">
            <v>0</v>
          </cell>
          <cell r="F125">
            <v>0.486031353</v>
          </cell>
        </row>
        <row r="126">
          <cell r="B126">
            <v>0</v>
          </cell>
          <cell r="C126">
            <v>0.48435212300000002</v>
          </cell>
          <cell r="D126">
            <v>0.17338199513381999</v>
          </cell>
          <cell r="E126">
            <v>0</v>
          </cell>
          <cell r="F126">
            <v>0.48435212300000002</v>
          </cell>
        </row>
        <row r="127">
          <cell r="B127">
            <v>0</v>
          </cell>
          <cell r="C127">
            <v>0.478839827</v>
          </cell>
          <cell r="D127">
            <v>0.17338199513381999</v>
          </cell>
          <cell r="E127">
            <v>0</v>
          </cell>
          <cell r="F127">
            <v>0.478839827</v>
          </cell>
        </row>
        <row r="128">
          <cell r="B128">
            <v>0</v>
          </cell>
          <cell r="C128">
            <v>0.47275232099999998</v>
          </cell>
          <cell r="D128">
            <v>0.17338199513381999</v>
          </cell>
          <cell r="E128">
            <v>0</v>
          </cell>
          <cell r="F128">
            <v>0.47275232099999998</v>
          </cell>
        </row>
        <row r="129">
          <cell r="B129">
            <v>0</v>
          </cell>
          <cell r="C129">
            <v>0.45748428800000002</v>
          </cell>
          <cell r="D129">
            <v>0.17338199513381999</v>
          </cell>
          <cell r="E129">
            <v>0</v>
          </cell>
          <cell r="F129">
            <v>0.45748428800000002</v>
          </cell>
        </row>
        <row r="130">
          <cell r="B130">
            <v>9.2441820000000001E-3</v>
          </cell>
          <cell r="C130">
            <v>0.43651181900000002</v>
          </cell>
          <cell r="D130">
            <v>0.17338199513381999</v>
          </cell>
          <cell r="E130">
            <v>9.2441820000000001E-3</v>
          </cell>
          <cell r="F130">
            <v>0.43651181900000002</v>
          </cell>
        </row>
        <row r="131">
          <cell r="B131">
            <v>0.247212235</v>
          </cell>
          <cell r="C131">
            <v>0.43123141399999998</v>
          </cell>
          <cell r="D131">
            <v>0.17338199513381999</v>
          </cell>
          <cell r="E131">
            <v>0.247212235</v>
          </cell>
          <cell r="F131">
            <v>0.43123141399999998</v>
          </cell>
        </row>
        <row r="132">
          <cell r="B132">
            <v>0.60302879300000001</v>
          </cell>
          <cell r="C132">
            <v>0.43856399200000001</v>
          </cell>
          <cell r="D132">
            <v>0.17338199513381999</v>
          </cell>
          <cell r="E132">
            <v>0.60302879300000001</v>
          </cell>
          <cell r="F132">
            <v>0.43856399200000001</v>
          </cell>
        </row>
        <row r="133">
          <cell r="B133">
            <v>0.80467710199999998</v>
          </cell>
          <cell r="C133">
            <v>0.450905371</v>
          </cell>
          <cell r="D133">
            <v>0.17338199513381999</v>
          </cell>
          <cell r="E133">
            <v>0.80467710199999998</v>
          </cell>
          <cell r="F133">
            <v>0.450905371</v>
          </cell>
        </row>
        <row r="134">
          <cell r="B134">
            <v>0.880454819</v>
          </cell>
          <cell r="C134">
            <v>0.47123206899999998</v>
          </cell>
          <cell r="D134">
            <v>0.17338199513381999</v>
          </cell>
          <cell r="E134">
            <v>0.880454819</v>
          </cell>
          <cell r="F134">
            <v>0.47123206899999998</v>
          </cell>
        </row>
        <row r="135">
          <cell r="B135">
            <v>0.876464091</v>
          </cell>
          <cell r="C135">
            <v>0.47521060700000001</v>
          </cell>
          <cell r="D135">
            <v>0.17338199513381999</v>
          </cell>
          <cell r="E135">
            <v>0.876464091</v>
          </cell>
          <cell r="F135">
            <v>0.47521060700000001</v>
          </cell>
        </row>
        <row r="136">
          <cell r="B136">
            <v>0.80679100599999998</v>
          </cell>
          <cell r="C136">
            <v>0.46109752100000001</v>
          </cell>
          <cell r="D136">
            <v>0.17338199513381999</v>
          </cell>
          <cell r="E136">
            <v>0.80679100599999998</v>
          </cell>
          <cell r="F136">
            <v>0.46109752100000001</v>
          </cell>
        </row>
        <row r="137">
          <cell r="B137">
            <v>0.67316280900000003</v>
          </cell>
          <cell r="C137">
            <v>0.43415106799999997</v>
          </cell>
          <cell r="D137">
            <v>0.17338199513381999</v>
          </cell>
          <cell r="E137">
            <v>0.67316280900000003</v>
          </cell>
          <cell r="F137">
            <v>0.43415106799999997</v>
          </cell>
        </row>
        <row r="138">
          <cell r="B138">
            <v>0.43637483199999999</v>
          </cell>
          <cell r="C138">
            <v>0.412526432</v>
          </cell>
          <cell r="D138">
            <v>0.17338199513381999</v>
          </cell>
          <cell r="E138">
            <v>0.43637483199999999</v>
          </cell>
          <cell r="F138">
            <v>0.412526432</v>
          </cell>
        </row>
        <row r="139">
          <cell r="B139">
            <v>0.111525429</v>
          </cell>
          <cell r="C139">
            <v>0.34461741800000001</v>
          </cell>
          <cell r="D139">
            <v>0.17338199513381999</v>
          </cell>
          <cell r="E139">
            <v>0.111525429</v>
          </cell>
          <cell r="F139">
            <v>0.34461741800000001</v>
          </cell>
        </row>
        <row r="140">
          <cell r="B140">
            <v>2.3160999999999999E-4</v>
          </cell>
          <cell r="C140">
            <v>0.34607711600000002</v>
          </cell>
          <cell r="D140">
            <v>0.17338199513381999</v>
          </cell>
          <cell r="E140">
            <v>2.3160999999999999E-4</v>
          </cell>
          <cell r="F140">
            <v>0.34607711600000002</v>
          </cell>
        </row>
        <row r="141">
          <cell r="B141">
            <v>0</v>
          </cell>
          <cell r="C141">
            <v>0.38436776900000003</v>
          </cell>
          <cell r="D141">
            <v>0.17338199513381999</v>
          </cell>
          <cell r="E141">
            <v>0</v>
          </cell>
          <cell r="F141">
            <v>0.38436776900000003</v>
          </cell>
        </row>
        <row r="142">
          <cell r="B142">
            <v>0</v>
          </cell>
          <cell r="C142">
            <v>0.41364261899999999</v>
          </cell>
          <cell r="D142">
            <v>0.17338199513381999</v>
          </cell>
          <cell r="E142">
            <v>0</v>
          </cell>
          <cell r="F142">
            <v>0.41364261899999999</v>
          </cell>
        </row>
        <row r="143">
          <cell r="B143">
            <v>0</v>
          </cell>
          <cell r="C143">
            <v>0.43220439799999999</v>
          </cell>
          <cell r="D143">
            <v>0.17338199513381999</v>
          </cell>
          <cell r="E143">
            <v>0</v>
          </cell>
          <cell r="F143">
            <v>0.43220439799999999</v>
          </cell>
        </row>
        <row r="144">
          <cell r="B144">
            <v>0</v>
          </cell>
          <cell r="C144">
            <v>0.45847632599999999</v>
          </cell>
          <cell r="D144">
            <v>0.17338199513381999</v>
          </cell>
          <cell r="E144">
            <v>0</v>
          </cell>
          <cell r="F144">
            <v>0.45847632599999999</v>
          </cell>
        </row>
        <row r="145">
          <cell r="B145">
            <v>0</v>
          </cell>
          <cell r="C145">
            <v>0.48614243400000001</v>
          </cell>
          <cell r="D145">
            <v>0.17338199513381999</v>
          </cell>
          <cell r="E145">
            <v>0</v>
          </cell>
          <cell r="F145">
            <v>0.48614243400000001</v>
          </cell>
        </row>
        <row r="146">
          <cell r="B146">
            <v>0</v>
          </cell>
          <cell r="C146">
            <v>0.52357058199999995</v>
          </cell>
          <cell r="D146">
            <v>0.17570559610705591</v>
          </cell>
          <cell r="E146">
            <v>0</v>
          </cell>
          <cell r="F146">
            <v>0.52357058199999995</v>
          </cell>
        </row>
        <row r="147">
          <cell r="B147">
            <v>0</v>
          </cell>
          <cell r="C147">
            <v>0.564047148</v>
          </cell>
          <cell r="D147">
            <v>0.17570559610705591</v>
          </cell>
          <cell r="E147">
            <v>0</v>
          </cell>
          <cell r="F147">
            <v>0.564047148</v>
          </cell>
        </row>
        <row r="148">
          <cell r="B148">
            <v>0</v>
          </cell>
          <cell r="C148">
            <v>0.60432528500000005</v>
          </cell>
          <cell r="D148">
            <v>0.17570559610705591</v>
          </cell>
          <cell r="E148">
            <v>0</v>
          </cell>
          <cell r="F148">
            <v>0.60432528500000005</v>
          </cell>
        </row>
        <row r="149">
          <cell r="B149">
            <v>0</v>
          </cell>
          <cell r="C149">
            <v>0.64680523499999998</v>
          </cell>
          <cell r="D149">
            <v>0.17570559610705591</v>
          </cell>
          <cell r="E149">
            <v>0</v>
          </cell>
          <cell r="F149">
            <v>0.64680523499999998</v>
          </cell>
        </row>
        <row r="150">
          <cell r="B150">
            <v>0</v>
          </cell>
          <cell r="C150">
            <v>0.68888568299999997</v>
          </cell>
          <cell r="D150">
            <v>0.17570559610705591</v>
          </cell>
          <cell r="E150">
            <v>0</v>
          </cell>
          <cell r="F150">
            <v>0.68888568299999997</v>
          </cell>
        </row>
        <row r="151">
          <cell r="B151">
            <v>0</v>
          </cell>
          <cell r="C151">
            <v>0.70893419700000004</v>
          </cell>
          <cell r="D151">
            <v>0.17570559610705591</v>
          </cell>
          <cell r="E151">
            <v>0</v>
          </cell>
          <cell r="F151">
            <v>0.70893419700000004</v>
          </cell>
        </row>
        <row r="152">
          <cell r="B152">
            <v>0</v>
          </cell>
          <cell r="C152">
            <v>0.69710707999999999</v>
          </cell>
          <cell r="D152">
            <v>0.17570559610705591</v>
          </cell>
          <cell r="E152">
            <v>0</v>
          </cell>
          <cell r="F152">
            <v>0.69710707999999999</v>
          </cell>
        </row>
        <row r="153">
          <cell r="B153">
            <v>0</v>
          </cell>
          <cell r="C153">
            <v>0.67072794400000002</v>
          </cell>
          <cell r="D153">
            <v>0.17570559610705591</v>
          </cell>
          <cell r="E153">
            <v>0</v>
          </cell>
          <cell r="F153">
            <v>0.67072794400000002</v>
          </cell>
        </row>
        <row r="154">
          <cell r="B154">
            <v>2.4648349999999999E-3</v>
          </cell>
          <cell r="C154">
            <v>0.63980309599999996</v>
          </cell>
          <cell r="D154">
            <v>0.17570559610705591</v>
          </cell>
          <cell r="E154">
            <v>2.4648349999999999E-3</v>
          </cell>
          <cell r="F154">
            <v>0.63980309599999996</v>
          </cell>
        </row>
        <row r="155">
          <cell r="B155">
            <v>6.7018863999999997E-2</v>
          </cell>
          <cell r="C155">
            <v>0.60584827900000005</v>
          </cell>
          <cell r="D155">
            <v>0.17570559610705591</v>
          </cell>
          <cell r="E155">
            <v>6.7018863999999997E-2</v>
          </cell>
          <cell r="F155">
            <v>0.60584827900000005</v>
          </cell>
        </row>
        <row r="156">
          <cell r="B156">
            <v>0.18901900099999999</v>
          </cell>
          <cell r="C156">
            <v>0.60256063999999998</v>
          </cell>
          <cell r="D156">
            <v>0.17570559610705591</v>
          </cell>
          <cell r="E156">
            <v>0.18901900099999999</v>
          </cell>
          <cell r="F156">
            <v>0.60256063999999998</v>
          </cell>
        </row>
        <row r="157">
          <cell r="B157">
            <v>0.31501452800000002</v>
          </cell>
          <cell r="C157">
            <v>0.61838280300000004</v>
          </cell>
          <cell r="D157">
            <v>0.17570559610705591</v>
          </cell>
          <cell r="E157">
            <v>0.31501452800000002</v>
          </cell>
          <cell r="F157">
            <v>0.61838280300000004</v>
          </cell>
        </row>
        <row r="158">
          <cell r="B158">
            <v>0.42426403499999998</v>
          </cell>
          <cell r="C158">
            <v>0.65846688499999995</v>
          </cell>
          <cell r="D158">
            <v>0.17570559610705591</v>
          </cell>
          <cell r="E158">
            <v>0.42426403499999998</v>
          </cell>
          <cell r="F158">
            <v>0.65846688499999995</v>
          </cell>
        </row>
        <row r="159">
          <cell r="B159">
            <v>0.48079174000000002</v>
          </cell>
          <cell r="C159">
            <v>0.69550253799999995</v>
          </cell>
          <cell r="D159">
            <v>0.17570559610705591</v>
          </cell>
          <cell r="E159">
            <v>0.48079174000000002</v>
          </cell>
          <cell r="F159">
            <v>0.69550253799999995</v>
          </cell>
        </row>
        <row r="160">
          <cell r="B160">
            <v>0.473505854</v>
          </cell>
          <cell r="C160">
            <v>0.72059707900000003</v>
          </cell>
          <cell r="D160">
            <v>0.17570559610705591</v>
          </cell>
          <cell r="E160">
            <v>0.473505854</v>
          </cell>
          <cell r="F160">
            <v>0.72059707900000003</v>
          </cell>
        </row>
        <row r="161">
          <cell r="B161">
            <v>0.377817921</v>
          </cell>
          <cell r="C161">
            <v>0.739312894</v>
          </cell>
          <cell r="D161">
            <v>0.17570559610705591</v>
          </cell>
          <cell r="E161">
            <v>0.377817921</v>
          </cell>
          <cell r="F161">
            <v>0.739312894</v>
          </cell>
        </row>
        <row r="162">
          <cell r="B162">
            <v>0.23042142700000001</v>
          </cell>
          <cell r="C162">
            <v>0.77701201099999995</v>
          </cell>
          <cell r="D162">
            <v>0.17570559610705591</v>
          </cell>
          <cell r="E162">
            <v>0.23042142700000001</v>
          </cell>
          <cell r="F162">
            <v>0.77701201099999995</v>
          </cell>
        </row>
        <row r="163">
          <cell r="B163">
            <v>5.9599909E-2</v>
          </cell>
          <cell r="C163">
            <v>0.76608125500000002</v>
          </cell>
          <cell r="D163">
            <v>0.17570559610705591</v>
          </cell>
          <cell r="E163">
            <v>5.9599909E-2</v>
          </cell>
          <cell r="F163">
            <v>0.76608125500000002</v>
          </cell>
        </row>
        <row r="164">
          <cell r="B164">
            <v>1.69822E-4</v>
          </cell>
          <cell r="C164">
            <v>0.71677553000000005</v>
          </cell>
          <cell r="D164">
            <v>0.17570559610705591</v>
          </cell>
          <cell r="E164">
            <v>1.69822E-4</v>
          </cell>
          <cell r="F164">
            <v>0.71677553000000005</v>
          </cell>
        </row>
        <row r="165">
          <cell r="B165">
            <v>0</v>
          </cell>
          <cell r="C165">
            <v>0.69716506300000003</v>
          </cell>
          <cell r="D165">
            <v>0.17570559610705591</v>
          </cell>
          <cell r="E165">
            <v>0</v>
          </cell>
          <cell r="F165">
            <v>0.69716506300000003</v>
          </cell>
        </row>
        <row r="166">
          <cell r="B166">
            <v>0</v>
          </cell>
          <cell r="C166">
            <v>0.702644457</v>
          </cell>
          <cell r="D166">
            <v>0.17570559610705591</v>
          </cell>
          <cell r="E166">
            <v>0</v>
          </cell>
          <cell r="F166">
            <v>0.702644457</v>
          </cell>
        </row>
        <row r="167">
          <cell r="B167">
            <v>0</v>
          </cell>
          <cell r="C167">
            <v>0.71687946599999997</v>
          </cell>
          <cell r="D167">
            <v>0.17570559610705591</v>
          </cell>
          <cell r="E167">
            <v>0</v>
          </cell>
          <cell r="F167">
            <v>0.71687946599999997</v>
          </cell>
        </row>
        <row r="168">
          <cell r="B168">
            <v>0</v>
          </cell>
          <cell r="C168">
            <v>0.73354011799999996</v>
          </cell>
          <cell r="D168">
            <v>0.17570559610705591</v>
          </cell>
          <cell r="E168">
            <v>0</v>
          </cell>
          <cell r="F168">
            <v>0.73354011799999996</v>
          </cell>
        </row>
        <row r="169">
          <cell r="B169">
            <v>0</v>
          </cell>
          <cell r="C169">
            <v>0.75291925000000004</v>
          </cell>
          <cell r="D169">
            <v>0.17570559610705591</v>
          </cell>
          <cell r="E169">
            <v>0</v>
          </cell>
          <cell r="F169">
            <v>0.75291925000000004</v>
          </cell>
        </row>
      </sheetData>
      <sheetData sheetId="7">
        <row r="1">
          <cell r="B1" t="str">
            <v>ES_solar</v>
          </cell>
          <cell r="C1" t="str">
            <v>ES_wind</v>
          </cell>
          <cell r="D1" t="str">
            <v>ES_water</v>
          </cell>
          <cell r="E1" t="str">
            <v>ES_SRES_excedentes_solar</v>
          </cell>
          <cell r="F1" t="str">
            <v>ES_SRES_excedentes_wind</v>
          </cell>
          <cell r="G1" t="str">
            <v>ES_SRES_electrolyzer_solar</v>
          </cell>
          <cell r="H1" t="str">
            <v>ES_SRES_electrolyzer_wind</v>
          </cell>
        </row>
        <row r="2">
          <cell r="B2">
            <v>0</v>
          </cell>
          <cell r="C2">
            <v>25257.631676891091</v>
          </cell>
          <cell r="D2">
            <v>492.98777132165452</v>
          </cell>
          <cell r="E2">
            <v>0</v>
          </cell>
          <cell r="F2">
            <v>5970.4387567924796</v>
          </cell>
          <cell r="G2">
            <v>0</v>
          </cell>
          <cell r="H2">
            <v>4484.7529207999996</v>
          </cell>
        </row>
        <row r="3">
          <cell r="B3">
            <v>0</v>
          </cell>
          <cell r="C3">
            <v>27028.785791072009</v>
          </cell>
          <cell r="D3">
            <v>492.98777132165452</v>
          </cell>
          <cell r="E3">
            <v>0</v>
          </cell>
          <cell r="F3">
            <v>6389.1069558870586</v>
          </cell>
          <cell r="G3">
            <v>0</v>
          </cell>
          <cell r="H3">
            <v>4799.2395950999999</v>
          </cell>
        </row>
        <row r="4">
          <cell r="B4">
            <v>0</v>
          </cell>
          <cell r="C4">
            <v>27489.942333941199</v>
          </cell>
          <cell r="D4">
            <v>492.98777132165452</v>
          </cell>
          <cell r="E4">
            <v>0</v>
          </cell>
          <cell r="F4">
            <v>6498.1158658163986</v>
          </cell>
          <cell r="G4">
            <v>0</v>
          </cell>
          <cell r="H4">
            <v>4881.1226939999997</v>
          </cell>
        </row>
        <row r="5">
          <cell r="B5">
            <v>0</v>
          </cell>
          <cell r="C5">
            <v>28179.896186332571</v>
          </cell>
          <cell r="D5">
            <v>492.98777132165452</v>
          </cell>
          <cell r="E5">
            <v>0</v>
          </cell>
          <cell r="F5">
            <v>6661.2082441285193</v>
          </cell>
          <cell r="G5">
            <v>0</v>
          </cell>
          <cell r="H5">
            <v>5003.6311142000004</v>
          </cell>
        </row>
        <row r="6">
          <cell r="B6">
            <v>0</v>
          </cell>
          <cell r="C6">
            <v>29542.429586616421</v>
          </cell>
          <cell r="D6">
            <v>492.98777132165452</v>
          </cell>
          <cell r="E6">
            <v>0</v>
          </cell>
          <cell r="F6">
            <v>6983.28603529062</v>
          </cell>
          <cell r="G6">
            <v>0</v>
          </cell>
          <cell r="H6">
            <v>5245.5629677000006</v>
          </cell>
        </row>
        <row r="7">
          <cell r="B7">
            <v>0</v>
          </cell>
          <cell r="C7">
            <v>29719.55508683193</v>
          </cell>
          <cell r="D7">
            <v>492.98777132165452</v>
          </cell>
          <cell r="E7">
            <v>0</v>
          </cell>
          <cell r="F7">
            <v>7025.1552400058999</v>
          </cell>
          <cell r="G7">
            <v>0</v>
          </cell>
          <cell r="H7">
            <v>5277.0134264999997</v>
          </cell>
        </row>
        <row r="8">
          <cell r="B8">
            <v>0</v>
          </cell>
          <cell r="C8">
            <v>27790.974239529911</v>
          </cell>
          <cell r="D8">
            <v>492.98777132165452</v>
          </cell>
          <cell r="E8">
            <v>0</v>
          </cell>
          <cell r="F8">
            <v>6569.2742617875601</v>
          </cell>
          <cell r="G8">
            <v>0</v>
          </cell>
          <cell r="H8">
            <v>4934.5740126000001</v>
          </cell>
        </row>
        <row r="9">
          <cell r="B9">
            <v>0</v>
          </cell>
          <cell r="C9">
            <v>22521.545412595991</v>
          </cell>
          <cell r="D9">
            <v>492.98777132165452</v>
          </cell>
          <cell r="E9">
            <v>0</v>
          </cell>
          <cell r="F9">
            <v>5323.6783762766399</v>
          </cell>
          <cell r="G9">
            <v>0</v>
          </cell>
          <cell r="H9">
            <v>3998.9325944000002</v>
          </cell>
        </row>
        <row r="10">
          <cell r="B10">
            <v>1117.7385522</v>
          </cell>
          <cell r="C10">
            <v>17575.587941208789</v>
          </cell>
          <cell r="D10">
            <v>492.98777132165452</v>
          </cell>
          <cell r="E10">
            <v>205.88838063119999</v>
          </cell>
          <cell r="F10">
            <v>4154.5451592603004</v>
          </cell>
          <cell r="G10">
            <v>154.65505200000001</v>
          </cell>
          <cell r="H10">
            <v>3120.7268505000002</v>
          </cell>
        </row>
        <row r="11">
          <cell r="B11">
            <v>29843.77107658</v>
          </cell>
          <cell r="C11">
            <v>15116.88366045464</v>
          </cell>
          <cell r="D11">
            <v>492.98777132165452</v>
          </cell>
          <cell r="E11">
            <v>5497.2477121696802</v>
          </cell>
          <cell r="F11">
            <v>3573.352768893119</v>
          </cell>
          <cell r="G11">
            <v>4129.3108828000004</v>
          </cell>
          <cell r="H11">
            <v>2684.1585552000001</v>
          </cell>
        </row>
        <row r="12">
          <cell r="B12">
            <v>19840.926842953239</v>
          </cell>
          <cell r="C12">
            <v>14278.077359344319</v>
          </cell>
          <cell r="D12">
            <v>492.98777132165452</v>
          </cell>
          <cell r="E12">
            <v>13412.542987422899</v>
          </cell>
          <cell r="F12">
            <v>3375.0744143088</v>
          </cell>
          <cell r="G12">
            <v>10074.961621500001</v>
          </cell>
          <cell r="H12">
            <v>2535.2198480000002</v>
          </cell>
        </row>
        <row r="13">
          <cell r="B13">
            <v>12871.85205389871</v>
          </cell>
          <cell r="C13">
            <v>15129.93079804206</v>
          </cell>
          <cell r="D13">
            <v>492.98777132165452</v>
          </cell>
          <cell r="E13">
            <v>17808.400137877379</v>
          </cell>
          <cell r="F13">
            <v>3576.4368718254</v>
          </cell>
          <cell r="G13">
            <v>13376.9523123</v>
          </cell>
          <cell r="H13">
            <v>2686.4752090000002</v>
          </cell>
        </row>
        <row r="14">
          <cell r="B14">
            <v>9167.7375281383356</v>
          </cell>
          <cell r="C14">
            <v>17438.534795471169</v>
          </cell>
          <cell r="D14">
            <v>492.98777132165452</v>
          </cell>
          <cell r="E14">
            <v>19542.701217223199</v>
          </cell>
          <cell r="F14">
            <v>4122.1483208108393</v>
          </cell>
          <cell r="G14">
            <v>13970.45767381429</v>
          </cell>
          <cell r="H14">
            <v>3096.3916513999998</v>
          </cell>
        </row>
        <row r="15">
          <cell r="B15">
            <v>7561.0097837054354</v>
          </cell>
          <cell r="C15">
            <v>19014.972457422769</v>
          </cell>
          <cell r="D15">
            <v>492.98777132165452</v>
          </cell>
          <cell r="E15">
            <v>19541.128482268141</v>
          </cell>
          <cell r="F15">
            <v>4494.7891382471998</v>
          </cell>
          <cell r="G15">
            <v>13690.544913214289</v>
          </cell>
          <cell r="H15">
            <v>3376.304412</v>
          </cell>
        </row>
        <row r="16">
          <cell r="B16">
            <v>58101.325701469978</v>
          </cell>
          <cell r="C16">
            <v>19653.986236669109</v>
          </cell>
          <cell r="D16">
            <v>492.98777132165452</v>
          </cell>
          <cell r="E16">
            <v>17997.1879851798</v>
          </cell>
          <cell r="F16">
            <v>4645.8402218381998</v>
          </cell>
          <cell r="G16">
            <v>13518.762133</v>
          </cell>
          <cell r="H16">
            <v>3489.7678970000002</v>
          </cell>
        </row>
        <row r="17">
          <cell r="B17">
            <v>73973.410204579326</v>
          </cell>
          <cell r="C17">
            <v>19711.284638977831</v>
          </cell>
          <cell r="D17">
            <v>492.98777132165452</v>
          </cell>
          <cell r="E17">
            <v>15270.148509664919</v>
          </cell>
          <cell r="F17">
            <v>4659.3845084214599</v>
          </cell>
          <cell r="G17">
            <v>11470.3200082</v>
          </cell>
          <cell r="H17">
            <v>3499.9418191</v>
          </cell>
        </row>
        <row r="18">
          <cell r="B18">
            <v>53981.474733825002</v>
          </cell>
          <cell r="C18">
            <v>18955.417524366439</v>
          </cell>
          <cell r="D18">
            <v>492.98777132165452</v>
          </cell>
          <cell r="E18">
            <v>9943.4330104796991</v>
          </cell>
          <cell r="F18">
            <v>4480.71144937176</v>
          </cell>
          <cell r="G18">
            <v>7469.1060495000002</v>
          </cell>
          <cell r="H18">
            <v>3365.7298196000002</v>
          </cell>
        </row>
        <row r="19">
          <cell r="B19">
            <v>12591.19372069</v>
          </cell>
          <cell r="C19">
            <v>15781.896243089581</v>
          </cell>
          <cell r="D19">
            <v>492.98777132165452</v>
          </cell>
          <cell r="E19">
            <v>2319.3084646352399</v>
          </cell>
          <cell r="F19">
            <v>3730.549490577479</v>
          </cell>
          <cell r="G19">
            <v>1742.1710254</v>
          </cell>
          <cell r="H19">
            <v>2802.2383958</v>
          </cell>
        </row>
        <row r="20">
          <cell r="B20">
            <v>0.96953515000000012</v>
          </cell>
          <cell r="C20">
            <v>14593.714336832239</v>
          </cell>
          <cell r="D20">
            <v>492.98777132165452</v>
          </cell>
          <cell r="E20">
            <v>0.17858918939999999</v>
          </cell>
          <cell r="F20">
            <v>3449.6851801786202</v>
          </cell>
          <cell r="G20">
            <v>0.13414899999999999</v>
          </cell>
          <cell r="H20">
            <v>2591.2644476999999</v>
          </cell>
        </row>
        <row r="21">
          <cell r="B21">
            <v>0</v>
          </cell>
          <cell r="C21">
            <v>14223.344761290769</v>
          </cell>
          <cell r="D21">
            <v>492.98777132165452</v>
          </cell>
          <cell r="E21">
            <v>0</v>
          </cell>
          <cell r="F21">
            <v>3362.1366365765398</v>
          </cell>
          <cell r="G21">
            <v>0</v>
          </cell>
          <cell r="H21">
            <v>2525.5015109000001</v>
          </cell>
        </row>
        <row r="22">
          <cell r="B22">
            <v>0</v>
          </cell>
          <cell r="C22">
            <v>14363.338713443911</v>
          </cell>
          <cell r="D22">
            <v>492.98777132165452</v>
          </cell>
          <cell r="E22">
            <v>0</v>
          </cell>
          <cell r="F22">
            <v>3395.2286274783</v>
          </cell>
          <cell r="G22">
            <v>0</v>
          </cell>
          <cell r="H22">
            <v>2550.3588804999999</v>
          </cell>
        </row>
        <row r="23">
          <cell r="B23">
            <v>0</v>
          </cell>
          <cell r="C23">
            <v>14848.21623140177</v>
          </cell>
          <cell r="D23">
            <v>492.98777132165452</v>
          </cell>
          <cell r="E23">
            <v>0</v>
          </cell>
          <cell r="F23">
            <v>3509.8447388598602</v>
          </cell>
          <cell r="G23">
            <v>0</v>
          </cell>
          <cell r="H23">
            <v>2636.4538831</v>
          </cell>
        </row>
        <row r="24">
          <cell r="B24">
            <v>0</v>
          </cell>
          <cell r="C24">
            <v>15875.142067911909</v>
          </cell>
          <cell r="D24">
            <v>492.98777132165452</v>
          </cell>
          <cell r="E24">
            <v>0</v>
          </cell>
          <cell r="F24">
            <v>3752.5910855120401</v>
          </cell>
          <cell r="G24">
            <v>0</v>
          </cell>
          <cell r="H24">
            <v>2818.7951533999999</v>
          </cell>
        </row>
        <row r="25">
          <cell r="B25">
            <v>0</v>
          </cell>
          <cell r="C25">
            <v>16808.962166086068</v>
          </cell>
          <cell r="D25">
            <v>492.98777132165452</v>
          </cell>
          <cell r="E25">
            <v>0</v>
          </cell>
          <cell r="F25">
            <v>3973.3289510939398</v>
          </cell>
          <cell r="G25">
            <v>0</v>
          </cell>
          <cell r="H25">
            <v>2984.6045399</v>
          </cell>
        </row>
        <row r="26">
          <cell r="B26">
            <v>0</v>
          </cell>
          <cell r="C26">
            <v>17562.050500919151</v>
          </cell>
          <cell r="D26">
            <v>504.29117640389302</v>
          </cell>
          <cell r="E26">
            <v>0</v>
          </cell>
          <cell r="F26">
            <v>4151.3451578030399</v>
          </cell>
          <cell r="G26">
            <v>0</v>
          </cell>
          <cell r="H26">
            <v>3118.3231384000001</v>
          </cell>
        </row>
        <row r="27">
          <cell r="B27">
            <v>0</v>
          </cell>
          <cell r="C27">
            <v>16948.98696297015</v>
          </cell>
          <cell r="D27">
            <v>504.29117640389302</v>
          </cell>
          <cell r="E27">
            <v>0</v>
          </cell>
          <cell r="F27">
            <v>4006.4282331217801</v>
          </cell>
          <cell r="G27">
            <v>0</v>
          </cell>
          <cell r="H27">
            <v>3009.4673862999998</v>
          </cell>
        </row>
        <row r="28">
          <cell r="B28">
            <v>0</v>
          </cell>
          <cell r="C28">
            <v>16083.628397510431</v>
          </cell>
          <cell r="D28">
            <v>504.29117640389302</v>
          </cell>
          <cell r="E28">
            <v>0</v>
          </cell>
          <cell r="F28">
            <v>3801.8734124704802</v>
          </cell>
          <cell r="G28">
            <v>0</v>
          </cell>
          <cell r="H28">
            <v>2855.8140508000001</v>
          </cell>
        </row>
        <row r="29">
          <cell r="B29">
            <v>0</v>
          </cell>
          <cell r="C29">
            <v>15063.22677239256</v>
          </cell>
          <cell r="D29">
            <v>504.29117640389302</v>
          </cell>
          <cell r="E29">
            <v>0</v>
          </cell>
          <cell r="F29">
            <v>3560.6692691828998</v>
          </cell>
          <cell r="G29">
            <v>0</v>
          </cell>
          <cell r="H29">
            <v>2674.6312214999998</v>
          </cell>
        </row>
        <row r="30">
          <cell r="B30">
            <v>0</v>
          </cell>
          <cell r="C30">
            <v>14307.493685481089</v>
          </cell>
          <cell r="D30">
            <v>504.29117640389302</v>
          </cell>
          <cell r="E30">
            <v>0</v>
          </cell>
          <cell r="F30">
            <v>3382.0278918119998</v>
          </cell>
          <cell r="G30">
            <v>0</v>
          </cell>
          <cell r="H30">
            <v>2540.4430200000002</v>
          </cell>
        </row>
        <row r="31">
          <cell r="B31">
            <v>0</v>
          </cell>
          <cell r="C31">
            <v>13599.38045674861</v>
          </cell>
          <cell r="D31">
            <v>504.29117640389302</v>
          </cell>
          <cell r="E31">
            <v>0</v>
          </cell>
          <cell r="F31">
            <v>3214.6429715191798</v>
          </cell>
          <cell r="G31">
            <v>0</v>
          </cell>
          <cell r="H31">
            <v>2414.7102153000001</v>
          </cell>
        </row>
        <row r="32">
          <cell r="B32">
            <v>0</v>
          </cell>
          <cell r="C32">
            <v>12281.728618574811</v>
          </cell>
          <cell r="D32">
            <v>504.29117640389302</v>
          </cell>
          <cell r="E32">
            <v>0</v>
          </cell>
          <cell r="F32">
            <v>2903.1743546975399</v>
          </cell>
          <cell r="G32">
            <v>0</v>
          </cell>
          <cell r="H32">
            <v>2180.7475459000002</v>
          </cell>
        </row>
        <row r="33">
          <cell r="B33">
            <v>0</v>
          </cell>
          <cell r="C33">
            <v>10580.61958356276</v>
          </cell>
          <cell r="D33">
            <v>504.29117640389302</v>
          </cell>
          <cell r="E33">
            <v>0</v>
          </cell>
          <cell r="F33">
            <v>2501.0635217385602</v>
          </cell>
          <cell r="G33">
            <v>0</v>
          </cell>
          <cell r="H33">
            <v>1878.6980976</v>
          </cell>
        </row>
        <row r="34">
          <cell r="B34">
            <v>934.59348017000002</v>
          </cell>
          <cell r="C34">
            <v>10413.82697641188</v>
          </cell>
          <cell r="D34">
            <v>504.29117640389302</v>
          </cell>
          <cell r="E34">
            <v>172.15290445331999</v>
          </cell>
          <cell r="F34">
            <v>2461.6368225603001</v>
          </cell>
          <cell r="G34">
            <v>129.31432219999999</v>
          </cell>
          <cell r="H34">
            <v>1849.0823505000001</v>
          </cell>
        </row>
        <row r="35">
          <cell r="B35">
            <v>25897.408658640001</v>
          </cell>
          <cell r="C35">
            <v>9460.1706868510191</v>
          </cell>
          <cell r="D35">
            <v>504.29117640389302</v>
          </cell>
          <cell r="E35">
            <v>4770.32443837344</v>
          </cell>
          <cell r="F35">
            <v>2236.2100468162198</v>
          </cell>
          <cell r="G35">
            <v>3583.2754224</v>
          </cell>
          <cell r="H35">
            <v>1679.7508436999999</v>
          </cell>
        </row>
        <row r="36">
          <cell r="B36">
            <v>38014.793215061058</v>
          </cell>
          <cell r="C36">
            <v>7941.8884700892058</v>
          </cell>
          <cell r="D36">
            <v>504.29117640389302</v>
          </cell>
          <cell r="E36">
            <v>12029.17704317328</v>
          </cell>
          <cell r="F36">
            <v>1877.3161051092</v>
          </cell>
          <cell r="G36">
            <v>9035.8328887999996</v>
          </cell>
          <cell r="H36">
            <v>1410.164182</v>
          </cell>
        </row>
        <row r="37">
          <cell r="B37">
            <v>59078.062843018881</v>
          </cell>
          <cell r="C37">
            <v>7497.5158672407233</v>
          </cell>
          <cell r="D37">
            <v>504.29117640389302</v>
          </cell>
          <cell r="E37">
            <v>16446.1942566996</v>
          </cell>
          <cell r="F37">
            <v>1772.2746093568201</v>
          </cell>
          <cell r="G37">
            <v>12353.718166000001</v>
          </cell>
          <cell r="H37">
            <v>1331.2612446999999</v>
          </cell>
        </row>
        <row r="38">
          <cell r="B38">
            <v>91079.427793794268</v>
          </cell>
          <cell r="C38">
            <v>8021.6047494042296</v>
          </cell>
          <cell r="D38">
            <v>504.29117640389302</v>
          </cell>
          <cell r="E38">
            <v>18940.949348595241</v>
          </cell>
          <cell r="F38">
            <v>1896.1595647675799</v>
          </cell>
          <cell r="G38">
            <v>14227.6776254</v>
          </cell>
          <cell r="H38">
            <v>1424.3186293000001</v>
          </cell>
        </row>
        <row r="39">
          <cell r="B39">
            <v>90000.214987103755</v>
          </cell>
          <cell r="C39">
            <v>8207.2718532950585</v>
          </cell>
          <cell r="D39">
            <v>504.29117640389302</v>
          </cell>
          <cell r="E39">
            <v>19655.803768949761</v>
          </cell>
          <cell r="F39">
            <v>1940.04784721274</v>
          </cell>
          <cell r="G39">
            <v>14764.647449599999</v>
          </cell>
          <cell r="H39">
            <v>1457.2857379</v>
          </cell>
        </row>
        <row r="40">
          <cell r="B40">
            <v>90697.856360479796</v>
          </cell>
          <cell r="C40">
            <v>7701.0753018705727</v>
          </cell>
          <cell r="D40">
            <v>504.29117640389302</v>
          </cell>
          <cell r="E40">
            <v>18838.280485088279</v>
          </cell>
          <cell r="F40">
            <v>1820.39230912266</v>
          </cell>
          <cell r="G40">
            <v>14150.556913799999</v>
          </cell>
          <cell r="H40">
            <v>1367.4053211</v>
          </cell>
        </row>
        <row r="41">
          <cell r="B41">
            <v>86801.982486299996</v>
          </cell>
          <cell r="C41">
            <v>7208.4567662448699</v>
          </cell>
          <cell r="D41">
            <v>504.29117640389302</v>
          </cell>
          <cell r="E41">
            <v>15988.998119914801</v>
          </cell>
          <cell r="F41">
            <v>1703.9463637926001</v>
          </cell>
          <cell r="G41">
            <v>12010.290858</v>
          </cell>
          <cell r="H41">
            <v>1279.935821</v>
          </cell>
        </row>
        <row r="42">
          <cell r="B42">
            <v>56153.48521911</v>
          </cell>
          <cell r="C42">
            <v>6674.4703974418626</v>
          </cell>
          <cell r="D42">
            <v>504.29117640389302</v>
          </cell>
          <cell r="E42">
            <v>10343.519167165559</v>
          </cell>
          <cell r="F42">
            <v>1577.7218249013599</v>
          </cell>
          <cell r="G42">
            <v>7769.6346426</v>
          </cell>
          <cell r="H42">
            <v>1185.1210355999999</v>
          </cell>
        </row>
        <row r="43">
          <cell r="B43">
            <v>13159.578224445</v>
          </cell>
          <cell r="C43">
            <v>6746.0583557562222</v>
          </cell>
          <cell r="D43">
            <v>504.29117640389302</v>
          </cell>
          <cell r="E43">
            <v>2424.0053678812201</v>
          </cell>
          <cell r="F43">
            <v>1594.6438992394201</v>
          </cell>
          <cell r="G43">
            <v>1820.8151187000001</v>
          </cell>
          <cell r="H43">
            <v>1197.8322157</v>
          </cell>
        </row>
        <row r="44">
          <cell r="B44">
            <v>1.9437825</v>
          </cell>
          <cell r="C44">
            <v>10613.07732868978</v>
          </cell>
          <cell r="D44">
            <v>504.29117640389302</v>
          </cell>
          <cell r="E44">
            <v>0.35804637</v>
          </cell>
          <cell r="F44">
            <v>2508.7359346529402</v>
          </cell>
          <cell r="G44">
            <v>0.26895000000000002</v>
          </cell>
          <cell r="H44">
            <v>1884.4613049</v>
          </cell>
        </row>
        <row r="45">
          <cell r="B45">
            <v>0</v>
          </cell>
          <cell r="C45">
            <v>12693.764835624561</v>
          </cell>
          <cell r="D45">
            <v>504.29117640389302</v>
          </cell>
          <cell r="E45">
            <v>0</v>
          </cell>
          <cell r="F45">
            <v>3000.5721246447001</v>
          </cell>
          <cell r="G45">
            <v>0</v>
          </cell>
          <cell r="H45">
            <v>2253.9088244999998</v>
          </cell>
        </row>
        <row r="46">
          <cell r="B46">
            <v>0</v>
          </cell>
          <cell r="C46">
            <v>11990.67975703404</v>
          </cell>
          <cell r="D46">
            <v>504.29117640389302</v>
          </cell>
          <cell r="E46">
            <v>0</v>
          </cell>
          <cell r="F46">
            <v>2834.3757664018199</v>
          </cell>
          <cell r="G46">
            <v>0</v>
          </cell>
          <cell r="H46">
            <v>2129.0688196999999</v>
          </cell>
        </row>
        <row r="47">
          <cell r="B47">
            <v>0</v>
          </cell>
          <cell r="C47">
            <v>10467.98876334349</v>
          </cell>
          <cell r="D47">
            <v>504.29117640389302</v>
          </cell>
          <cell r="E47">
            <v>0</v>
          </cell>
          <cell r="F47">
            <v>2474.4396710605201</v>
          </cell>
          <cell r="G47">
            <v>0</v>
          </cell>
          <cell r="H47">
            <v>1858.6993342000001</v>
          </cell>
        </row>
        <row r="48">
          <cell r="B48">
            <v>0</v>
          </cell>
          <cell r="C48">
            <v>9858.8226774680825</v>
          </cell>
          <cell r="D48">
            <v>504.29117640389302</v>
          </cell>
          <cell r="E48">
            <v>0</v>
          </cell>
          <cell r="F48">
            <v>2330.4440322389401</v>
          </cell>
          <cell r="G48">
            <v>0</v>
          </cell>
          <cell r="H48">
            <v>1750.5356148999999</v>
          </cell>
        </row>
        <row r="49">
          <cell r="B49">
            <v>0</v>
          </cell>
          <cell r="C49">
            <v>9494.3897946343404</v>
          </cell>
          <cell r="D49">
            <v>504.29117640389302</v>
          </cell>
          <cell r="E49">
            <v>0</v>
          </cell>
          <cell r="F49">
            <v>2244.2988134094599</v>
          </cell>
          <cell r="G49">
            <v>0</v>
          </cell>
          <cell r="H49">
            <v>1685.8267991</v>
          </cell>
        </row>
        <row r="50">
          <cell r="B50">
            <v>0</v>
          </cell>
          <cell r="C50">
            <v>9891.4066473124822</v>
          </cell>
          <cell r="D50">
            <v>523.59799917858891</v>
          </cell>
          <cell r="E50">
            <v>0</v>
          </cell>
          <cell r="F50">
            <v>2338.14628235082</v>
          </cell>
          <cell r="G50">
            <v>0</v>
          </cell>
          <cell r="H50">
            <v>1756.3212347000001</v>
          </cell>
        </row>
        <row r="51">
          <cell r="B51">
            <v>0</v>
          </cell>
          <cell r="C51">
            <v>10235.357435405689</v>
          </cell>
          <cell r="D51">
            <v>523.59799917858891</v>
          </cell>
          <cell r="E51">
            <v>0</v>
          </cell>
          <cell r="F51">
            <v>2419.4499113660399</v>
          </cell>
          <cell r="G51">
            <v>0</v>
          </cell>
          <cell r="H51">
            <v>1817.3932434000001</v>
          </cell>
        </row>
        <row r="52">
          <cell r="B52">
            <v>0</v>
          </cell>
          <cell r="C52">
            <v>10420.05283847216</v>
          </cell>
          <cell r="D52">
            <v>523.59799917858891</v>
          </cell>
          <cell r="E52">
            <v>0</v>
          </cell>
          <cell r="F52">
            <v>2463.1085016399002</v>
          </cell>
          <cell r="G52">
            <v>0</v>
          </cell>
          <cell r="H52">
            <v>1850.1878165000001</v>
          </cell>
        </row>
        <row r="53">
          <cell r="B53">
            <v>0</v>
          </cell>
          <cell r="C53">
            <v>10021.14830662054</v>
          </cell>
          <cell r="D53">
            <v>523.59799917858891</v>
          </cell>
          <cell r="E53">
            <v>0</v>
          </cell>
          <cell r="F53">
            <v>2368.8148201223999</v>
          </cell>
          <cell r="G53">
            <v>0</v>
          </cell>
          <cell r="H53">
            <v>1779.3582039999999</v>
          </cell>
        </row>
        <row r="54">
          <cell r="B54">
            <v>0</v>
          </cell>
          <cell r="C54">
            <v>9615.3276700540955</v>
          </cell>
          <cell r="D54">
            <v>523.59799917858891</v>
          </cell>
          <cell r="E54">
            <v>0</v>
          </cell>
          <cell r="F54">
            <v>2272.8862988794799</v>
          </cell>
          <cell r="G54">
            <v>0</v>
          </cell>
          <cell r="H54">
            <v>1707.3005658</v>
          </cell>
        </row>
        <row r="55">
          <cell r="B55">
            <v>0</v>
          </cell>
          <cell r="C55">
            <v>9302.575684706675</v>
          </cell>
          <cell r="D55">
            <v>523.59799917858891</v>
          </cell>
          <cell r="E55">
            <v>0</v>
          </cell>
          <cell r="F55">
            <v>2198.9574919957199</v>
          </cell>
          <cell r="G55">
            <v>0</v>
          </cell>
          <cell r="H55">
            <v>1651.7682262000001</v>
          </cell>
        </row>
        <row r="56">
          <cell r="B56">
            <v>0</v>
          </cell>
          <cell r="C56">
            <v>8594.9043801847329</v>
          </cell>
          <cell r="D56">
            <v>523.59799917858891</v>
          </cell>
          <cell r="E56">
            <v>0</v>
          </cell>
          <cell r="F56">
            <v>2031.67703444382</v>
          </cell>
          <cell r="G56">
            <v>0</v>
          </cell>
          <cell r="H56">
            <v>1526.1138897000001</v>
          </cell>
        </row>
        <row r="57">
          <cell r="B57">
            <v>0</v>
          </cell>
          <cell r="C57">
            <v>7391.5416337173328</v>
          </cell>
          <cell r="D57">
            <v>523.59799917858891</v>
          </cell>
          <cell r="E57">
            <v>0</v>
          </cell>
          <cell r="F57">
            <v>1747.22425312614</v>
          </cell>
          <cell r="G57">
            <v>0</v>
          </cell>
          <cell r="H57">
            <v>1312.4444269000001</v>
          </cell>
        </row>
        <row r="58">
          <cell r="B58">
            <v>1193.34297388</v>
          </cell>
          <cell r="C58">
            <v>7084.5452200831733</v>
          </cell>
          <cell r="D58">
            <v>523.59799917858891</v>
          </cell>
          <cell r="E58">
            <v>219.81477864048</v>
          </cell>
          <cell r="F58">
            <v>1674.6559573490399</v>
          </cell>
          <cell r="G58">
            <v>165.11600079999999</v>
          </cell>
          <cell r="H58">
            <v>1257.9340483999999</v>
          </cell>
        </row>
        <row r="59">
          <cell r="B59">
            <v>28362.336328615002</v>
          </cell>
          <cell r="C59">
            <v>5839.1482657304832</v>
          </cell>
          <cell r="D59">
            <v>523.59799917858891</v>
          </cell>
          <cell r="E59">
            <v>5224.3661866385391</v>
          </cell>
          <cell r="F59">
            <v>1380.2670637671599</v>
          </cell>
          <cell r="G59">
            <v>3924.3332808999999</v>
          </cell>
          <cell r="H59">
            <v>1036.8009786</v>
          </cell>
        </row>
        <row r="60">
          <cell r="B60">
            <v>53283.9911433542</v>
          </cell>
          <cell r="C60">
            <v>2940.658342457637</v>
          </cell>
          <cell r="D60">
            <v>523.59799917858891</v>
          </cell>
          <cell r="E60">
            <v>12385.38275103456</v>
          </cell>
          <cell r="F60">
            <v>695.11745055486006</v>
          </cell>
          <cell r="G60">
            <v>9303.4002576000003</v>
          </cell>
          <cell r="H60">
            <v>522.14420810000001</v>
          </cell>
        </row>
        <row r="61">
          <cell r="B61">
            <v>90010.904453039999</v>
          </cell>
          <cell r="C61">
            <v>1417.5837174260389</v>
          </cell>
          <cell r="D61">
            <v>523.59799917858891</v>
          </cell>
          <cell r="E61">
            <v>16580.084242875841</v>
          </cell>
          <cell r="F61">
            <v>335.09067183294002</v>
          </cell>
          <cell r="G61">
            <v>12454.290926400001</v>
          </cell>
          <cell r="H61">
            <v>251.7066049</v>
          </cell>
        </row>
        <row r="62">
          <cell r="B62">
            <v>100591.7547266717</v>
          </cell>
          <cell r="C62">
            <v>1047.830302104984</v>
          </cell>
          <cell r="D62">
            <v>523.59799917858891</v>
          </cell>
          <cell r="E62">
            <v>18674.709626627158</v>
          </cell>
          <cell r="F62">
            <v>247.68777715421999</v>
          </cell>
          <cell r="G62">
            <v>14027.6890786</v>
          </cell>
          <cell r="H62">
            <v>186.0530737</v>
          </cell>
        </row>
        <row r="63">
          <cell r="B63">
            <v>99891.925207034277</v>
          </cell>
          <cell r="C63">
            <v>948.78805466085657</v>
          </cell>
          <cell r="D63">
            <v>523.59799917858891</v>
          </cell>
          <cell r="E63">
            <v>18990.764470252019</v>
          </cell>
          <cell r="F63">
            <v>224.2760147109</v>
          </cell>
          <cell r="G63">
            <v>14265.096736699999</v>
          </cell>
          <cell r="H63">
            <v>168.46710150000001</v>
          </cell>
        </row>
        <row r="64">
          <cell r="B64">
            <v>96419.360859484994</v>
          </cell>
          <cell r="C64">
            <v>937.12635957142493</v>
          </cell>
          <cell r="D64">
            <v>523.59799917858891</v>
          </cell>
          <cell r="E64">
            <v>17760.52729842906</v>
          </cell>
          <cell r="F64">
            <v>221.51940485838</v>
          </cell>
          <cell r="G64">
            <v>13340.9921651</v>
          </cell>
          <cell r="H64">
            <v>166.39644730000001</v>
          </cell>
        </row>
        <row r="65">
          <cell r="B65">
            <v>81064.360290885001</v>
          </cell>
          <cell r="C65">
            <v>1015.341620447234</v>
          </cell>
          <cell r="D65">
            <v>523.59799917858891</v>
          </cell>
          <cell r="E65">
            <v>14932.12328978346</v>
          </cell>
          <cell r="F65">
            <v>240.00805141398001</v>
          </cell>
          <cell r="G65">
            <v>11216.4090891</v>
          </cell>
          <cell r="H65">
            <v>180.2843733</v>
          </cell>
        </row>
        <row r="66">
          <cell r="B66">
            <v>51965.445019035003</v>
          </cell>
          <cell r="C66">
            <v>908.720932771256</v>
          </cell>
          <cell r="D66">
            <v>523.59799917858891</v>
          </cell>
          <cell r="E66">
            <v>9572.0786428008596</v>
          </cell>
          <cell r="F66">
            <v>214.80488533254001</v>
          </cell>
          <cell r="G66">
            <v>7190.1596181000004</v>
          </cell>
          <cell r="H66">
            <v>161.3527709</v>
          </cell>
        </row>
        <row r="67">
          <cell r="B67">
            <v>12525.413529179999</v>
          </cell>
          <cell r="C67">
            <v>1632.2207250531701</v>
          </cell>
          <cell r="D67">
            <v>523.59799917858891</v>
          </cell>
          <cell r="E67">
            <v>2307.1916980792798</v>
          </cell>
          <cell r="F67">
            <v>385.82690575115993</v>
          </cell>
          <cell r="G67">
            <v>1733.0693988</v>
          </cell>
          <cell r="H67">
            <v>289.81761859999989</v>
          </cell>
        </row>
        <row r="68">
          <cell r="B68">
            <v>4.5237119999999997</v>
          </cell>
          <cell r="C68">
            <v>2969.6079584393642</v>
          </cell>
          <cell r="D68">
            <v>523.59799917858891</v>
          </cell>
          <cell r="E68">
            <v>0.83327155199999992</v>
          </cell>
          <cell r="F68">
            <v>701.96060637654</v>
          </cell>
          <cell r="G68">
            <v>0.62591999999999992</v>
          </cell>
          <cell r="H68">
            <v>527.28451089999999</v>
          </cell>
        </row>
        <row r="69">
          <cell r="B69">
            <v>0</v>
          </cell>
          <cell r="C69">
            <v>3032.5158789883521</v>
          </cell>
          <cell r="D69">
            <v>523.59799917858891</v>
          </cell>
          <cell r="E69">
            <v>0</v>
          </cell>
          <cell r="F69">
            <v>716.8308797164799</v>
          </cell>
          <cell r="G69">
            <v>0</v>
          </cell>
          <cell r="H69">
            <v>538.45446079999999</v>
          </cell>
        </row>
        <row r="70">
          <cell r="B70">
            <v>0</v>
          </cell>
          <cell r="C70">
            <v>1997.8308484510681</v>
          </cell>
          <cell r="D70">
            <v>523.59799917858891</v>
          </cell>
          <cell r="E70">
            <v>0</v>
          </cell>
          <cell r="F70">
            <v>472.25040255935988</v>
          </cell>
          <cell r="G70">
            <v>0</v>
          </cell>
          <cell r="H70">
            <v>354.7354656</v>
          </cell>
        </row>
        <row r="71">
          <cell r="B71">
            <v>0</v>
          </cell>
          <cell r="C71">
            <v>1605.3004353277749</v>
          </cell>
          <cell r="D71">
            <v>523.59799917858891</v>
          </cell>
          <cell r="E71">
            <v>0</v>
          </cell>
          <cell r="F71">
            <v>379.46344526616002</v>
          </cell>
          <cell r="G71">
            <v>0</v>
          </cell>
          <cell r="H71">
            <v>285.03764360000002</v>
          </cell>
        </row>
        <row r="72">
          <cell r="B72">
            <v>0</v>
          </cell>
          <cell r="C72">
            <v>1718.6635425074569</v>
          </cell>
          <cell r="D72">
            <v>523.59799917858891</v>
          </cell>
          <cell r="E72">
            <v>0</v>
          </cell>
          <cell r="F72">
            <v>406.26039508925999</v>
          </cell>
          <cell r="G72">
            <v>0</v>
          </cell>
          <cell r="H72">
            <v>305.16643210000001</v>
          </cell>
        </row>
        <row r="73">
          <cell r="B73">
            <v>0</v>
          </cell>
          <cell r="C73">
            <v>1784.441950829415</v>
          </cell>
          <cell r="D73">
            <v>523.59799917858891</v>
          </cell>
          <cell r="E73">
            <v>0</v>
          </cell>
          <cell r="F73">
            <v>421.80919885001998</v>
          </cell>
          <cell r="G73">
            <v>0</v>
          </cell>
          <cell r="H73">
            <v>316.84606669999999</v>
          </cell>
        </row>
        <row r="74">
          <cell r="B74">
            <v>0</v>
          </cell>
          <cell r="C74">
            <v>2092.8097615930119</v>
          </cell>
          <cell r="D74">
            <v>528.22556770218978</v>
          </cell>
          <cell r="E74">
            <v>0</v>
          </cell>
          <cell r="F74">
            <v>494.70166764053999</v>
          </cell>
          <cell r="G74">
            <v>0</v>
          </cell>
          <cell r="H74">
            <v>371.59995090000001</v>
          </cell>
        </row>
        <row r="75">
          <cell r="B75">
            <v>0</v>
          </cell>
          <cell r="C75">
            <v>2453.948776001735</v>
          </cell>
          <cell r="D75">
            <v>528.22556770218978</v>
          </cell>
          <cell r="E75">
            <v>0</v>
          </cell>
          <cell r="F75">
            <v>580.06827666384004</v>
          </cell>
          <cell r="G75">
            <v>0</v>
          </cell>
          <cell r="H75">
            <v>435.72390639999998</v>
          </cell>
        </row>
        <row r="76">
          <cell r="B76">
            <v>0</v>
          </cell>
          <cell r="C76">
            <v>2997.363626294346</v>
          </cell>
          <cell r="D76">
            <v>528.22556770218978</v>
          </cell>
          <cell r="E76">
            <v>0</v>
          </cell>
          <cell r="F76">
            <v>708.52153485954</v>
          </cell>
          <cell r="G76">
            <v>0</v>
          </cell>
          <cell r="H76">
            <v>532.21281590000001</v>
          </cell>
        </row>
        <row r="77">
          <cell r="B77">
            <v>0</v>
          </cell>
          <cell r="C77">
            <v>3725.395207229572</v>
          </cell>
          <cell r="D77">
            <v>528.22556770218978</v>
          </cell>
          <cell r="E77">
            <v>0</v>
          </cell>
          <cell r="F77">
            <v>880.61478661763988</v>
          </cell>
          <cell r="G77">
            <v>0</v>
          </cell>
          <cell r="H77">
            <v>661.48232940000003</v>
          </cell>
        </row>
        <row r="78">
          <cell r="B78">
            <v>0</v>
          </cell>
          <cell r="C78">
            <v>4680.1631923013483</v>
          </cell>
          <cell r="D78">
            <v>528.22556770218978</v>
          </cell>
          <cell r="E78">
            <v>0</v>
          </cell>
          <cell r="F78">
            <v>1106.30434669752</v>
          </cell>
          <cell r="G78">
            <v>0</v>
          </cell>
          <cell r="H78">
            <v>831.0112292</v>
          </cell>
        </row>
        <row r="79">
          <cell r="B79">
            <v>0</v>
          </cell>
          <cell r="C79">
            <v>5450.4992397167543</v>
          </cell>
          <cell r="D79">
            <v>528.22556770218978</v>
          </cell>
          <cell r="E79">
            <v>0</v>
          </cell>
          <cell r="F79">
            <v>1288.39759487214</v>
          </cell>
          <cell r="G79">
            <v>0</v>
          </cell>
          <cell r="H79">
            <v>967.79233690000001</v>
          </cell>
        </row>
        <row r="80">
          <cell r="B80">
            <v>0</v>
          </cell>
          <cell r="C80">
            <v>6064.3819072317219</v>
          </cell>
          <cell r="D80">
            <v>528.22556770218978</v>
          </cell>
          <cell r="E80">
            <v>0</v>
          </cell>
          <cell r="F80">
            <v>1433.50814669034</v>
          </cell>
          <cell r="G80">
            <v>0</v>
          </cell>
          <cell r="H80">
            <v>1076.7935339000001</v>
          </cell>
        </row>
        <row r="81">
          <cell r="B81">
            <v>0</v>
          </cell>
          <cell r="C81">
            <v>6423.2157370017594</v>
          </cell>
          <cell r="D81">
            <v>528.22556770218978</v>
          </cell>
          <cell r="E81">
            <v>0</v>
          </cell>
          <cell r="F81">
            <v>1518.3298525380601</v>
          </cell>
          <cell r="G81">
            <v>0</v>
          </cell>
          <cell r="H81">
            <v>1140.5081800999999</v>
          </cell>
        </row>
        <row r="82">
          <cell r="B82">
            <v>808.16055977500002</v>
          </cell>
          <cell r="C82">
            <v>7229.6280938422078</v>
          </cell>
          <cell r="D82">
            <v>528.22556770218978</v>
          </cell>
          <cell r="E82">
            <v>148.86385426589999</v>
          </cell>
          <cell r="F82">
            <v>1708.9508755551001</v>
          </cell>
          <cell r="G82">
            <v>111.8205265</v>
          </cell>
          <cell r="H82">
            <v>1283.6950085000001</v>
          </cell>
        </row>
        <row r="83">
          <cell r="B83">
            <v>17541.952262035</v>
          </cell>
          <cell r="C83">
            <v>8348.136342899068</v>
          </cell>
          <cell r="D83">
            <v>528.22556770218978</v>
          </cell>
          <cell r="E83">
            <v>3231.2423484288602</v>
          </cell>
          <cell r="F83">
            <v>1973.3456171282401</v>
          </cell>
          <cell r="G83">
            <v>2427.1789981000002</v>
          </cell>
          <cell r="H83">
            <v>1482.2976804</v>
          </cell>
        </row>
        <row r="84">
          <cell r="B84">
            <v>42818.540351174997</v>
          </cell>
          <cell r="C84">
            <v>9234.8761820860545</v>
          </cell>
          <cell r="D84">
            <v>528.22556770218978</v>
          </cell>
          <cell r="E84">
            <v>7887.2111161803005</v>
          </cell>
          <cell r="F84">
            <v>2182.9545769389001</v>
          </cell>
          <cell r="G84">
            <v>5924.5550505000001</v>
          </cell>
          <cell r="H84">
            <v>1639.7474815</v>
          </cell>
        </row>
        <row r="85">
          <cell r="B85">
            <v>38368.101147900117</v>
          </cell>
          <cell r="C85">
            <v>10602.74259962927</v>
          </cell>
          <cell r="D85">
            <v>528.22556770218978</v>
          </cell>
          <cell r="E85">
            <v>11343.04859628474</v>
          </cell>
          <cell r="F85">
            <v>2506.29299512032</v>
          </cell>
          <cell r="G85">
            <v>8520.4408578999992</v>
          </cell>
          <cell r="H85">
            <v>1882.6262672</v>
          </cell>
        </row>
        <row r="86">
          <cell r="B86">
            <v>29841.842870426579</v>
          </cell>
          <cell r="C86">
            <v>12693.81780410596</v>
          </cell>
          <cell r="D86">
            <v>528.22556770218978</v>
          </cell>
          <cell r="E86">
            <v>13464.065469469861</v>
          </cell>
          <cell r="F86">
            <v>3000.584645417759</v>
          </cell>
          <cell r="G86">
            <v>10113.6632331</v>
          </cell>
          <cell r="H86">
            <v>2253.9182295999999</v>
          </cell>
        </row>
        <row r="87">
          <cell r="B87">
            <v>25854.485326488171</v>
          </cell>
          <cell r="C87">
            <v>14935.23885635787</v>
          </cell>
          <cell r="D87">
            <v>528.22556770218978</v>
          </cell>
          <cell r="E87">
            <v>13886.88609506568</v>
          </cell>
          <cell r="F87">
            <v>3530.4152840084398</v>
          </cell>
          <cell r="G87">
            <v>10431.269042800001</v>
          </cell>
          <cell r="H87">
            <v>2651.9056473999999</v>
          </cell>
        </row>
        <row r="88">
          <cell r="B88">
            <v>23803.3175513897</v>
          </cell>
          <cell r="C88">
            <v>17302.695151216511</v>
          </cell>
          <cell r="D88">
            <v>528.22556770218978</v>
          </cell>
          <cell r="E88">
            <v>12762.630844060741</v>
          </cell>
          <cell r="F88">
            <v>4090.0383317532001</v>
          </cell>
          <cell r="G88">
            <v>9586.7738179000007</v>
          </cell>
          <cell r="H88">
            <v>3072.2719219999999</v>
          </cell>
        </row>
        <row r="89">
          <cell r="B89">
            <v>37767.016213478579</v>
          </cell>
          <cell r="C89">
            <v>19055.53493100328</v>
          </cell>
          <cell r="D89">
            <v>528.22556770218978</v>
          </cell>
          <cell r="E89">
            <v>10834.33778937378</v>
          </cell>
          <cell r="F89">
            <v>4504.3773596384399</v>
          </cell>
          <cell r="G89">
            <v>8138.3178062999996</v>
          </cell>
          <cell r="H89">
            <v>3383.5066974000001</v>
          </cell>
        </row>
        <row r="90">
          <cell r="B90">
            <v>40800.48073843</v>
          </cell>
          <cell r="C90">
            <v>19502.5647707022</v>
          </cell>
          <cell r="D90">
            <v>528.22556770218978</v>
          </cell>
          <cell r="E90">
            <v>7515.4828395922796</v>
          </cell>
          <cell r="F90">
            <v>4610.0469772226998</v>
          </cell>
          <cell r="G90">
            <v>5645.3277538000002</v>
          </cell>
          <cell r="H90">
            <v>3462.8814545</v>
          </cell>
        </row>
        <row r="91">
          <cell r="B91">
            <v>12182.816208914999</v>
          </cell>
          <cell r="C91">
            <v>18779.82452991965</v>
          </cell>
          <cell r="D91">
            <v>528.22556770218978</v>
          </cell>
          <cell r="E91">
            <v>2244.0849837773399</v>
          </cell>
          <cell r="F91">
            <v>4439.2045007837996</v>
          </cell>
          <cell r="G91">
            <v>1685.6661789</v>
          </cell>
          <cell r="H91">
            <v>3334.551473</v>
          </cell>
        </row>
        <row r="92">
          <cell r="B92">
            <v>9.0827655000000007</v>
          </cell>
          <cell r="C92">
            <v>20441.524096769612</v>
          </cell>
          <cell r="D92">
            <v>528.22556770218978</v>
          </cell>
          <cell r="E92">
            <v>1.6730530379999999</v>
          </cell>
          <cell r="F92">
            <v>4831.9996615883401</v>
          </cell>
          <cell r="G92">
            <v>1.2567299999999999</v>
          </cell>
          <cell r="H92">
            <v>3629.6033639000002</v>
          </cell>
        </row>
        <row r="93">
          <cell r="B93">
            <v>0</v>
          </cell>
          <cell r="C93">
            <v>23384.874651799371</v>
          </cell>
          <cell r="D93">
            <v>528.22556770218978</v>
          </cell>
          <cell r="E93">
            <v>0</v>
          </cell>
          <cell r="F93">
            <v>5527.7535015912599</v>
          </cell>
          <cell r="G93">
            <v>0</v>
          </cell>
          <cell r="H93">
            <v>4152.2256021000003</v>
          </cell>
        </row>
        <row r="94">
          <cell r="B94">
            <v>0</v>
          </cell>
          <cell r="C94">
            <v>25246.37105510366</v>
          </cell>
          <cell r="D94">
            <v>528.22556770218978</v>
          </cell>
          <cell r="E94">
            <v>0</v>
          </cell>
          <cell r="F94">
            <v>5967.7769532787806</v>
          </cell>
          <cell r="G94">
            <v>0</v>
          </cell>
          <cell r="H94">
            <v>4482.7534813000002</v>
          </cell>
        </row>
        <row r="95">
          <cell r="B95">
            <v>0</v>
          </cell>
          <cell r="C95">
            <v>26455.499012262731</v>
          </cell>
          <cell r="D95">
            <v>528.22556770218978</v>
          </cell>
          <cell r="E95">
            <v>0</v>
          </cell>
          <cell r="F95">
            <v>6253.5925241800196</v>
          </cell>
          <cell r="G95">
            <v>0</v>
          </cell>
          <cell r="H95">
            <v>4697.4466167</v>
          </cell>
        </row>
        <row r="96">
          <cell r="B96">
            <v>0</v>
          </cell>
          <cell r="C96">
            <v>29327.556745317321</v>
          </cell>
          <cell r="D96">
            <v>528.22556770218978</v>
          </cell>
          <cell r="E96">
            <v>0</v>
          </cell>
          <cell r="F96">
            <v>6932.4940546375792</v>
          </cell>
          <cell r="G96">
            <v>0</v>
          </cell>
          <cell r="H96">
            <v>5207.4100792999998</v>
          </cell>
        </row>
        <row r="97">
          <cell r="B97">
            <v>0</v>
          </cell>
          <cell r="C97">
            <v>32495.56085894713</v>
          </cell>
          <cell r="D97">
            <v>528.22556770218978</v>
          </cell>
          <cell r="E97">
            <v>0</v>
          </cell>
          <cell r="F97">
            <v>7681.3518566538596</v>
          </cell>
          <cell r="G97">
            <v>0</v>
          </cell>
          <cell r="H97">
            <v>5769.9218731000001</v>
          </cell>
        </row>
        <row r="98">
          <cell r="B98">
            <v>0</v>
          </cell>
          <cell r="C98">
            <v>33692.350464731819</v>
          </cell>
          <cell r="D98">
            <v>534.40830269683704</v>
          </cell>
          <cell r="E98">
            <v>0</v>
          </cell>
          <cell r="F98">
            <v>7964.2508686241999</v>
          </cell>
          <cell r="G98">
            <v>0</v>
          </cell>
          <cell r="H98">
            <v>5982.424207</v>
          </cell>
        </row>
        <row r="99">
          <cell r="B99">
            <v>0</v>
          </cell>
          <cell r="C99">
            <v>31442.18988844772</v>
          </cell>
          <cell r="D99">
            <v>534.40830269683704</v>
          </cell>
          <cell r="E99">
            <v>0</v>
          </cell>
          <cell r="F99">
            <v>7432.3543675779592</v>
          </cell>
          <cell r="G99">
            <v>0</v>
          </cell>
          <cell r="H99">
            <v>5582.8849965999998</v>
          </cell>
        </row>
        <row r="100">
          <cell r="B100">
            <v>0</v>
          </cell>
          <cell r="C100">
            <v>30725.5670023684</v>
          </cell>
          <cell r="D100">
            <v>534.40830269683704</v>
          </cell>
          <cell r="E100">
            <v>0</v>
          </cell>
          <cell r="F100">
            <v>7262.9579210786997</v>
          </cell>
          <cell r="G100">
            <v>0</v>
          </cell>
          <cell r="H100">
            <v>5455.6412145000004</v>
          </cell>
        </row>
        <row r="101">
          <cell r="B101">
            <v>0</v>
          </cell>
          <cell r="C101">
            <v>32808.221044500096</v>
          </cell>
          <cell r="D101">
            <v>534.40830269683704</v>
          </cell>
          <cell r="E101">
            <v>0</v>
          </cell>
          <cell r="F101">
            <v>7755.2589637576202</v>
          </cell>
          <cell r="G101">
            <v>0</v>
          </cell>
          <cell r="H101">
            <v>5825.4379127000002</v>
          </cell>
        </row>
        <row r="102">
          <cell r="B102">
            <v>0</v>
          </cell>
          <cell r="C102">
            <v>38083.80541485174</v>
          </cell>
          <cell r="D102">
            <v>534.40830269683704</v>
          </cell>
          <cell r="E102">
            <v>0</v>
          </cell>
          <cell r="F102">
            <v>9002.3099063166592</v>
          </cell>
          <cell r="G102">
            <v>0</v>
          </cell>
          <cell r="H102">
            <v>6762.1723111000001</v>
          </cell>
        </row>
        <row r="103">
          <cell r="B103">
            <v>0</v>
          </cell>
          <cell r="C103">
            <v>43215.925984419227</v>
          </cell>
          <cell r="D103">
            <v>534.40830269683704</v>
          </cell>
          <cell r="E103">
            <v>0</v>
          </cell>
          <cell r="F103">
            <v>10215.448649689501</v>
          </cell>
          <cell r="G103">
            <v>0</v>
          </cell>
          <cell r="H103">
            <v>7673.4332324999996</v>
          </cell>
        </row>
        <row r="104">
          <cell r="B104">
            <v>0</v>
          </cell>
          <cell r="C104">
            <v>45676.77452477238</v>
          </cell>
          <cell r="D104">
            <v>534.40830269683704</v>
          </cell>
          <cell r="E104">
            <v>0</v>
          </cell>
          <cell r="F104">
            <v>10797.14790351792</v>
          </cell>
          <cell r="G104">
            <v>0</v>
          </cell>
          <cell r="H104">
            <v>8110.3822632000001</v>
          </cell>
        </row>
        <row r="105">
          <cell r="B105">
            <v>0</v>
          </cell>
          <cell r="C105">
            <v>47147.468462484481</v>
          </cell>
          <cell r="D105">
            <v>534.40830269683704</v>
          </cell>
          <cell r="E105">
            <v>0</v>
          </cell>
          <cell r="F105">
            <v>11144.79285287118</v>
          </cell>
          <cell r="G105">
            <v>0</v>
          </cell>
          <cell r="H105">
            <v>8371.5191352999991</v>
          </cell>
        </row>
        <row r="106">
          <cell r="B106">
            <v>589.20041164499992</v>
          </cell>
          <cell r="C106">
            <v>49863.399898306299</v>
          </cell>
          <cell r="D106">
            <v>534.40830269683704</v>
          </cell>
          <cell r="E106">
            <v>108.53121097242</v>
          </cell>
          <cell r="F106">
            <v>11786.789003288461</v>
          </cell>
          <cell r="G106">
            <v>81.524270699999988</v>
          </cell>
          <cell r="H106">
            <v>8853.7607640999995</v>
          </cell>
        </row>
        <row r="107">
          <cell r="B107">
            <v>0</v>
          </cell>
          <cell r="C107">
            <v>45133.374810822534</v>
          </cell>
          <cell r="D107">
            <v>534.40830269683704</v>
          </cell>
          <cell r="E107">
            <v>2923.1597218788602</v>
          </cell>
          <cell r="F107">
            <v>12492.71309618178</v>
          </cell>
          <cell r="G107">
            <v>2195.7597480999998</v>
          </cell>
          <cell r="H107">
            <v>9384.0224863000003</v>
          </cell>
        </row>
        <row r="108">
          <cell r="B108">
            <v>0</v>
          </cell>
          <cell r="C108">
            <v>34090.060201689863</v>
          </cell>
          <cell r="D108">
            <v>534.40830269683704</v>
          </cell>
          <cell r="E108">
            <v>8311.0190383665595</v>
          </cell>
          <cell r="F108">
            <v>13356.598090211941</v>
          </cell>
          <cell r="G108">
            <v>6242.9024775999997</v>
          </cell>
          <cell r="H108">
            <v>10032.938069899999</v>
          </cell>
        </row>
        <row r="109">
          <cell r="B109">
            <v>0</v>
          </cell>
          <cell r="C109">
            <v>29652.981795430649</v>
          </cell>
          <cell r="D109">
            <v>534.40830269683704</v>
          </cell>
          <cell r="E109">
            <v>12692.55810978276</v>
          </cell>
          <cell r="F109">
            <v>13976.56642505496</v>
          </cell>
          <cell r="G109">
            <v>6603.0343429428558</v>
          </cell>
          <cell r="H109">
            <v>10498.633291599999</v>
          </cell>
        </row>
        <row r="110">
          <cell r="B110">
            <v>0</v>
          </cell>
          <cell r="C110">
            <v>26490.236944244571</v>
          </cell>
          <cell r="D110">
            <v>534.40830269683704</v>
          </cell>
          <cell r="E110">
            <v>15805.43395215288</v>
          </cell>
          <cell r="F110">
            <v>14546.736433870919</v>
          </cell>
          <cell r="G110">
            <v>3920.2884044428588</v>
          </cell>
          <cell r="H110">
            <v>10926.922018200001</v>
          </cell>
        </row>
        <row r="111">
          <cell r="B111">
            <v>0</v>
          </cell>
          <cell r="C111">
            <v>24648.050227220308</v>
          </cell>
          <cell r="D111">
            <v>534.40830269683704</v>
          </cell>
          <cell r="E111">
            <v>17241.55210498206</v>
          </cell>
          <cell r="F111">
            <v>14942.461998066001</v>
          </cell>
          <cell r="G111">
            <v>5842.5671583571457</v>
          </cell>
          <cell r="H111">
            <v>11224.17511</v>
          </cell>
        </row>
        <row r="112">
          <cell r="B112">
            <v>0</v>
          </cell>
          <cell r="C112">
            <v>23943.36660071693</v>
          </cell>
          <cell r="D112">
            <v>534.40830269683704</v>
          </cell>
          <cell r="E112">
            <v>16962.68727741174</v>
          </cell>
          <cell r="F112">
            <v>15117.680452139701</v>
          </cell>
          <cell r="G112">
            <v>5745.8754850428559</v>
          </cell>
          <cell r="H112">
            <v>11355.792149499999</v>
          </cell>
        </row>
        <row r="113">
          <cell r="B113">
            <v>0</v>
          </cell>
          <cell r="C113">
            <v>26727.394215368531</v>
          </cell>
          <cell r="D113">
            <v>534.40830269683704</v>
          </cell>
          <cell r="E113">
            <v>14237.426641362361</v>
          </cell>
          <cell r="F113">
            <v>14917.48047353748</v>
          </cell>
          <cell r="G113">
            <v>5931.183004942859</v>
          </cell>
          <cell r="H113">
            <v>11205.409995800001</v>
          </cell>
        </row>
        <row r="114">
          <cell r="B114">
            <v>0</v>
          </cell>
          <cell r="C114">
            <v>32702.751617874481</v>
          </cell>
          <cell r="D114">
            <v>534.40830269683704</v>
          </cell>
          <cell r="E114">
            <v>9295.3890228775199</v>
          </cell>
          <cell r="F114">
            <v>14608.47768951636</v>
          </cell>
          <cell r="G114">
            <v>3943.761594428574</v>
          </cell>
          <cell r="H114">
            <v>10973.2995606</v>
          </cell>
        </row>
        <row r="115">
          <cell r="B115">
            <v>0</v>
          </cell>
          <cell r="C115">
            <v>47202.060339290299</v>
          </cell>
          <cell r="D115">
            <v>534.40830269683704</v>
          </cell>
          <cell r="E115">
            <v>2488.1565576939001</v>
          </cell>
          <cell r="F115">
            <v>13247.64282213876</v>
          </cell>
          <cell r="G115">
            <v>1869.0029065000001</v>
          </cell>
          <cell r="H115">
            <v>9951.0952646000005</v>
          </cell>
        </row>
        <row r="116">
          <cell r="B116">
            <v>15.96776092</v>
          </cell>
          <cell r="C116">
            <v>49015.923932807389</v>
          </cell>
          <cell r="D116">
            <v>534.40830269683704</v>
          </cell>
          <cell r="E116">
            <v>2.9412749803199998</v>
          </cell>
          <cell r="F116">
            <v>11586.46129978116</v>
          </cell>
          <cell r="G116">
            <v>2.2093672</v>
          </cell>
          <cell r="H116">
            <v>8703.2826685999989</v>
          </cell>
        </row>
        <row r="117">
          <cell r="B117">
            <v>0</v>
          </cell>
          <cell r="C117">
            <v>44376.945800292582</v>
          </cell>
          <cell r="D117">
            <v>534.40830269683704</v>
          </cell>
          <cell r="E117">
            <v>0</v>
          </cell>
          <cell r="F117">
            <v>10489.89234238284</v>
          </cell>
          <cell r="G117">
            <v>0</v>
          </cell>
          <cell r="H117">
            <v>7879.5842714</v>
          </cell>
        </row>
        <row r="118">
          <cell r="B118">
            <v>0</v>
          </cell>
          <cell r="C118">
            <v>43141.369496151427</v>
          </cell>
          <cell r="D118">
            <v>534.40830269683704</v>
          </cell>
          <cell r="E118">
            <v>0</v>
          </cell>
          <cell r="F118">
            <v>10197.82486956558</v>
          </cell>
          <cell r="G118">
            <v>0</v>
          </cell>
          <cell r="H118">
            <v>7660.1949592999999</v>
          </cell>
        </row>
        <row r="119">
          <cell r="B119">
            <v>0</v>
          </cell>
          <cell r="C119">
            <v>43170.125414566843</v>
          </cell>
          <cell r="D119">
            <v>534.40830269683704</v>
          </cell>
          <cell r="E119">
            <v>0</v>
          </cell>
          <cell r="F119">
            <v>10204.62223885146</v>
          </cell>
          <cell r="G119">
            <v>0</v>
          </cell>
          <cell r="H119">
            <v>7665.3008690999995</v>
          </cell>
        </row>
        <row r="120">
          <cell r="B120">
            <v>0</v>
          </cell>
          <cell r="C120">
            <v>43085.999807524313</v>
          </cell>
          <cell r="D120">
            <v>534.40830269683704</v>
          </cell>
          <cell r="E120">
            <v>0</v>
          </cell>
          <cell r="F120">
            <v>10184.736495360121</v>
          </cell>
          <cell r="G120">
            <v>0</v>
          </cell>
          <cell r="H120">
            <v>7650.3635002000001</v>
          </cell>
        </row>
        <row r="121">
          <cell r="B121">
            <v>0</v>
          </cell>
          <cell r="C121">
            <v>43948.385436640448</v>
          </cell>
          <cell r="D121">
            <v>534.40830269683704</v>
          </cell>
          <cell r="E121">
            <v>0</v>
          </cell>
          <cell r="F121">
            <v>10388.58856863612</v>
          </cell>
          <cell r="G121">
            <v>0</v>
          </cell>
          <cell r="H121">
            <v>7803.4889602000003</v>
          </cell>
        </row>
        <row r="122">
          <cell r="B122">
            <v>0</v>
          </cell>
          <cell r="C122">
            <v>45259.381238917129</v>
          </cell>
          <cell r="D122">
            <v>540.59103769148419</v>
          </cell>
          <cell r="E122">
            <v>0</v>
          </cell>
          <cell r="F122">
            <v>10698.48382120908</v>
          </cell>
          <cell r="G122">
            <v>0</v>
          </cell>
          <cell r="H122">
            <v>8036.2697817999997</v>
          </cell>
        </row>
        <row r="123">
          <cell r="B123">
            <v>0</v>
          </cell>
          <cell r="C123">
            <v>45336.453592351907</v>
          </cell>
          <cell r="D123">
            <v>540.59103769148419</v>
          </cell>
          <cell r="E123">
            <v>0</v>
          </cell>
          <cell r="F123">
            <v>10716.702305503681</v>
          </cell>
          <cell r="G123">
            <v>0</v>
          </cell>
          <cell r="H123">
            <v>8049.9547727999998</v>
          </cell>
        </row>
        <row r="124">
          <cell r="B124">
            <v>0</v>
          </cell>
          <cell r="C124">
            <v>43980.981821342502</v>
          </cell>
          <cell r="D124">
            <v>540.59103769148419</v>
          </cell>
          <cell r="E124">
            <v>0</v>
          </cell>
          <cell r="F124">
            <v>10574.054505117239</v>
          </cell>
          <cell r="G124">
            <v>0</v>
          </cell>
          <cell r="H124">
            <v>7942.8034954000004</v>
          </cell>
        </row>
        <row r="125">
          <cell r="B125">
            <v>0</v>
          </cell>
          <cell r="C125">
            <v>42700.649045682017</v>
          </cell>
          <cell r="D125">
            <v>540.59103769148419</v>
          </cell>
          <cell r="E125">
            <v>0</v>
          </cell>
          <cell r="F125">
            <v>10546.773433202339</v>
          </cell>
          <cell r="G125">
            <v>0</v>
          </cell>
          <cell r="H125">
            <v>7922.3110538999999</v>
          </cell>
        </row>
        <row r="126">
          <cell r="B126">
            <v>0</v>
          </cell>
          <cell r="C126">
            <v>41707.58048185704</v>
          </cell>
          <cell r="D126">
            <v>540.59103769148419</v>
          </cell>
          <cell r="E126">
            <v>0</v>
          </cell>
          <cell r="F126">
            <v>10510.33451163294</v>
          </cell>
          <cell r="G126">
            <v>0</v>
          </cell>
          <cell r="H126">
            <v>7894.9396049000006</v>
          </cell>
        </row>
        <row r="127">
          <cell r="B127">
            <v>0</v>
          </cell>
          <cell r="C127">
            <v>38678.788195634253</v>
          </cell>
          <cell r="D127">
            <v>540.59103769148419</v>
          </cell>
          <cell r="E127">
            <v>0</v>
          </cell>
          <cell r="F127">
            <v>10390.71890113806</v>
          </cell>
          <cell r="G127">
            <v>0</v>
          </cell>
          <cell r="H127">
            <v>7805.0891800999998</v>
          </cell>
        </row>
        <row r="128">
          <cell r="B128">
            <v>0</v>
          </cell>
          <cell r="C128">
            <v>38810.510621402187</v>
          </cell>
          <cell r="D128">
            <v>540.59103769148419</v>
          </cell>
          <cell r="E128">
            <v>0</v>
          </cell>
          <cell r="F128">
            <v>10258.62136018938</v>
          </cell>
          <cell r="G128">
            <v>0</v>
          </cell>
          <cell r="H128">
            <v>7705.8628322999994</v>
          </cell>
        </row>
        <row r="129">
          <cell r="B129">
            <v>0</v>
          </cell>
          <cell r="C129">
            <v>41996.963607079451</v>
          </cell>
          <cell r="D129">
            <v>540.59103769148419</v>
          </cell>
          <cell r="E129">
            <v>0</v>
          </cell>
          <cell r="F129">
            <v>9927.3084030566406</v>
          </cell>
          <cell r="G129">
            <v>0</v>
          </cell>
          <cell r="H129">
            <v>7456.9938943999996</v>
          </cell>
        </row>
        <row r="130">
          <cell r="B130">
            <v>1089.0108605099999</v>
          </cell>
          <cell r="C130">
            <v>40071.69526356073</v>
          </cell>
          <cell r="D130">
            <v>540.59103769148419</v>
          </cell>
          <cell r="E130">
            <v>200.59671567996</v>
          </cell>
          <cell r="F130">
            <v>9472.2104396998202</v>
          </cell>
          <cell r="G130">
            <v>150.68016660000001</v>
          </cell>
          <cell r="H130">
            <v>7115.1426497000002</v>
          </cell>
        </row>
        <row r="131">
          <cell r="B131">
            <v>0</v>
          </cell>
          <cell r="C131">
            <v>36285.904854369634</v>
          </cell>
          <cell r="D131">
            <v>540.59103769148419</v>
          </cell>
          <cell r="E131">
            <v>5364.4511128083004</v>
          </cell>
          <cell r="F131">
            <v>9357.6268128889187</v>
          </cell>
          <cell r="G131">
            <v>4029.5594305</v>
          </cell>
          <cell r="H131">
            <v>7029.0720481999997</v>
          </cell>
        </row>
        <row r="132">
          <cell r="B132">
            <v>0</v>
          </cell>
          <cell r="C132">
            <v>23820.816443866181</v>
          </cell>
          <cell r="D132">
            <v>540.59103769148419</v>
          </cell>
          <cell r="E132">
            <v>13085.592141765541</v>
          </cell>
          <cell r="F132">
            <v>9516.7421423217602</v>
          </cell>
          <cell r="G132">
            <v>9829.3693258999992</v>
          </cell>
          <cell r="H132">
            <v>7148.5930695999996</v>
          </cell>
        </row>
        <row r="133">
          <cell r="B133">
            <v>0</v>
          </cell>
          <cell r="C133">
            <v>19755.757159317782</v>
          </cell>
          <cell r="D133">
            <v>540.59103769148419</v>
          </cell>
          <cell r="E133">
            <v>17461.31608443756</v>
          </cell>
          <cell r="F133">
            <v>9784.5473515183803</v>
          </cell>
          <cell r="G133">
            <v>9782.2688711142873</v>
          </cell>
          <cell r="H133">
            <v>7349.7575472999997</v>
          </cell>
        </row>
        <row r="134">
          <cell r="B134">
            <v>0</v>
          </cell>
          <cell r="C134">
            <v>18604.716496789079</v>
          </cell>
          <cell r="D134">
            <v>540.59103769148419</v>
          </cell>
          <cell r="E134">
            <v>19105.675872239819</v>
          </cell>
          <cell r="F134">
            <v>10225.632226244819</v>
          </cell>
          <cell r="G134">
            <v>9415.7156762714312</v>
          </cell>
          <cell r="H134">
            <v>7681.0827246999997</v>
          </cell>
        </row>
        <row r="135">
          <cell r="B135">
            <v>0</v>
          </cell>
          <cell r="C135">
            <v>18935.79201710728</v>
          </cell>
          <cell r="D135">
            <v>540.59103769148419</v>
          </cell>
          <cell r="E135">
            <v>19019.077952599979</v>
          </cell>
          <cell r="F135">
            <v>10311.965625566459</v>
          </cell>
          <cell r="G135">
            <v>9350.8655068714306</v>
          </cell>
          <cell r="H135">
            <v>7745.9328941000003</v>
          </cell>
        </row>
        <row r="136">
          <cell r="B136">
            <v>0</v>
          </cell>
          <cell r="C136">
            <v>19701.035494849661</v>
          </cell>
          <cell r="D136">
            <v>540.59103769148419</v>
          </cell>
          <cell r="E136">
            <v>17507.187336178678</v>
          </cell>
          <cell r="F136">
            <v>10005.71476424538</v>
          </cell>
          <cell r="G136">
            <v>9616.136826114287</v>
          </cell>
          <cell r="H136">
            <v>7515.8895923</v>
          </cell>
        </row>
        <row r="137">
          <cell r="B137">
            <v>0</v>
          </cell>
          <cell r="C137">
            <v>22634.265073426661</v>
          </cell>
          <cell r="D137">
            <v>540.59103769148419</v>
          </cell>
          <cell r="E137">
            <v>14607.48485948202</v>
          </cell>
          <cell r="F137">
            <v>9420.9826623650388</v>
          </cell>
          <cell r="G137">
            <v>10020.13599257143</v>
          </cell>
          <cell r="H137">
            <v>7076.6624083999995</v>
          </cell>
        </row>
        <row r="138">
          <cell r="B138">
            <v>0</v>
          </cell>
          <cell r="C138">
            <v>32131.85183410189</v>
          </cell>
          <cell r="D138">
            <v>540.59103769148419</v>
          </cell>
          <cell r="E138">
            <v>9469.2378519369595</v>
          </cell>
          <cell r="F138">
            <v>8951.7328185849601</v>
          </cell>
          <cell r="G138">
            <v>7112.9097615999999</v>
          </cell>
          <cell r="H138">
            <v>6724.1808416000003</v>
          </cell>
        </row>
        <row r="139">
          <cell r="B139">
            <v>13138.253163345</v>
          </cell>
          <cell r="C139">
            <v>31635.808139735909</v>
          </cell>
          <cell r="D139">
            <v>540.59103769148419</v>
          </cell>
          <cell r="E139">
            <v>2420.07727370562</v>
          </cell>
          <cell r="F139">
            <v>7478.1221547680398</v>
          </cell>
          <cell r="G139">
            <v>1817.8644927</v>
          </cell>
          <cell r="H139">
            <v>5617.2639134000001</v>
          </cell>
        </row>
        <row r="140">
          <cell r="B140">
            <v>27.28481605</v>
          </cell>
          <cell r="C140">
            <v>31769.808116109591</v>
          </cell>
          <cell r="D140">
            <v>540.59103769148419</v>
          </cell>
          <cell r="E140">
            <v>5.0258860457999992</v>
          </cell>
          <cell r="F140">
            <v>7509.7972802344802</v>
          </cell>
          <cell r="G140">
            <v>3.7752430000000001</v>
          </cell>
          <cell r="H140">
            <v>5641.0569908000007</v>
          </cell>
        </row>
        <row r="141">
          <cell r="B141">
            <v>0</v>
          </cell>
          <cell r="C141">
            <v>35284.882191248769</v>
          </cell>
          <cell r="D141">
            <v>540.59103769148419</v>
          </cell>
          <cell r="E141">
            <v>0</v>
          </cell>
          <cell r="F141">
            <v>8340.6960263908204</v>
          </cell>
          <cell r="G141">
            <v>0</v>
          </cell>
          <cell r="H141">
            <v>6265.1946347000003</v>
          </cell>
        </row>
        <row r="142">
          <cell r="B142">
            <v>0</v>
          </cell>
          <cell r="C142">
            <v>37972.3074040961</v>
          </cell>
          <cell r="D142">
            <v>540.59103769148419</v>
          </cell>
          <cell r="E142">
            <v>0</v>
          </cell>
          <cell r="F142">
            <v>8975.9538309238196</v>
          </cell>
          <cell r="G142">
            <v>0</v>
          </cell>
          <cell r="H142">
            <v>6742.3746897000001</v>
          </cell>
        </row>
        <row r="143">
          <cell r="B143">
            <v>0</v>
          </cell>
          <cell r="C143">
            <v>39676.274901108052</v>
          </cell>
          <cell r="D143">
            <v>540.59103769148419</v>
          </cell>
          <cell r="E143">
            <v>0</v>
          </cell>
          <cell r="F143">
            <v>9378.7403516324393</v>
          </cell>
          <cell r="G143">
            <v>0</v>
          </cell>
          <cell r="H143">
            <v>7044.9316873999996</v>
          </cell>
        </row>
        <row r="144">
          <cell r="B144">
            <v>0</v>
          </cell>
          <cell r="C144">
            <v>42088.032491575963</v>
          </cell>
          <cell r="D144">
            <v>540.59103769148419</v>
          </cell>
          <cell r="E144">
            <v>0</v>
          </cell>
          <cell r="F144">
            <v>9948.8354094082788</v>
          </cell>
          <cell r="G144">
            <v>0</v>
          </cell>
          <cell r="H144">
            <v>7473.1641138000005</v>
          </cell>
        </row>
        <row r="145">
          <cell r="B145">
            <v>0</v>
          </cell>
          <cell r="C145">
            <v>44627.775519484123</v>
          </cell>
          <cell r="D145">
            <v>540.59103769148419</v>
          </cell>
          <cell r="E145">
            <v>0</v>
          </cell>
          <cell r="F145">
            <v>10549.18386646452</v>
          </cell>
          <cell r="G145">
            <v>0</v>
          </cell>
          <cell r="H145">
            <v>7924.1216742000006</v>
          </cell>
        </row>
        <row r="146">
          <cell r="B146">
            <v>0</v>
          </cell>
          <cell r="C146">
            <v>45175.635126428577</v>
          </cell>
          <cell r="D146">
            <v>547.83583759318731</v>
          </cell>
          <cell r="E146">
            <v>0</v>
          </cell>
          <cell r="F146">
            <v>11361.366443871961</v>
          </cell>
          <cell r="G146">
            <v>0</v>
          </cell>
          <cell r="H146">
            <v>8534.2004865999988</v>
          </cell>
        </row>
        <row r="147">
          <cell r="B147">
            <v>0</v>
          </cell>
          <cell r="C147">
            <v>41332.355294336288</v>
          </cell>
          <cell r="D147">
            <v>547.83583759318731</v>
          </cell>
          <cell r="E147">
            <v>0</v>
          </cell>
          <cell r="F147">
            <v>12239.69902122744</v>
          </cell>
          <cell r="G147">
            <v>0</v>
          </cell>
          <cell r="H147">
            <v>9193.9685124000007</v>
          </cell>
        </row>
        <row r="148">
          <cell r="B148">
            <v>0</v>
          </cell>
          <cell r="C148">
            <v>40279.767950751913</v>
          </cell>
          <cell r="D148">
            <v>547.83583759318731</v>
          </cell>
          <cell r="E148">
            <v>0</v>
          </cell>
          <cell r="F148">
            <v>13113.725732937301</v>
          </cell>
          <cell r="G148">
            <v>0</v>
          </cell>
          <cell r="H148">
            <v>9850.5021455000006</v>
          </cell>
        </row>
        <row r="149">
          <cell r="B149">
            <v>0</v>
          </cell>
          <cell r="C149">
            <v>37758.149025956118</v>
          </cell>
          <cell r="D149">
            <v>547.83583759318731</v>
          </cell>
          <cell r="E149">
            <v>0</v>
          </cell>
          <cell r="F149">
            <v>14035.5313023483</v>
          </cell>
          <cell r="G149">
            <v>0</v>
          </cell>
          <cell r="H149">
            <v>10542.9253305</v>
          </cell>
        </row>
        <row r="150">
          <cell r="B150">
            <v>0</v>
          </cell>
          <cell r="C150">
            <v>33820.711337207707</v>
          </cell>
          <cell r="D150">
            <v>547.83583759318731</v>
          </cell>
          <cell r="E150">
            <v>0</v>
          </cell>
          <cell r="F150">
            <v>14948.66776624974</v>
          </cell>
          <cell r="G150">
            <v>0</v>
          </cell>
          <cell r="H150">
            <v>11228.8366329</v>
          </cell>
        </row>
        <row r="151">
          <cell r="B151">
            <v>0</v>
          </cell>
          <cell r="C151">
            <v>35542.811896502273</v>
          </cell>
          <cell r="D151">
            <v>547.83583759318731</v>
          </cell>
          <cell r="E151">
            <v>0</v>
          </cell>
          <cell r="F151">
            <v>15383.716109376661</v>
          </cell>
          <cell r="G151">
            <v>0</v>
          </cell>
          <cell r="H151">
            <v>11555.6274111</v>
          </cell>
        </row>
        <row r="152">
          <cell r="B152">
            <v>0</v>
          </cell>
          <cell r="C152">
            <v>36909.87925128419</v>
          </cell>
          <cell r="D152">
            <v>547.83583759318731</v>
          </cell>
          <cell r="E152">
            <v>0</v>
          </cell>
          <cell r="F152">
            <v>15127.070272442401</v>
          </cell>
          <cell r="G152">
            <v>0</v>
          </cell>
          <cell r="H152">
            <v>11362.845404</v>
          </cell>
        </row>
        <row r="153">
          <cell r="B153">
            <v>0</v>
          </cell>
          <cell r="C153">
            <v>39355.511501372668</v>
          </cell>
          <cell r="D153">
            <v>547.83583759318731</v>
          </cell>
          <cell r="E153">
            <v>0</v>
          </cell>
          <cell r="F153">
            <v>14554.64882465232</v>
          </cell>
          <cell r="G153">
            <v>0</v>
          </cell>
          <cell r="H153">
            <v>10932.865487200001</v>
          </cell>
        </row>
        <row r="154">
          <cell r="B154">
            <v>0</v>
          </cell>
          <cell r="C154">
            <v>41209.015616041637</v>
          </cell>
          <cell r="D154">
            <v>547.83583759318731</v>
          </cell>
          <cell r="E154">
            <v>53.486377236299987</v>
          </cell>
          <cell r="F154">
            <v>13883.586426518879</v>
          </cell>
          <cell r="G154">
            <v>40.176810499999988</v>
          </cell>
          <cell r="H154">
            <v>10428.7904648</v>
          </cell>
        </row>
        <row r="155">
          <cell r="B155">
            <v>0</v>
          </cell>
          <cell r="C155">
            <v>42467.041326249251</v>
          </cell>
          <cell r="D155">
            <v>547.83583759318731</v>
          </cell>
          <cell r="E155">
            <v>1454.2946046499201</v>
          </cell>
          <cell r="F155">
            <v>13146.774367678619</v>
          </cell>
          <cell r="G155">
            <v>1092.4074831999999</v>
          </cell>
          <cell r="H155">
            <v>9875.3269477000013</v>
          </cell>
        </row>
        <row r="156">
          <cell r="B156">
            <v>0</v>
          </cell>
          <cell r="C156">
            <v>40570.209819788353</v>
          </cell>
          <cell r="D156">
            <v>547.83583759318731</v>
          </cell>
          <cell r="E156">
            <v>4101.6707375197793</v>
          </cell>
          <cell r="F156">
            <v>13075.4333246592</v>
          </cell>
          <cell r="G156">
            <v>3081.0097163</v>
          </cell>
          <cell r="H156">
            <v>9821.7384320000001</v>
          </cell>
        </row>
        <row r="157">
          <cell r="B157">
            <v>0</v>
          </cell>
          <cell r="C157">
            <v>35319.786826553667</v>
          </cell>
          <cell r="D157">
            <v>547.83583759318731</v>
          </cell>
          <cell r="E157">
            <v>6835.7459544038402</v>
          </cell>
          <cell r="F157">
            <v>13418.77078088334</v>
          </cell>
          <cell r="G157">
            <v>5134.7368064000002</v>
          </cell>
          <cell r="H157">
            <v>10079.639688900001</v>
          </cell>
        </row>
        <row r="158">
          <cell r="B158">
            <v>0</v>
          </cell>
          <cell r="C158">
            <v>27813.087032174419</v>
          </cell>
          <cell r="D158">
            <v>547.83583759318731</v>
          </cell>
          <cell r="E158">
            <v>9206.4362214122993</v>
          </cell>
          <cell r="F158">
            <v>14288.5865417853</v>
          </cell>
          <cell r="G158">
            <v>6915.5037705000004</v>
          </cell>
          <cell r="H158">
            <v>10733.0102255</v>
          </cell>
        </row>
        <row r="159">
          <cell r="B159">
            <v>0</v>
          </cell>
          <cell r="C159">
            <v>26729.043308630658</v>
          </cell>
          <cell r="D159">
            <v>547.83583759318731</v>
          </cell>
          <cell r="E159">
            <v>10433.0749838172</v>
          </cell>
          <cell r="F159">
            <v>15092.252064041641</v>
          </cell>
          <cell r="G159">
            <v>7836.9053620000004</v>
          </cell>
          <cell r="H159">
            <v>11336.6913694</v>
          </cell>
        </row>
        <row r="160">
          <cell r="B160">
            <v>0</v>
          </cell>
          <cell r="C160">
            <v>24950.57185191727</v>
          </cell>
          <cell r="D160">
            <v>547.83583759318731</v>
          </cell>
          <cell r="E160">
            <v>10274.97286051212</v>
          </cell>
          <cell r="F160">
            <v>15636.79808294262</v>
          </cell>
          <cell r="G160">
            <v>7718.1454202000004</v>
          </cell>
          <cell r="H160">
            <v>11745.7323877</v>
          </cell>
        </row>
        <row r="161">
          <cell r="B161">
            <v>0</v>
          </cell>
          <cell r="C161">
            <v>26257.33145306561</v>
          </cell>
          <cell r="D161">
            <v>547.83583759318731</v>
          </cell>
          <cell r="E161">
            <v>8198.5657657573793</v>
          </cell>
          <cell r="F161">
            <v>16042.92715096332</v>
          </cell>
          <cell r="G161">
            <v>6158.4321123</v>
          </cell>
          <cell r="H161">
            <v>12050.800172200001</v>
          </cell>
        </row>
        <row r="162">
          <cell r="B162">
            <v>0</v>
          </cell>
          <cell r="C162">
            <v>32375.203613616421</v>
          </cell>
          <cell r="D162">
            <v>547.83583759318731</v>
          </cell>
          <cell r="E162">
            <v>5000.0942731860596</v>
          </cell>
          <cell r="F162">
            <v>16860.989696057579</v>
          </cell>
          <cell r="G162">
            <v>3755.8692600999998</v>
          </cell>
          <cell r="H162">
            <v>12665.295779300001</v>
          </cell>
        </row>
        <row r="163">
          <cell r="B163">
            <v>0</v>
          </cell>
          <cell r="C163">
            <v>69460.290462642908</v>
          </cell>
          <cell r="D163">
            <v>547.83583759318731</v>
          </cell>
          <cell r="E163">
            <v>1293.30491332002</v>
          </cell>
          <cell r="F163">
            <v>16623.794695623899</v>
          </cell>
          <cell r="G163">
            <v>971.4785167</v>
          </cell>
          <cell r="H163">
            <v>12487.1244565</v>
          </cell>
        </row>
        <row r="164">
          <cell r="B164">
            <v>20.00588071</v>
          </cell>
          <cell r="C164">
            <v>65799.846327957581</v>
          </cell>
          <cell r="D164">
            <v>547.83583759318731</v>
          </cell>
          <cell r="E164">
            <v>3.68510003916</v>
          </cell>
          <cell r="F164">
            <v>15553.8713103834</v>
          </cell>
          <cell r="G164">
            <v>2.7680986000000001</v>
          </cell>
          <cell r="H164">
            <v>11683.441139</v>
          </cell>
        </row>
        <row r="165">
          <cell r="B165">
            <v>0</v>
          </cell>
          <cell r="C165">
            <v>63999.609488092967</v>
          </cell>
          <cell r="D165">
            <v>547.83583759318731</v>
          </cell>
          <cell r="E165">
            <v>0</v>
          </cell>
          <cell r="F165">
            <v>15128.32849078614</v>
          </cell>
          <cell r="G165">
            <v>0</v>
          </cell>
          <cell r="H165">
            <v>11363.7905269</v>
          </cell>
        </row>
        <row r="166">
          <cell r="B166">
            <v>0</v>
          </cell>
          <cell r="C166">
            <v>64502.616731058319</v>
          </cell>
          <cell r="D166">
            <v>547.83583759318731</v>
          </cell>
          <cell r="E166">
            <v>0</v>
          </cell>
          <cell r="F166">
            <v>15247.23013511946</v>
          </cell>
          <cell r="G166">
            <v>0</v>
          </cell>
          <cell r="H166">
            <v>11453.1046491</v>
          </cell>
        </row>
        <row r="167">
          <cell r="B167">
            <v>0</v>
          </cell>
          <cell r="C167">
            <v>65809.387631394566</v>
          </cell>
          <cell r="D167">
            <v>547.83583759318731</v>
          </cell>
          <cell r="E167">
            <v>0</v>
          </cell>
          <cell r="F167">
            <v>15556.12669871748</v>
          </cell>
          <cell r="G167">
            <v>0</v>
          </cell>
          <cell r="H167">
            <v>11685.135295800001</v>
          </cell>
        </row>
        <row r="168">
          <cell r="B168">
            <v>0</v>
          </cell>
          <cell r="C168">
            <v>67338.832060564164</v>
          </cell>
          <cell r="D168">
            <v>547.83583759318731</v>
          </cell>
          <cell r="E168">
            <v>0</v>
          </cell>
          <cell r="F168">
            <v>15917.659181774039</v>
          </cell>
          <cell r="G168">
            <v>0</v>
          </cell>
          <cell r="H168">
            <v>11956.7039234</v>
          </cell>
        </row>
        <row r="169">
          <cell r="B169">
            <v>0</v>
          </cell>
          <cell r="C169">
            <v>69117.832394977377</v>
          </cell>
          <cell r="D169">
            <v>547.83583759318731</v>
          </cell>
          <cell r="E169">
            <v>0</v>
          </cell>
          <cell r="F169">
            <v>16338.182082765001</v>
          </cell>
          <cell r="G169">
            <v>0</v>
          </cell>
          <cell r="H169">
            <v>12272.583774999999</v>
          </cell>
        </row>
      </sheetData>
      <sheetData sheetId="8"/>
      <sheetData sheetId="9">
        <row r="1">
          <cell r="B1" t="str">
            <v>ES_turbina</v>
          </cell>
          <cell r="C1" t="str">
            <v>ES_pump</v>
          </cell>
          <cell r="D1" t="str">
            <v>ES_electrolyzer</v>
          </cell>
          <cell r="E1" t="str">
            <v>ES_SRES_electrolyzer</v>
          </cell>
          <cell r="F1" t="str">
            <v>ES_SRES_excedentes</v>
          </cell>
          <cell r="O1" t="str">
            <v>ES_PT_interconexion_electricidad</v>
          </cell>
          <cell r="P1" t="str">
            <v>ES_PT_interconexion_hidrogeno</v>
          </cell>
        </row>
        <row r="2">
          <cell r="B2">
            <v>2788.799047741923</v>
          </cell>
          <cell r="C2">
            <v>0</v>
          </cell>
          <cell r="D2">
            <v>10781.361550927521</v>
          </cell>
          <cell r="E2">
            <v>4484.7529207999996</v>
          </cell>
          <cell r="F2">
            <v>5970.4387567924796</v>
          </cell>
          <cell r="O2">
            <v>0</v>
          </cell>
          <cell r="P2">
            <v>366.50117356925989</v>
          </cell>
        </row>
        <row r="3">
          <cell r="B3">
            <v>0</v>
          </cell>
          <cell r="C3">
            <v>1921.1895819467341</v>
          </cell>
          <cell r="D3">
            <v>10390.127936333991</v>
          </cell>
          <cell r="E3">
            <v>4799.2395950999999</v>
          </cell>
          <cell r="F3">
            <v>6389.1069558870586</v>
          </cell>
          <cell r="O3">
            <v>0</v>
          </cell>
          <cell r="P3">
            <v>312.77831536379267</v>
          </cell>
        </row>
        <row r="4">
          <cell r="B4">
            <v>0</v>
          </cell>
          <cell r="C4">
            <v>3783.7422947364162</v>
          </cell>
          <cell r="D4">
            <v>10312.143676342839</v>
          </cell>
          <cell r="E4">
            <v>4881.1226939999997</v>
          </cell>
          <cell r="F4">
            <v>6498.1158658163986</v>
          </cell>
          <cell r="O4">
            <v>0</v>
          </cell>
          <cell r="P4">
            <v>315.50750259998671</v>
          </cell>
        </row>
        <row r="5">
          <cell r="B5">
            <v>0</v>
          </cell>
          <cell r="C5">
            <v>5185.09829045476</v>
          </cell>
          <cell r="D5">
            <v>10370.927911327981</v>
          </cell>
          <cell r="E5">
            <v>5003.6311142000004</v>
          </cell>
          <cell r="F5">
            <v>6661.2082441285193</v>
          </cell>
          <cell r="O5">
            <v>0</v>
          </cell>
          <cell r="P5">
            <v>442.41236122958611</v>
          </cell>
        </row>
        <row r="6">
          <cell r="B6">
            <v>0</v>
          </cell>
          <cell r="C6">
            <v>6765.8815992364198</v>
          </cell>
          <cell r="D6">
            <v>10238.602793992281</v>
          </cell>
          <cell r="E6">
            <v>5245.5629677000006</v>
          </cell>
          <cell r="F6">
            <v>6983.28603529062</v>
          </cell>
          <cell r="O6">
            <v>0</v>
          </cell>
          <cell r="P6">
            <v>494.68932021459278</v>
          </cell>
        </row>
        <row r="7">
          <cell r="B7">
            <v>0</v>
          </cell>
          <cell r="C7">
            <v>5853.9138554368747</v>
          </cell>
          <cell r="D7">
            <v>10366.094242722609</v>
          </cell>
          <cell r="E7">
            <v>5277.0134264999997</v>
          </cell>
          <cell r="F7">
            <v>7025.1552400058999</v>
          </cell>
          <cell r="O7">
            <v>0</v>
          </cell>
          <cell r="P7">
            <v>557.05313280582425</v>
          </cell>
        </row>
        <row r="8">
          <cell r="B8">
            <v>0</v>
          </cell>
          <cell r="C8">
            <v>1209.007575439638</v>
          </cell>
          <cell r="D8">
            <v>10840.905697199491</v>
          </cell>
          <cell r="E8">
            <v>4934.5740126000001</v>
          </cell>
          <cell r="F8">
            <v>6569.2742617875601</v>
          </cell>
          <cell r="O8">
            <v>0</v>
          </cell>
          <cell r="P8">
            <v>625.26580486964167</v>
          </cell>
        </row>
        <row r="9">
          <cell r="B9">
            <v>9491.9676541744684</v>
          </cell>
          <cell r="C9">
            <v>0</v>
          </cell>
          <cell r="D9">
            <v>11834.170066242579</v>
          </cell>
          <cell r="E9">
            <v>3998.9325944000002</v>
          </cell>
          <cell r="F9">
            <v>5323.6783762766399</v>
          </cell>
          <cell r="O9">
            <v>0</v>
          </cell>
          <cell r="P9">
            <v>641.15411412980632</v>
          </cell>
        </row>
        <row r="10">
          <cell r="B10">
            <v>0</v>
          </cell>
          <cell r="C10">
            <v>0</v>
          </cell>
          <cell r="D10">
            <v>12607.299796813561</v>
          </cell>
          <cell r="E10">
            <v>3275.3819024999998</v>
          </cell>
          <cell r="F10">
            <v>4360.4335398915</v>
          </cell>
          <cell r="O10">
            <v>0</v>
          </cell>
          <cell r="P10">
            <v>675.85944119948931</v>
          </cell>
        </row>
        <row r="11">
          <cell r="B11">
            <v>0</v>
          </cell>
          <cell r="C11">
            <v>13320.750632965201</v>
          </cell>
          <cell r="D11">
            <v>8359.7292517835849</v>
          </cell>
          <cell r="E11">
            <v>6813.4694380000001</v>
          </cell>
          <cell r="F11">
            <v>9070.6004810628001</v>
          </cell>
          <cell r="O11">
            <v>0</v>
          </cell>
          <cell r="P11">
            <v>179.2213345285079</v>
          </cell>
        </row>
        <row r="12">
          <cell r="B12">
            <v>0</v>
          </cell>
          <cell r="C12">
            <v>13320.750632965201</v>
          </cell>
          <cell r="D12">
            <v>2306.986742385714</v>
          </cell>
          <cell r="E12">
            <v>12610.181469499999</v>
          </cell>
          <cell r="F12">
            <v>16787.617401731699</v>
          </cell>
          <cell r="O12">
            <v>0</v>
          </cell>
          <cell r="P12">
            <v>0</v>
          </cell>
        </row>
        <row r="13">
          <cell r="B13">
            <v>0</v>
          </cell>
          <cell r="C13">
            <v>13320.750632965201</v>
          </cell>
          <cell r="D13">
            <v>0</v>
          </cell>
          <cell r="E13">
            <v>16063.4275213</v>
          </cell>
          <cell r="F13">
            <v>21384.83700970278</v>
          </cell>
          <cell r="O13">
            <v>0</v>
          </cell>
          <cell r="P13">
            <v>0</v>
          </cell>
        </row>
        <row r="14">
          <cell r="B14">
            <v>0</v>
          </cell>
          <cell r="C14">
            <v>13320.750632965201</v>
          </cell>
          <cell r="D14">
            <v>0</v>
          </cell>
          <cell r="E14">
            <v>17066.849325214291</v>
          </cell>
          <cell r="F14">
            <v>23664.849538034039</v>
          </cell>
          <cell r="O14">
            <v>0</v>
          </cell>
          <cell r="P14">
            <v>0</v>
          </cell>
        </row>
        <row r="15">
          <cell r="B15">
            <v>0</v>
          </cell>
          <cell r="C15">
            <v>13320.750632965201</v>
          </cell>
          <cell r="D15">
            <v>0</v>
          </cell>
          <cell r="E15">
            <v>17066.849325214291</v>
          </cell>
          <cell r="F15">
            <v>24035.917620515342</v>
          </cell>
          <cell r="O15">
            <v>0</v>
          </cell>
          <cell r="P15">
            <v>0</v>
          </cell>
        </row>
        <row r="16">
          <cell r="B16">
            <v>0</v>
          </cell>
          <cell r="C16">
            <v>13320.750632965201</v>
          </cell>
          <cell r="D16">
            <v>93.244661414282746</v>
          </cell>
          <cell r="E16">
            <v>17008.530030000002</v>
          </cell>
          <cell r="F16">
            <v>22643.028207018</v>
          </cell>
          <cell r="O16">
            <v>0</v>
          </cell>
          <cell r="P16">
            <v>0</v>
          </cell>
        </row>
        <row r="17">
          <cell r="B17">
            <v>0</v>
          </cell>
          <cell r="C17">
            <v>13320.750632965201</v>
          </cell>
          <cell r="D17">
            <v>0</v>
          </cell>
          <cell r="E17">
            <v>14970.261827300001</v>
          </cell>
          <cell r="F17">
            <v>19929.533018086378</v>
          </cell>
          <cell r="O17">
            <v>0</v>
          </cell>
          <cell r="P17">
            <v>0</v>
          </cell>
        </row>
        <row r="18">
          <cell r="B18">
            <v>0</v>
          </cell>
          <cell r="C18">
            <v>13320.750632965201</v>
          </cell>
          <cell r="D18">
            <v>4082.3323427857158</v>
          </cell>
          <cell r="E18">
            <v>10834.835869099999</v>
          </cell>
          <cell r="F18">
            <v>14424.144459851461</v>
          </cell>
          <cell r="O18">
            <v>0</v>
          </cell>
          <cell r="P18">
            <v>0</v>
          </cell>
        </row>
        <row r="19">
          <cell r="B19">
            <v>8550.2299186781438</v>
          </cell>
          <cell r="C19">
            <v>0</v>
          </cell>
          <cell r="D19">
            <v>10614.23012119038</v>
          </cell>
          <cell r="E19">
            <v>4544.4094212</v>
          </cell>
          <cell r="F19">
            <v>6049.8579552127194</v>
          </cell>
          <cell r="O19">
            <v>0</v>
          </cell>
          <cell r="P19">
            <v>169.02993135326409</v>
          </cell>
        </row>
        <row r="20">
          <cell r="B20">
            <v>25140.2664733333</v>
          </cell>
          <cell r="C20">
            <v>0</v>
          </cell>
          <cell r="D20">
            <v>13948.771924947379</v>
          </cell>
          <cell r="E20">
            <v>2591.3985966999999</v>
          </cell>
          <cell r="F20">
            <v>3449.8637693680198</v>
          </cell>
          <cell r="O20">
            <v>0</v>
          </cell>
          <cell r="P20">
            <v>1160.5493731631659</v>
          </cell>
        </row>
        <row r="21">
          <cell r="B21">
            <v>0</v>
          </cell>
          <cell r="C21">
            <v>0</v>
          </cell>
          <cell r="D21">
            <v>13731.95669393258</v>
          </cell>
          <cell r="E21">
            <v>2525.5015109000001</v>
          </cell>
          <cell r="F21">
            <v>3362.1366365765398</v>
          </cell>
          <cell r="O21">
            <v>0</v>
          </cell>
          <cell r="P21">
            <v>987.09850773280471</v>
          </cell>
        </row>
        <row r="22">
          <cell r="B22">
            <v>24542.651428507641</v>
          </cell>
          <cell r="C22">
            <v>0</v>
          </cell>
          <cell r="D22">
            <v>13500.436023007711</v>
          </cell>
          <cell r="E22">
            <v>2550.3588804999999</v>
          </cell>
          <cell r="F22">
            <v>3395.2286274783</v>
          </cell>
          <cell r="O22">
            <v>0</v>
          </cell>
          <cell r="P22">
            <v>866.88196313539129</v>
          </cell>
        </row>
        <row r="23">
          <cell r="B23">
            <v>25140.2664733333</v>
          </cell>
          <cell r="C23">
            <v>0</v>
          </cell>
          <cell r="D23">
            <v>13125.7904890142</v>
          </cell>
          <cell r="E23">
            <v>2636.4538831</v>
          </cell>
          <cell r="F23">
            <v>3509.8447388598602</v>
          </cell>
          <cell r="O23">
            <v>0</v>
          </cell>
          <cell r="P23">
            <v>689.34434750994058</v>
          </cell>
        </row>
        <row r="24">
          <cell r="B24">
            <v>25140.2664733333</v>
          </cell>
          <cell r="C24">
            <v>0</v>
          </cell>
          <cell r="D24">
            <v>12811.42165750859</v>
          </cell>
          <cell r="E24">
            <v>2818.7951533999999</v>
          </cell>
          <cell r="F24">
            <v>3752.5910855120401</v>
          </cell>
          <cell r="O24">
            <v>0</v>
          </cell>
          <cell r="P24">
            <v>621.37281099601057</v>
          </cell>
        </row>
        <row r="25">
          <cell r="B25">
            <v>23352.82241173106</v>
          </cell>
          <cell r="C25">
            <v>0</v>
          </cell>
          <cell r="D25">
            <v>12528.713448501479</v>
          </cell>
          <cell r="E25">
            <v>2984.6045399</v>
          </cell>
          <cell r="F25">
            <v>3973.3289510939398</v>
          </cell>
          <cell r="O25">
            <v>0</v>
          </cell>
          <cell r="P25">
            <v>539.54363524103633</v>
          </cell>
        </row>
        <row r="26">
          <cell r="B26">
            <v>0</v>
          </cell>
          <cell r="C26">
            <v>0</v>
          </cell>
          <cell r="D26">
            <v>12236.092756836249</v>
          </cell>
          <cell r="E26">
            <v>3118.3231384000001</v>
          </cell>
          <cell r="F26">
            <v>4151.3451578030399</v>
          </cell>
          <cell r="O26">
            <v>0</v>
          </cell>
          <cell r="P26">
            <v>428.33090497537029</v>
          </cell>
        </row>
        <row r="27">
          <cell r="B27">
            <v>0</v>
          </cell>
          <cell r="C27">
            <v>0</v>
          </cell>
          <cell r="D27">
            <v>12179.03912124847</v>
          </cell>
          <cell r="E27">
            <v>3009.4673862999998</v>
          </cell>
          <cell r="F27">
            <v>4006.4282331217801</v>
          </cell>
          <cell r="O27">
            <v>0</v>
          </cell>
          <cell r="P27">
            <v>312.19433359392752</v>
          </cell>
        </row>
        <row r="28">
          <cell r="B28">
            <v>0</v>
          </cell>
          <cell r="C28">
            <v>0</v>
          </cell>
          <cell r="D28">
            <v>12253.04667356252</v>
          </cell>
          <cell r="E28">
            <v>2855.8140508000001</v>
          </cell>
          <cell r="F28">
            <v>3801.8734124704802</v>
          </cell>
          <cell r="O28">
            <v>0</v>
          </cell>
          <cell r="P28">
            <v>256.44228536376318</v>
          </cell>
        </row>
        <row r="29">
          <cell r="B29">
            <v>0</v>
          </cell>
          <cell r="C29">
            <v>0</v>
          </cell>
          <cell r="D29">
            <v>12442.41211812552</v>
          </cell>
          <cell r="E29">
            <v>2674.6312214999998</v>
          </cell>
          <cell r="F29">
            <v>3560.6692691828998</v>
          </cell>
          <cell r="O29">
            <v>0</v>
          </cell>
          <cell r="P29">
            <v>262.17011604786558</v>
          </cell>
        </row>
        <row r="30">
          <cell r="B30">
            <v>20356.0095379794</v>
          </cell>
          <cell r="C30">
            <v>0</v>
          </cell>
          <cell r="D30">
            <v>12575.93679714947</v>
          </cell>
          <cell r="E30">
            <v>2540.4430200000002</v>
          </cell>
          <cell r="F30">
            <v>3382.0278918119998</v>
          </cell>
          <cell r="O30">
            <v>0</v>
          </cell>
          <cell r="P30">
            <v>237.25789398462621</v>
          </cell>
        </row>
        <row r="31">
          <cell r="B31">
            <v>0</v>
          </cell>
          <cell r="C31">
            <v>0</v>
          </cell>
          <cell r="D31">
            <v>13045.818630082649</v>
          </cell>
          <cell r="E31">
            <v>2414.7102153000001</v>
          </cell>
          <cell r="F31">
            <v>3214.6429715191798</v>
          </cell>
          <cell r="O31">
            <v>0</v>
          </cell>
          <cell r="P31">
            <v>429.266691067848</v>
          </cell>
        </row>
        <row r="32">
          <cell r="B32">
            <v>25140.2664733333</v>
          </cell>
          <cell r="C32">
            <v>0</v>
          </cell>
          <cell r="D32">
            <v>13525.752815036811</v>
          </cell>
          <cell r="E32">
            <v>2180.7475459000002</v>
          </cell>
          <cell r="F32">
            <v>2903.1743546975399</v>
          </cell>
          <cell r="O32">
            <v>0</v>
          </cell>
          <cell r="P32">
            <v>576.99899561576478</v>
          </cell>
        </row>
        <row r="33">
          <cell r="B33">
            <v>0</v>
          </cell>
          <cell r="C33">
            <v>0</v>
          </cell>
          <cell r="D33">
            <v>13985.30862634086</v>
          </cell>
          <cell r="E33">
            <v>1878.6980976</v>
          </cell>
          <cell r="F33">
            <v>2501.0635217385602</v>
          </cell>
          <cell r="O33">
            <v>0</v>
          </cell>
          <cell r="P33">
            <v>662.8056933886005</v>
          </cell>
        </row>
        <row r="34">
          <cell r="B34">
            <v>0</v>
          </cell>
          <cell r="C34">
            <v>0</v>
          </cell>
          <cell r="D34">
            <v>13941.73959106244</v>
          </cell>
          <cell r="E34">
            <v>1978.3966727</v>
          </cell>
          <cell r="F34">
            <v>2633.78972701362</v>
          </cell>
          <cell r="O34">
            <v>0</v>
          </cell>
          <cell r="P34">
            <v>702.09637126370319</v>
          </cell>
        </row>
        <row r="35">
          <cell r="B35">
            <v>1222.757714932882</v>
          </cell>
          <cell r="C35">
            <v>0</v>
          </cell>
          <cell r="D35">
            <v>9717.6623847775227</v>
          </cell>
          <cell r="E35">
            <v>5263.0262660999997</v>
          </cell>
          <cell r="F35">
            <v>7006.5344851896598</v>
          </cell>
          <cell r="O35">
            <v>0</v>
          </cell>
          <cell r="P35">
            <v>44.483042244264198</v>
          </cell>
        </row>
        <row r="36">
          <cell r="B36">
            <v>0</v>
          </cell>
          <cell r="C36">
            <v>13320.750632965201</v>
          </cell>
          <cell r="D36">
            <v>4471.1443768714307</v>
          </cell>
          <cell r="E36">
            <v>10445.9970708</v>
          </cell>
          <cell r="F36">
            <v>13906.49314828248</v>
          </cell>
          <cell r="O36">
            <v>0</v>
          </cell>
          <cell r="P36">
            <v>0</v>
          </cell>
        </row>
        <row r="37">
          <cell r="B37">
            <v>0</v>
          </cell>
          <cell r="C37">
            <v>13320.750632965201</v>
          </cell>
          <cell r="D37">
            <v>3416.7685165000048</v>
          </cell>
          <cell r="E37">
            <v>13684.9794107</v>
          </cell>
          <cell r="F37">
            <v>18218.468866056421</v>
          </cell>
          <cell r="O37">
            <v>0</v>
          </cell>
          <cell r="P37">
            <v>0</v>
          </cell>
        </row>
        <row r="38">
          <cell r="B38">
            <v>0</v>
          </cell>
          <cell r="C38">
            <v>13320.750632965201</v>
          </cell>
          <cell r="D38">
            <v>0</v>
          </cell>
          <cell r="E38">
            <v>15651.9962547</v>
          </cell>
          <cell r="F38">
            <v>20837.108913362819</v>
          </cell>
          <cell r="O38">
            <v>0</v>
          </cell>
          <cell r="P38">
            <v>0</v>
          </cell>
        </row>
        <row r="39">
          <cell r="B39">
            <v>0</v>
          </cell>
          <cell r="C39">
            <v>13320.750632965201</v>
          </cell>
          <cell r="D39">
            <v>0</v>
          </cell>
          <cell r="E39">
            <v>16221.933187500001</v>
          </cell>
          <cell r="F39">
            <v>21595.851616162501</v>
          </cell>
          <cell r="O39">
            <v>0</v>
          </cell>
          <cell r="P39">
            <v>0</v>
          </cell>
        </row>
        <row r="40">
          <cell r="B40">
            <v>0</v>
          </cell>
          <cell r="C40">
            <v>13320.750632965201</v>
          </cell>
          <cell r="D40">
            <v>0</v>
          </cell>
          <cell r="E40">
            <v>15517.9622349</v>
          </cell>
          <cell r="F40">
            <v>20658.672794210939</v>
          </cell>
          <cell r="O40">
            <v>0</v>
          </cell>
          <cell r="P40">
            <v>0</v>
          </cell>
        </row>
        <row r="41">
          <cell r="B41">
            <v>0</v>
          </cell>
          <cell r="C41">
            <v>13320.750632965201</v>
          </cell>
          <cell r="D41">
            <v>1626.9147686714309</v>
          </cell>
          <cell r="E41">
            <v>13290.226678999999</v>
          </cell>
          <cell r="F41">
            <v>17692.944483707401</v>
          </cell>
          <cell r="O41">
            <v>0</v>
          </cell>
          <cell r="P41">
            <v>0</v>
          </cell>
        </row>
        <row r="42">
          <cell r="B42">
            <v>0</v>
          </cell>
          <cell r="C42">
            <v>13320.750632965201</v>
          </cell>
          <cell r="D42">
            <v>5962.3857694714316</v>
          </cell>
          <cell r="E42">
            <v>8954.7556781999992</v>
          </cell>
          <cell r="F42">
            <v>11921.24099206692</v>
          </cell>
          <cell r="O42">
            <v>0</v>
          </cell>
          <cell r="P42">
            <v>0</v>
          </cell>
        </row>
        <row r="43">
          <cell r="B43">
            <v>25140.2664733333</v>
          </cell>
          <cell r="C43">
            <v>0</v>
          </cell>
          <cell r="D43">
            <v>9866.9523004786315</v>
          </cell>
          <cell r="E43">
            <v>3018.6473344000001</v>
          </cell>
          <cell r="F43">
            <v>4018.6492671206402</v>
          </cell>
          <cell r="O43">
            <v>0</v>
          </cell>
          <cell r="P43">
            <v>0</v>
          </cell>
        </row>
        <row r="44">
          <cell r="B44">
            <v>25140.2664733333</v>
          </cell>
          <cell r="C44">
            <v>0</v>
          </cell>
          <cell r="D44">
            <v>11011.991275192921</v>
          </cell>
          <cell r="E44">
            <v>1884.7302549000001</v>
          </cell>
          <cell r="F44">
            <v>2509.0939810229402</v>
          </cell>
          <cell r="O44">
            <v>0</v>
          </cell>
          <cell r="P44">
            <v>0</v>
          </cell>
        </row>
        <row r="45">
          <cell r="B45">
            <v>0</v>
          </cell>
          <cell r="C45">
            <v>0</v>
          </cell>
          <cell r="D45">
            <v>10101.736185937531</v>
          </cell>
          <cell r="E45">
            <v>2253.9088244999998</v>
          </cell>
          <cell r="F45">
            <v>3000.5721246447001</v>
          </cell>
          <cell r="O45">
            <v>0</v>
          </cell>
          <cell r="P45">
            <v>0</v>
          </cell>
        </row>
        <row r="46">
          <cell r="B46">
            <v>25140.2664733333</v>
          </cell>
          <cell r="C46">
            <v>0</v>
          </cell>
          <cell r="D46">
            <v>9966.8609421647288</v>
          </cell>
          <cell r="E46">
            <v>2129.0688196999999</v>
          </cell>
          <cell r="F46">
            <v>2834.3757664018199</v>
          </cell>
          <cell r="O46">
            <v>0</v>
          </cell>
          <cell r="P46">
            <v>0</v>
          </cell>
        </row>
        <row r="47">
          <cell r="B47">
            <v>25140.2664733333</v>
          </cell>
          <cell r="C47">
            <v>0</v>
          </cell>
          <cell r="D47">
            <v>9976.3702091951436</v>
          </cell>
          <cell r="E47">
            <v>1858.6993342000001</v>
          </cell>
          <cell r="F47">
            <v>2474.4396710605201</v>
          </cell>
          <cell r="O47">
            <v>0</v>
          </cell>
          <cell r="P47">
            <v>0</v>
          </cell>
        </row>
        <row r="48">
          <cell r="B48">
            <v>25140.2664733333</v>
          </cell>
          <cell r="C48">
            <v>0</v>
          </cell>
          <cell r="D48">
            <v>9698.5611132966951</v>
          </cell>
          <cell r="E48">
            <v>1750.5356148999999</v>
          </cell>
          <cell r="F48">
            <v>2330.4440322389401</v>
          </cell>
          <cell r="O48">
            <v>0</v>
          </cell>
          <cell r="P48">
            <v>0</v>
          </cell>
        </row>
        <row r="49">
          <cell r="B49">
            <v>25140.2664733333</v>
          </cell>
          <cell r="C49">
            <v>0</v>
          </cell>
          <cell r="D49">
            <v>9658.1691487402659</v>
          </cell>
          <cell r="E49">
            <v>1685.8267991</v>
          </cell>
          <cell r="F49">
            <v>2244.2988134094599</v>
          </cell>
          <cell r="O49">
            <v>0</v>
          </cell>
          <cell r="P49">
            <v>0</v>
          </cell>
        </row>
        <row r="50">
          <cell r="B50">
            <v>17776.2495303332</v>
          </cell>
          <cell r="C50">
            <v>0</v>
          </cell>
          <cell r="D50">
            <v>9428.3705044506914</v>
          </cell>
          <cell r="E50">
            <v>1756.3212347000001</v>
          </cell>
          <cell r="F50">
            <v>2338.14628235082</v>
          </cell>
          <cell r="O50">
            <v>0</v>
          </cell>
          <cell r="P50">
            <v>0</v>
          </cell>
        </row>
        <row r="51">
          <cell r="B51">
            <v>23246.413818464949</v>
          </cell>
          <cell r="C51">
            <v>0</v>
          </cell>
          <cell r="D51">
            <v>9223.5286022855253</v>
          </cell>
          <cell r="E51">
            <v>1817.3932434000001</v>
          </cell>
          <cell r="F51">
            <v>2419.4499113660399</v>
          </cell>
          <cell r="O51">
            <v>0</v>
          </cell>
          <cell r="P51">
            <v>0</v>
          </cell>
        </row>
        <row r="52">
          <cell r="B52">
            <v>0</v>
          </cell>
          <cell r="C52">
            <v>0</v>
          </cell>
          <cell r="D52">
            <v>9080.2166978166788</v>
          </cell>
          <cell r="E52">
            <v>1850.1878165000001</v>
          </cell>
          <cell r="F52">
            <v>2463.1085016399002</v>
          </cell>
          <cell r="O52">
            <v>0</v>
          </cell>
          <cell r="P52">
            <v>0</v>
          </cell>
        </row>
        <row r="53">
          <cell r="B53">
            <v>0</v>
          </cell>
          <cell r="C53">
            <v>0</v>
          </cell>
          <cell r="D53">
            <v>9029.5294862179271</v>
          </cell>
          <cell r="E53">
            <v>1779.3582039999999</v>
          </cell>
          <cell r="F53">
            <v>2368.8148201223999</v>
          </cell>
          <cell r="O53">
            <v>0</v>
          </cell>
          <cell r="P53">
            <v>0</v>
          </cell>
        </row>
        <row r="54">
          <cell r="B54">
            <v>0</v>
          </cell>
          <cell r="C54">
            <v>0</v>
          </cell>
          <cell r="D54">
            <v>9094.8461724924655</v>
          </cell>
          <cell r="E54">
            <v>1707.3005658</v>
          </cell>
          <cell r="F54">
            <v>2272.8862988794799</v>
          </cell>
          <cell r="O54">
            <v>0</v>
          </cell>
          <cell r="P54">
            <v>0</v>
          </cell>
        </row>
        <row r="55">
          <cell r="B55">
            <v>0</v>
          </cell>
          <cell r="C55">
            <v>0</v>
          </cell>
          <cell r="D55">
            <v>9085.9707061770769</v>
          </cell>
          <cell r="E55">
            <v>1651.7682262000001</v>
          </cell>
          <cell r="F55">
            <v>2198.9574919957199</v>
          </cell>
          <cell r="O55">
            <v>0</v>
          </cell>
          <cell r="P55">
            <v>0</v>
          </cell>
        </row>
        <row r="56">
          <cell r="B56">
            <v>25140.2664733333</v>
          </cell>
          <cell r="C56">
            <v>0</v>
          </cell>
          <cell r="D56">
            <v>9217.9041665350087</v>
          </cell>
          <cell r="E56">
            <v>1526.1138897000001</v>
          </cell>
          <cell r="F56">
            <v>2031.67703444382</v>
          </cell>
          <cell r="O56">
            <v>0</v>
          </cell>
          <cell r="P56">
            <v>0</v>
          </cell>
        </row>
        <row r="57">
          <cell r="B57">
            <v>0</v>
          </cell>
          <cell r="C57">
            <v>0</v>
          </cell>
          <cell r="D57">
            <v>9533.0715310307733</v>
          </cell>
          <cell r="E57">
            <v>1312.4444269000001</v>
          </cell>
          <cell r="F57">
            <v>1747.22425312614</v>
          </cell>
          <cell r="O57">
            <v>0</v>
          </cell>
          <cell r="P57">
            <v>0</v>
          </cell>
        </row>
        <row r="58">
          <cell r="B58">
            <v>0</v>
          </cell>
          <cell r="C58">
            <v>0</v>
          </cell>
          <cell r="D58">
            <v>9702.0812315233761</v>
          </cell>
          <cell r="E58">
            <v>1423.0500492000001</v>
          </cell>
          <cell r="F58">
            <v>1894.4707359895201</v>
          </cell>
          <cell r="O58">
            <v>0</v>
          </cell>
          <cell r="P58">
            <v>0</v>
          </cell>
        </row>
        <row r="59">
          <cell r="B59">
            <v>0</v>
          </cell>
          <cell r="C59">
            <v>766.76110824608804</v>
          </cell>
          <cell r="D59">
            <v>6012.2190556836831</v>
          </cell>
          <cell r="E59">
            <v>4961.1342594999996</v>
          </cell>
          <cell r="F59">
            <v>6604.6332504056991</v>
          </cell>
          <cell r="O59">
            <v>0</v>
          </cell>
          <cell r="P59">
            <v>0</v>
          </cell>
        </row>
        <row r="60">
          <cell r="B60">
            <v>0</v>
          </cell>
          <cell r="C60">
            <v>13320.750632965201</v>
          </cell>
          <cell r="D60">
            <v>4594.2550124000018</v>
          </cell>
          <cell r="E60">
            <v>9825.5444657000007</v>
          </cell>
          <cell r="F60">
            <v>13080.500201589421</v>
          </cell>
          <cell r="O60">
            <v>0</v>
          </cell>
          <cell r="P60">
            <v>0</v>
          </cell>
        </row>
        <row r="61">
          <cell r="B61">
            <v>0</v>
          </cell>
          <cell r="C61">
            <v>13320.750632965201</v>
          </cell>
          <cell r="D61">
            <v>2176.191785971429</v>
          </cell>
          <cell r="E61">
            <v>12705.9975313</v>
          </cell>
          <cell r="F61">
            <v>16915.174914708779</v>
          </cell>
          <cell r="O61">
            <v>0</v>
          </cell>
          <cell r="P61">
            <v>0</v>
          </cell>
        </row>
        <row r="62">
          <cell r="B62">
            <v>0</v>
          </cell>
          <cell r="C62">
            <v>13320.750632965201</v>
          </cell>
          <cell r="D62">
            <v>633.52179877142987</v>
          </cell>
          <cell r="E62">
            <v>14213.742152299999</v>
          </cell>
          <cell r="F62">
            <v>18922.397403781379</v>
          </cell>
          <cell r="O62">
            <v>0</v>
          </cell>
          <cell r="P62">
            <v>0</v>
          </cell>
        </row>
        <row r="63">
          <cell r="B63">
            <v>0</v>
          </cell>
          <cell r="C63">
            <v>13320.750632965201</v>
          </cell>
          <cell r="D63">
            <v>413.70011287142921</v>
          </cell>
          <cell r="E63">
            <v>14433.5638382</v>
          </cell>
          <cell r="F63">
            <v>19215.040484962919</v>
          </cell>
          <cell r="O63">
            <v>0</v>
          </cell>
          <cell r="P63">
            <v>0</v>
          </cell>
        </row>
        <row r="64">
          <cell r="B64">
            <v>0</v>
          </cell>
          <cell r="C64">
            <v>13320.750632965201</v>
          </cell>
          <cell r="D64">
            <v>1374.8007048714301</v>
          </cell>
          <cell r="E64">
            <v>13507.3886124</v>
          </cell>
          <cell r="F64">
            <v>17982.04670328744</v>
          </cell>
          <cell r="O64">
            <v>0</v>
          </cell>
          <cell r="P64">
            <v>0</v>
          </cell>
        </row>
        <row r="65">
          <cell r="B65">
            <v>0</v>
          </cell>
          <cell r="C65">
            <v>13320.750632965201</v>
          </cell>
          <cell r="D65">
            <v>2751.7794122000018</v>
          </cell>
          <cell r="E65">
            <v>11396.6934624</v>
          </cell>
          <cell r="F65">
            <v>15172.131341197441</v>
          </cell>
          <cell r="O65">
            <v>0</v>
          </cell>
          <cell r="P65">
            <v>0</v>
          </cell>
        </row>
        <row r="66">
          <cell r="B66">
            <v>0</v>
          </cell>
          <cell r="C66">
            <v>13320.750632965201</v>
          </cell>
          <cell r="D66">
            <v>7023.2108461530388</v>
          </cell>
          <cell r="E66">
            <v>7351.5123890000004</v>
          </cell>
          <cell r="F66">
            <v>9786.8835281333995</v>
          </cell>
          <cell r="O66">
            <v>0</v>
          </cell>
          <cell r="P66">
            <v>0</v>
          </cell>
        </row>
        <row r="67">
          <cell r="B67">
            <v>25140.2664733333</v>
          </cell>
          <cell r="C67">
            <v>0</v>
          </cell>
          <cell r="D67">
            <v>7124.5824602223383</v>
          </cell>
          <cell r="E67">
            <v>2022.8870174000001</v>
          </cell>
          <cell r="F67">
            <v>2693.01860383044</v>
          </cell>
          <cell r="O67">
            <v>0</v>
          </cell>
          <cell r="P67">
            <v>0</v>
          </cell>
        </row>
        <row r="68">
          <cell r="B68">
            <v>25140.2664733333</v>
          </cell>
          <cell r="C68">
            <v>0</v>
          </cell>
          <cell r="D68">
            <v>9841.389870055591</v>
          </cell>
          <cell r="E68">
            <v>527.91043089999994</v>
          </cell>
          <cell r="F68">
            <v>702.79387792854004</v>
          </cell>
          <cell r="O68">
            <v>0</v>
          </cell>
          <cell r="P68">
            <v>0</v>
          </cell>
        </row>
        <row r="69">
          <cell r="B69">
            <v>25140.2664733333</v>
          </cell>
          <cell r="C69">
            <v>0</v>
          </cell>
          <cell r="D69">
            <v>9393.8006295616924</v>
          </cell>
          <cell r="E69">
            <v>538.45446079999999</v>
          </cell>
          <cell r="F69">
            <v>716.8308797164799</v>
          </cell>
          <cell r="O69">
            <v>0</v>
          </cell>
          <cell r="P69">
            <v>0</v>
          </cell>
        </row>
        <row r="70">
          <cell r="B70">
            <v>25140.2664733333</v>
          </cell>
          <cell r="C70">
            <v>0</v>
          </cell>
          <cell r="D70">
            <v>9397.07954873983</v>
          </cell>
          <cell r="E70">
            <v>354.7354656</v>
          </cell>
          <cell r="F70">
            <v>472.25040255935988</v>
          </cell>
          <cell r="O70">
            <v>0</v>
          </cell>
          <cell r="P70">
            <v>0</v>
          </cell>
        </row>
        <row r="71">
          <cell r="B71">
            <v>25140.2664733333</v>
          </cell>
          <cell r="C71">
            <v>0</v>
          </cell>
          <cell r="D71">
            <v>9547.3054119284534</v>
          </cell>
          <cell r="E71">
            <v>285.03764360000002</v>
          </cell>
          <cell r="F71">
            <v>379.46344526616002</v>
          </cell>
          <cell r="O71">
            <v>0</v>
          </cell>
          <cell r="P71">
            <v>0</v>
          </cell>
        </row>
        <row r="72">
          <cell r="B72">
            <v>25140.2664733333</v>
          </cell>
          <cell r="C72">
            <v>0</v>
          </cell>
          <cell r="D72">
            <v>9551.1925078562836</v>
          </cell>
          <cell r="E72">
            <v>305.16643210000001</v>
          </cell>
          <cell r="F72">
            <v>406.26039508925999</v>
          </cell>
          <cell r="O72">
            <v>0</v>
          </cell>
          <cell r="P72">
            <v>0</v>
          </cell>
        </row>
        <row r="73">
          <cell r="B73">
            <v>25140.2664733333</v>
          </cell>
          <cell r="C73">
            <v>0</v>
          </cell>
          <cell r="D73">
            <v>9372.6060741813053</v>
          </cell>
          <cell r="E73">
            <v>316.84606669999999</v>
          </cell>
          <cell r="F73">
            <v>421.80919885001998</v>
          </cell>
          <cell r="O73">
            <v>0</v>
          </cell>
          <cell r="P73">
            <v>0</v>
          </cell>
        </row>
        <row r="74">
          <cell r="B74">
            <v>25140.2664733333</v>
          </cell>
          <cell r="C74">
            <v>0</v>
          </cell>
          <cell r="D74">
            <v>9263.4798626008651</v>
          </cell>
          <cell r="E74">
            <v>371.59995090000001</v>
          </cell>
          <cell r="F74">
            <v>494.70166764053999</v>
          </cell>
          <cell r="O74">
            <v>0</v>
          </cell>
          <cell r="P74">
            <v>0</v>
          </cell>
        </row>
        <row r="75">
          <cell r="B75">
            <v>25140.2664733333</v>
          </cell>
          <cell r="C75">
            <v>0</v>
          </cell>
          <cell r="D75">
            <v>9301.450395289392</v>
          </cell>
          <cell r="E75">
            <v>435.72390639999998</v>
          </cell>
          <cell r="F75">
            <v>580.06827666384004</v>
          </cell>
          <cell r="O75">
            <v>0</v>
          </cell>
          <cell r="P75">
            <v>0</v>
          </cell>
        </row>
        <row r="76">
          <cell r="B76">
            <v>25140.2664733333</v>
          </cell>
          <cell r="C76">
            <v>0</v>
          </cell>
          <cell r="D76">
            <v>9189.5181598272793</v>
          </cell>
          <cell r="E76">
            <v>532.21281590000001</v>
          </cell>
          <cell r="F76">
            <v>708.52153485954</v>
          </cell>
          <cell r="O76">
            <v>0</v>
          </cell>
          <cell r="P76">
            <v>0</v>
          </cell>
        </row>
        <row r="77">
          <cell r="B77">
            <v>25140.2664733333</v>
          </cell>
          <cell r="C77">
            <v>0</v>
          </cell>
          <cell r="D77">
            <v>8986.3779883810021</v>
          </cell>
          <cell r="E77">
            <v>661.48232940000003</v>
          </cell>
          <cell r="F77">
            <v>880.61478661763988</v>
          </cell>
          <cell r="O77">
            <v>0</v>
          </cell>
          <cell r="P77">
            <v>0</v>
          </cell>
        </row>
        <row r="78">
          <cell r="B78">
            <v>25140.2664733333</v>
          </cell>
          <cell r="C78">
            <v>0</v>
          </cell>
          <cell r="D78">
            <v>8904.648466632394</v>
          </cell>
          <cell r="E78">
            <v>831.0112292</v>
          </cell>
          <cell r="F78">
            <v>1106.30434669752</v>
          </cell>
          <cell r="O78">
            <v>0</v>
          </cell>
          <cell r="P78">
            <v>0</v>
          </cell>
        </row>
        <row r="79">
          <cell r="B79">
            <v>25140.2664733333</v>
          </cell>
          <cell r="C79">
            <v>0</v>
          </cell>
          <cell r="D79">
            <v>9018.6342980148092</v>
          </cell>
          <cell r="E79">
            <v>967.79233690000001</v>
          </cell>
          <cell r="F79">
            <v>1288.39759487214</v>
          </cell>
          <cell r="O79">
            <v>0</v>
          </cell>
          <cell r="P79">
            <v>0</v>
          </cell>
        </row>
        <row r="80">
          <cell r="B80">
            <v>25140.2664733333</v>
          </cell>
          <cell r="C80">
            <v>0</v>
          </cell>
          <cell r="D80">
            <v>9142.5426322119238</v>
          </cell>
          <cell r="E80">
            <v>1076.7935339000001</v>
          </cell>
          <cell r="F80">
            <v>1433.50814669034</v>
          </cell>
          <cell r="O80">
            <v>0</v>
          </cell>
          <cell r="P80">
            <v>0</v>
          </cell>
        </row>
        <row r="81">
          <cell r="B81">
            <v>25140.2664733333</v>
          </cell>
          <cell r="C81">
            <v>0</v>
          </cell>
          <cell r="D81">
            <v>9386.2169345227194</v>
          </cell>
          <cell r="E81">
            <v>1140.5081800999999</v>
          </cell>
          <cell r="F81">
            <v>1518.3298525380601</v>
          </cell>
          <cell r="O81">
            <v>0</v>
          </cell>
          <cell r="P81">
            <v>0</v>
          </cell>
        </row>
        <row r="82">
          <cell r="B82">
            <v>25140.2664733333</v>
          </cell>
          <cell r="C82">
            <v>0</v>
          </cell>
          <cell r="D82">
            <v>9407.7828829474129</v>
          </cell>
          <cell r="E82">
            <v>1395.515535</v>
          </cell>
          <cell r="F82">
            <v>1857.8147298209999</v>
          </cell>
          <cell r="O82">
            <v>0</v>
          </cell>
          <cell r="P82">
            <v>36.468832563188023</v>
          </cell>
        </row>
        <row r="83">
          <cell r="B83">
            <v>15065.552038168151</v>
          </cell>
          <cell r="C83">
            <v>0</v>
          </cell>
          <cell r="D83">
            <v>9783.2936906362775</v>
          </cell>
          <cell r="E83">
            <v>3909.4766785000002</v>
          </cell>
          <cell r="F83">
            <v>5204.5879655570998</v>
          </cell>
          <cell r="O83">
            <v>0</v>
          </cell>
          <cell r="P83">
            <v>4.9542352153926004</v>
          </cell>
        </row>
        <row r="84">
          <cell r="B84">
            <v>0</v>
          </cell>
          <cell r="C84">
            <v>13320.750632965201</v>
          </cell>
          <cell r="D84">
            <v>6431.9941611172453</v>
          </cell>
          <cell r="E84">
            <v>7564.3025319999997</v>
          </cell>
          <cell r="F84">
            <v>10070.165693119199</v>
          </cell>
          <cell r="O84">
            <v>0</v>
          </cell>
          <cell r="P84">
            <v>0</v>
          </cell>
        </row>
        <row r="85">
          <cell r="B85">
            <v>0</v>
          </cell>
          <cell r="C85">
            <v>13320.750632965201</v>
          </cell>
          <cell r="D85">
            <v>6698.62727367143</v>
          </cell>
          <cell r="E85">
            <v>10403.0671251</v>
          </cell>
          <cell r="F85">
            <v>13849.34159140506</v>
          </cell>
          <cell r="O85">
            <v>0</v>
          </cell>
          <cell r="P85">
            <v>0</v>
          </cell>
        </row>
        <row r="86">
          <cell r="B86">
            <v>0</v>
          </cell>
          <cell r="C86">
            <v>13320.750632965201</v>
          </cell>
          <cell r="D86">
            <v>2479.6557241571459</v>
          </cell>
          <cell r="E86">
            <v>12367.5814627</v>
          </cell>
          <cell r="F86">
            <v>16464.65011488762</v>
          </cell>
          <cell r="O86">
            <v>0</v>
          </cell>
          <cell r="P86">
            <v>0</v>
          </cell>
        </row>
        <row r="87">
          <cell r="B87">
            <v>0</v>
          </cell>
          <cell r="C87">
            <v>13320.750632965201</v>
          </cell>
          <cell r="D87">
            <v>1764.0624966571499</v>
          </cell>
          <cell r="E87">
            <v>13083.1746902</v>
          </cell>
          <cell r="F87">
            <v>17417.301379074121</v>
          </cell>
          <cell r="O87">
            <v>0</v>
          </cell>
          <cell r="P87">
            <v>0</v>
          </cell>
        </row>
        <row r="88">
          <cell r="B88">
            <v>0</v>
          </cell>
          <cell r="C88">
            <v>13320.750632965201</v>
          </cell>
          <cell r="D88">
            <v>2223.1168131571449</v>
          </cell>
          <cell r="E88">
            <v>12659.045739900001</v>
          </cell>
          <cell r="F88">
            <v>16852.669175813939</v>
          </cell>
          <cell r="O88">
            <v>0</v>
          </cell>
          <cell r="P88">
            <v>0</v>
          </cell>
        </row>
        <row r="89">
          <cell r="B89">
            <v>0</v>
          </cell>
          <cell r="C89">
            <v>13320.750632965201</v>
          </cell>
          <cell r="D89">
            <v>3395.2634155428632</v>
          </cell>
          <cell r="E89">
            <v>11521.8245037</v>
          </cell>
          <cell r="F89">
            <v>15338.71514901222</v>
          </cell>
          <cell r="O89">
            <v>0</v>
          </cell>
          <cell r="P89">
            <v>0</v>
          </cell>
        </row>
        <row r="90">
          <cell r="B90">
            <v>0</v>
          </cell>
          <cell r="C90">
            <v>13320.750632965201</v>
          </cell>
          <cell r="D90">
            <v>5808.8787109428586</v>
          </cell>
          <cell r="E90">
            <v>9108.2092083000007</v>
          </cell>
          <cell r="F90">
            <v>12125.52981681498</v>
          </cell>
          <cell r="O90">
            <v>0</v>
          </cell>
          <cell r="P90">
            <v>0</v>
          </cell>
        </row>
        <row r="91">
          <cell r="B91">
            <v>10237.920013637669</v>
          </cell>
          <cell r="C91">
            <v>0</v>
          </cell>
          <cell r="D91">
            <v>9602.2758026899955</v>
          </cell>
          <cell r="E91">
            <v>5020.2176519000004</v>
          </cell>
          <cell r="F91">
            <v>6683.289484561139</v>
          </cell>
          <cell r="O91">
            <v>0</v>
          </cell>
          <cell r="P91">
            <v>0</v>
          </cell>
        </row>
        <row r="92">
          <cell r="B92">
            <v>25140.2664733333</v>
          </cell>
          <cell r="C92">
            <v>0</v>
          </cell>
          <cell r="D92">
            <v>11171.76038566251</v>
          </cell>
          <cell r="E92">
            <v>3630.8600938999998</v>
          </cell>
          <cell r="F92">
            <v>4833.6727146263402</v>
          </cell>
          <cell r="O92">
            <v>0</v>
          </cell>
          <cell r="P92">
            <v>0</v>
          </cell>
        </row>
        <row r="93">
          <cell r="B93">
            <v>2895.618847894948</v>
          </cell>
          <cell r="C93">
            <v>0</v>
          </cell>
          <cell r="D93">
            <v>10135.87156793909</v>
          </cell>
          <cell r="E93">
            <v>4152.2256021000003</v>
          </cell>
          <cell r="F93">
            <v>5527.7535015912599</v>
          </cell>
          <cell r="O93">
            <v>0</v>
          </cell>
          <cell r="P93">
            <v>0</v>
          </cell>
        </row>
        <row r="94">
          <cell r="B94">
            <v>16606.57885950377</v>
          </cell>
          <cell r="C94">
            <v>0</v>
          </cell>
          <cell r="D94">
            <v>9449.6186066628306</v>
          </cell>
          <cell r="E94">
            <v>4482.7534813000002</v>
          </cell>
          <cell r="F94">
            <v>5967.7769532787806</v>
          </cell>
          <cell r="O94">
            <v>0</v>
          </cell>
          <cell r="P94">
            <v>0</v>
          </cell>
        </row>
        <row r="95">
          <cell r="B95">
            <v>11442.62167486167</v>
          </cell>
          <cell r="C95">
            <v>0</v>
          </cell>
          <cell r="D95">
            <v>9134.2525277773584</v>
          </cell>
          <cell r="E95">
            <v>4697.4466167</v>
          </cell>
          <cell r="F95">
            <v>6253.5925241800196</v>
          </cell>
          <cell r="O95">
            <v>0</v>
          </cell>
          <cell r="P95">
            <v>0</v>
          </cell>
        </row>
        <row r="96">
          <cell r="B96">
            <v>3610.9349538360452</v>
          </cell>
          <cell r="C96">
            <v>0</v>
          </cell>
          <cell r="D96">
            <v>8664.2620784177325</v>
          </cell>
          <cell r="E96">
            <v>5207.4100792999998</v>
          </cell>
          <cell r="F96">
            <v>6932.4940546375792</v>
          </cell>
          <cell r="O96">
            <v>0</v>
          </cell>
          <cell r="P96">
            <v>0</v>
          </cell>
        </row>
        <row r="97">
          <cell r="B97">
            <v>0</v>
          </cell>
          <cell r="C97">
            <v>3344.3370124642502</v>
          </cell>
          <cell r="D97">
            <v>8664.4722708389345</v>
          </cell>
          <cell r="E97">
            <v>5769.9218731000001</v>
          </cell>
          <cell r="F97">
            <v>7681.3518566538596</v>
          </cell>
          <cell r="O97">
            <v>0</v>
          </cell>
          <cell r="P97">
            <v>0</v>
          </cell>
        </row>
        <row r="98">
          <cell r="B98">
            <v>0</v>
          </cell>
          <cell r="C98">
            <v>5528.7405300690261</v>
          </cell>
          <cell r="D98">
            <v>9348.7531044686602</v>
          </cell>
          <cell r="E98">
            <v>5982.424207</v>
          </cell>
          <cell r="F98">
            <v>7964.2508686241999</v>
          </cell>
          <cell r="O98">
            <v>0</v>
          </cell>
          <cell r="P98">
            <v>412.12010119806251</v>
          </cell>
        </row>
        <row r="99">
          <cell r="B99">
            <v>0</v>
          </cell>
          <cell r="C99">
            <v>2268.185165016288</v>
          </cell>
          <cell r="D99">
            <v>10207.713004955511</v>
          </cell>
          <cell r="E99">
            <v>5582.8849965999998</v>
          </cell>
          <cell r="F99">
            <v>7432.3543675779592</v>
          </cell>
          <cell r="O99">
            <v>0</v>
          </cell>
          <cell r="P99">
            <v>733.71458425885317</v>
          </cell>
        </row>
        <row r="100">
          <cell r="B100">
            <v>0</v>
          </cell>
          <cell r="C100">
            <v>2224.0893737137048</v>
          </cell>
          <cell r="D100">
            <v>10446.289185705429</v>
          </cell>
          <cell r="E100">
            <v>5455.6412145000004</v>
          </cell>
          <cell r="F100">
            <v>7262.9579210786997</v>
          </cell>
          <cell r="O100">
            <v>0</v>
          </cell>
          <cell r="P100">
            <v>811.64726331380393</v>
          </cell>
        </row>
        <row r="101">
          <cell r="B101">
            <v>0</v>
          </cell>
          <cell r="C101">
            <v>5094.9215352267202</v>
          </cell>
          <cell r="D101">
            <v>10189.034350030541</v>
          </cell>
          <cell r="E101">
            <v>5825.4379127000002</v>
          </cell>
          <cell r="F101">
            <v>7755.2589637576202</v>
          </cell>
          <cell r="O101">
            <v>0</v>
          </cell>
          <cell r="P101">
            <v>890.42656708137497</v>
          </cell>
        </row>
        <row r="102">
          <cell r="B102">
            <v>0</v>
          </cell>
          <cell r="C102">
            <v>11290.358127784601</v>
          </cell>
          <cell r="D102">
            <v>9374.1833141663756</v>
          </cell>
          <cell r="E102">
            <v>6762.1723111000001</v>
          </cell>
          <cell r="F102">
            <v>9002.3099063166592</v>
          </cell>
          <cell r="O102">
            <v>176.15218191426169</v>
          </cell>
          <cell r="P102">
            <v>951.29716451645982</v>
          </cell>
        </row>
        <row r="103">
          <cell r="B103">
            <v>0</v>
          </cell>
          <cell r="C103">
            <v>13320.750632965201</v>
          </cell>
          <cell r="D103">
            <v>8723.6342555504743</v>
          </cell>
          <cell r="E103">
            <v>7673.4332324999996</v>
          </cell>
          <cell r="F103">
            <v>10215.448649689501</v>
          </cell>
          <cell r="O103">
            <v>528.98647520719101</v>
          </cell>
          <cell r="P103">
            <v>1084.899945785329</v>
          </cell>
        </row>
        <row r="104">
          <cell r="B104">
            <v>0</v>
          </cell>
          <cell r="C104">
            <v>13320.750632965201</v>
          </cell>
          <cell r="D104">
            <v>8463.0167031328529</v>
          </cell>
          <cell r="E104">
            <v>8110.3822632000001</v>
          </cell>
          <cell r="F104">
            <v>10797.14790351792</v>
          </cell>
          <cell r="O104">
            <v>892.68473554286561</v>
          </cell>
          <cell r="P104">
            <v>1183.884224252997</v>
          </cell>
        </row>
        <row r="105">
          <cell r="B105">
            <v>0</v>
          </cell>
          <cell r="C105">
            <v>13320.750632965201</v>
          </cell>
          <cell r="D105">
            <v>8377.9584557517337</v>
          </cell>
          <cell r="E105">
            <v>8371.5191352999991</v>
          </cell>
          <cell r="F105">
            <v>11144.79285287118</v>
          </cell>
          <cell r="O105">
            <v>1455.227486494276</v>
          </cell>
          <cell r="P105">
            <v>1282.6915052162101</v>
          </cell>
        </row>
        <row r="106">
          <cell r="B106">
            <v>0</v>
          </cell>
          <cell r="C106">
            <v>13320.750632965201</v>
          </cell>
          <cell r="D106">
            <v>8013.1828942806878</v>
          </cell>
          <cell r="E106">
            <v>8935.2850347999993</v>
          </cell>
          <cell r="F106">
            <v>11895.320214260881</v>
          </cell>
          <cell r="O106">
            <v>2191.2643953800621</v>
          </cell>
          <cell r="P106">
            <v>1421.9847418364791</v>
          </cell>
        </row>
        <row r="107">
          <cell r="B107">
            <v>0</v>
          </cell>
          <cell r="C107">
            <v>13320.750632965201</v>
          </cell>
          <cell r="D107">
            <v>4809.5402986148083</v>
          </cell>
          <cell r="E107">
            <v>11579.7822344</v>
          </cell>
          <cell r="F107">
            <v>15415.872818060639</v>
          </cell>
          <cell r="O107">
            <v>0</v>
          </cell>
          <cell r="P107">
            <v>1030.582964590365</v>
          </cell>
        </row>
        <row r="108">
          <cell r="B108">
            <v>0</v>
          </cell>
          <cell r="C108">
            <v>13320.750632965201</v>
          </cell>
          <cell r="D108">
            <v>0</v>
          </cell>
          <cell r="E108">
            <v>16275.8405475</v>
          </cell>
          <cell r="F108">
            <v>21667.617128578499</v>
          </cell>
          <cell r="O108">
            <v>0</v>
          </cell>
          <cell r="P108">
            <v>0</v>
          </cell>
        </row>
        <row r="109">
          <cell r="B109">
            <v>0</v>
          </cell>
          <cell r="C109">
            <v>13320.750632965201</v>
          </cell>
          <cell r="D109">
            <v>0</v>
          </cell>
          <cell r="E109">
            <v>17101.66763454286</v>
          </cell>
          <cell r="F109">
            <v>26669.12453483772</v>
          </cell>
          <cell r="O109">
            <v>0</v>
          </cell>
          <cell r="P109">
            <v>0</v>
          </cell>
        </row>
        <row r="110">
          <cell r="B110">
            <v>0</v>
          </cell>
          <cell r="C110">
            <v>13320.750632965201</v>
          </cell>
          <cell r="D110">
            <v>0</v>
          </cell>
          <cell r="E110">
            <v>14847.21042264286</v>
          </cell>
          <cell r="F110">
            <v>30352.170386023801</v>
          </cell>
          <cell r="O110">
            <v>0</v>
          </cell>
          <cell r="P110">
            <v>0</v>
          </cell>
        </row>
        <row r="111">
          <cell r="B111">
            <v>0</v>
          </cell>
          <cell r="C111">
            <v>13320.750632965201</v>
          </cell>
          <cell r="D111">
            <v>0</v>
          </cell>
          <cell r="E111">
            <v>17066.742268357149</v>
          </cell>
          <cell r="F111">
            <v>32184.014103048059</v>
          </cell>
          <cell r="O111">
            <v>0</v>
          </cell>
          <cell r="P111">
            <v>0</v>
          </cell>
        </row>
        <row r="112">
          <cell r="B112">
            <v>0</v>
          </cell>
          <cell r="C112">
            <v>13320.750632965201</v>
          </cell>
          <cell r="D112">
            <v>0</v>
          </cell>
          <cell r="E112">
            <v>17101.66763454286</v>
          </cell>
          <cell r="F112">
            <v>32080.367729551439</v>
          </cell>
          <cell r="O112">
            <v>0</v>
          </cell>
          <cell r="P112">
            <v>0</v>
          </cell>
        </row>
        <row r="113">
          <cell r="B113">
            <v>0</v>
          </cell>
          <cell r="C113">
            <v>13320.750632965201</v>
          </cell>
          <cell r="D113">
            <v>0</v>
          </cell>
          <cell r="E113">
            <v>17136.593000742861</v>
          </cell>
          <cell r="F113">
            <v>29154.907114899841</v>
          </cell>
          <cell r="O113">
            <v>0</v>
          </cell>
          <cell r="P113">
            <v>0</v>
          </cell>
        </row>
        <row r="114">
          <cell r="B114">
            <v>0</v>
          </cell>
          <cell r="C114">
            <v>13320.750632965201</v>
          </cell>
          <cell r="D114">
            <v>0</v>
          </cell>
          <cell r="E114">
            <v>14917.06115502857</v>
          </cell>
          <cell r="F114">
            <v>23903.866712393879</v>
          </cell>
          <cell r="O114">
            <v>0</v>
          </cell>
          <cell r="P114">
            <v>0</v>
          </cell>
        </row>
        <row r="115">
          <cell r="B115">
            <v>0</v>
          </cell>
          <cell r="C115">
            <v>13320.750632965201</v>
          </cell>
          <cell r="D115">
            <v>4091.0673888545998</v>
          </cell>
          <cell r="E115">
            <v>11820.0981711</v>
          </cell>
          <cell r="F115">
            <v>15735.799379832661</v>
          </cell>
          <cell r="O115">
            <v>0</v>
          </cell>
          <cell r="P115">
            <v>695.87308344821759</v>
          </cell>
        </row>
        <row r="116">
          <cell r="B116">
            <v>0</v>
          </cell>
          <cell r="C116">
            <v>7587.6582110913587</v>
          </cell>
          <cell r="D116">
            <v>8218.1980299814968</v>
          </cell>
          <cell r="E116">
            <v>8705.4920357999981</v>
          </cell>
          <cell r="F116">
            <v>11589.40257476148</v>
          </cell>
          <cell r="O116">
            <v>3185.2953301128509</v>
          </cell>
          <cell r="P116">
            <v>1429.0879938670471</v>
          </cell>
        </row>
        <row r="117">
          <cell r="B117">
            <v>0</v>
          </cell>
          <cell r="C117">
            <v>1713.372875964882</v>
          </cell>
          <cell r="D117">
            <v>8800.6092574137474</v>
          </cell>
          <cell r="E117">
            <v>7879.5842714</v>
          </cell>
          <cell r="F117">
            <v>10489.89234238284</v>
          </cell>
          <cell r="O117">
            <v>3524.9753119936322</v>
          </cell>
          <cell r="P117">
            <v>1283.0881743196201</v>
          </cell>
        </row>
        <row r="118">
          <cell r="B118">
            <v>0</v>
          </cell>
          <cell r="C118">
            <v>2166.224095199721</v>
          </cell>
          <cell r="D118">
            <v>8846.7957176437394</v>
          </cell>
          <cell r="E118">
            <v>7660.1949592999999</v>
          </cell>
          <cell r="F118">
            <v>10197.82486956558</v>
          </cell>
          <cell r="O118">
            <v>3286.301855570382</v>
          </cell>
          <cell r="P118">
            <v>1186.2939443506159</v>
          </cell>
        </row>
        <row r="119">
          <cell r="B119">
            <v>0</v>
          </cell>
          <cell r="C119">
            <v>5156.26896379965</v>
          </cell>
          <cell r="D119">
            <v>8703.2862879941458</v>
          </cell>
          <cell r="E119">
            <v>7665.3008690999995</v>
          </cell>
          <cell r="F119">
            <v>10204.62223885146</v>
          </cell>
          <cell r="O119">
            <v>2873.483704321347</v>
          </cell>
          <cell r="P119">
            <v>1113.8592367959</v>
          </cell>
        </row>
        <row r="120">
          <cell r="B120">
            <v>0</v>
          </cell>
          <cell r="C120">
            <v>7286.0345964062344</v>
          </cell>
          <cell r="D120">
            <v>8617.5754002661197</v>
          </cell>
          <cell r="E120">
            <v>7650.3635002000001</v>
          </cell>
          <cell r="F120">
            <v>10184.736495360121</v>
          </cell>
          <cell r="O120">
            <v>3053.8956089089138</v>
          </cell>
          <cell r="P120">
            <v>1067.8532134962829</v>
          </cell>
        </row>
        <row r="121">
          <cell r="B121">
            <v>0</v>
          </cell>
          <cell r="C121">
            <v>11434.70126723437</v>
          </cell>
          <cell r="D121">
            <v>8450.4829307483069</v>
          </cell>
          <cell r="E121">
            <v>7803.4889602000003</v>
          </cell>
          <cell r="F121">
            <v>10388.58856863612</v>
          </cell>
          <cell r="O121">
            <v>2510.9131099907258</v>
          </cell>
          <cell r="P121">
            <v>1058.076306833814</v>
          </cell>
        </row>
        <row r="122">
          <cell r="B122">
            <v>0</v>
          </cell>
          <cell r="C122">
            <v>13320.750632965201</v>
          </cell>
          <cell r="D122">
            <v>8742.8401651434779</v>
          </cell>
          <cell r="E122">
            <v>8036.2697817999997</v>
          </cell>
          <cell r="F122">
            <v>10698.48382120908</v>
          </cell>
          <cell r="O122">
            <v>1495.3343898442549</v>
          </cell>
          <cell r="P122">
            <v>1429.9287930004341</v>
          </cell>
        </row>
        <row r="123">
          <cell r="B123">
            <v>0</v>
          </cell>
          <cell r="C123">
            <v>13320.750632965201</v>
          </cell>
          <cell r="D123">
            <v>10017.715015073411</v>
          </cell>
          <cell r="E123">
            <v>8049.9547727999998</v>
          </cell>
          <cell r="F123">
            <v>10716.702305503681</v>
          </cell>
          <cell r="O123">
            <v>968.99528750846673</v>
          </cell>
          <cell r="P123">
            <v>1408.699514875965</v>
          </cell>
        </row>
        <row r="124">
          <cell r="B124">
            <v>0</v>
          </cell>
          <cell r="C124">
            <v>13320.750632965201</v>
          </cell>
          <cell r="D124">
            <v>10938.66704294742</v>
          </cell>
          <cell r="E124">
            <v>7942.8034954000004</v>
          </cell>
          <cell r="F124">
            <v>10574.054505117239</v>
          </cell>
          <cell r="O124">
            <v>127.9106882386014</v>
          </cell>
          <cell r="P124">
            <v>1347.9089149831909</v>
          </cell>
        </row>
        <row r="125">
          <cell r="B125">
            <v>0</v>
          </cell>
          <cell r="C125">
            <v>13320.750632965201</v>
          </cell>
          <cell r="D125">
            <v>10853.97888361064</v>
          </cell>
          <cell r="E125">
            <v>7922.3110538999999</v>
          </cell>
          <cell r="F125">
            <v>10546.773433202339</v>
          </cell>
          <cell r="O125">
            <v>0</v>
          </cell>
          <cell r="P125">
            <v>1274.282494397444</v>
          </cell>
        </row>
        <row r="126">
          <cell r="B126">
            <v>0</v>
          </cell>
          <cell r="C126">
            <v>13320.750632965201</v>
          </cell>
          <cell r="D126">
            <v>10807.98139821626</v>
          </cell>
          <cell r="E126">
            <v>7894.9396049000006</v>
          </cell>
          <cell r="F126">
            <v>10510.33451163294</v>
          </cell>
          <cell r="O126">
            <v>0</v>
          </cell>
          <cell r="P126">
            <v>1173.6050259113811</v>
          </cell>
        </row>
        <row r="127">
          <cell r="B127">
            <v>0</v>
          </cell>
          <cell r="C127">
            <v>13320.750632965201</v>
          </cell>
          <cell r="D127">
            <v>8632.1605014985871</v>
          </cell>
          <cell r="E127">
            <v>7805.0891800999998</v>
          </cell>
          <cell r="F127">
            <v>10390.71890113806</v>
          </cell>
          <cell r="O127">
            <v>0</v>
          </cell>
          <cell r="P127">
            <v>1091.988188439009</v>
          </cell>
        </row>
        <row r="128">
          <cell r="B128">
            <v>0</v>
          </cell>
          <cell r="C128">
            <v>13320.750632965201</v>
          </cell>
          <cell r="D128">
            <v>8705.0353863178516</v>
          </cell>
          <cell r="E128">
            <v>7705.8628322999994</v>
          </cell>
          <cell r="F128">
            <v>10258.62136018938</v>
          </cell>
          <cell r="O128">
            <v>0</v>
          </cell>
          <cell r="P128">
            <v>1048.882552142494</v>
          </cell>
        </row>
        <row r="129">
          <cell r="B129">
            <v>0</v>
          </cell>
          <cell r="C129">
            <v>13320.750632965201</v>
          </cell>
          <cell r="D129">
            <v>10379.222414862381</v>
          </cell>
          <cell r="E129">
            <v>7456.9938943999996</v>
          </cell>
          <cell r="F129">
            <v>9927.3084030566406</v>
          </cell>
          <cell r="O129">
            <v>0</v>
          </cell>
          <cell r="P129">
            <v>1071.107910718659</v>
          </cell>
        </row>
        <row r="130">
          <cell r="B130">
            <v>0</v>
          </cell>
          <cell r="C130">
            <v>13320.750632965201</v>
          </cell>
          <cell r="D130">
            <v>9349.1081156305354</v>
          </cell>
          <cell r="E130">
            <v>7265.8228163000003</v>
          </cell>
          <cell r="F130">
            <v>9672.8071553797799</v>
          </cell>
          <cell r="O130">
            <v>0</v>
          </cell>
          <cell r="P130">
            <v>1216.3650636713719</v>
          </cell>
        </row>
        <row r="131">
          <cell r="B131">
            <v>0</v>
          </cell>
          <cell r="C131">
            <v>13320.750632965201</v>
          </cell>
          <cell r="D131">
            <v>5218.9351847931284</v>
          </cell>
          <cell r="E131">
            <v>11058.631478699999</v>
          </cell>
          <cell r="F131">
            <v>14722.07792569722</v>
          </cell>
          <cell r="O131">
            <v>0</v>
          </cell>
          <cell r="P131">
            <v>980.21007576518559</v>
          </cell>
        </row>
        <row r="132">
          <cell r="B132">
            <v>0</v>
          </cell>
          <cell r="C132">
            <v>13320.750632965201</v>
          </cell>
          <cell r="D132">
            <v>193.6651326797593</v>
          </cell>
          <cell r="E132">
            <v>16977.962395499999</v>
          </cell>
          <cell r="F132">
            <v>22602.334284087301</v>
          </cell>
          <cell r="O132">
            <v>0</v>
          </cell>
          <cell r="P132">
            <v>52.380389045829823</v>
          </cell>
        </row>
        <row r="133">
          <cell r="B133">
            <v>0</v>
          </cell>
          <cell r="C133">
            <v>13320.750632965201</v>
          </cell>
          <cell r="D133">
            <v>0</v>
          </cell>
          <cell r="E133">
            <v>17132.026418414291</v>
          </cell>
          <cell r="F133">
            <v>27245.86343595594</v>
          </cell>
          <cell r="O133">
            <v>0</v>
          </cell>
          <cell r="P133">
            <v>0</v>
          </cell>
        </row>
        <row r="134">
          <cell r="B134">
            <v>0</v>
          </cell>
          <cell r="C134">
            <v>13320.750632965201</v>
          </cell>
          <cell r="D134">
            <v>0</v>
          </cell>
          <cell r="E134">
            <v>17096.798400971431</v>
          </cell>
          <cell r="F134">
            <v>29331.308098484638</v>
          </cell>
          <cell r="O134">
            <v>0</v>
          </cell>
          <cell r="P134">
            <v>0</v>
          </cell>
        </row>
        <row r="135">
          <cell r="B135">
            <v>0</v>
          </cell>
          <cell r="C135">
            <v>13320.750632965201</v>
          </cell>
          <cell r="D135">
            <v>0</v>
          </cell>
          <cell r="E135">
            <v>17096.798400971431</v>
          </cell>
          <cell r="F135">
            <v>29331.043578166438</v>
          </cell>
          <cell r="O135">
            <v>0</v>
          </cell>
          <cell r="P135">
            <v>0</v>
          </cell>
        </row>
        <row r="136">
          <cell r="B136">
            <v>0</v>
          </cell>
          <cell r="C136">
            <v>13320.750632965201</v>
          </cell>
          <cell r="D136">
            <v>0</v>
          </cell>
          <cell r="E136">
            <v>17132.026418414291</v>
          </cell>
          <cell r="F136">
            <v>27512.90210042406</v>
          </cell>
          <cell r="O136">
            <v>0</v>
          </cell>
          <cell r="P136">
            <v>0</v>
          </cell>
        </row>
        <row r="137">
          <cell r="B137">
            <v>0</v>
          </cell>
          <cell r="C137">
            <v>13320.750632965201</v>
          </cell>
          <cell r="D137">
            <v>0</v>
          </cell>
          <cell r="E137">
            <v>17096.798400971431</v>
          </cell>
          <cell r="F137">
            <v>24028.467521847058</v>
          </cell>
          <cell r="O137">
            <v>0</v>
          </cell>
          <cell r="P137">
            <v>0</v>
          </cell>
        </row>
        <row r="138">
          <cell r="B138">
            <v>0</v>
          </cell>
          <cell r="C138">
            <v>13320.750632965201</v>
          </cell>
          <cell r="D138">
            <v>3531.9259093500968</v>
          </cell>
          <cell r="E138">
            <v>13837.0906032</v>
          </cell>
          <cell r="F138">
            <v>18420.970670521921</v>
          </cell>
          <cell r="O138">
            <v>0</v>
          </cell>
          <cell r="P138">
            <v>190.55267810506601</v>
          </cell>
        </row>
        <row r="139">
          <cell r="B139">
            <v>0</v>
          </cell>
          <cell r="C139">
            <v>8905.9821912670122</v>
          </cell>
          <cell r="D139">
            <v>11426.43306657904</v>
          </cell>
          <cell r="E139">
            <v>7435.1284061000006</v>
          </cell>
          <cell r="F139">
            <v>9898.1994284736593</v>
          </cell>
          <cell r="O139">
            <v>0</v>
          </cell>
          <cell r="P139">
            <v>1072.4840086353249</v>
          </cell>
        </row>
        <row r="140">
          <cell r="B140">
            <v>17784.210574776611</v>
          </cell>
          <cell r="C140">
            <v>0</v>
          </cell>
          <cell r="D140">
            <v>13990.84870216647</v>
          </cell>
          <cell r="E140">
            <v>5644.8322338000007</v>
          </cell>
          <cell r="F140">
            <v>7514.82316628028</v>
          </cell>
          <cell r="O140">
            <v>0</v>
          </cell>
          <cell r="P140">
            <v>1589.244153766527</v>
          </cell>
        </row>
        <row r="141">
          <cell r="B141">
            <v>8697.815544126639</v>
          </cell>
          <cell r="C141">
            <v>0</v>
          </cell>
          <cell r="D141">
            <v>12100.131467838721</v>
          </cell>
          <cell r="E141">
            <v>6265.1946347000003</v>
          </cell>
          <cell r="F141">
            <v>8340.6960263908204</v>
          </cell>
          <cell r="O141">
            <v>0</v>
          </cell>
          <cell r="P141">
            <v>1625.3922898820999</v>
          </cell>
        </row>
        <row r="142">
          <cell r="B142">
            <v>0</v>
          </cell>
          <cell r="C142">
            <v>0</v>
          </cell>
          <cell r="D142">
            <v>10433.60349017075</v>
          </cell>
          <cell r="E142">
            <v>6742.3746897000001</v>
          </cell>
          <cell r="F142">
            <v>8975.9538309238196</v>
          </cell>
          <cell r="O142">
            <v>2598.1047825406531</v>
          </cell>
          <cell r="P142">
            <v>1633.7577394395239</v>
          </cell>
        </row>
        <row r="143">
          <cell r="B143">
            <v>0</v>
          </cell>
          <cell r="C143">
            <v>2637.120416856118</v>
          </cell>
          <cell r="D143">
            <v>10106.779093785961</v>
          </cell>
          <cell r="E143">
            <v>7044.9316873999996</v>
          </cell>
          <cell r="F143">
            <v>9378.7403516324393</v>
          </cell>
          <cell r="O143">
            <v>3247.3767797898931</v>
          </cell>
          <cell r="P143">
            <v>1641.430162560167</v>
          </cell>
        </row>
        <row r="144">
          <cell r="B144">
            <v>0</v>
          </cell>
          <cell r="C144">
            <v>7728.8445935655927</v>
          </cell>
          <cell r="D144">
            <v>9601.720872647782</v>
          </cell>
          <cell r="E144">
            <v>7473.1641138000005</v>
          </cell>
          <cell r="F144">
            <v>9948.8354094082788</v>
          </cell>
          <cell r="O144">
            <v>3433.1384724623522</v>
          </cell>
          <cell r="P144">
            <v>1636.9713206534459</v>
          </cell>
        </row>
        <row r="145">
          <cell r="B145">
            <v>0</v>
          </cell>
          <cell r="C145">
            <v>13320.750632965201</v>
          </cell>
          <cell r="D145">
            <v>9147.5553774089112</v>
          </cell>
          <cell r="E145">
            <v>7924.1216742000006</v>
          </cell>
          <cell r="F145">
            <v>10549.18386646452</v>
          </cell>
          <cell r="O145">
            <v>3058.9369751988202</v>
          </cell>
          <cell r="P145">
            <v>1634.725766266238</v>
          </cell>
        </row>
        <row r="146">
          <cell r="B146">
            <v>0</v>
          </cell>
          <cell r="C146">
            <v>13320.750632965201</v>
          </cell>
          <cell r="D146">
            <v>8584.9545765080147</v>
          </cell>
          <cell r="E146">
            <v>8534.2004865999988</v>
          </cell>
          <cell r="F146">
            <v>11361.366443871961</v>
          </cell>
          <cell r="O146">
            <v>2545.356198420503</v>
          </cell>
          <cell r="P146">
            <v>1667.979109265608</v>
          </cell>
        </row>
        <row r="147">
          <cell r="B147">
            <v>0</v>
          </cell>
          <cell r="C147">
            <v>13320.750632965201</v>
          </cell>
          <cell r="D147">
            <v>7921.9489134289706</v>
          </cell>
          <cell r="E147">
            <v>9193.9685124000007</v>
          </cell>
          <cell r="F147">
            <v>12239.69902122744</v>
          </cell>
          <cell r="O147">
            <v>2150.064606762744</v>
          </cell>
          <cell r="P147">
            <v>1665.712763170279</v>
          </cell>
        </row>
        <row r="148">
          <cell r="B148">
            <v>0</v>
          </cell>
          <cell r="C148">
            <v>13320.750632965201</v>
          </cell>
          <cell r="D148">
            <v>9482.3160150880649</v>
          </cell>
          <cell r="E148">
            <v>9850.5021455000006</v>
          </cell>
          <cell r="F148">
            <v>13113.725732937301</v>
          </cell>
          <cell r="O148">
            <v>1677.680873229137</v>
          </cell>
          <cell r="P148">
            <v>1663.8709855016441</v>
          </cell>
        </row>
        <row r="149">
          <cell r="B149">
            <v>0</v>
          </cell>
          <cell r="C149">
            <v>13320.750632965201</v>
          </cell>
          <cell r="D149">
            <v>8780.0995630197121</v>
          </cell>
          <cell r="E149">
            <v>10542.9253305</v>
          </cell>
          <cell r="F149">
            <v>14035.5313023483</v>
          </cell>
          <cell r="O149">
            <v>1482.5299699126899</v>
          </cell>
          <cell r="P149">
            <v>1657.015698553796</v>
          </cell>
        </row>
        <row r="150">
          <cell r="B150">
            <v>0</v>
          </cell>
          <cell r="C150">
            <v>13320.750632965201</v>
          </cell>
          <cell r="D150">
            <v>5949.0264316164084</v>
          </cell>
          <cell r="E150">
            <v>11228.8366329</v>
          </cell>
          <cell r="F150">
            <v>14948.66776624974</v>
          </cell>
          <cell r="O150">
            <v>1461.766876469022</v>
          </cell>
          <cell r="P150">
            <v>1659.7554958414839</v>
          </cell>
        </row>
        <row r="151">
          <cell r="B151">
            <v>0</v>
          </cell>
          <cell r="C151">
            <v>13320.750632965201</v>
          </cell>
          <cell r="D151">
            <v>7905.5366656021042</v>
          </cell>
          <cell r="E151">
            <v>11555.6274111</v>
          </cell>
          <cell r="F151">
            <v>15383.716109376661</v>
          </cell>
          <cell r="O151">
            <v>1464.354544904814</v>
          </cell>
          <cell r="P151">
            <v>1655.07470796147</v>
          </cell>
        </row>
        <row r="152">
          <cell r="B152">
            <v>0</v>
          </cell>
          <cell r="C152">
            <v>13320.750632965201</v>
          </cell>
          <cell r="D152">
            <v>8122.1843214141118</v>
          </cell>
          <cell r="E152">
            <v>11362.845404</v>
          </cell>
          <cell r="F152">
            <v>15127.070272442401</v>
          </cell>
          <cell r="O152">
            <v>1467.7154069404619</v>
          </cell>
          <cell r="P152">
            <v>1647.121049849876</v>
          </cell>
        </row>
        <row r="153">
          <cell r="B153">
            <v>0</v>
          </cell>
          <cell r="C153">
            <v>13320.750632965201</v>
          </cell>
          <cell r="D153">
            <v>8465.7166744276401</v>
          </cell>
          <cell r="E153">
            <v>10932.865487200001</v>
          </cell>
          <cell r="F153">
            <v>14554.64882465232</v>
          </cell>
          <cell r="O153">
            <v>1351.814856225335</v>
          </cell>
          <cell r="P153">
            <v>1636.939659409345</v>
          </cell>
        </row>
        <row r="154">
          <cell r="B154">
            <v>0</v>
          </cell>
          <cell r="C154">
            <v>13320.750632965201</v>
          </cell>
          <cell r="D154">
            <v>7440.9011961686438</v>
          </cell>
          <cell r="E154">
            <v>10468.9672753</v>
          </cell>
          <cell r="F154">
            <v>13937.07280375518</v>
          </cell>
          <cell r="O154">
            <v>1296.346428256154</v>
          </cell>
          <cell r="P154">
            <v>1626.4466470565719</v>
          </cell>
        </row>
        <row r="155">
          <cell r="B155">
            <v>0</v>
          </cell>
          <cell r="C155">
            <v>13320.750632965201</v>
          </cell>
          <cell r="D155">
            <v>8242.931202916292</v>
          </cell>
          <cell r="E155">
            <v>10967.7344309</v>
          </cell>
          <cell r="F155">
            <v>14601.06897232854</v>
          </cell>
          <cell r="O155">
            <v>28.688300289483522</v>
          </cell>
          <cell r="P155">
            <v>1505.3980899414009</v>
          </cell>
        </row>
        <row r="156">
          <cell r="B156">
            <v>0</v>
          </cell>
          <cell r="C156">
            <v>13320.750632965201</v>
          </cell>
          <cell r="D156">
            <v>8169.4260865953202</v>
          </cell>
          <cell r="E156">
            <v>12902.748148299999</v>
          </cell>
          <cell r="F156">
            <v>17177.10406217898</v>
          </cell>
          <cell r="O156">
            <v>0</v>
          </cell>
          <cell r="P156">
            <v>1254.781818696722</v>
          </cell>
        </row>
        <row r="157">
          <cell r="B157">
            <v>0</v>
          </cell>
          <cell r="C157">
            <v>13320.750632965201</v>
          </cell>
          <cell r="D157">
            <v>5163.1607664688327</v>
          </cell>
          <cell r="E157">
            <v>15214.376495300001</v>
          </cell>
          <cell r="F157">
            <v>20254.516735287179</v>
          </cell>
          <cell r="O157">
            <v>0</v>
          </cell>
          <cell r="P157">
            <v>743.87632529817984</v>
          </cell>
        </row>
        <row r="158">
          <cell r="B158">
            <v>0</v>
          </cell>
          <cell r="C158">
            <v>13320.750632965201</v>
          </cell>
          <cell r="D158">
            <v>0</v>
          </cell>
          <cell r="E158">
            <v>17648.513996000001</v>
          </cell>
          <cell r="F158">
            <v>23495.022763197601</v>
          </cell>
          <cell r="O158">
            <v>0</v>
          </cell>
          <cell r="P158">
            <v>90.716761192090416</v>
          </cell>
        </row>
        <row r="159">
          <cell r="B159">
            <v>0</v>
          </cell>
          <cell r="C159">
            <v>13320.750632965201</v>
          </cell>
          <cell r="D159">
            <v>512.4985611174842</v>
          </cell>
          <cell r="E159">
            <v>19173.596731400001</v>
          </cell>
          <cell r="F159">
            <v>25525.327047858838</v>
          </cell>
          <cell r="O159">
            <v>0</v>
          </cell>
          <cell r="P159">
            <v>0</v>
          </cell>
        </row>
        <row r="160">
          <cell r="B160">
            <v>0</v>
          </cell>
          <cell r="C160">
            <v>13320.750632965201</v>
          </cell>
          <cell r="D160">
            <v>0</v>
          </cell>
          <cell r="E160">
            <v>19463.8778079</v>
          </cell>
          <cell r="F160">
            <v>25911.77094345474</v>
          </cell>
          <cell r="O160">
            <v>0</v>
          </cell>
          <cell r="P160">
            <v>0</v>
          </cell>
        </row>
        <row r="161">
          <cell r="B161">
            <v>0</v>
          </cell>
          <cell r="C161">
            <v>13320.750632965201</v>
          </cell>
          <cell r="D161">
            <v>211.60957441428761</v>
          </cell>
          <cell r="E161">
            <v>18209.232284500002</v>
          </cell>
          <cell r="F161">
            <v>24241.492916720701</v>
          </cell>
          <cell r="O161">
            <v>0</v>
          </cell>
          <cell r="P161">
            <v>0</v>
          </cell>
        </row>
        <row r="162">
          <cell r="B162">
            <v>0</v>
          </cell>
          <cell r="C162">
            <v>13320.750632965201</v>
          </cell>
          <cell r="D162">
            <v>3882.8737874880449</v>
          </cell>
          <cell r="E162">
            <v>16421.165039399999</v>
          </cell>
          <cell r="F162">
            <v>21861.083969243638</v>
          </cell>
          <cell r="O162">
            <v>0</v>
          </cell>
          <cell r="P162">
            <v>122.0870330916275</v>
          </cell>
        </row>
        <row r="163">
          <cell r="B163">
            <v>0</v>
          </cell>
          <cell r="C163">
            <v>13320.750632965201</v>
          </cell>
          <cell r="D163">
            <v>6135.5716482367779</v>
          </cell>
          <cell r="E163">
            <v>13458.602973200001</v>
          </cell>
          <cell r="F163">
            <v>17917.099608943921</v>
          </cell>
          <cell r="O163">
            <v>0</v>
          </cell>
          <cell r="P163">
            <v>821.33293376574227</v>
          </cell>
        </row>
        <row r="164">
          <cell r="B164">
            <v>0</v>
          </cell>
          <cell r="C164">
            <v>13320.750632965201</v>
          </cell>
          <cell r="D164">
            <v>8891.3033610405218</v>
          </cell>
          <cell r="E164">
            <v>11686.2092376</v>
          </cell>
          <cell r="F164">
            <v>15557.55641042256</v>
          </cell>
          <cell r="O164">
            <v>2245.5112031473091</v>
          </cell>
          <cell r="P164">
            <v>1484.5460386383629</v>
          </cell>
        </row>
        <row r="165">
          <cell r="B165">
            <v>0</v>
          </cell>
          <cell r="C165">
            <v>13320.750632965201</v>
          </cell>
          <cell r="D165">
            <v>9230.3481350648872</v>
          </cell>
          <cell r="E165">
            <v>11363.7905269</v>
          </cell>
          <cell r="F165">
            <v>15128.32849078614</v>
          </cell>
          <cell r="O165">
            <v>2909.7410841655742</v>
          </cell>
          <cell r="P165">
            <v>1521.3077621354171</v>
          </cell>
        </row>
        <row r="166">
          <cell r="B166">
            <v>0</v>
          </cell>
          <cell r="C166">
            <v>13320.750632965201</v>
          </cell>
          <cell r="D166">
            <v>9085.3378458277348</v>
          </cell>
          <cell r="E166">
            <v>11453.1046491</v>
          </cell>
          <cell r="F166">
            <v>15247.23013511946</v>
          </cell>
          <cell r="O166">
            <v>2658.9827254990701</v>
          </cell>
          <cell r="P166">
            <v>1507.44391437941</v>
          </cell>
        </row>
        <row r="167">
          <cell r="B167">
            <v>0</v>
          </cell>
          <cell r="C167">
            <v>13320.750632965201</v>
          </cell>
          <cell r="D167">
            <v>8857.7512721589937</v>
          </cell>
          <cell r="E167">
            <v>11685.135295800001</v>
          </cell>
          <cell r="F167">
            <v>15556.12669871748</v>
          </cell>
          <cell r="O167">
            <v>2441.4239437455249</v>
          </cell>
          <cell r="P167">
            <v>1535.6782346512921</v>
          </cell>
        </row>
        <row r="168">
          <cell r="B168">
            <v>0</v>
          </cell>
          <cell r="C168">
            <v>13320.750632965201</v>
          </cell>
          <cell r="D168">
            <v>8508.2212571425898</v>
          </cell>
          <cell r="E168">
            <v>11956.7039234</v>
          </cell>
          <cell r="F168">
            <v>15917.659181774039</v>
          </cell>
          <cell r="O168">
            <v>2618.349137195185</v>
          </cell>
          <cell r="P168">
            <v>1531.3522117898101</v>
          </cell>
        </row>
        <row r="169">
          <cell r="B169">
            <v>0</v>
          </cell>
          <cell r="C169">
            <v>13320.750632965201</v>
          </cell>
          <cell r="D169">
            <v>6793.7196279215023</v>
          </cell>
          <cell r="E169">
            <v>12272.583774999999</v>
          </cell>
          <cell r="F169">
            <v>16338.182082765001</v>
          </cell>
          <cell r="O169">
            <v>2092.2035287465542</v>
          </cell>
          <cell r="P169">
            <v>1502.982947135052</v>
          </cell>
        </row>
      </sheetData>
      <sheetData sheetId="10">
        <row r="1">
          <cell r="O1" t="str">
            <v>ES_PT_interconexion_electricidad</v>
          </cell>
          <cell r="P1" t="str">
            <v>ES_PT_interconexion_hidrogeno</v>
          </cell>
          <cell r="Q1" t="str">
            <v>PT_ES_interconexion_electricidad</v>
          </cell>
          <cell r="R1" t="str">
            <v>PT_ES_interconexion_hidrogeno</v>
          </cell>
          <cell r="S1" t="str">
            <v>ES_FR_interconexion_electricidad</v>
          </cell>
          <cell r="T1" t="str">
            <v>FR_ES_interconexion_electricidad</v>
          </cell>
          <cell r="U1" t="str">
            <v>ES_FR_interconexion_hidrogeno_IrunLarrau</v>
          </cell>
          <cell r="V1" t="str">
            <v>ES_FR_interconexion_hidrogeno_BarMar</v>
          </cell>
          <cell r="W1" t="str">
            <v>FR_FR_interconexion_hidrogeno_SWtoS</v>
          </cell>
          <cell r="X1" t="str">
            <v>FR_FR_interconexion_hidrogeno_StoFRh2</v>
          </cell>
          <cell r="Y1" t="str">
            <v>FR_FR_interconexion_hidrogeno_FRh2toS</v>
          </cell>
          <cell r="Z1" t="str">
            <v>MA_ES_interconexion_hidrogeno</v>
          </cell>
        </row>
        <row r="2">
          <cell r="O2">
            <v>0</v>
          </cell>
          <cell r="P2">
            <v>-366.50117356925989</v>
          </cell>
          <cell r="Q2">
            <v>-3431.5231553416611</v>
          </cell>
          <cell r="R2">
            <v>0</v>
          </cell>
          <cell r="S2">
            <v>0</v>
          </cell>
          <cell r="T2">
            <v>-5000</v>
          </cell>
          <cell r="U2">
            <v>0</v>
          </cell>
          <cell r="V2">
            <v>-1344.4889066400001</v>
          </cell>
          <cell r="W2">
            <v>-1553.672292</v>
          </cell>
          <cell r="X2">
            <v>-2737.0789708699999</v>
          </cell>
          <cell r="Y2">
            <v>0</v>
          </cell>
          <cell r="Z2">
            <v>-1517.7757899999999</v>
          </cell>
        </row>
        <row r="3">
          <cell r="O3">
            <v>0</v>
          </cell>
          <cell r="P3">
            <v>-312.77831536379267</v>
          </cell>
          <cell r="Q3">
            <v>-3500</v>
          </cell>
          <cell r="R3">
            <v>0</v>
          </cell>
          <cell r="S3">
            <v>0</v>
          </cell>
          <cell r="T3">
            <v>-5000</v>
          </cell>
          <cell r="U3">
            <v>0</v>
          </cell>
          <cell r="V3">
            <v>-1344.4889066400001</v>
          </cell>
          <cell r="W3">
            <v>-1553.672292</v>
          </cell>
          <cell r="X3">
            <v>-2737.0789708699999</v>
          </cell>
          <cell r="Y3">
            <v>0</v>
          </cell>
          <cell r="Z3">
            <v>-1517.7757899999999</v>
          </cell>
        </row>
        <row r="4">
          <cell r="O4">
            <v>0</v>
          </cell>
          <cell r="P4">
            <v>-315.50750259998671</v>
          </cell>
          <cell r="Q4">
            <v>-3500</v>
          </cell>
          <cell r="R4">
            <v>0</v>
          </cell>
          <cell r="S4">
            <v>0</v>
          </cell>
          <cell r="T4">
            <v>-5000</v>
          </cell>
          <cell r="U4">
            <v>0</v>
          </cell>
          <cell r="V4">
            <v>-1344.4889066400001</v>
          </cell>
          <cell r="W4">
            <v>-1553.672292</v>
          </cell>
          <cell r="X4">
            <v>-2737.0789708699999</v>
          </cell>
          <cell r="Y4">
            <v>0</v>
          </cell>
          <cell r="Z4">
            <v>-1517.7757899999999</v>
          </cell>
        </row>
        <row r="5">
          <cell r="O5">
            <v>0</v>
          </cell>
          <cell r="P5">
            <v>-442.41236122958611</v>
          </cell>
          <cell r="Q5">
            <v>-3500</v>
          </cell>
          <cell r="R5">
            <v>0</v>
          </cell>
          <cell r="S5">
            <v>0</v>
          </cell>
          <cell r="T5">
            <v>-5000</v>
          </cell>
          <cell r="U5">
            <v>0</v>
          </cell>
          <cell r="V5">
            <v>-1344.4889066400001</v>
          </cell>
          <cell r="W5">
            <v>-1553.672292</v>
          </cell>
          <cell r="X5">
            <v>-2737.0789708699999</v>
          </cell>
          <cell r="Y5">
            <v>0</v>
          </cell>
          <cell r="Z5">
            <v>-1517.7757899999999</v>
          </cell>
        </row>
        <row r="6">
          <cell r="O6">
            <v>0</v>
          </cell>
          <cell r="P6">
            <v>-494.68932021459278</v>
          </cell>
          <cell r="Q6">
            <v>-3500</v>
          </cell>
          <cell r="R6">
            <v>0</v>
          </cell>
          <cell r="S6">
            <v>0</v>
          </cell>
          <cell r="T6">
            <v>-5000</v>
          </cell>
          <cell r="U6">
            <v>0</v>
          </cell>
          <cell r="V6">
            <v>-1353.2266629700009</v>
          </cell>
          <cell r="W6">
            <v>-1553.672292</v>
          </cell>
          <cell r="X6">
            <v>-2745.3568452900008</v>
          </cell>
          <cell r="Y6">
            <v>0</v>
          </cell>
          <cell r="Z6">
            <v>-1517.7757899999999</v>
          </cell>
        </row>
        <row r="7">
          <cell r="O7">
            <v>0</v>
          </cell>
          <cell r="P7">
            <v>-557.05313280582425</v>
          </cell>
          <cell r="Q7">
            <v>-3500</v>
          </cell>
          <cell r="R7">
            <v>0</v>
          </cell>
          <cell r="S7">
            <v>0</v>
          </cell>
          <cell r="T7">
            <v>-5000</v>
          </cell>
          <cell r="U7">
            <v>0</v>
          </cell>
          <cell r="V7">
            <v>-1370.702175650001</v>
          </cell>
          <cell r="W7">
            <v>-1553.672292</v>
          </cell>
          <cell r="X7">
            <v>-2761.9125941400011</v>
          </cell>
          <cell r="Y7">
            <v>0</v>
          </cell>
          <cell r="Z7">
            <v>-1517.7757899999999</v>
          </cell>
        </row>
        <row r="8">
          <cell r="O8">
            <v>0</v>
          </cell>
          <cell r="P8">
            <v>-625.26580486964167</v>
          </cell>
          <cell r="Q8">
            <v>-3500</v>
          </cell>
          <cell r="R8">
            <v>0</v>
          </cell>
          <cell r="S8">
            <v>0</v>
          </cell>
          <cell r="T8">
            <v>-5000</v>
          </cell>
          <cell r="U8">
            <v>0</v>
          </cell>
          <cell r="V8">
            <v>-1379.4399319900001</v>
          </cell>
          <cell r="W8">
            <v>-1553.672292</v>
          </cell>
          <cell r="X8">
            <v>-2770.1904685700001</v>
          </cell>
          <cell r="Y8">
            <v>0</v>
          </cell>
          <cell r="Z8">
            <v>-1517.7757899999999</v>
          </cell>
        </row>
        <row r="9">
          <cell r="O9">
            <v>0</v>
          </cell>
          <cell r="P9">
            <v>-641.15411412980632</v>
          </cell>
          <cell r="Q9">
            <v>-3500</v>
          </cell>
          <cell r="R9">
            <v>0</v>
          </cell>
          <cell r="S9">
            <v>0</v>
          </cell>
          <cell r="T9">
            <v>-5000</v>
          </cell>
          <cell r="U9">
            <v>0</v>
          </cell>
          <cell r="V9">
            <v>-1388.17768832</v>
          </cell>
          <cell r="W9">
            <v>-1553.672292</v>
          </cell>
          <cell r="X9">
            <v>-2778.468342990001</v>
          </cell>
          <cell r="Y9">
            <v>0</v>
          </cell>
          <cell r="Z9">
            <v>-1517.7757899999999</v>
          </cell>
        </row>
        <row r="10">
          <cell r="O10">
            <v>0</v>
          </cell>
          <cell r="P10">
            <v>-675.85944119948931</v>
          </cell>
          <cell r="Q10">
            <v>-3500</v>
          </cell>
          <cell r="R10">
            <v>0</v>
          </cell>
          <cell r="S10">
            <v>0</v>
          </cell>
          <cell r="T10">
            <v>-5000</v>
          </cell>
          <cell r="U10">
            <v>0</v>
          </cell>
          <cell r="V10">
            <v>-1388.17768832</v>
          </cell>
          <cell r="W10">
            <v>-1553.672292</v>
          </cell>
          <cell r="X10">
            <v>-2778.468342990001</v>
          </cell>
          <cell r="Y10">
            <v>0</v>
          </cell>
          <cell r="Z10">
            <v>-1517.7757899999999</v>
          </cell>
        </row>
        <row r="11">
          <cell r="O11">
            <v>0</v>
          </cell>
          <cell r="P11">
            <v>-179.2213345285079</v>
          </cell>
          <cell r="Q11">
            <v>-2515.6698953296868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-1388.17768832</v>
          </cell>
          <cell r="W11">
            <v>-1553.672292</v>
          </cell>
          <cell r="X11">
            <v>-2778.468342990001</v>
          </cell>
          <cell r="Y11">
            <v>0</v>
          </cell>
          <cell r="Z11">
            <v>-1517.7757899999999</v>
          </cell>
        </row>
        <row r="12"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-1388.17768832</v>
          </cell>
          <cell r="W12">
            <v>-1553.672292</v>
          </cell>
          <cell r="X12">
            <v>-2778.468342990001</v>
          </cell>
          <cell r="Y12">
            <v>0</v>
          </cell>
          <cell r="Z12">
            <v>-1517.7757899999999</v>
          </cell>
        </row>
        <row r="13"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-2206.269204910001</v>
          </cell>
          <cell r="W13">
            <v>-726.84301907999952</v>
          </cell>
          <cell r="X13">
            <v>-2770.1904685700001</v>
          </cell>
          <cell r="Y13">
            <v>0</v>
          </cell>
          <cell r="Z13">
            <v>-1517.7757899999999</v>
          </cell>
        </row>
        <row r="14"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-2924.37446765</v>
          </cell>
          <cell r="W14">
            <v>0</v>
          </cell>
          <cell r="X14">
            <v>-2761.9125941400011</v>
          </cell>
          <cell r="Y14">
            <v>0</v>
          </cell>
          <cell r="Z14">
            <v>-1517.7757899999999</v>
          </cell>
        </row>
        <row r="15"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-2924.37446765</v>
          </cell>
          <cell r="W15">
            <v>0</v>
          </cell>
          <cell r="X15">
            <v>-2761.9125941400011</v>
          </cell>
          <cell r="Y15">
            <v>0</v>
          </cell>
          <cell r="Z15">
            <v>-1517.7757899999999</v>
          </cell>
        </row>
        <row r="16"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-2933.1122239900001</v>
          </cell>
          <cell r="W16">
            <v>0</v>
          </cell>
          <cell r="X16">
            <v>-2770.1904685700001</v>
          </cell>
          <cell r="Y16">
            <v>0</v>
          </cell>
          <cell r="Z16">
            <v>-1517.7757899999999</v>
          </cell>
        </row>
        <row r="17"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-1425.343219109998</v>
          </cell>
          <cell r="W17">
            <v>-1516.506761210002</v>
          </cell>
          <cell r="X17">
            <v>-2778.468342990001</v>
          </cell>
          <cell r="Y17">
            <v>0</v>
          </cell>
          <cell r="Z17">
            <v>-1517.7757899999999</v>
          </cell>
        </row>
        <row r="18"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-1388.17768832</v>
          </cell>
          <cell r="W18">
            <v>-1553.672292</v>
          </cell>
          <cell r="X18">
            <v>-2778.468342990001</v>
          </cell>
          <cell r="Y18">
            <v>0</v>
          </cell>
          <cell r="Z18">
            <v>-1517.7757899999999</v>
          </cell>
        </row>
        <row r="19">
          <cell r="O19">
            <v>0</v>
          </cell>
          <cell r="P19">
            <v>-169.02993135326409</v>
          </cell>
          <cell r="Q19">
            <v>-3500</v>
          </cell>
          <cell r="R19">
            <v>0</v>
          </cell>
          <cell r="S19">
            <v>0</v>
          </cell>
          <cell r="T19">
            <v>-5000</v>
          </cell>
          <cell r="U19">
            <v>0</v>
          </cell>
          <cell r="V19">
            <v>-1388.17768832</v>
          </cell>
          <cell r="W19">
            <v>-1553.672292</v>
          </cell>
          <cell r="X19">
            <v>-2778.468342990001</v>
          </cell>
          <cell r="Y19">
            <v>0</v>
          </cell>
          <cell r="Z19">
            <v>-1517.7757899999999</v>
          </cell>
        </row>
        <row r="20">
          <cell r="O20">
            <v>0</v>
          </cell>
          <cell r="P20">
            <v>-1160.5493731631659</v>
          </cell>
          <cell r="Q20">
            <v>0</v>
          </cell>
          <cell r="R20">
            <v>0</v>
          </cell>
          <cell r="S20">
            <v>0</v>
          </cell>
          <cell r="T20">
            <v>-5000</v>
          </cell>
          <cell r="U20">
            <v>0</v>
          </cell>
          <cell r="V20">
            <v>-1379.4399319900001</v>
          </cell>
          <cell r="W20">
            <v>-1553.672292</v>
          </cell>
          <cell r="X20">
            <v>-2770.1904685700001</v>
          </cell>
          <cell r="Y20">
            <v>0</v>
          </cell>
          <cell r="Z20">
            <v>-1517.7757899999999</v>
          </cell>
        </row>
        <row r="21">
          <cell r="O21">
            <v>0</v>
          </cell>
          <cell r="P21">
            <v>-987.09850773280471</v>
          </cell>
          <cell r="Q21">
            <v>0</v>
          </cell>
          <cell r="R21">
            <v>0</v>
          </cell>
          <cell r="S21">
            <v>0</v>
          </cell>
          <cell r="T21">
            <v>-5000</v>
          </cell>
          <cell r="U21">
            <v>0</v>
          </cell>
          <cell r="V21">
            <v>-1370.702175650001</v>
          </cell>
          <cell r="W21">
            <v>-1553.672292</v>
          </cell>
          <cell r="X21">
            <v>-2761.9125941400011</v>
          </cell>
          <cell r="Y21">
            <v>0</v>
          </cell>
          <cell r="Z21">
            <v>-1517.7757899999999</v>
          </cell>
        </row>
        <row r="22">
          <cell r="O22">
            <v>0</v>
          </cell>
          <cell r="P22">
            <v>-866.88196313539129</v>
          </cell>
          <cell r="Q22">
            <v>0</v>
          </cell>
          <cell r="R22">
            <v>0</v>
          </cell>
          <cell r="S22">
            <v>0</v>
          </cell>
          <cell r="T22">
            <v>-5000</v>
          </cell>
          <cell r="U22">
            <v>0</v>
          </cell>
          <cell r="V22">
            <v>-1361.964419320002</v>
          </cell>
          <cell r="W22">
            <v>-1553.672292</v>
          </cell>
          <cell r="X22">
            <v>-2753.6347197200021</v>
          </cell>
          <cell r="Y22">
            <v>0</v>
          </cell>
          <cell r="Z22">
            <v>-1517.7757899999999</v>
          </cell>
        </row>
        <row r="23">
          <cell r="O23">
            <v>0</v>
          </cell>
          <cell r="P23">
            <v>-689.34434750994058</v>
          </cell>
          <cell r="Q23">
            <v>-883.6101399555472</v>
          </cell>
          <cell r="R23">
            <v>0</v>
          </cell>
          <cell r="S23">
            <v>0</v>
          </cell>
          <cell r="T23">
            <v>-5000</v>
          </cell>
          <cell r="U23">
            <v>0</v>
          </cell>
          <cell r="V23">
            <v>-1353.2266629700009</v>
          </cell>
          <cell r="W23">
            <v>-1553.672292</v>
          </cell>
          <cell r="X23">
            <v>-2745.3568452900008</v>
          </cell>
          <cell r="Y23">
            <v>0</v>
          </cell>
          <cell r="Z23">
            <v>-1517.7757899999999</v>
          </cell>
        </row>
        <row r="24">
          <cell r="O24">
            <v>0</v>
          </cell>
          <cell r="P24">
            <v>-621.37281099601057</v>
          </cell>
          <cell r="Q24">
            <v>-779.63635054513281</v>
          </cell>
          <cell r="R24">
            <v>0</v>
          </cell>
          <cell r="S24">
            <v>0</v>
          </cell>
          <cell r="T24">
            <v>-5000</v>
          </cell>
          <cell r="U24">
            <v>0</v>
          </cell>
          <cell r="V24">
            <v>-1344.4889066400001</v>
          </cell>
          <cell r="W24">
            <v>-1553.672292</v>
          </cell>
          <cell r="X24">
            <v>-2737.0789708699999</v>
          </cell>
          <cell r="Y24">
            <v>0</v>
          </cell>
          <cell r="Z24">
            <v>-1517.7757899999999</v>
          </cell>
        </row>
        <row r="25">
          <cell r="O25">
            <v>0</v>
          </cell>
          <cell r="P25">
            <v>-539.54363524103633</v>
          </cell>
          <cell r="Q25">
            <v>-1646.7675100284271</v>
          </cell>
          <cell r="R25">
            <v>0</v>
          </cell>
          <cell r="S25">
            <v>0</v>
          </cell>
          <cell r="T25">
            <v>-5000</v>
          </cell>
          <cell r="U25">
            <v>0</v>
          </cell>
          <cell r="V25">
            <v>-1344.4889066400001</v>
          </cell>
          <cell r="W25">
            <v>-1553.672292</v>
          </cell>
          <cell r="X25">
            <v>-2737.0789708699999</v>
          </cell>
          <cell r="Y25">
            <v>0</v>
          </cell>
          <cell r="Z25">
            <v>-1517.7757899999999</v>
          </cell>
        </row>
        <row r="26">
          <cell r="O26">
            <v>0</v>
          </cell>
          <cell r="P26">
            <v>-428.33090497537029</v>
          </cell>
          <cell r="Q26">
            <v>-2339.2618981814662</v>
          </cell>
          <cell r="R26">
            <v>0</v>
          </cell>
          <cell r="S26">
            <v>0</v>
          </cell>
          <cell r="T26">
            <v>-5000</v>
          </cell>
          <cell r="U26">
            <v>0</v>
          </cell>
          <cell r="V26">
            <v>-1344.4701716900011</v>
          </cell>
          <cell r="W26">
            <v>-1553.672292</v>
          </cell>
          <cell r="X26">
            <v>-2737.061221970001</v>
          </cell>
          <cell r="Y26">
            <v>0</v>
          </cell>
          <cell r="Z26">
            <v>-1517.7757899999999</v>
          </cell>
        </row>
        <row r="27">
          <cell r="O27">
            <v>0</v>
          </cell>
          <cell r="P27">
            <v>-312.19433359392752</v>
          </cell>
          <cell r="Q27">
            <v>-3411.674341134491</v>
          </cell>
          <cell r="R27">
            <v>0</v>
          </cell>
          <cell r="S27">
            <v>0</v>
          </cell>
          <cell r="T27">
            <v>-5000</v>
          </cell>
          <cell r="U27">
            <v>0</v>
          </cell>
          <cell r="V27">
            <v>-1344.4701716900011</v>
          </cell>
          <cell r="W27">
            <v>-1553.672292</v>
          </cell>
          <cell r="X27">
            <v>-2737.061221970001</v>
          </cell>
          <cell r="Y27">
            <v>0</v>
          </cell>
          <cell r="Z27">
            <v>-1517.7757899999999</v>
          </cell>
        </row>
        <row r="28">
          <cell r="O28">
            <v>0</v>
          </cell>
          <cell r="P28">
            <v>-256.44228536376318</v>
          </cell>
          <cell r="Q28">
            <v>-3500</v>
          </cell>
          <cell r="R28">
            <v>0</v>
          </cell>
          <cell r="S28">
            <v>0</v>
          </cell>
          <cell r="T28">
            <v>-5000</v>
          </cell>
          <cell r="U28">
            <v>0</v>
          </cell>
          <cell r="V28">
            <v>-1344.4701716900011</v>
          </cell>
          <cell r="W28">
            <v>-1553.672292</v>
          </cell>
          <cell r="X28">
            <v>-2737.061221970001</v>
          </cell>
          <cell r="Y28">
            <v>0</v>
          </cell>
          <cell r="Z28">
            <v>-1517.7757899999999</v>
          </cell>
        </row>
        <row r="29">
          <cell r="O29">
            <v>0</v>
          </cell>
          <cell r="P29">
            <v>-262.17011604786558</v>
          </cell>
          <cell r="Q29">
            <v>-3500</v>
          </cell>
          <cell r="R29">
            <v>0</v>
          </cell>
          <cell r="S29">
            <v>0</v>
          </cell>
          <cell r="T29">
            <v>-5000</v>
          </cell>
          <cell r="U29">
            <v>0</v>
          </cell>
          <cell r="V29">
            <v>-1344.4701716900011</v>
          </cell>
          <cell r="W29">
            <v>-1553.672292</v>
          </cell>
          <cell r="X29">
            <v>-2737.061221970001</v>
          </cell>
          <cell r="Y29">
            <v>0</v>
          </cell>
          <cell r="Z29">
            <v>-1517.7757899999999</v>
          </cell>
        </row>
        <row r="30">
          <cell r="O30">
            <v>0</v>
          </cell>
          <cell r="P30">
            <v>-237.25789398462621</v>
          </cell>
          <cell r="Q30">
            <v>-3500</v>
          </cell>
          <cell r="R30">
            <v>0</v>
          </cell>
          <cell r="S30">
            <v>0</v>
          </cell>
          <cell r="T30">
            <v>-5000</v>
          </cell>
          <cell r="U30">
            <v>0</v>
          </cell>
          <cell r="V30">
            <v>-1353.207928020001</v>
          </cell>
          <cell r="W30">
            <v>-1553.672292</v>
          </cell>
          <cell r="X30">
            <v>-2745.339096390001</v>
          </cell>
          <cell r="Y30">
            <v>0</v>
          </cell>
          <cell r="Z30">
            <v>-1517.7757899999999</v>
          </cell>
        </row>
        <row r="31">
          <cell r="O31">
            <v>0</v>
          </cell>
          <cell r="P31">
            <v>-429.266691067848</v>
          </cell>
          <cell r="Q31">
            <v>-3500</v>
          </cell>
          <cell r="R31">
            <v>0</v>
          </cell>
          <cell r="S31">
            <v>0</v>
          </cell>
          <cell r="T31">
            <v>-5000</v>
          </cell>
          <cell r="U31">
            <v>0</v>
          </cell>
          <cell r="V31">
            <v>-1370.683440700001</v>
          </cell>
          <cell r="W31">
            <v>-1553.672292</v>
          </cell>
          <cell r="X31">
            <v>-2761.8948452400009</v>
          </cell>
          <cell r="Y31">
            <v>0</v>
          </cell>
          <cell r="Z31">
            <v>-1517.7757899999999</v>
          </cell>
        </row>
        <row r="32">
          <cell r="O32">
            <v>0</v>
          </cell>
          <cell r="P32">
            <v>-576.99899561576478</v>
          </cell>
          <cell r="Q32">
            <v>-3042.013365359745</v>
          </cell>
          <cell r="R32">
            <v>0</v>
          </cell>
          <cell r="S32">
            <v>0</v>
          </cell>
          <cell r="T32">
            <v>-5000</v>
          </cell>
          <cell r="U32">
            <v>0</v>
          </cell>
          <cell r="V32">
            <v>-1379.421197040002</v>
          </cell>
          <cell r="W32">
            <v>-1553.672292</v>
          </cell>
          <cell r="X32">
            <v>-2770.1727196700022</v>
          </cell>
          <cell r="Y32">
            <v>0</v>
          </cell>
          <cell r="Z32">
            <v>-1517.7757899999999</v>
          </cell>
        </row>
        <row r="33">
          <cell r="O33">
            <v>0</v>
          </cell>
          <cell r="P33">
            <v>-662.8056933886005</v>
          </cell>
          <cell r="Q33">
            <v>-2548.107571157966</v>
          </cell>
          <cell r="R33">
            <v>0</v>
          </cell>
          <cell r="S33">
            <v>0</v>
          </cell>
          <cell r="T33">
            <v>-5000</v>
          </cell>
          <cell r="U33">
            <v>0</v>
          </cell>
          <cell r="V33">
            <v>-1388.158953370001</v>
          </cell>
          <cell r="W33">
            <v>-1553.672292</v>
          </cell>
          <cell r="X33">
            <v>-2778.4505940900008</v>
          </cell>
          <cell r="Y33">
            <v>0</v>
          </cell>
          <cell r="Z33">
            <v>-1517.7757899999999</v>
          </cell>
        </row>
        <row r="34">
          <cell r="O34">
            <v>0</v>
          </cell>
          <cell r="P34">
            <v>-702.09637126370319</v>
          </cell>
          <cell r="Q34">
            <v>-2406.1339830154279</v>
          </cell>
          <cell r="R34">
            <v>0</v>
          </cell>
          <cell r="S34">
            <v>0</v>
          </cell>
          <cell r="T34">
            <v>-5000</v>
          </cell>
          <cell r="U34">
            <v>0</v>
          </cell>
          <cell r="V34">
            <v>-1388.158953370001</v>
          </cell>
          <cell r="W34">
            <v>-1553.672292</v>
          </cell>
          <cell r="X34">
            <v>-2778.4505940900008</v>
          </cell>
          <cell r="Y34">
            <v>0</v>
          </cell>
          <cell r="Z34">
            <v>-1517.7757899999999</v>
          </cell>
        </row>
        <row r="35">
          <cell r="O35">
            <v>0</v>
          </cell>
          <cell r="P35">
            <v>-44.483042244264198</v>
          </cell>
          <cell r="Q35">
            <v>-3500</v>
          </cell>
          <cell r="R35">
            <v>0</v>
          </cell>
          <cell r="S35">
            <v>0</v>
          </cell>
          <cell r="T35">
            <v>-5000</v>
          </cell>
          <cell r="U35">
            <v>0</v>
          </cell>
          <cell r="V35">
            <v>-1388.158953370001</v>
          </cell>
          <cell r="W35">
            <v>-1553.672292</v>
          </cell>
          <cell r="X35">
            <v>-2778.4505940900008</v>
          </cell>
          <cell r="Y35">
            <v>0</v>
          </cell>
          <cell r="Z35">
            <v>-1517.7757899999999</v>
          </cell>
        </row>
        <row r="36"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-1388.158953370001</v>
          </cell>
          <cell r="W36">
            <v>-1553.672292</v>
          </cell>
          <cell r="X36">
            <v>-2778.4505940900008</v>
          </cell>
          <cell r="Y36">
            <v>0</v>
          </cell>
          <cell r="Z36">
            <v>-1517.7757899999999</v>
          </cell>
        </row>
        <row r="37"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-2933.0934890400022</v>
          </cell>
          <cell r="W37">
            <v>0</v>
          </cell>
          <cell r="X37">
            <v>-2770.1727196700022</v>
          </cell>
          <cell r="Y37">
            <v>0</v>
          </cell>
          <cell r="Z37">
            <v>-1517.7757899999999</v>
          </cell>
        </row>
        <row r="38"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-1933.9773182899989</v>
          </cell>
          <cell r="W38">
            <v>-990.37841441000182</v>
          </cell>
          <cell r="X38">
            <v>-2761.8948452400009</v>
          </cell>
          <cell r="Y38">
            <v>0</v>
          </cell>
          <cell r="Z38">
            <v>-1517.7757899999999</v>
          </cell>
        </row>
        <row r="39"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-2332.9331712499988</v>
          </cell>
          <cell r="W39">
            <v>-591.42256145000192</v>
          </cell>
          <cell r="X39">
            <v>-2761.8948452400009</v>
          </cell>
          <cell r="Y39">
            <v>0</v>
          </cell>
          <cell r="Z39">
            <v>-1517.7757899999999</v>
          </cell>
        </row>
        <row r="40"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-1824.443504430001</v>
          </cell>
          <cell r="W40">
            <v>-1108.649984610001</v>
          </cell>
          <cell r="X40">
            <v>-2770.1727196700022</v>
          </cell>
          <cell r="Y40">
            <v>0</v>
          </cell>
          <cell r="Z40">
            <v>-1517.7757899999999</v>
          </cell>
        </row>
        <row r="41"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-1388.158953370001</v>
          </cell>
          <cell r="W41">
            <v>-1553.672292</v>
          </cell>
          <cell r="X41">
            <v>-2778.4505940900008</v>
          </cell>
          <cell r="Y41">
            <v>0</v>
          </cell>
          <cell r="Z41">
            <v>-1517.7757899999999</v>
          </cell>
        </row>
        <row r="42"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-1388.158953370001</v>
          </cell>
          <cell r="W42">
            <v>-1553.672292</v>
          </cell>
          <cell r="X42">
            <v>-2778.4505940900008</v>
          </cell>
          <cell r="Y42">
            <v>0</v>
          </cell>
          <cell r="Z42">
            <v>-1517.7757899999999</v>
          </cell>
        </row>
        <row r="43">
          <cell r="O43">
            <v>0</v>
          </cell>
          <cell r="P43">
            <v>0</v>
          </cell>
          <cell r="Q43">
            <v>-3500</v>
          </cell>
          <cell r="R43">
            <v>-604.69926895496155</v>
          </cell>
          <cell r="S43">
            <v>0</v>
          </cell>
          <cell r="T43">
            <v>-5000</v>
          </cell>
          <cell r="U43">
            <v>0</v>
          </cell>
          <cell r="V43">
            <v>-570.77895337000155</v>
          </cell>
          <cell r="W43">
            <v>-1553.672292</v>
          </cell>
          <cell r="X43">
            <v>-1961.070594090002</v>
          </cell>
          <cell r="Y43">
            <v>0</v>
          </cell>
          <cell r="Z43">
            <v>-1517.7757899999999</v>
          </cell>
        </row>
        <row r="44">
          <cell r="O44">
            <v>0</v>
          </cell>
          <cell r="P44">
            <v>0</v>
          </cell>
          <cell r="Q44">
            <v>-3500</v>
          </cell>
          <cell r="R44">
            <v>-10.42498893495576</v>
          </cell>
          <cell r="S44">
            <v>0</v>
          </cell>
          <cell r="T44">
            <v>-5000</v>
          </cell>
          <cell r="U44">
            <v>0</v>
          </cell>
          <cell r="V44">
            <v>0</v>
          </cell>
          <cell r="W44">
            <v>-1298.3334890399999</v>
          </cell>
          <cell r="X44">
            <v>-1135.4127196699999</v>
          </cell>
          <cell r="Y44">
            <v>0</v>
          </cell>
          <cell r="Z44">
            <v>-1517.7757899999999</v>
          </cell>
        </row>
        <row r="45">
          <cell r="O45">
            <v>0</v>
          </cell>
          <cell r="P45">
            <v>0</v>
          </cell>
          <cell r="Q45">
            <v>-3500</v>
          </cell>
          <cell r="R45">
            <v>-373.46855269372691</v>
          </cell>
          <cell r="S45">
            <v>0</v>
          </cell>
          <cell r="T45">
            <v>-5000</v>
          </cell>
          <cell r="U45">
            <v>0</v>
          </cell>
          <cell r="V45">
            <v>0</v>
          </cell>
          <cell r="W45">
            <v>-472.21573270000061</v>
          </cell>
          <cell r="X45">
            <v>-309.75484524000058</v>
          </cell>
          <cell r="Y45">
            <v>0</v>
          </cell>
          <cell r="Z45">
            <v>-1517.7757899999999</v>
          </cell>
        </row>
        <row r="46">
          <cell r="O46">
            <v>0</v>
          </cell>
          <cell r="P46">
            <v>0</v>
          </cell>
          <cell r="Q46">
            <v>-3500</v>
          </cell>
          <cell r="R46">
            <v>-539.55921669468967</v>
          </cell>
          <cell r="S46">
            <v>0</v>
          </cell>
          <cell r="T46">
            <v>-5000</v>
          </cell>
          <cell r="U46">
            <v>0</v>
          </cell>
          <cell r="V46">
            <v>0</v>
          </cell>
          <cell r="W46">
            <v>-200.1773068300011</v>
          </cell>
          <cell r="X46">
            <v>-38.176301280001098</v>
          </cell>
          <cell r="Y46">
            <v>0</v>
          </cell>
          <cell r="Z46">
            <v>-1517.7757899999999</v>
          </cell>
        </row>
        <row r="47">
          <cell r="O47">
            <v>0</v>
          </cell>
          <cell r="P47">
            <v>0</v>
          </cell>
          <cell r="Q47">
            <v>-3500</v>
          </cell>
          <cell r="R47">
            <v>-706.45136962340098</v>
          </cell>
          <cell r="S47">
            <v>0</v>
          </cell>
          <cell r="T47">
            <v>-5000</v>
          </cell>
          <cell r="U47">
            <v>0</v>
          </cell>
          <cell r="V47">
            <v>0</v>
          </cell>
          <cell r="W47">
            <v>-161.54112362999999</v>
          </cell>
          <cell r="X47">
            <v>0</v>
          </cell>
          <cell r="Y47">
            <v>0</v>
          </cell>
          <cell r="Z47">
            <v>-1517.7757899999999</v>
          </cell>
        </row>
        <row r="48">
          <cell r="O48">
            <v>0</v>
          </cell>
          <cell r="P48">
            <v>0</v>
          </cell>
          <cell r="Q48">
            <v>-3500</v>
          </cell>
          <cell r="R48">
            <v>-960.92234026231426</v>
          </cell>
          <cell r="S48">
            <v>0</v>
          </cell>
          <cell r="T48">
            <v>-5000</v>
          </cell>
          <cell r="U48">
            <v>0</v>
          </cell>
          <cell r="V48">
            <v>0</v>
          </cell>
          <cell r="W48">
            <v>-161.08124172000001</v>
          </cell>
          <cell r="X48">
            <v>0</v>
          </cell>
          <cell r="Y48">
            <v>0</v>
          </cell>
          <cell r="Z48">
            <v>-1517.7757899999999</v>
          </cell>
        </row>
        <row r="49">
          <cell r="O49">
            <v>0</v>
          </cell>
          <cell r="P49">
            <v>0</v>
          </cell>
          <cell r="Q49">
            <v>-3500</v>
          </cell>
          <cell r="R49">
            <v>-1034.492886511814</v>
          </cell>
          <cell r="S49">
            <v>0</v>
          </cell>
          <cell r="T49">
            <v>-5000</v>
          </cell>
          <cell r="U49">
            <v>0</v>
          </cell>
          <cell r="V49">
            <v>0</v>
          </cell>
          <cell r="W49">
            <v>-161.08124172000001</v>
          </cell>
          <cell r="X49">
            <v>0</v>
          </cell>
          <cell r="Y49">
            <v>0</v>
          </cell>
          <cell r="Z49">
            <v>-1517.7757899999999</v>
          </cell>
        </row>
        <row r="50">
          <cell r="O50">
            <v>0</v>
          </cell>
          <cell r="P50">
            <v>0</v>
          </cell>
          <cell r="Q50">
            <v>-3500</v>
          </cell>
          <cell r="R50">
            <v>-1146.0058325945149</v>
          </cell>
          <cell r="S50">
            <v>0</v>
          </cell>
          <cell r="T50">
            <v>-5000</v>
          </cell>
          <cell r="U50">
            <v>0</v>
          </cell>
          <cell r="V50">
            <v>0</v>
          </cell>
          <cell r="W50">
            <v>-161.08025567000001</v>
          </cell>
          <cell r="X50">
            <v>0</v>
          </cell>
          <cell r="Y50">
            <v>0</v>
          </cell>
          <cell r="Z50">
            <v>-1517.7757899999999</v>
          </cell>
        </row>
        <row r="51">
          <cell r="O51">
            <v>0</v>
          </cell>
          <cell r="P51">
            <v>0</v>
          </cell>
          <cell r="Q51">
            <v>-3500</v>
          </cell>
          <cell r="R51">
            <v>-1246.6447580201329</v>
          </cell>
          <cell r="S51">
            <v>0</v>
          </cell>
          <cell r="T51">
            <v>-5000</v>
          </cell>
          <cell r="U51">
            <v>0</v>
          </cell>
          <cell r="V51">
            <v>0</v>
          </cell>
          <cell r="W51">
            <v>-425.27458601000131</v>
          </cell>
          <cell r="X51">
            <v>-264.19433034000122</v>
          </cell>
          <cell r="Y51">
            <v>0</v>
          </cell>
          <cell r="Z51">
            <v>-1517.7757899999999</v>
          </cell>
        </row>
        <row r="52">
          <cell r="O52">
            <v>0</v>
          </cell>
          <cell r="P52">
            <v>0</v>
          </cell>
          <cell r="Q52">
            <v>-3500</v>
          </cell>
          <cell r="R52">
            <v>-1324.006889978325</v>
          </cell>
          <cell r="S52">
            <v>0</v>
          </cell>
          <cell r="T52">
            <v>-5000</v>
          </cell>
          <cell r="U52">
            <v>0</v>
          </cell>
          <cell r="V52">
            <v>0</v>
          </cell>
          <cell r="W52">
            <v>-1242.65458601</v>
          </cell>
          <cell r="X52">
            <v>-1081.57433034</v>
          </cell>
          <cell r="Y52">
            <v>0</v>
          </cell>
          <cell r="Z52">
            <v>-1517.7757899999999</v>
          </cell>
        </row>
        <row r="53">
          <cell r="O53">
            <v>0</v>
          </cell>
          <cell r="P53">
            <v>0</v>
          </cell>
          <cell r="Q53">
            <v>-3500</v>
          </cell>
          <cell r="R53">
            <v>-1409.0686668474509</v>
          </cell>
          <cell r="S53">
            <v>0</v>
          </cell>
          <cell r="T53">
            <v>-5000</v>
          </cell>
          <cell r="U53">
            <v>0</v>
          </cell>
          <cell r="V53">
            <v>0</v>
          </cell>
          <cell r="W53">
            <v>-995.29626576000101</v>
          </cell>
          <cell r="X53">
            <v>-834.21601009000096</v>
          </cell>
          <cell r="Y53">
            <v>0</v>
          </cell>
          <cell r="Z53">
            <v>-1517.7757899999999</v>
          </cell>
        </row>
        <row r="54">
          <cell r="O54">
            <v>0</v>
          </cell>
          <cell r="P54">
            <v>0</v>
          </cell>
          <cell r="Q54">
            <v>-3500</v>
          </cell>
          <cell r="R54">
            <v>-1429.497333195276</v>
          </cell>
          <cell r="S54">
            <v>0</v>
          </cell>
          <cell r="T54">
            <v>-5000</v>
          </cell>
          <cell r="U54">
            <v>0</v>
          </cell>
          <cell r="V54">
            <v>0</v>
          </cell>
          <cell r="W54">
            <v>-186.65402210000121</v>
          </cell>
          <cell r="X54">
            <v>-25.113884520001189</v>
          </cell>
          <cell r="Y54">
            <v>0</v>
          </cell>
          <cell r="Z54">
            <v>-1517.7757899999999</v>
          </cell>
        </row>
        <row r="55">
          <cell r="O55">
            <v>0</v>
          </cell>
          <cell r="P55">
            <v>0</v>
          </cell>
          <cell r="Q55">
            <v>-3500</v>
          </cell>
          <cell r="R55">
            <v>-1506.0028073360479</v>
          </cell>
          <cell r="S55">
            <v>0</v>
          </cell>
          <cell r="T55">
            <v>-5000</v>
          </cell>
          <cell r="U55">
            <v>0</v>
          </cell>
          <cell r="V55">
            <v>0</v>
          </cell>
          <cell r="W55">
            <v>-162.45990140999999</v>
          </cell>
          <cell r="X55">
            <v>0</v>
          </cell>
          <cell r="Y55">
            <v>0</v>
          </cell>
          <cell r="Z55">
            <v>-1517.7757899999999</v>
          </cell>
        </row>
        <row r="56">
          <cell r="O56">
            <v>0</v>
          </cell>
          <cell r="P56">
            <v>0</v>
          </cell>
          <cell r="Q56">
            <v>-3500</v>
          </cell>
          <cell r="R56">
            <v>-1517.317420635495</v>
          </cell>
          <cell r="S56">
            <v>0</v>
          </cell>
          <cell r="T56">
            <v>-5000</v>
          </cell>
          <cell r="U56">
            <v>0</v>
          </cell>
          <cell r="V56">
            <v>0</v>
          </cell>
          <cell r="W56">
            <v>-162.91978331999999</v>
          </cell>
          <cell r="X56">
            <v>0</v>
          </cell>
          <cell r="Y56">
            <v>0</v>
          </cell>
          <cell r="Z56">
            <v>-1517.7757899999999</v>
          </cell>
        </row>
        <row r="57">
          <cell r="O57">
            <v>0</v>
          </cell>
          <cell r="P57">
            <v>0</v>
          </cell>
          <cell r="Q57">
            <v>-3500</v>
          </cell>
          <cell r="R57">
            <v>-1461.9788894484609</v>
          </cell>
          <cell r="S57">
            <v>0</v>
          </cell>
          <cell r="T57">
            <v>-5000</v>
          </cell>
          <cell r="U57">
            <v>0</v>
          </cell>
          <cell r="V57">
            <v>0</v>
          </cell>
          <cell r="W57">
            <v>-163.37966523</v>
          </cell>
          <cell r="X57">
            <v>0</v>
          </cell>
          <cell r="Y57">
            <v>0</v>
          </cell>
          <cell r="Z57">
            <v>-1517.7757899999999</v>
          </cell>
        </row>
        <row r="58">
          <cell r="O58">
            <v>0</v>
          </cell>
          <cell r="P58">
            <v>0</v>
          </cell>
          <cell r="Q58">
            <v>-3500</v>
          </cell>
          <cell r="R58">
            <v>-1266.2481634936371</v>
          </cell>
          <cell r="S58">
            <v>0</v>
          </cell>
          <cell r="T58">
            <v>-5000</v>
          </cell>
          <cell r="U58">
            <v>0</v>
          </cell>
          <cell r="V58">
            <v>0</v>
          </cell>
          <cell r="W58">
            <v>-958.93186667000214</v>
          </cell>
          <cell r="X58">
            <v>-795.55220144000214</v>
          </cell>
          <cell r="Y58">
            <v>0</v>
          </cell>
          <cell r="Z58">
            <v>-1517.7757899999999</v>
          </cell>
        </row>
        <row r="59">
          <cell r="O59">
            <v>0</v>
          </cell>
          <cell r="P59">
            <v>0</v>
          </cell>
          <cell r="Q59">
            <v>-3500</v>
          </cell>
          <cell r="R59">
            <v>-1595.132314041422</v>
          </cell>
          <cell r="S59">
            <v>0</v>
          </cell>
          <cell r="T59">
            <v>-5000</v>
          </cell>
          <cell r="U59">
            <v>0</v>
          </cell>
          <cell r="V59">
            <v>-222.63957466999949</v>
          </cell>
          <cell r="W59">
            <v>-1553.672292</v>
          </cell>
          <cell r="X59">
            <v>-1612.93220144</v>
          </cell>
          <cell r="Y59">
            <v>0</v>
          </cell>
          <cell r="Z59">
            <v>-1517.7757899999999</v>
          </cell>
        </row>
        <row r="60"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-1040.019574670001</v>
          </cell>
          <cell r="W60">
            <v>-1553.672292</v>
          </cell>
          <cell r="X60">
            <v>-2430.312201440001</v>
          </cell>
          <cell r="Y60">
            <v>0</v>
          </cell>
          <cell r="Z60">
            <v>-1517.7757899999999</v>
          </cell>
        </row>
        <row r="61"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-1379.4024620900011</v>
          </cell>
          <cell r="W61">
            <v>-1553.672292</v>
          </cell>
          <cell r="X61">
            <v>-2770.154970770001</v>
          </cell>
          <cell r="Y61">
            <v>0</v>
          </cell>
          <cell r="Z61">
            <v>-1517.7757899999999</v>
          </cell>
        </row>
        <row r="62"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-1370.6647057500011</v>
          </cell>
          <cell r="W62">
            <v>-1553.672292</v>
          </cell>
          <cell r="X62">
            <v>-2761.8770963400011</v>
          </cell>
          <cell r="Y62">
            <v>0</v>
          </cell>
          <cell r="Z62">
            <v>-1517.7757899999999</v>
          </cell>
        </row>
        <row r="63"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-1370.6647057500011</v>
          </cell>
          <cell r="W63">
            <v>-1553.672292</v>
          </cell>
          <cell r="X63">
            <v>-2761.8770963400011</v>
          </cell>
          <cell r="Y63">
            <v>0</v>
          </cell>
          <cell r="Z63">
            <v>-1517.7757899999999</v>
          </cell>
        </row>
        <row r="64"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-1379.4024620900011</v>
          </cell>
          <cell r="W64">
            <v>-1553.672292</v>
          </cell>
          <cell r="X64">
            <v>-2770.154970770001</v>
          </cell>
          <cell r="Y64">
            <v>0</v>
          </cell>
          <cell r="Z64">
            <v>-1517.7757899999999</v>
          </cell>
        </row>
        <row r="65"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-850.09095222000133</v>
          </cell>
          <cell r="W65">
            <v>-1553.672292</v>
          </cell>
          <cell r="X65">
            <v>-2240.3835789900008</v>
          </cell>
          <cell r="Y65">
            <v>0</v>
          </cell>
          <cell r="Z65">
            <v>-1517.7757899999999</v>
          </cell>
        </row>
        <row r="66"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-1008.466204607126</v>
          </cell>
          <cell r="W66">
            <v>-577.91703961287408</v>
          </cell>
          <cell r="X66">
            <v>-1423.0035789900001</v>
          </cell>
          <cell r="Y66">
            <v>0</v>
          </cell>
          <cell r="Z66">
            <v>-1517.7757899999999</v>
          </cell>
        </row>
        <row r="67">
          <cell r="O67">
            <v>0</v>
          </cell>
          <cell r="P67">
            <v>0</v>
          </cell>
          <cell r="Q67">
            <v>-3500</v>
          </cell>
          <cell r="R67">
            <v>-1122.6114256643641</v>
          </cell>
          <cell r="S67">
            <v>-3482.4260099321468</v>
          </cell>
          <cell r="T67">
            <v>0</v>
          </cell>
          <cell r="U67">
            <v>0</v>
          </cell>
          <cell r="V67">
            <v>0</v>
          </cell>
          <cell r="W67">
            <v>-367.62033477</v>
          </cell>
          <cell r="X67">
            <v>-799.24066954</v>
          </cell>
          <cell r="Y67">
            <v>0</v>
          </cell>
          <cell r="Z67">
            <v>-1517.7757899999999</v>
          </cell>
        </row>
        <row r="68">
          <cell r="O68">
            <v>0</v>
          </cell>
          <cell r="P68">
            <v>0</v>
          </cell>
          <cell r="Q68">
            <v>-3500</v>
          </cell>
          <cell r="R68">
            <v>-251.61984933108619</v>
          </cell>
          <cell r="S68">
            <v>-4818.7042784177102</v>
          </cell>
          <cell r="T68">
            <v>0</v>
          </cell>
          <cell r="U68">
            <v>0</v>
          </cell>
          <cell r="V68">
            <v>0</v>
          </cell>
          <cell r="W68">
            <v>-368.08021667999998</v>
          </cell>
          <cell r="X68">
            <v>-800.16043336000007</v>
          </cell>
          <cell r="Y68">
            <v>0</v>
          </cell>
          <cell r="Z68">
            <v>-1517.7757899999999</v>
          </cell>
        </row>
        <row r="69">
          <cell r="O69">
            <v>0</v>
          </cell>
          <cell r="P69">
            <v>0</v>
          </cell>
          <cell r="Q69">
            <v>-3500</v>
          </cell>
          <cell r="R69">
            <v>-541.84149674681589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-368.54009859000001</v>
          </cell>
          <cell r="X69">
            <v>-801.08019718000003</v>
          </cell>
          <cell r="Y69">
            <v>0</v>
          </cell>
          <cell r="Z69">
            <v>-1517.7757899999999</v>
          </cell>
        </row>
        <row r="70">
          <cell r="O70">
            <v>0</v>
          </cell>
          <cell r="P70">
            <v>0</v>
          </cell>
          <cell r="Q70">
            <v>-3500</v>
          </cell>
          <cell r="R70">
            <v>-652.4395399621194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-368.99998049999999</v>
          </cell>
          <cell r="X70">
            <v>-801.99996099999998</v>
          </cell>
          <cell r="Y70">
            <v>0</v>
          </cell>
          <cell r="Z70">
            <v>-1517.7757899999999</v>
          </cell>
        </row>
        <row r="71">
          <cell r="O71">
            <v>0</v>
          </cell>
          <cell r="P71">
            <v>0</v>
          </cell>
          <cell r="Q71">
            <v>-3500</v>
          </cell>
          <cell r="R71">
            <v>-580.35991113008367</v>
          </cell>
          <cell r="S71">
            <v>0</v>
          </cell>
          <cell r="T71">
            <v>-2148.3853039178548</v>
          </cell>
          <cell r="U71">
            <v>0</v>
          </cell>
          <cell r="V71">
            <v>0</v>
          </cell>
          <cell r="W71">
            <v>-369.45986241999998</v>
          </cell>
          <cell r="X71">
            <v>-802.91972484000007</v>
          </cell>
          <cell r="Y71">
            <v>0</v>
          </cell>
          <cell r="Z71">
            <v>-1517.7757899999999</v>
          </cell>
        </row>
        <row r="72">
          <cell r="O72">
            <v>0</v>
          </cell>
          <cell r="P72">
            <v>0</v>
          </cell>
          <cell r="Q72">
            <v>-3500</v>
          </cell>
          <cell r="R72">
            <v>-547.83879203060178</v>
          </cell>
          <cell r="S72">
            <v>0</v>
          </cell>
          <cell r="T72">
            <v>-2769.0522589178549</v>
          </cell>
          <cell r="U72">
            <v>0</v>
          </cell>
          <cell r="V72">
            <v>0</v>
          </cell>
          <cell r="W72">
            <v>-369.91974433000001</v>
          </cell>
          <cell r="X72">
            <v>-803.83948865999992</v>
          </cell>
          <cell r="Y72">
            <v>0</v>
          </cell>
          <cell r="Z72">
            <v>-1517.7757899999999</v>
          </cell>
        </row>
        <row r="73">
          <cell r="O73">
            <v>0</v>
          </cell>
          <cell r="P73">
            <v>0</v>
          </cell>
          <cell r="Q73">
            <v>-3500</v>
          </cell>
          <cell r="R73">
            <v>-664.67355138308631</v>
          </cell>
          <cell r="S73">
            <v>0</v>
          </cell>
          <cell r="T73">
            <v>-5000</v>
          </cell>
          <cell r="U73">
            <v>0</v>
          </cell>
          <cell r="V73">
            <v>0</v>
          </cell>
          <cell r="W73">
            <v>-369.91974433000001</v>
          </cell>
          <cell r="X73">
            <v>-381.13946916750268</v>
          </cell>
          <cell r="Y73">
            <v>0</v>
          </cell>
          <cell r="Z73">
            <v>-1517.7757899999999</v>
          </cell>
        </row>
        <row r="74">
          <cell r="O74">
            <v>0</v>
          </cell>
          <cell r="P74">
            <v>0</v>
          </cell>
          <cell r="Q74">
            <v>-3500</v>
          </cell>
          <cell r="R74">
            <v>-702.73418054939384</v>
          </cell>
          <cell r="S74">
            <v>0</v>
          </cell>
          <cell r="T74">
            <v>-5000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-161.07926961999999</v>
          </cell>
          <cell r="Z74">
            <v>-1517.7757899999999</v>
          </cell>
        </row>
        <row r="75">
          <cell r="O75">
            <v>0</v>
          </cell>
          <cell r="P75">
            <v>0</v>
          </cell>
          <cell r="Q75">
            <v>-3500</v>
          </cell>
          <cell r="R75">
            <v>-631.26803881742489</v>
          </cell>
          <cell r="S75">
            <v>0</v>
          </cell>
          <cell r="T75">
            <v>-5000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-161.07926961999999</v>
          </cell>
          <cell r="Z75">
            <v>-1517.7757899999999</v>
          </cell>
        </row>
        <row r="76">
          <cell r="O76">
            <v>0</v>
          </cell>
          <cell r="P76">
            <v>0</v>
          </cell>
          <cell r="Q76">
            <v>-3500</v>
          </cell>
          <cell r="R76">
            <v>-642.07836699090512</v>
          </cell>
          <cell r="S76">
            <v>0</v>
          </cell>
          <cell r="T76">
            <v>-5000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-161.07926961999999</v>
          </cell>
          <cell r="Z76">
            <v>-1517.7757899999999</v>
          </cell>
        </row>
        <row r="77">
          <cell r="O77">
            <v>0</v>
          </cell>
          <cell r="P77">
            <v>0</v>
          </cell>
          <cell r="Q77">
            <v>-3500</v>
          </cell>
          <cell r="R77">
            <v>-693.78782755329894</v>
          </cell>
          <cell r="S77">
            <v>0</v>
          </cell>
          <cell r="T77">
            <v>-5000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-161.07926961999999</v>
          </cell>
          <cell r="Z77">
            <v>-1517.7757899999999</v>
          </cell>
        </row>
        <row r="78">
          <cell r="O78">
            <v>0</v>
          </cell>
          <cell r="P78">
            <v>0</v>
          </cell>
          <cell r="Q78">
            <v>-3500</v>
          </cell>
          <cell r="R78">
            <v>-648.03826291732594</v>
          </cell>
          <cell r="S78">
            <v>0</v>
          </cell>
          <cell r="T78">
            <v>-5000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-161.53915153</v>
          </cell>
          <cell r="Z78">
            <v>-1517.7757899999999</v>
          </cell>
        </row>
        <row r="79">
          <cell r="O79">
            <v>0</v>
          </cell>
          <cell r="P79">
            <v>0</v>
          </cell>
          <cell r="Q79">
            <v>-3500</v>
          </cell>
          <cell r="R79">
            <v>-503.9214155596344</v>
          </cell>
          <cell r="S79">
            <v>0</v>
          </cell>
          <cell r="T79">
            <v>-5000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-162.45891535999999</v>
          </cell>
          <cell r="Z79">
            <v>-1517.7757899999999</v>
          </cell>
        </row>
        <row r="80">
          <cell r="O80">
            <v>0</v>
          </cell>
          <cell r="P80">
            <v>0</v>
          </cell>
          <cell r="Q80">
            <v>-3500</v>
          </cell>
          <cell r="R80">
            <v>-356.59474372165351</v>
          </cell>
          <cell r="S80">
            <v>0</v>
          </cell>
          <cell r="T80">
            <v>-2682.8524612642832</v>
          </cell>
          <cell r="U80">
            <v>0</v>
          </cell>
          <cell r="V80">
            <v>0</v>
          </cell>
          <cell r="W80">
            <v>-368.08120272999997</v>
          </cell>
          <cell r="X80">
            <v>-800.16240545999995</v>
          </cell>
          <cell r="Y80">
            <v>0</v>
          </cell>
          <cell r="Z80">
            <v>-1517.7757899999999</v>
          </cell>
        </row>
        <row r="81">
          <cell r="O81">
            <v>0</v>
          </cell>
          <cell r="P81">
            <v>0</v>
          </cell>
          <cell r="Q81">
            <v>-3500</v>
          </cell>
          <cell r="R81">
            <v>-157.1324797640971</v>
          </cell>
          <cell r="S81">
            <v>0</v>
          </cell>
          <cell r="T81">
            <v>-1.1814277785706511</v>
          </cell>
          <cell r="U81">
            <v>0</v>
          </cell>
          <cell r="V81">
            <v>0</v>
          </cell>
          <cell r="W81">
            <v>-367.62132081999999</v>
          </cell>
          <cell r="X81">
            <v>-799.24264163999999</v>
          </cell>
          <cell r="Y81">
            <v>0</v>
          </cell>
          <cell r="Z81">
            <v>-1517.7757899999999</v>
          </cell>
        </row>
        <row r="82">
          <cell r="O82">
            <v>0</v>
          </cell>
          <cell r="P82">
            <v>-36.468832563188023</v>
          </cell>
          <cell r="Q82">
            <v>-3500</v>
          </cell>
          <cell r="R82">
            <v>0</v>
          </cell>
          <cell r="S82">
            <v>0</v>
          </cell>
          <cell r="T82">
            <v>-1668.6520095928549</v>
          </cell>
          <cell r="U82">
            <v>0</v>
          </cell>
          <cell r="V82">
            <v>0</v>
          </cell>
          <cell r="W82">
            <v>-667.43725518000042</v>
          </cell>
          <cell r="X82">
            <v>-1099.0585759999999</v>
          </cell>
          <cell r="Y82">
            <v>0</v>
          </cell>
          <cell r="Z82">
            <v>-1517.7757899999999</v>
          </cell>
        </row>
        <row r="83">
          <cell r="O83">
            <v>0</v>
          </cell>
          <cell r="P83">
            <v>-4.9542352153926004</v>
          </cell>
          <cell r="Q83">
            <v>-3500</v>
          </cell>
          <cell r="R83">
            <v>0</v>
          </cell>
          <cell r="S83">
            <v>0</v>
          </cell>
          <cell r="T83">
            <v>-5000</v>
          </cell>
          <cell r="U83">
            <v>0</v>
          </cell>
          <cell r="V83">
            <v>-526.14496318000147</v>
          </cell>
          <cell r="W83">
            <v>-1553.672292</v>
          </cell>
          <cell r="X83">
            <v>-1916.4385760000009</v>
          </cell>
          <cell r="Y83">
            <v>0</v>
          </cell>
          <cell r="Z83">
            <v>-1517.7757899999999</v>
          </cell>
        </row>
        <row r="84">
          <cell r="O84">
            <v>0</v>
          </cell>
          <cell r="P84">
            <v>0</v>
          </cell>
          <cell r="Q84">
            <v>0</v>
          </cell>
          <cell r="R84">
            <v>-599.95733799793197</v>
          </cell>
          <cell r="S84">
            <v>0</v>
          </cell>
          <cell r="T84">
            <v>0</v>
          </cell>
          <cell r="U84">
            <v>0</v>
          </cell>
          <cell r="V84">
            <v>-1343.524963180002</v>
          </cell>
          <cell r="W84">
            <v>-1553.672292</v>
          </cell>
          <cell r="X84">
            <v>-2733.8185760000019</v>
          </cell>
          <cell r="Y84">
            <v>0</v>
          </cell>
          <cell r="Z84">
            <v>-1517.7757899999999</v>
          </cell>
        </row>
        <row r="85"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-2933.0560191400009</v>
          </cell>
          <cell r="W85">
            <v>0</v>
          </cell>
          <cell r="X85">
            <v>-2770.1372218700012</v>
          </cell>
          <cell r="Y85">
            <v>0</v>
          </cell>
          <cell r="Z85">
            <v>-1517.7757899999999</v>
          </cell>
        </row>
        <row r="86"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-1370.6459708000009</v>
          </cell>
          <cell r="W86">
            <v>-1553.672292</v>
          </cell>
          <cell r="X86">
            <v>-2761.8593474400009</v>
          </cell>
          <cell r="Y86">
            <v>0</v>
          </cell>
          <cell r="Z86">
            <v>-1517.7757899999999</v>
          </cell>
        </row>
        <row r="87"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-1370.6459708000009</v>
          </cell>
          <cell r="W87">
            <v>-1553.672292</v>
          </cell>
          <cell r="X87">
            <v>-2761.8593474400009</v>
          </cell>
          <cell r="Y87">
            <v>0</v>
          </cell>
          <cell r="Z87">
            <v>-1517.7757899999999</v>
          </cell>
        </row>
        <row r="88"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-1379.3837271400009</v>
          </cell>
          <cell r="W88">
            <v>-1553.672292</v>
          </cell>
          <cell r="X88">
            <v>-2770.1372218700012</v>
          </cell>
          <cell r="Y88">
            <v>0</v>
          </cell>
          <cell r="Z88">
            <v>-1517.7757899999999</v>
          </cell>
        </row>
        <row r="89"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-1388.1214834700011</v>
          </cell>
          <cell r="W89">
            <v>-1553.672292</v>
          </cell>
          <cell r="X89">
            <v>-2778.4150962900012</v>
          </cell>
          <cell r="Y89">
            <v>0</v>
          </cell>
          <cell r="Z89">
            <v>-1517.7757899999999</v>
          </cell>
        </row>
        <row r="90"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-1388.1214834700011</v>
          </cell>
          <cell r="W90">
            <v>-1553.672292</v>
          </cell>
          <cell r="X90">
            <v>-2778.4150962900012</v>
          </cell>
          <cell r="Y90">
            <v>0</v>
          </cell>
          <cell r="Z90">
            <v>-1517.7757899999999</v>
          </cell>
        </row>
        <row r="91">
          <cell r="O91">
            <v>0</v>
          </cell>
          <cell r="P91">
            <v>0</v>
          </cell>
          <cell r="Q91">
            <v>-3500</v>
          </cell>
          <cell r="R91">
            <v>-206.21612525700581</v>
          </cell>
          <cell r="S91">
            <v>0</v>
          </cell>
          <cell r="T91">
            <v>-5000</v>
          </cell>
          <cell r="U91">
            <v>0</v>
          </cell>
          <cell r="V91">
            <v>-1388.1214834700011</v>
          </cell>
          <cell r="W91">
            <v>-1553.672292</v>
          </cell>
          <cell r="X91">
            <v>-2778.4150962900012</v>
          </cell>
          <cell r="Y91">
            <v>0</v>
          </cell>
          <cell r="Z91">
            <v>-1517.7757899999999</v>
          </cell>
        </row>
        <row r="92">
          <cell r="O92">
            <v>0</v>
          </cell>
          <cell r="P92">
            <v>0</v>
          </cell>
          <cell r="Q92">
            <v>-3500</v>
          </cell>
          <cell r="R92">
            <v>-55.679451446244911</v>
          </cell>
          <cell r="S92">
            <v>0</v>
          </cell>
          <cell r="T92">
            <v>-5000</v>
          </cell>
          <cell r="U92">
            <v>0</v>
          </cell>
          <cell r="V92">
            <v>-1379.3837271400009</v>
          </cell>
          <cell r="W92">
            <v>-1553.672292</v>
          </cell>
          <cell r="X92">
            <v>-2770.1372218700012</v>
          </cell>
          <cell r="Y92">
            <v>0</v>
          </cell>
          <cell r="Z92">
            <v>-1517.7757899999999</v>
          </cell>
        </row>
        <row r="93">
          <cell r="O93">
            <v>0</v>
          </cell>
          <cell r="P93">
            <v>0</v>
          </cell>
          <cell r="Q93">
            <v>-3500</v>
          </cell>
          <cell r="R93">
            <v>-391.39801177263638</v>
          </cell>
          <cell r="S93">
            <v>0</v>
          </cell>
          <cell r="T93">
            <v>-5000</v>
          </cell>
          <cell r="U93">
            <v>0</v>
          </cell>
          <cell r="V93">
            <v>-1370.6459708000009</v>
          </cell>
          <cell r="W93">
            <v>-1553.672292</v>
          </cell>
          <cell r="X93">
            <v>-2761.8593474400009</v>
          </cell>
          <cell r="Y93">
            <v>0</v>
          </cell>
          <cell r="Z93">
            <v>-1517.7757899999999</v>
          </cell>
        </row>
        <row r="94">
          <cell r="O94">
            <v>0</v>
          </cell>
          <cell r="P94">
            <v>0</v>
          </cell>
          <cell r="Q94">
            <v>-3500</v>
          </cell>
          <cell r="R94">
            <v>-615.95780288601827</v>
          </cell>
          <cell r="S94">
            <v>0</v>
          </cell>
          <cell r="T94">
            <v>-5000</v>
          </cell>
          <cell r="U94">
            <v>0</v>
          </cell>
          <cell r="V94">
            <v>-1361.90821446</v>
          </cell>
          <cell r="W94">
            <v>-1553.672292</v>
          </cell>
          <cell r="X94">
            <v>-2753.5814730100001</v>
          </cell>
          <cell r="Y94">
            <v>0</v>
          </cell>
          <cell r="Z94">
            <v>-1517.7757899999999</v>
          </cell>
        </row>
        <row r="95">
          <cell r="O95">
            <v>0</v>
          </cell>
          <cell r="P95">
            <v>0</v>
          </cell>
          <cell r="Q95">
            <v>-3500</v>
          </cell>
          <cell r="R95">
            <v>-661.98110698585128</v>
          </cell>
          <cell r="S95">
            <v>0</v>
          </cell>
          <cell r="T95">
            <v>-5000</v>
          </cell>
          <cell r="U95">
            <v>0</v>
          </cell>
          <cell r="V95">
            <v>-1353.170458120002</v>
          </cell>
          <cell r="W95">
            <v>-1553.672292</v>
          </cell>
          <cell r="X95">
            <v>-2745.303598590001</v>
          </cell>
          <cell r="Y95">
            <v>0</v>
          </cell>
          <cell r="Z95">
            <v>-1517.7757899999999</v>
          </cell>
        </row>
        <row r="96">
          <cell r="O96">
            <v>0</v>
          </cell>
          <cell r="P96">
            <v>0</v>
          </cell>
          <cell r="Q96">
            <v>-3500</v>
          </cell>
          <cell r="R96">
            <v>-609.55224137759001</v>
          </cell>
          <cell r="S96">
            <v>0</v>
          </cell>
          <cell r="T96">
            <v>-5000</v>
          </cell>
          <cell r="U96">
            <v>0</v>
          </cell>
          <cell r="V96">
            <v>-1344.4327017800019</v>
          </cell>
          <cell r="W96">
            <v>-1553.672292</v>
          </cell>
          <cell r="X96">
            <v>-2737.025724160002</v>
          </cell>
          <cell r="Y96">
            <v>0</v>
          </cell>
          <cell r="Z96">
            <v>-1517.7757899999999</v>
          </cell>
        </row>
        <row r="97">
          <cell r="O97">
            <v>0</v>
          </cell>
          <cell r="P97">
            <v>0</v>
          </cell>
          <cell r="Q97">
            <v>-3500</v>
          </cell>
          <cell r="R97">
            <v>-215.64685102274669</v>
          </cell>
          <cell r="S97">
            <v>0</v>
          </cell>
          <cell r="T97">
            <v>-5000</v>
          </cell>
          <cell r="U97">
            <v>0</v>
          </cell>
          <cell r="V97">
            <v>-1344.4327017800019</v>
          </cell>
          <cell r="W97">
            <v>-1553.672292</v>
          </cell>
          <cell r="X97">
            <v>-2737.025724160002</v>
          </cell>
          <cell r="Y97">
            <v>0</v>
          </cell>
          <cell r="Z97">
            <v>-1517.7757899999999</v>
          </cell>
        </row>
        <row r="98">
          <cell r="O98">
            <v>0</v>
          </cell>
          <cell r="P98">
            <v>-412.12010119806251</v>
          </cell>
          <cell r="Q98">
            <v>-2167.4129984848282</v>
          </cell>
          <cell r="R98">
            <v>0</v>
          </cell>
          <cell r="S98">
            <v>0</v>
          </cell>
          <cell r="T98">
            <v>-5000</v>
          </cell>
          <cell r="U98">
            <v>0</v>
          </cell>
          <cell r="V98">
            <v>-1344.4139668299999</v>
          </cell>
          <cell r="W98">
            <v>-1553.672292</v>
          </cell>
          <cell r="X98">
            <v>-2737.00797526</v>
          </cell>
          <cell r="Y98">
            <v>0</v>
          </cell>
          <cell r="Z98">
            <v>-1517.7757899999999</v>
          </cell>
        </row>
        <row r="99">
          <cell r="O99">
            <v>0</v>
          </cell>
          <cell r="P99">
            <v>-733.71458425885317</v>
          </cell>
          <cell r="Q99">
            <v>-593.01161124927194</v>
          </cell>
          <cell r="R99">
            <v>0</v>
          </cell>
          <cell r="S99">
            <v>0</v>
          </cell>
          <cell r="T99">
            <v>-5000</v>
          </cell>
          <cell r="U99">
            <v>0</v>
          </cell>
          <cell r="V99">
            <v>-1344.4139668299999</v>
          </cell>
          <cell r="W99">
            <v>-1553.672292</v>
          </cell>
          <cell r="X99">
            <v>-2737.00797526</v>
          </cell>
          <cell r="Y99">
            <v>0</v>
          </cell>
          <cell r="Z99">
            <v>-1517.7757899999999</v>
          </cell>
        </row>
        <row r="100">
          <cell r="O100">
            <v>0</v>
          </cell>
          <cell r="P100">
            <v>-811.64726331380393</v>
          </cell>
          <cell r="Q100">
            <v>-551.57133327520182</v>
          </cell>
          <cell r="R100">
            <v>0</v>
          </cell>
          <cell r="S100">
            <v>0</v>
          </cell>
          <cell r="T100">
            <v>-5000</v>
          </cell>
          <cell r="U100">
            <v>0</v>
          </cell>
          <cell r="V100">
            <v>-1344.4139668299999</v>
          </cell>
          <cell r="W100">
            <v>-1553.672292</v>
          </cell>
          <cell r="X100">
            <v>-2737.00797526</v>
          </cell>
          <cell r="Y100">
            <v>0</v>
          </cell>
          <cell r="Z100">
            <v>-1517.7757899999999</v>
          </cell>
        </row>
        <row r="101">
          <cell r="O101">
            <v>0</v>
          </cell>
          <cell r="P101">
            <v>-890.42656708137497</v>
          </cell>
          <cell r="Q101">
            <v>-196.15357430270271</v>
          </cell>
          <cell r="R101">
            <v>0</v>
          </cell>
          <cell r="S101">
            <v>0</v>
          </cell>
          <cell r="T101">
            <v>-5000</v>
          </cell>
          <cell r="U101">
            <v>0</v>
          </cell>
          <cell r="V101">
            <v>-1344.4139668299999</v>
          </cell>
          <cell r="W101">
            <v>-1553.672292</v>
          </cell>
          <cell r="X101">
            <v>-2737.00797526</v>
          </cell>
          <cell r="Y101">
            <v>0</v>
          </cell>
          <cell r="Z101">
            <v>-1517.7757899999999</v>
          </cell>
        </row>
        <row r="102">
          <cell r="O102">
            <v>-176.15218191426169</v>
          </cell>
          <cell r="P102">
            <v>-951.29716451645982</v>
          </cell>
          <cell r="Q102">
            <v>0</v>
          </cell>
          <cell r="R102">
            <v>0</v>
          </cell>
          <cell r="S102">
            <v>0</v>
          </cell>
          <cell r="T102">
            <v>-5000</v>
          </cell>
          <cell r="U102">
            <v>0</v>
          </cell>
          <cell r="V102">
            <v>-1353.151723170002</v>
          </cell>
          <cell r="W102">
            <v>-1553.672292</v>
          </cell>
          <cell r="X102">
            <v>-2745.2858496900021</v>
          </cell>
          <cell r="Y102">
            <v>0</v>
          </cell>
          <cell r="Z102">
            <v>-1517.7757899999999</v>
          </cell>
        </row>
        <row r="103">
          <cell r="O103">
            <v>-528.98647520719101</v>
          </cell>
          <cell r="P103">
            <v>-1084.899945785329</v>
          </cell>
          <cell r="Q103">
            <v>0</v>
          </cell>
          <cell r="R103">
            <v>0</v>
          </cell>
          <cell r="S103">
            <v>0</v>
          </cell>
          <cell r="T103">
            <v>-2549.5554269172908</v>
          </cell>
          <cell r="U103">
            <v>0</v>
          </cell>
          <cell r="V103">
            <v>-1370.6272358500021</v>
          </cell>
          <cell r="W103">
            <v>-1553.672292</v>
          </cell>
          <cell r="X103">
            <v>-2761.841598540002</v>
          </cell>
          <cell r="Y103">
            <v>0</v>
          </cell>
          <cell r="Z103">
            <v>-1517.7757899999999</v>
          </cell>
        </row>
        <row r="104">
          <cell r="O104">
            <v>-892.68473554286561</v>
          </cell>
          <cell r="P104">
            <v>-1183.884224252997</v>
          </cell>
          <cell r="Q104">
            <v>0</v>
          </cell>
          <cell r="R104">
            <v>0</v>
          </cell>
          <cell r="S104">
            <v>0</v>
          </cell>
          <cell r="T104">
            <v>-2699.7843406537831</v>
          </cell>
          <cell r="U104">
            <v>0</v>
          </cell>
          <cell r="V104">
            <v>-1379.3649921799999</v>
          </cell>
          <cell r="W104">
            <v>-1553.672292</v>
          </cell>
          <cell r="X104">
            <v>-2770.1194729600002</v>
          </cell>
          <cell r="Y104">
            <v>0</v>
          </cell>
          <cell r="Z104">
            <v>-1517.7757899999999</v>
          </cell>
        </row>
        <row r="105">
          <cell r="O105">
            <v>-1455.227486494276</v>
          </cell>
          <cell r="P105">
            <v>-1282.6915052162101</v>
          </cell>
          <cell r="Q105">
            <v>0</v>
          </cell>
          <cell r="R105">
            <v>0</v>
          </cell>
          <cell r="S105">
            <v>0</v>
          </cell>
          <cell r="T105">
            <v>-4141.7619571587156</v>
          </cell>
          <cell r="U105">
            <v>0</v>
          </cell>
          <cell r="V105">
            <v>-1388.102748520002</v>
          </cell>
          <cell r="W105">
            <v>-1553.672292</v>
          </cell>
          <cell r="X105">
            <v>-2778.397347390001</v>
          </cell>
          <cell r="Y105">
            <v>0</v>
          </cell>
          <cell r="Z105">
            <v>-1517.7757899999999</v>
          </cell>
        </row>
        <row r="106">
          <cell r="O106">
            <v>-2191.2643953800621</v>
          </cell>
          <cell r="P106">
            <v>-1421.9847418364791</v>
          </cell>
          <cell r="Q106">
            <v>0</v>
          </cell>
          <cell r="R106">
            <v>0</v>
          </cell>
          <cell r="S106">
            <v>0</v>
          </cell>
          <cell r="T106">
            <v>-2284.0550957169398</v>
          </cell>
          <cell r="U106">
            <v>0</v>
          </cell>
          <cell r="V106">
            <v>-1388.102748520002</v>
          </cell>
          <cell r="W106">
            <v>-1553.672292</v>
          </cell>
          <cell r="X106">
            <v>-2778.397347390001</v>
          </cell>
          <cell r="Y106">
            <v>0</v>
          </cell>
          <cell r="Z106">
            <v>-1517.7757899999999</v>
          </cell>
        </row>
        <row r="107">
          <cell r="O107">
            <v>0</v>
          </cell>
          <cell r="P107">
            <v>-1030.582964590365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-1388.102748520002</v>
          </cell>
          <cell r="W107">
            <v>-1553.672292</v>
          </cell>
          <cell r="X107">
            <v>-2778.397347390001</v>
          </cell>
          <cell r="Y107">
            <v>0</v>
          </cell>
          <cell r="Z107">
            <v>-1517.7757899999999</v>
          </cell>
        </row>
        <row r="108"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-2339.2483232499981</v>
          </cell>
          <cell r="W108">
            <v>-602.52671727000325</v>
          </cell>
          <cell r="X108">
            <v>-2778.397347390001</v>
          </cell>
          <cell r="Y108">
            <v>0</v>
          </cell>
          <cell r="Z108">
            <v>-1517.7757899999999</v>
          </cell>
        </row>
        <row r="109"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-2933.0372841799999</v>
          </cell>
          <cell r="W109">
            <v>0</v>
          </cell>
          <cell r="X109">
            <v>-2770.1194729600002</v>
          </cell>
          <cell r="Y109">
            <v>0</v>
          </cell>
          <cell r="Z109">
            <v>-1517.7757899999999</v>
          </cell>
        </row>
        <row r="110"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-1370.6272358500021</v>
          </cell>
          <cell r="W110">
            <v>-1553.672292</v>
          </cell>
          <cell r="X110">
            <v>-2761.841598540002</v>
          </cell>
          <cell r="Y110">
            <v>0</v>
          </cell>
          <cell r="Z110">
            <v>-1517.7757899999999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-2924.2995278500021</v>
          </cell>
          <cell r="W111">
            <v>0</v>
          </cell>
          <cell r="X111">
            <v>-2761.841598540002</v>
          </cell>
          <cell r="Y111">
            <v>0</v>
          </cell>
          <cell r="Z111">
            <v>-1517.7757899999999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-2933.0372841799999</v>
          </cell>
          <cell r="W112">
            <v>0</v>
          </cell>
          <cell r="X112">
            <v>-2770.1194729600002</v>
          </cell>
          <cell r="Y112">
            <v>0</v>
          </cell>
          <cell r="Z112">
            <v>-1517.7757899999999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-2941.7750405200009</v>
          </cell>
          <cell r="W113">
            <v>0</v>
          </cell>
          <cell r="X113">
            <v>-2778.397347390001</v>
          </cell>
          <cell r="Y113">
            <v>0</v>
          </cell>
          <cell r="Z113">
            <v>-1517.7757899999999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-1388.102748520002</v>
          </cell>
          <cell r="W114">
            <v>-1553.672292</v>
          </cell>
          <cell r="X114">
            <v>-2778.397347390001</v>
          </cell>
          <cell r="Y114">
            <v>0</v>
          </cell>
          <cell r="Z114">
            <v>-1517.7757899999999</v>
          </cell>
        </row>
        <row r="115">
          <cell r="O115">
            <v>0</v>
          </cell>
          <cell r="P115">
            <v>-695.87308344821759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-1388.102748520002</v>
          </cell>
          <cell r="W115">
            <v>-1553.672292</v>
          </cell>
          <cell r="X115">
            <v>-2778.397347390001</v>
          </cell>
          <cell r="Y115">
            <v>0</v>
          </cell>
          <cell r="Z115">
            <v>-1517.7757899999999</v>
          </cell>
        </row>
        <row r="116">
          <cell r="O116">
            <v>-3185.2953301128509</v>
          </cell>
          <cell r="P116">
            <v>-1429.0879938670471</v>
          </cell>
          <cell r="Q116">
            <v>0</v>
          </cell>
          <cell r="R116">
            <v>0</v>
          </cell>
          <cell r="S116">
            <v>0</v>
          </cell>
          <cell r="T116">
            <v>-5000</v>
          </cell>
          <cell r="U116">
            <v>0</v>
          </cell>
          <cell r="V116">
            <v>-1379.3649921799999</v>
          </cell>
          <cell r="W116">
            <v>-1553.672292</v>
          </cell>
          <cell r="X116">
            <v>-2770.1194729600002</v>
          </cell>
          <cell r="Y116">
            <v>0</v>
          </cell>
          <cell r="Z116">
            <v>-1517.7757899999999</v>
          </cell>
        </row>
        <row r="117">
          <cell r="O117">
            <v>-3524.9753119936322</v>
          </cell>
          <cell r="P117">
            <v>-1283.0881743196201</v>
          </cell>
          <cell r="Q117">
            <v>0</v>
          </cell>
          <cell r="R117">
            <v>0</v>
          </cell>
          <cell r="S117">
            <v>0</v>
          </cell>
          <cell r="T117">
            <v>-5000</v>
          </cell>
          <cell r="U117">
            <v>0</v>
          </cell>
          <cell r="V117">
            <v>-1370.6272358500021</v>
          </cell>
          <cell r="W117">
            <v>-1553.672292</v>
          </cell>
          <cell r="X117">
            <v>-2761.841598540002</v>
          </cell>
          <cell r="Y117">
            <v>0</v>
          </cell>
          <cell r="Z117">
            <v>-1517.7757899999999</v>
          </cell>
        </row>
        <row r="118">
          <cell r="O118">
            <v>-3286.301855570382</v>
          </cell>
          <cell r="P118">
            <v>-1186.2939443506159</v>
          </cell>
          <cell r="Q118">
            <v>0</v>
          </cell>
          <cell r="R118">
            <v>0</v>
          </cell>
          <cell r="S118">
            <v>0</v>
          </cell>
          <cell r="T118">
            <v>-5000</v>
          </cell>
          <cell r="U118">
            <v>0</v>
          </cell>
          <cell r="V118">
            <v>-1361.889479510002</v>
          </cell>
          <cell r="W118">
            <v>-1553.672292</v>
          </cell>
          <cell r="X118">
            <v>-2753.5637241100021</v>
          </cell>
          <cell r="Y118">
            <v>0</v>
          </cell>
          <cell r="Z118">
            <v>-1517.7757899999999</v>
          </cell>
        </row>
        <row r="119">
          <cell r="O119">
            <v>-2873.483704321347</v>
          </cell>
          <cell r="P119">
            <v>-1113.8592367959</v>
          </cell>
          <cell r="Q119">
            <v>0</v>
          </cell>
          <cell r="R119">
            <v>0</v>
          </cell>
          <cell r="S119">
            <v>0</v>
          </cell>
          <cell r="T119">
            <v>-5000</v>
          </cell>
          <cell r="U119">
            <v>0</v>
          </cell>
          <cell r="V119">
            <v>-1353.151723170002</v>
          </cell>
          <cell r="W119">
            <v>-1553.672292</v>
          </cell>
          <cell r="X119">
            <v>-2745.2858496900021</v>
          </cell>
          <cell r="Y119">
            <v>0</v>
          </cell>
          <cell r="Z119">
            <v>-1517.7757899999999</v>
          </cell>
        </row>
        <row r="120">
          <cell r="O120">
            <v>-3053.8956089089138</v>
          </cell>
          <cell r="P120">
            <v>-1067.8532134962829</v>
          </cell>
          <cell r="Q120">
            <v>0</v>
          </cell>
          <cell r="R120">
            <v>0</v>
          </cell>
          <cell r="S120">
            <v>0</v>
          </cell>
          <cell r="T120">
            <v>-5000</v>
          </cell>
          <cell r="U120">
            <v>0</v>
          </cell>
          <cell r="V120">
            <v>-1344.4139668299999</v>
          </cell>
          <cell r="W120">
            <v>-1553.672292</v>
          </cell>
          <cell r="X120">
            <v>-2737.00797526</v>
          </cell>
          <cell r="Y120">
            <v>0</v>
          </cell>
          <cell r="Z120">
            <v>-1517.7757899999999</v>
          </cell>
        </row>
        <row r="121">
          <cell r="O121">
            <v>-2510.9131099907258</v>
          </cell>
          <cell r="P121">
            <v>-1058.076306833814</v>
          </cell>
          <cell r="Q121">
            <v>0</v>
          </cell>
          <cell r="R121">
            <v>0</v>
          </cell>
          <cell r="S121">
            <v>0</v>
          </cell>
          <cell r="T121">
            <v>-5000</v>
          </cell>
          <cell r="U121">
            <v>0</v>
          </cell>
          <cell r="V121">
            <v>-1344.4139668299999</v>
          </cell>
          <cell r="W121">
            <v>-1553.672292</v>
          </cell>
          <cell r="X121">
            <v>-2737.00797526</v>
          </cell>
          <cell r="Y121">
            <v>0</v>
          </cell>
          <cell r="Z121">
            <v>-1517.7757899999999</v>
          </cell>
        </row>
        <row r="122">
          <cell r="O122">
            <v>-1495.3343898442549</v>
          </cell>
          <cell r="P122">
            <v>-1429.9287930004341</v>
          </cell>
          <cell r="Q122">
            <v>0</v>
          </cell>
          <cell r="R122">
            <v>0</v>
          </cell>
          <cell r="S122">
            <v>0</v>
          </cell>
          <cell r="T122">
            <v>-1464.05209013524</v>
          </cell>
          <cell r="U122">
            <v>0</v>
          </cell>
          <cell r="V122">
            <v>-1342.8253798600001</v>
          </cell>
          <cell r="W122">
            <v>-1553.672292</v>
          </cell>
          <cell r="X122">
            <v>-2735.5029981299999</v>
          </cell>
          <cell r="Y122">
            <v>0</v>
          </cell>
          <cell r="Z122">
            <v>-1517.7757899999999</v>
          </cell>
        </row>
        <row r="123">
          <cell r="O123">
            <v>-968.99528750846673</v>
          </cell>
          <cell r="P123">
            <v>-1408.699514875965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-2266.0465466354208</v>
          </cell>
          <cell r="W123">
            <v>-630.45112522457976</v>
          </cell>
          <cell r="X123">
            <v>-2735.5029981299999</v>
          </cell>
          <cell r="Y123">
            <v>0</v>
          </cell>
          <cell r="Z123">
            <v>-1517.7757899999999</v>
          </cell>
        </row>
        <row r="124">
          <cell r="O124">
            <v>-127.9106882386014</v>
          </cell>
          <cell r="P124">
            <v>-1347.9089149831909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-2896.497671860001</v>
          </cell>
          <cell r="W124">
            <v>0</v>
          </cell>
          <cell r="X124">
            <v>-2735.5029981299999</v>
          </cell>
          <cell r="Y124">
            <v>0</v>
          </cell>
          <cell r="Z124">
            <v>-1517.7757899999999</v>
          </cell>
        </row>
        <row r="125">
          <cell r="O125">
            <v>0</v>
          </cell>
          <cell r="P125">
            <v>-1274.282494397444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-2896.497671860001</v>
          </cell>
          <cell r="W125">
            <v>0</v>
          </cell>
          <cell r="X125">
            <v>-2735.5029981299999</v>
          </cell>
          <cell r="Y125">
            <v>0</v>
          </cell>
          <cell r="Z125">
            <v>-1517.7757899999999</v>
          </cell>
        </row>
        <row r="126">
          <cell r="O126">
            <v>0</v>
          </cell>
          <cell r="P126">
            <v>-1173.6050259113811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-2914.1246162699999</v>
          </cell>
          <cell r="W126">
            <v>0</v>
          </cell>
          <cell r="X126">
            <v>-2752.20220862</v>
          </cell>
          <cell r="Y126">
            <v>0</v>
          </cell>
          <cell r="Z126">
            <v>-1517.7757899999999</v>
          </cell>
        </row>
        <row r="127">
          <cell r="O127">
            <v>0</v>
          </cell>
          <cell r="P127">
            <v>-1091.988188439009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-1378.079268680001</v>
          </cell>
          <cell r="W127">
            <v>-1553.672292</v>
          </cell>
          <cell r="X127">
            <v>-2768.9014191200008</v>
          </cell>
          <cell r="Y127">
            <v>0</v>
          </cell>
          <cell r="Z127">
            <v>-1517.7757899999999</v>
          </cell>
        </row>
        <row r="128">
          <cell r="O128">
            <v>0</v>
          </cell>
          <cell r="P128">
            <v>-1048.882552142494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-1386.8927408900011</v>
          </cell>
          <cell r="W128">
            <v>-1553.672292</v>
          </cell>
          <cell r="X128">
            <v>-2777.2510243700008</v>
          </cell>
          <cell r="Y128">
            <v>0</v>
          </cell>
          <cell r="Z128">
            <v>-1517.7757899999999</v>
          </cell>
        </row>
        <row r="129">
          <cell r="O129">
            <v>0</v>
          </cell>
          <cell r="P129">
            <v>-1071.107910718659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-2378.236185765003</v>
          </cell>
          <cell r="W129">
            <v>-553.51537491499812</v>
          </cell>
          <cell r="X129">
            <v>-2768.9014191200008</v>
          </cell>
          <cell r="Y129">
            <v>0</v>
          </cell>
          <cell r="Z129">
            <v>-1517.7757899999999</v>
          </cell>
        </row>
        <row r="130">
          <cell r="O130">
            <v>0</v>
          </cell>
          <cell r="P130">
            <v>-1216.3650636713719</v>
          </cell>
          <cell r="Q130">
            <v>0</v>
          </cell>
          <cell r="R130">
            <v>0</v>
          </cell>
          <cell r="S130">
            <v>0</v>
          </cell>
          <cell r="T130">
            <v>-1965.960431453741</v>
          </cell>
          <cell r="U130">
            <v>0</v>
          </cell>
          <cell r="V130">
            <v>-1378.079268680001</v>
          </cell>
          <cell r="W130">
            <v>-1553.672292</v>
          </cell>
          <cell r="X130">
            <v>-2768.9014191200008</v>
          </cell>
          <cell r="Y130">
            <v>0</v>
          </cell>
          <cell r="Z130">
            <v>-1517.7757899999999</v>
          </cell>
        </row>
        <row r="131">
          <cell r="O131">
            <v>0</v>
          </cell>
          <cell r="P131">
            <v>-980.21007576518559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-1378.079268680001</v>
          </cell>
          <cell r="W131">
            <v>-1553.672292</v>
          </cell>
          <cell r="X131">
            <v>-2768.9014191200008</v>
          </cell>
          <cell r="Y131">
            <v>0</v>
          </cell>
          <cell r="Z131">
            <v>-1517.7757899999999</v>
          </cell>
        </row>
        <row r="132">
          <cell r="O132">
            <v>0</v>
          </cell>
          <cell r="P132">
            <v>-52.380389045829823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-2931.7515606800011</v>
          </cell>
          <cell r="W132">
            <v>0</v>
          </cell>
          <cell r="X132">
            <v>-2768.9014191200008</v>
          </cell>
          <cell r="Y132">
            <v>0</v>
          </cell>
          <cell r="Z132">
            <v>-1517.7757899999999</v>
          </cell>
        </row>
        <row r="133"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-2940.565032890001</v>
          </cell>
          <cell r="W133">
            <v>0</v>
          </cell>
          <cell r="X133">
            <v>-2777.2510243700008</v>
          </cell>
          <cell r="Y133">
            <v>0</v>
          </cell>
          <cell r="Z133">
            <v>-1517.7757899999999</v>
          </cell>
        </row>
        <row r="134"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-2931.7515606800011</v>
          </cell>
          <cell r="W134">
            <v>0</v>
          </cell>
          <cell r="X134">
            <v>-2768.9014191200008</v>
          </cell>
          <cell r="Y134">
            <v>0</v>
          </cell>
          <cell r="Z134">
            <v>-1517.7757899999999</v>
          </cell>
        </row>
        <row r="135"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-2931.7515606800011</v>
          </cell>
          <cell r="W135">
            <v>0</v>
          </cell>
          <cell r="X135">
            <v>-2768.9014191200008</v>
          </cell>
          <cell r="Y135">
            <v>0</v>
          </cell>
          <cell r="Z135">
            <v>-1517.7757899999999</v>
          </cell>
        </row>
        <row r="136"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-2940.565032890001</v>
          </cell>
          <cell r="W136">
            <v>0</v>
          </cell>
          <cell r="X136">
            <v>-2777.2510243700008</v>
          </cell>
          <cell r="Y136">
            <v>0</v>
          </cell>
          <cell r="Z136">
            <v>-1517.7757899999999</v>
          </cell>
        </row>
        <row r="137"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-2931.7515606800011</v>
          </cell>
          <cell r="W137">
            <v>0</v>
          </cell>
          <cell r="X137">
            <v>-2768.9014191200008</v>
          </cell>
          <cell r="Y137">
            <v>0</v>
          </cell>
          <cell r="Z137">
            <v>-1517.7757899999999</v>
          </cell>
        </row>
        <row r="138">
          <cell r="O138">
            <v>0</v>
          </cell>
          <cell r="P138">
            <v>-190.55267810506601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-2931.7515606800011</v>
          </cell>
          <cell r="W138">
            <v>0</v>
          </cell>
          <cell r="X138">
            <v>-2768.9014191200008</v>
          </cell>
          <cell r="Y138">
            <v>0</v>
          </cell>
          <cell r="Z138">
            <v>-1517.7757899999999</v>
          </cell>
        </row>
        <row r="139">
          <cell r="O139">
            <v>0</v>
          </cell>
          <cell r="P139">
            <v>-1072.4840086353249</v>
          </cell>
          <cell r="Q139">
            <v>-3500</v>
          </cell>
          <cell r="R139">
            <v>0</v>
          </cell>
          <cell r="S139">
            <v>-1504.1505114000031</v>
          </cell>
          <cell r="T139">
            <v>0</v>
          </cell>
          <cell r="U139">
            <v>-162.85014156</v>
          </cell>
          <cell r="V139">
            <v>-2931.7515606800011</v>
          </cell>
          <cell r="W139">
            <v>0</v>
          </cell>
          <cell r="X139">
            <v>-2768.9014191200008</v>
          </cell>
          <cell r="Y139">
            <v>0</v>
          </cell>
          <cell r="Z139">
            <v>-1517.7757899999999</v>
          </cell>
        </row>
        <row r="140">
          <cell r="O140">
            <v>0</v>
          </cell>
          <cell r="P140">
            <v>-1589.244153766527</v>
          </cell>
          <cell r="Q140">
            <v>0</v>
          </cell>
          <cell r="R140">
            <v>0</v>
          </cell>
          <cell r="S140">
            <v>-2161.555422525003</v>
          </cell>
          <cell r="T140">
            <v>0</v>
          </cell>
          <cell r="U140">
            <v>-163.31400851999999</v>
          </cell>
          <cell r="V140">
            <v>-2940.565032890001</v>
          </cell>
          <cell r="W140">
            <v>0</v>
          </cell>
          <cell r="X140">
            <v>-2777.2510243700008</v>
          </cell>
          <cell r="Y140">
            <v>0</v>
          </cell>
          <cell r="Z140">
            <v>-1517.7757899999999</v>
          </cell>
        </row>
        <row r="141">
          <cell r="O141">
            <v>0</v>
          </cell>
          <cell r="P141">
            <v>-1625.3922898820999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-2194.3286618950042</v>
          </cell>
          <cell r="W141">
            <v>-737.4228987849973</v>
          </cell>
          <cell r="X141">
            <v>-2768.9014191200008</v>
          </cell>
          <cell r="Y141">
            <v>0</v>
          </cell>
          <cell r="Z141">
            <v>-1517.7757899999999</v>
          </cell>
        </row>
        <row r="142">
          <cell r="O142">
            <v>-2598.1047825406531</v>
          </cell>
          <cell r="P142">
            <v>-1633.7577394395239</v>
          </cell>
          <cell r="Q142">
            <v>0</v>
          </cell>
          <cell r="R142">
            <v>0</v>
          </cell>
          <cell r="S142">
            <v>0</v>
          </cell>
          <cell r="T142">
            <v>-5000</v>
          </cell>
          <cell r="U142">
            <v>0</v>
          </cell>
          <cell r="V142">
            <v>-1369.2657964699999</v>
          </cell>
          <cell r="W142">
            <v>-1553.672292</v>
          </cell>
          <cell r="X142">
            <v>-2760.5518138699999</v>
          </cell>
          <cell r="Y142">
            <v>0</v>
          </cell>
          <cell r="Z142">
            <v>-1517.7757899999999</v>
          </cell>
        </row>
        <row r="143">
          <cell r="O143">
            <v>-3247.3767797898931</v>
          </cell>
          <cell r="P143">
            <v>-1641.430162560167</v>
          </cell>
          <cell r="Q143">
            <v>0</v>
          </cell>
          <cell r="R143">
            <v>0</v>
          </cell>
          <cell r="S143">
            <v>0</v>
          </cell>
          <cell r="T143">
            <v>-5000</v>
          </cell>
          <cell r="U143">
            <v>0</v>
          </cell>
          <cell r="V143">
            <v>-1360.45232427</v>
          </cell>
          <cell r="W143">
            <v>-1553.672292</v>
          </cell>
          <cell r="X143">
            <v>-2752.20220862</v>
          </cell>
          <cell r="Y143">
            <v>0</v>
          </cell>
          <cell r="Z143">
            <v>-1517.7757899999999</v>
          </cell>
        </row>
        <row r="144">
          <cell r="O144">
            <v>-3433.1384724623522</v>
          </cell>
          <cell r="P144">
            <v>-1636.9713206534459</v>
          </cell>
          <cell r="Q144">
            <v>0</v>
          </cell>
          <cell r="R144">
            <v>0</v>
          </cell>
          <cell r="S144">
            <v>0</v>
          </cell>
          <cell r="T144">
            <v>-5000</v>
          </cell>
          <cell r="U144">
            <v>0</v>
          </cell>
          <cell r="V144">
            <v>-1342.8253798600001</v>
          </cell>
          <cell r="W144">
            <v>-1553.672292</v>
          </cell>
          <cell r="X144">
            <v>-2735.5029981299999</v>
          </cell>
          <cell r="Y144">
            <v>0</v>
          </cell>
          <cell r="Z144">
            <v>-1517.7757899999999</v>
          </cell>
        </row>
        <row r="145">
          <cell r="O145">
            <v>-3058.9369751988202</v>
          </cell>
          <cell r="P145">
            <v>-1634.725766266238</v>
          </cell>
          <cell r="Q145">
            <v>0</v>
          </cell>
          <cell r="R145">
            <v>0</v>
          </cell>
          <cell r="S145">
            <v>0</v>
          </cell>
          <cell r="T145">
            <v>-4091.7725619328071</v>
          </cell>
          <cell r="U145">
            <v>0</v>
          </cell>
          <cell r="V145">
            <v>-1342.8253798600001</v>
          </cell>
          <cell r="W145">
            <v>-1553.672292</v>
          </cell>
          <cell r="X145">
            <v>-2735.5029981299999</v>
          </cell>
          <cell r="Y145">
            <v>0</v>
          </cell>
          <cell r="Z145">
            <v>-1517.7757899999999</v>
          </cell>
        </row>
        <row r="146">
          <cell r="O146">
            <v>-2545.356198420503</v>
          </cell>
          <cell r="P146">
            <v>-1667.979109265608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-1342.8066449100011</v>
          </cell>
          <cell r="W146">
            <v>-1553.672292</v>
          </cell>
          <cell r="X146">
            <v>-2735.485249230001</v>
          </cell>
          <cell r="Y146">
            <v>0</v>
          </cell>
          <cell r="Z146">
            <v>-1517.7757899999999</v>
          </cell>
        </row>
        <row r="147">
          <cell r="O147">
            <v>-2150.064606762744</v>
          </cell>
          <cell r="P147">
            <v>-1665.712763170279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-1342.8066449100011</v>
          </cell>
          <cell r="W147">
            <v>-1553.672292</v>
          </cell>
          <cell r="X147">
            <v>-2735.485249230001</v>
          </cell>
          <cell r="Y147">
            <v>0</v>
          </cell>
          <cell r="Z147">
            <v>-1517.7757899999999</v>
          </cell>
        </row>
        <row r="148">
          <cell r="O148">
            <v>-1677.680873229137</v>
          </cell>
          <cell r="P148">
            <v>-1663.8709855016441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-2896.4789369100008</v>
          </cell>
          <cell r="W148">
            <v>0</v>
          </cell>
          <cell r="X148">
            <v>-2735.485249230001</v>
          </cell>
          <cell r="Y148">
            <v>0</v>
          </cell>
          <cell r="Z148">
            <v>-1517.7757899999999</v>
          </cell>
        </row>
        <row r="149">
          <cell r="O149">
            <v>-1482.5299699126899</v>
          </cell>
          <cell r="P149">
            <v>-1657.015698553796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-2896.4789369100008</v>
          </cell>
          <cell r="W149">
            <v>0</v>
          </cell>
          <cell r="X149">
            <v>-2735.485249230001</v>
          </cell>
          <cell r="Y149">
            <v>0</v>
          </cell>
          <cell r="Z149">
            <v>-1517.7757899999999</v>
          </cell>
        </row>
        <row r="150">
          <cell r="O150">
            <v>-1461.766876469022</v>
          </cell>
          <cell r="P150">
            <v>-1659.7554958414839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-1360.4335893200009</v>
          </cell>
          <cell r="W150">
            <v>-1553.672292</v>
          </cell>
          <cell r="X150">
            <v>-2752.1844597200011</v>
          </cell>
          <cell r="Y150">
            <v>0</v>
          </cell>
          <cell r="Z150">
            <v>-1517.7757899999999</v>
          </cell>
        </row>
        <row r="151">
          <cell r="O151">
            <v>-1464.354544904814</v>
          </cell>
          <cell r="P151">
            <v>-1655.07470796147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-2931.732825730001</v>
          </cell>
          <cell r="W151">
            <v>0</v>
          </cell>
          <cell r="X151">
            <v>-2768.883670220001</v>
          </cell>
          <cell r="Y151">
            <v>0</v>
          </cell>
          <cell r="Z151">
            <v>-1517.7757899999999</v>
          </cell>
        </row>
        <row r="152">
          <cell r="O152">
            <v>-1467.7154069404619</v>
          </cell>
          <cell r="P152">
            <v>-1647.121049849876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-2940.5462979400008</v>
          </cell>
          <cell r="W152">
            <v>0</v>
          </cell>
          <cell r="X152">
            <v>-2777.233275470001</v>
          </cell>
          <cell r="Y152">
            <v>0</v>
          </cell>
          <cell r="Z152">
            <v>-1517.7757899999999</v>
          </cell>
        </row>
        <row r="153">
          <cell r="O153">
            <v>-1351.814856225335</v>
          </cell>
          <cell r="P153">
            <v>-1636.939659409345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-1378.060533730001</v>
          </cell>
          <cell r="W153">
            <v>-1553.672292</v>
          </cell>
          <cell r="X153">
            <v>-2768.883670220001</v>
          </cell>
          <cell r="Y153">
            <v>0</v>
          </cell>
          <cell r="Z153">
            <v>-1517.7757899999999</v>
          </cell>
        </row>
        <row r="154">
          <cell r="O154">
            <v>-1296.346428256154</v>
          </cell>
          <cell r="P154">
            <v>-1626.4466470565719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-1378.060533730001</v>
          </cell>
          <cell r="W154">
            <v>-1553.672292</v>
          </cell>
          <cell r="X154">
            <v>-2768.883670220001</v>
          </cell>
          <cell r="Y154">
            <v>0</v>
          </cell>
          <cell r="Z154">
            <v>-1517.7757899999999</v>
          </cell>
        </row>
        <row r="155">
          <cell r="O155">
            <v>-28.688300289483522</v>
          </cell>
          <cell r="P155">
            <v>-1505.3980899414009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-1378.060533730001</v>
          </cell>
          <cell r="W155">
            <v>-1553.672292</v>
          </cell>
          <cell r="X155">
            <v>-2768.883670220001</v>
          </cell>
          <cell r="Y155">
            <v>0</v>
          </cell>
          <cell r="Z155">
            <v>-1517.7757899999999</v>
          </cell>
        </row>
        <row r="156">
          <cell r="O156">
            <v>0</v>
          </cell>
          <cell r="P156">
            <v>-1254.781818696722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-2931.732825730001</v>
          </cell>
          <cell r="W156">
            <v>0</v>
          </cell>
          <cell r="X156">
            <v>-2768.883670220001</v>
          </cell>
          <cell r="Y156">
            <v>0</v>
          </cell>
          <cell r="Z156">
            <v>-1517.7757899999999</v>
          </cell>
        </row>
        <row r="157">
          <cell r="O157">
            <v>0</v>
          </cell>
          <cell r="P157">
            <v>-743.87632529817984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-2940.5462979400008</v>
          </cell>
          <cell r="W157">
            <v>0</v>
          </cell>
          <cell r="X157">
            <v>-2777.233275470001</v>
          </cell>
          <cell r="Y157">
            <v>0</v>
          </cell>
          <cell r="Z157">
            <v>-1517.7757899999999</v>
          </cell>
        </row>
        <row r="158">
          <cell r="O158">
            <v>0</v>
          </cell>
          <cell r="P158">
            <v>-90.716761192090416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-1699.2357160079059</v>
          </cell>
          <cell r="W158">
            <v>-1232.497109722095</v>
          </cell>
          <cell r="X158">
            <v>-2768.883670220001</v>
          </cell>
          <cell r="Y158">
            <v>0</v>
          </cell>
          <cell r="Z158">
            <v>-1517.7757899999999</v>
          </cell>
        </row>
        <row r="159"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-3216.2593847622379</v>
          </cell>
          <cell r="W159">
            <v>0</v>
          </cell>
          <cell r="X159">
            <v>-2768.883670220001</v>
          </cell>
          <cell r="Y159">
            <v>0</v>
          </cell>
          <cell r="Z159">
            <v>-1517.7757899999999</v>
          </cell>
        </row>
        <row r="160"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-3044.8610055300001</v>
          </cell>
          <cell r="W160">
            <v>-490.68529241000118</v>
          </cell>
          <cell r="X160">
            <v>-2777.233275470001</v>
          </cell>
          <cell r="Y160">
            <v>0</v>
          </cell>
          <cell r="Z160">
            <v>-1517.7757899999999</v>
          </cell>
        </row>
        <row r="161"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-2330.5819812400009</v>
          </cell>
          <cell r="W161">
            <v>-1196.1508444900001</v>
          </cell>
          <cell r="X161">
            <v>-2768.883670220001</v>
          </cell>
          <cell r="Y161">
            <v>0</v>
          </cell>
          <cell r="Z161">
            <v>-1517.7757899999999</v>
          </cell>
        </row>
        <row r="162">
          <cell r="O162">
            <v>0</v>
          </cell>
          <cell r="P162">
            <v>-122.0870330916275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-3526.732825730001</v>
          </cell>
          <cell r="W162">
            <v>0</v>
          </cell>
          <cell r="X162">
            <v>-2768.883670220001</v>
          </cell>
          <cell r="Y162">
            <v>0</v>
          </cell>
          <cell r="Z162">
            <v>-1517.7757899999999</v>
          </cell>
        </row>
        <row r="163">
          <cell r="O163">
            <v>0</v>
          </cell>
          <cell r="P163">
            <v>-821.33293376574227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-2330.5819812400009</v>
          </cell>
          <cell r="W163">
            <v>-1196.1508444900001</v>
          </cell>
          <cell r="X163">
            <v>-2768.883670220001</v>
          </cell>
          <cell r="Y163">
            <v>0</v>
          </cell>
          <cell r="Z163">
            <v>-1517.7757899999999</v>
          </cell>
        </row>
        <row r="164">
          <cell r="O164">
            <v>-2245.5112031473091</v>
          </cell>
          <cell r="P164">
            <v>-1484.5460386383629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-2339.8593204100011</v>
          </cell>
          <cell r="W164">
            <v>-1195.6869775299999</v>
          </cell>
          <cell r="X164">
            <v>-2777.233275470001</v>
          </cell>
          <cell r="Y164">
            <v>0</v>
          </cell>
          <cell r="Z164">
            <v>-1517.7757899999999</v>
          </cell>
        </row>
        <row r="165">
          <cell r="O165">
            <v>-2909.7410841655742</v>
          </cell>
          <cell r="P165">
            <v>-1521.3077621354171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-2330.5819812400009</v>
          </cell>
          <cell r="W165">
            <v>-1196.1508444900001</v>
          </cell>
          <cell r="X165">
            <v>-2768.883670220001</v>
          </cell>
          <cell r="Y165">
            <v>0</v>
          </cell>
          <cell r="Z165">
            <v>-1517.7757899999999</v>
          </cell>
        </row>
        <row r="166">
          <cell r="O166">
            <v>-2658.9827254990701</v>
          </cell>
          <cell r="P166">
            <v>-1507.44391437941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-2321.304642070002</v>
          </cell>
          <cell r="W166">
            <v>-1196.61471145</v>
          </cell>
          <cell r="X166">
            <v>-2760.534064970002</v>
          </cell>
          <cell r="Y166">
            <v>0</v>
          </cell>
          <cell r="Z166">
            <v>-1517.7757899999999</v>
          </cell>
        </row>
        <row r="167">
          <cell r="O167">
            <v>-2441.4239437455249</v>
          </cell>
          <cell r="P167">
            <v>-1535.6782346512921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-2312.0273029200011</v>
          </cell>
          <cell r="W167">
            <v>-1197.0785784</v>
          </cell>
          <cell r="X167">
            <v>-2752.1844597200011</v>
          </cell>
          <cell r="Y167">
            <v>0</v>
          </cell>
          <cell r="Z167">
            <v>-1517.7757899999999</v>
          </cell>
        </row>
        <row r="168">
          <cell r="O168">
            <v>-2618.349137195185</v>
          </cell>
          <cell r="P168">
            <v>-1531.3522117898101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-2293.472624590001</v>
          </cell>
          <cell r="W168">
            <v>-1198.00631232</v>
          </cell>
          <cell r="X168">
            <v>-2735.485249230001</v>
          </cell>
          <cell r="Y168">
            <v>0</v>
          </cell>
          <cell r="Z168">
            <v>-1517.7757899999999</v>
          </cell>
        </row>
        <row r="169">
          <cell r="O169">
            <v>-2092.2035287465542</v>
          </cell>
          <cell r="P169">
            <v>-1502.982947135052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-1342.8066449100011</v>
          </cell>
          <cell r="W169">
            <v>-1553.672292</v>
          </cell>
          <cell r="X169">
            <v>-2735.485249230001</v>
          </cell>
          <cell r="Y169">
            <v>0</v>
          </cell>
          <cell r="Z169">
            <v>-1517.7757899999999</v>
          </cell>
        </row>
      </sheetData>
      <sheetData sheetId="11"/>
      <sheetData sheetId="12">
        <row r="1">
          <cell r="B1" t="str">
            <v>ES_electricity_market_battery</v>
          </cell>
          <cell r="C1" t="str">
            <v>ES_hydrogen_storage</v>
          </cell>
        </row>
        <row r="2">
          <cell r="B2">
            <v>0</v>
          </cell>
          <cell r="C2">
            <v>0</v>
          </cell>
        </row>
        <row r="3">
          <cell r="B3">
            <v>0</v>
          </cell>
          <cell r="C3">
            <v>0</v>
          </cell>
        </row>
        <row r="4">
          <cell r="B4">
            <v>0</v>
          </cell>
          <cell r="C4">
            <v>0</v>
          </cell>
        </row>
        <row r="5">
          <cell r="B5">
            <v>0</v>
          </cell>
          <cell r="C5">
            <v>0</v>
          </cell>
        </row>
        <row r="6">
          <cell r="B6">
            <v>0</v>
          </cell>
          <cell r="C6">
            <v>0</v>
          </cell>
        </row>
        <row r="7">
          <cell r="B7">
            <v>0</v>
          </cell>
          <cell r="C7">
            <v>0</v>
          </cell>
        </row>
        <row r="8">
          <cell r="B8">
            <v>0</v>
          </cell>
          <cell r="C8">
            <v>0</v>
          </cell>
        </row>
        <row r="9">
          <cell r="B9">
            <v>0</v>
          </cell>
          <cell r="C9">
            <v>0</v>
          </cell>
        </row>
        <row r="10">
          <cell r="B10">
            <v>10323.63387207616</v>
          </cell>
          <cell r="C10">
            <v>0</v>
          </cell>
        </row>
        <row r="11">
          <cell r="B11">
            <v>0</v>
          </cell>
          <cell r="C11">
            <v>0</v>
          </cell>
        </row>
        <row r="12">
          <cell r="B12">
            <v>0</v>
          </cell>
          <cell r="C12">
            <v>0</v>
          </cell>
        </row>
        <row r="13">
          <cell r="B13">
            <v>0</v>
          </cell>
          <cell r="C13">
            <v>0</v>
          </cell>
        </row>
        <row r="14">
          <cell r="B14">
            <v>0</v>
          </cell>
          <cell r="C14">
            <v>0</v>
          </cell>
        </row>
        <row r="15">
          <cell r="B15">
            <v>0</v>
          </cell>
          <cell r="C15">
            <v>0</v>
          </cell>
        </row>
        <row r="16">
          <cell r="B16">
            <v>-43825.496622099257</v>
          </cell>
          <cell r="C16">
            <v>0</v>
          </cell>
        </row>
        <row r="17">
          <cell r="B17">
            <v>-57427.040000000001</v>
          </cell>
          <cell r="C17">
            <v>0</v>
          </cell>
        </row>
        <row r="18">
          <cell r="B18">
            <v>-26301.52651361364</v>
          </cell>
          <cell r="C18">
            <v>0</v>
          </cell>
        </row>
        <row r="19">
          <cell r="B19">
            <v>0</v>
          </cell>
          <cell r="C19">
            <v>0</v>
          </cell>
        </row>
        <row r="20">
          <cell r="B20">
            <v>10911.771009942169</v>
          </cell>
          <cell r="C20">
            <v>0</v>
          </cell>
        </row>
        <row r="21">
          <cell r="B21">
            <v>32980.463524743624</v>
          </cell>
          <cell r="C21">
            <v>0</v>
          </cell>
        </row>
        <row r="22">
          <cell r="B22">
            <v>11126.061196532341</v>
          </cell>
          <cell r="C22">
            <v>0</v>
          </cell>
        </row>
        <row r="23">
          <cell r="B23">
            <v>568.91110514206594</v>
          </cell>
          <cell r="C23">
            <v>0</v>
          </cell>
        </row>
        <row r="24">
          <cell r="B24">
            <v>0</v>
          </cell>
          <cell r="C24">
            <v>0</v>
          </cell>
        </row>
        <row r="25">
          <cell r="B25">
            <v>0</v>
          </cell>
          <cell r="C25">
            <v>0</v>
          </cell>
        </row>
        <row r="26">
          <cell r="B26">
            <v>16594.18202352869</v>
          </cell>
          <cell r="C26">
            <v>0</v>
          </cell>
        </row>
        <row r="27">
          <cell r="B27">
            <v>14343.824896978151</v>
          </cell>
          <cell r="C27">
            <v>0</v>
          </cell>
        </row>
        <row r="28">
          <cell r="B28">
            <v>14333.586580797721</v>
          </cell>
          <cell r="C28">
            <v>0</v>
          </cell>
        </row>
        <row r="29">
          <cell r="B29">
            <v>15423.55377248617</v>
          </cell>
          <cell r="C29">
            <v>0</v>
          </cell>
        </row>
        <row r="30">
          <cell r="B30">
            <v>0</v>
          </cell>
          <cell r="C30">
            <v>0</v>
          </cell>
        </row>
        <row r="31">
          <cell r="B31">
            <v>20874.73125945096</v>
          </cell>
          <cell r="C31">
            <v>0</v>
          </cell>
        </row>
        <row r="32">
          <cell r="B32">
            <v>5253.5104776675162</v>
          </cell>
          <cell r="C32">
            <v>0</v>
          </cell>
        </row>
        <row r="33">
          <cell r="B33">
            <v>25864.223453477669</v>
          </cell>
          <cell r="C33">
            <v>0</v>
          </cell>
        </row>
        <row r="34">
          <cell r="B34">
            <v>26913.186928047609</v>
          </cell>
          <cell r="C34">
            <v>0</v>
          </cell>
        </row>
        <row r="35">
          <cell r="B35">
            <v>0</v>
          </cell>
          <cell r="C35">
            <v>0</v>
          </cell>
        </row>
        <row r="36">
          <cell r="B36">
            <v>0</v>
          </cell>
          <cell r="C36">
            <v>0</v>
          </cell>
        </row>
        <row r="37">
          <cell r="B37">
            <v>-19083.373603254709</v>
          </cell>
          <cell r="C37">
            <v>0</v>
          </cell>
        </row>
        <row r="38">
          <cell r="B38">
            <v>-57427.040000000001</v>
          </cell>
          <cell r="C38">
            <v>0</v>
          </cell>
        </row>
        <row r="39">
          <cell r="B39">
            <v>-57427.040000000001</v>
          </cell>
          <cell r="C39">
            <v>0</v>
          </cell>
        </row>
        <row r="40">
          <cell r="B40">
            <v>-57427.040000000001</v>
          </cell>
          <cell r="C40">
            <v>0</v>
          </cell>
        </row>
        <row r="41">
          <cell r="B41">
            <v>-51777.817881806041</v>
          </cell>
          <cell r="C41">
            <v>0</v>
          </cell>
        </row>
        <row r="42">
          <cell r="B42">
            <v>-13061.966382586041</v>
          </cell>
          <cell r="C42">
            <v>0</v>
          </cell>
        </row>
        <row r="43">
          <cell r="B43">
            <v>0</v>
          </cell>
          <cell r="C43">
            <v>0</v>
          </cell>
        </row>
        <row r="44">
          <cell r="B44">
            <v>14014.965504243</v>
          </cell>
          <cell r="C44">
            <v>0</v>
          </cell>
        </row>
        <row r="45">
          <cell r="B45">
            <v>24933.399049264379</v>
          </cell>
          <cell r="C45">
            <v>0</v>
          </cell>
        </row>
        <row r="46">
          <cell r="B46">
            <v>9328.378739991671</v>
          </cell>
          <cell r="C46">
            <v>0</v>
          </cell>
        </row>
        <row r="47">
          <cell r="B47">
            <v>8627.907096053932</v>
          </cell>
          <cell r="C47">
            <v>0</v>
          </cell>
        </row>
        <row r="48">
          <cell r="B48">
            <v>0</v>
          </cell>
          <cell r="C48">
            <v>0</v>
          </cell>
        </row>
        <row r="49">
          <cell r="B49">
            <v>4418.5218619592652</v>
          </cell>
          <cell r="C49">
            <v>0</v>
          </cell>
        </row>
        <row r="50">
          <cell r="B50">
            <v>7157.4004748255848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18326.221252146031</v>
          </cell>
          <cell r="C52">
            <v>0</v>
          </cell>
        </row>
        <row r="53">
          <cell r="B53">
            <v>18411.3512326364</v>
          </cell>
          <cell r="C53">
            <v>0</v>
          </cell>
        </row>
        <row r="54">
          <cell r="B54">
            <v>13115.484268210301</v>
          </cell>
          <cell r="C54">
            <v>0</v>
          </cell>
        </row>
        <row r="55">
          <cell r="B55">
            <v>22344.447764336099</v>
          </cell>
          <cell r="C55">
            <v>0</v>
          </cell>
        </row>
        <row r="56">
          <cell r="B56">
            <v>5130.8199303945612</v>
          </cell>
          <cell r="C56">
            <v>0</v>
          </cell>
        </row>
        <row r="57">
          <cell r="B57">
            <v>27968.055824280749</v>
          </cell>
          <cell r="C57">
            <v>0</v>
          </cell>
        </row>
        <row r="58">
          <cell r="B58">
            <v>32175.262982392091</v>
          </cell>
          <cell r="C58">
            <v>0</v>
          </cell>
        </row>
        <row r="59">
          <cell r="B59">
            <v>0</v>
          </cell>
          <cell r="C59">
            <v>0</v>
          </cell>
        </row>
        <row r="60">
          <cell r="B60">
            <v>-2293.3330412146379</v>
          </cell>
          <cell r="C60">
            <v>0</v>
          </cell>
        </row>
        <row r="61">
          <cell r="B61">
            <v>-43768.519665416767</v>
          </cell>
          <cell r="C61">
            <v>0</v>
          </cell>
        </row>
        <row r="62">
          <cell r="B62">
            <v>-57427.040000000001</v>
          </cell>
          <cell r="C62">
            <v>0</v>
          </cell>
        </row>
        <row r="63">
          <cell r="B63">
            <v>-57427.040000000001</v>
          </cell>
          <cell r="C63">
            <v>0</v>
          </cell>
        </row>
        <row r="64">
          <cell r="B64">
            <v>-55738.297954472328</v>
          </cell>
          <cell r="C64">
            <v>0</v>
          </cell>
        </row>
        <row r="65">
          <cell r="B65">
            <v>-39550.047206543051</v>
          </cell>
          <cell r="C65">
            <v>0</v>
          </cell>
        </row>
        <row r="66">
          <cell r="B66">
            <v>0</v>
          </cell>
          <cell r="C66">
            <v>0</v>
          </cell>
        </row>
        <row r="67">
          <cell r="B67">
            <v>6743.1081105789781</v>
          </cell>
          <cell r="C67">
            <v>1528</v>
          </cell>
        </row>
        <row r="68">
          <cell r="B68">
            <v>31788.52909859351</v>
          </cell>
          <cell r="C68">
            <v>1528</v>
          </cell>
        </row>
        <row r="69">
          <cell r="B69">
            <v>19407.18836934496</v>
          </cell>
          <cell r="C69">
            <v>1528</v>
          </cell>
        </row>
        <row r="70">
          <cell r="B70">
            <v>20967.621423647932</v>
          </cell>
          <cell r="C70">
            <v>1528</v>
          </cell>
        </row>
        <row r="71">
          <cell r="B71">
            <v>21658.81372590478</v>
          </cell>
          <cell r="C71">
            <v>1528</v>
          </cell>
        </row>
        <row r="72">
          <cell r="B72">
            <v>18309.638809829819</v>
          </cell>
          <cell r="C72">
            <v>1528</v>
          </cell>
        </row>
        <row r="73">
          <cell r="B73">
            <v>13396.106422989969</v>
          </cell>
          <cell r="C73">
            <v>1528</v>
          </cell>
        </row>
        <row r="74">
          <cell r="B74">
            <v>10279.990363331821</v>
          </cell>
          <cell r="C74">
            <v>1528</v>
          </cell>
        </row>
        <row r="75">
          <cell r="B75">
            <v>8046.6007619483207</v>
          </cell>
          <cell r="C75">
            <v>1528</v>
          </cell>
        </row>
        <row r="76">
          <cell r="B76">
            <v>6237.6478222578999</v>
          </cell>
          <cell r="C76">
            <v>1528</v>
          </cell>
        </row>
        <row r="77">
          <cell r="B77">
            <v>4784.7137968382958</v>
          </cell>
          <cell r="C77">
            <v>1528</v>
          </cell>
        </row>
        <row r="78">
          <cell r="B78">
            <v>4271.3939214280326</v>
          </cell>
          <cell r="C78">
            <v>1528</v>
          </cell>
        </row>
        <row r="79">
          <cell r="B79">
            <v>0</v>
          </cell>
          <cell r="C79">
            <v>1528</v>
          </cell>
        </row>
        <row r="80">
          <cell r="B80">
            <v>10356.332726990089</v>
          </cell>
          <cell r="C80">
            <v>1528</v>
          </cell>
        </row>
        <row r="81">
          <cell r="B81">
            <v>15637.91852716884</v>
          </cell>
          <cell r="C81">
            <v>1528</v>
          </cell>
        </row>
        <row r="82">
          <cell r="B82">
            <v>14066.612099880849</v>
          </cell>
          <cell r="C82">
            <v>1528</v>
          </cell>
        </row>
        <row r="83">
          <cell r="B83">
            <v>0</v>
          </cell>
          <cell r="C83">
            <v>0</v>
          </cell>
        </row>
        <row r="84">
          <cell r="B84">
            <v>0</v>
          </cell>
          <cell r="C84">
            <v>0</v>
          </cell>
        </row>
        <row r="85">
          <cell r="B85">
            <v>0</v>
          </cell>
          <cell r="C85">
            <v>0</v>
          </cell>
        </row>
        <row r="86">
          <cell r="B86">
            <v>0</v>
          </cell>
          <cell r="C86">
            <v>0</v>
          </cell>
        </row>
        <row r="87">
          <cell r="B87">
            <v>0</v>
          </cell>
          <cell r="C87">
            <v>0</v>
          </cell>
        </row>
        <row r="88">
          <cell r="B88">
            <v>0</v>
          </cell>
          <cell r="C88">
            <v>0</v>
          </cell>
        </row>
        <row r="89">
          <cell r="B89">
            <v>-10022.41219366149</v>
          </cell>
          <cell r="C89">
            <v>0</v>
          </cell>
        </row>
        <row r="90">
          <cell r="B90">
            <v>-10227.035549741309</v>
          </cell>
          <cell r="C90">
            <v>0</v>
          </cell>
        </row>
        <row r="91">
          <cell r="B91">
            <v>0</v>
          </cell>
          <cell r="C91">
            <v>0</v>
          </cell>
        </row>
        <row r="92">
          <cell r="B92">
            <v>0</v>
          </cell>
          <cell r="C92">
            <v>0</v>
          </cell>
        </row>
        <row r="93">
          <cell r="B93">
            <v>16277.70882613556</v>
          </cell>
          <cell r="C93">
            <v>0</v>
          </cell>
        </row>
        <row r="94">
          <cell r="B94">
            <v>0</v>
          </cell>
          <cell r="C94">
            <v>0</v>
          </cell>
        </row>
        <row r="95">
          <cell r="B95">
            <v>0</v>
          </cell>
          <cell r="C95">
            <v>0</v>
          </cell>
        </row>
        <row r="96">
          <cell r="B96">
            <v>0</v>
          </cell>
          <cell r="C96">
            <v>0</v>
          </cell>
        </row>
        <row r="97">
          <cell r="B97">
            <v>0</v>
          </cell>
          <cell r="C97">
            <v>0</v>
          </cell>
        </row>
        <row r="98">
          <cell r="B98">
            <v>0</v>
          </cell>
          <cell r="C98">
            <v>0</v>
          </cell>
        </row>
        <row r="99">
          <cell r="B99">
            <v>0</v>
          </cell>
          <cell r="C99">
            <v>0</v>
          </cell>
        </row>
        <row r="100">
          <cell r="B100">
            <v>0</v>
          </cell>
          <cell r="C100">
            <v>0</v>
          </cell>
        </row>
        <row r="101">
          <cell r="B101">
            <v>0</v>
          </cell>
          <cell r="C101">
            <v>0</v>
          </cell>
        </row>
        <row r="102">
          <cell r="B102">
            <v>0</v>
          </cell>
          <cell r="C102">
            <v>0</v>
          </cell>
        </row>
        <row r="103">
          <cell r="B103">
            <v>0</v>
          </cell>
          <cell r="C103">
            <v>0</v>
          </cell>
        </row>
        <row r="104">
          <cell r="B104">
            <v>0</v>
          </cell>
          <cell r="C104">
            <v>0</v>
          </cell>
        </row>
        <row r="105">
          <cell r="B105">
            <v>0</v>
          </cell>
          <cell r="C105">
            <v>0</v>
          </cell>
        </row>
        <row r="106">
          <cell r="B106">
            <v>0</v>
          </cell>
          <cell r="C106">
            <v>0</v>
          </cell>
        </row>
        <row r="107">
          <cell r="B107">
            <v>0</v>
          </cell>
          <cell r="C107">
            <v>0</v>
          </cell>
        </row>
        <row r="108">
          <cell r="B108">
            <v>0</v>
          </cell>
          <cell r="C108">
            <v>0</v>
          </cell>
        </row>
        <row r="109">
          <cell r="B109">
            <v>0</v>
          </cell>
          <cell r="C109">
            <v>0</v>
          </cell>
        </row>
        <row r="110">
          <cell r="B110">
            <v>0</v>
          </cell>
          <cell r="C110">
            <v>0</v>
          </cell>
        </row>
        <row r="111">
          <cell r="B111">
            <v>0</v>
          </cell>
          <cell r="C111">
            <v>0</v>
          </cell>
        </row>
        <row r="112">
          <cell r="B112">
            <v>0</v>
          </cell>
          <cell r="C112">
            <v>0</v>
          </cell>
        </row>
        <row r="113">
          <cell r="B113">
            <v>0</v>
          </cell>
          <cell r="C113">
            <v>0</v>
          </cell>
        </row>
        <row r="114">
          <cell r="B114">
            <v>0</v>
          </cell>
          <cell r="C114">
            <v>0</v>
          </cell>
        </row>
        <row r="115">
          <cell r="B115">
            <v>0</v>
          </cell>
          <cell r="C115">
            <v>0</v>
          </cell>
        </row>
        <row r="116">
          <cell r="B116">
            <v>0</v>
          </cell>
          <cell r="C116">
            <v>0</v>
          </cell>
        </row>
        <row r="117">
          <cell r="B117">
            <v>0</v>
          </cell>
          <cell r="C117">
            <v>0</v>
          </cell>
        </row>
        <row r="118">
          <cell r="B118">
            <v>0</v>
          </cell>
          <cell r="C118">
            <v>0</v>
          </cell>
        </row>
        <row r="119">
          <cell r="B119">
            <v>0</v>
          </cell>
          <cell r="C119">
            <v>0</v>
          </cell>
        </row>
        <row r="120">
          <cell r="B120">
            <v>0</v>
          </cell>
          <cell r="C120">
            <v>0</v>
          </cell>
        </row>
        <row r="121">
          <cell r="B121">
            <v>0</v>
          </cell>
          <cell r="C121">
            <v>0</v>
          </cell>
        </row>
        <row r="122">
          <cell r="B122">
            <v>0</v>
          </cell>
          <cell r="C122">
            <v>0</v>
          </cell>
        </row>
        <row r="123">
          <cell r="B123">
            <v>0</v>
          </cell>
          <cell r="C123">
            <v>0</v>
          </cell>
        </row>
        <row r="124">
          <cell r="B124">
            <v>0</v>
          </cell>
          <cell r="C124">
            <v>0</v>
          </cell>
        </row>
        <row r="125">
          <cell r="B125">
            <v>0</v>
          </cell>
          <cell r="C125">
            <v>0</v>
          </cell>
        </row>
        <row r="126">
          <cell r="B126">
            <v>0</v>
          </cell>
          <cell r="C126">
            <v>0</v>
          </cell>
        </row>
        <row r="127">
          <cell r="B127">
            <v>0</v>
          </cell>
          <cell r="C127">
            <v>0</v>
          </cell>
        </row>
        <row r="128">
          <cell r="B128">
            <v>0</v>
          </cell>
          <cell r="C128">
            <v>0</v>
          </cell>
        </row>
        <row r="129">
          <cell r="B129">
            <v>0</v>
          </cell>
          <cell r="C129">
            <v>0</v>
          </cell>
        </row>
        <row r="130">
          <cell r="B130">
            <v>0</v>
          </cell>
          <cell r="C130">
            <v>0</v>
          </cell>
        </row>
        <row r="131">
          <cell r="B131">
            <v>0</v>
          </cell>
          <cell r="C131">
            <v>0</v>
          </cell>
        </row>
        <row r="132">
          <cell r="B132">
            <v>0</v>
          </cell>
          <cell r="C132">
            <v>0</v>
          </cell>
        </row>
        <row r="133">
          <cell r="B133">
            <v>0</v>
          </cell>
          <cell r="C133">
            <v>0</v>
          </cell>
        </row>
        <row r="134">
          <cell r="B134">
            <v>0</v>
          </cell>
          <cell r="C134">
            <v>0</v>
          </cell>
        </row>
        <row r="135">
          <cell r="B135">
            <v>0</v>
          </cell>
          <cell r="C135">
            <v>0</v>
          </cell>
        </row>
        <row r="136">
          <cell r="B136">
            <v>0</v>
          </cell>
          <cell r="C136">
            <v>0</v>
          </cell>
        </row>
        <row r="137">
          <cell r="B137">
            <v>0</v>
          </cell>
          <cell r="C137">
            <v>0</v>
          </cell>
        </row>
        <row r="138">
          <cell r="B138">
            <v>0</v>
          </cell>
          <cell r="C138">
            <v>0</v>
          </cell>
        </row>
        <row r="139">
          <cell r="B139">
            <v>0</v>
          </cell>
          <cell r="C139">
            <v>0</v>
          </cell>
        </row>
        <row r="140">
          <cell r="B140">
            <v>0</v>
          </cell>
          <cell r="C140">
            <v>0</v>
          </cell>
        </row>
        <row r="141">
          <cell r="B141">
            <v>0</v>
          </cell>
          <cell r="C141">
            <v>0</v>
          </cell>
        </row>
        <row r="142">
          <cell r="B142">
            <v>0</v>
          </cell>
          <cell r="C142">
            <v>0</v>
          </cell>
        </row>
        <row r="143">
          <cell r="B143">
            <v>0</v>
          </cell>
          <cell r="C143">
            <v>0</v>
          </cell>
        </row>
        <row r="144">
          <cell r="B144">
            <v>0</v>
          </cell>
          <cell r="C144">
            <v>0</v>
          </cell>
        </row>
        <row r="145">
          <cell r="B145">
            <v>0</v>
          </cell>
          <cell r="C145">
            <v>0</v>
          </cell>
        </row>
        <row r="146">
          <cell r="B146">
            <v>0</v>
          </cell>
          <cell r="C146">
            <v>0</v>
          </cell>
        </row>
        <row r="147">
          <cell r="B147">
            <v>0</v>
          </cell>
          <cell r="C147">
            <v>0</v>
          </cell>
        </row>
        <row r="148">
          <cell r="B148">
            <v>0</v>
          </cell>
          <cell r="C148">
            <v>0</v>
          </cell>
        </row>
        <row r="149">
          <cell r="B149">
            <v>0</v>
          </cell>
          <cell r="C149">
            <v>0</v>
          </cell>
        </row>
        <row r="150">
          <cell r="B150">
            <v>0</v>
          </cell>
          <cell r="C150">
            <v>0</v>
          </cell>
        </row>
        <row r="151">
          <cell r="B151">
            <v>0</v>
          </cell>
          <cell r="C151">
            <v>0</v>
          </cell>
        </row>
        <row r="152">
          <cell r="B152">
            <v>0</v>
          </cell>
          <cell r="C152">
            <v>0</v>
          </cell>
        </row>
        <row r="153">
          <cell r="B153">
            <v>0</v>
          </cell>
          <cell r="C153">
            <v>-1528</v>
          </cell>
        </row>
        <row r="154">
          <cell r="B154">
            <v>0</v>
          </cell>
          <cell r="C154">
            <v>-496.3934292414724</v>
          </cell>
        </row>
        <row r="155">
          <cell r="B155">
            <v>0</v>
          </cell>
          <cell r="C155">
            <v>-1528</v>
          </cell>
        </row>
        <row r="156">
          <cell r="B156">
            <v>0</v>
          </cell>
          <cell r="C156">
            <v>-1528</v>
          </cell>
        </row>
        <row r="157">
          <cell r="B157">
            <v>0</v>
          </cell>
          <cell r="C157">
            <v>-1528</v>
          </cell>
        </row>
        <row r="158">
          <cell r="B158">
            <v>0</v>
          </cell>
          <cell r="C158">
            <v>-1528</v>
          </cell>
        </row>
        <row r="159">
          <cell r="B159">
            <v>0</v>
          </cell>
          <cell r="C159">
            <v>-1528</v>
          </cell>
        </row>
        <row r="160">
          <cell r="B160">
            <v>0</v>
          </cell>
          <cell r="C160">
            <v>-1528</v>
          </cell>
        </row>
        <row r="161">
          <cell r="B161">
            <v>0</v>
          </cell>
          <cell r="C161">
            <v>-1528</v>
          </cell>
        </row>
        <row r="162">
          <cell r="B162">
            <v>0</v>
          </cell>
          <cell r="C162">
            <v>-1528</v>
          </cell>
        </row>
        <row r="163">
          <cell r="B163">
            <v>-27308.726313371291</v>
          </cell>
          <cell r="C163">
            <v>-1528</v>
          </cell>
        </row>
        <row r="164">
          <cell r="B164">
            <v>-16899.449259530291</v>
          </cell>
          <cell r="C164">
            <v>-1528</v>
          </cell>
        </row>
        <row r="165">
          <cell r="B165">
            <v>-13351.06096427663</v>
          </cell>
          <cell r="C165">
            <v>-1528</v>
          </cell>
        </row>
        <row r="166">
          <cell r="B166">
            <v>-8062.6304994789589</v>
          </cell>
          <cell r="C166">
            <v>-1528</v>
          </cell>
        </row>
        <row r="167">
          <cell r="B167">
            <v>-18067.918318835509</v>
          </cell>
          <cell r="C167">
            <v>-1528</v>
          </cell>
        </row>
        <row r="168">
          <cell r="B168">
            <v>-15472.723052628409</v>
          </cell>
          <cell r="C168">
            <v>-1528</v>
          </cell>
        </row>
        <row r="169">
          <cell r="B169">
            <v>-28939.630525702301</v>
          </cell>
          <cell r="C169">
            <v>-1528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">
          <cell r="B1" t="str">
            <v>ES_electricity_market_bus</v>
          </cell>
          <cell r="C1" t="str">
            <v>ES_water_bus</v>
          </cell>
          <cell r="D1" t="str">
            <v>ES_hydrogen_bus</v>
          </cell>
          <cell r="E1" t="str">
            <v>ES_SRES_excedentes_bus</v>
          </cell>
          <cell r="F1" t="str">
            <v>ES_SRES_electrolyzer_bus</v>
          </cell>
          <cell r="G1" t="str">
            <v>PT_electricity_market_bus</v>
          </cell>
          <cell r="H1" t="str">
            <v>PT_hydrogen_bus</v>
          </cell>
          <cell r="I1" t="str">
            <v>PT_SRES_excedentes_bus</v>
          </cell>
          <cell r="J1" t="str">
            <v>PT_SRES_electrolyzer_bus</v>
          </cell>
          <cell r="K1" t="str">
            <v>FR_electricity_market_bus</v>
          </cell>
        </row>
        <row r="2">
          <cell r="B2">
            <v>9.9999999999999992E-2</v>
          </cell>
          <cell r="C2">
            <v>8.4999999999999992E-2</v>
          </cell>
          <cell r="D2">
            <v>0.14285714285714279</v>
          </cell>
          <cell r="E2">
            <v>9.9999999999999992E-2</v>
          </cell>
          <cell r="F2">
            <v>9.9999999999999992E-2</v>
          </cell>
          <cell r="G2">
            <v>0.09</v>
          </cell>
          <cell r="H2">
            <v>0.15285714285714291</v>
          </cell>
          <cell r="I2">
            <v>0.09</v>
          </cell>
          <cell r="J2">
            <v>0.107</v>
          </cell>
          <cell r="K2">
            <v>0</v>
          </cell>
        </row>
        <row r="3">
          <cell r="B3">
            <v>6.3749999999999987E-2</v>
          </cell>
          <cell r="C3">
            <v>8.4999999999999992E-2</v>
          </cell>
          <cell r="D3">
            <v>9.1071428571428567E-2</v>
          </cell>
          <cell r="E3">
            <v>6.3749999999999987E-2</v>
          </cell>
          <cell r="F3">
            <v>6.3749999999999987E-2</v>
          </cell>
          <cell r="G3">
            <v>0</v>
          </cell>
          <cell r="H3">
            <v>0.1010714285714286</v>
          </cell>
          <cell r="I3">
            <v>0</v>
          </cell>
          <cell r="J3">
            <v>7.0749999999999993E-2</v>
          </cell>
          <cell r="K3">
            <v>0</v>
          </cell>
        </row>
        <row r="4">
          <cell r="B4">
            <v>6.3749999999999987E-2</v>
          </cell>
          <cell r="C4">
            <v>8.4999999999999992E-2</v>
          </cell>
          <cell r="D4">
            <v>9.1071428571428567E-2</v>
          </cell>
          <cell r="E4">
            <v>6.3749999999999987E-2</v>
          </cell>
          <cell r="F4">
            <v>6.3749999999999987E-2</v>
          </cell>
          <cell r="G4">
            <v>0</v>
          </cell>
          <cell r="H4">
            <v>0.1010714285714286</v>
          </cell>
          <cell r="I4">
            <v>0</v>
          </cell>
          <cell r="J4">
            <v>7.0749999999999993E-2</v>
          </cell>
          <cell r="K4">
            <v>0</v>
          </cell>
        </row>
        <row r="5">
          <cell r="B5">
            <v>6.3749999999999987E-2</v>
          </cell>
          <cell r="C5">
            <v>8.4999999999999992E-2</v>
          </cell>
          <cell r="D5">
            <v>9.1071428571428567E-2</v>
          </cell>
          <cell r="E5">
            <v>6.3749999999999987E-2</v>
          </cell>
          <cell r="F5">
            <v>6.3749999999999987E-2</v>
          </cell>
          <cell r="G5">
            <v>0</v>
          </cell>
          <cell r="H5">
            <v>0.1010714285714286</v>
          </cell>
          <cell r="I5">
            <v>0</v>
          </cell>
          <cell r="J5">
            <v>7.0749999999999993E-2</v>
          </cell>
          <cell r="K5">
            <v>0</v>
          </cell>
        </row>
        <row r="6">
          <cell r="B6">
            <v>6.3749999999999987E-2</v>
          </cell>
          <cell r="C6">
            <v>8.4999999999999992E-2</v>
          </cell>
          <cell r="D6">
            <v>9.1071428571428567E-2</v>
          </cell>
          <cell r="E6">
            <v>6.3749999999999987E-2</v>
          </cell>
          <cell r="F6">
            <v>6.3749999999999987E-2</v>
          </cell>
          <cell r="G6">
            <v>0</v>
          </cell>
          <cell r="H6">
            <v>0.1010714285714286</v>
          </cell>
          <cell r="I6">
            <v>0</v>
          </cell>
          <cell r="J6">
            <v>7.0749999999999993E-2</v>
          </cell>
          <cell r="K6">
            <v>0</v>
          </cell>
        </row>
        <row r="7">
          <cell r="B7">
            <v>6.3749999999999987E-2</v>
          </cell>
          <cell r="C7">
            <v>8.4999999999999992E-2</v>
          </cell>
          <cell r="D7">
            <v>9.1071428571428567E-2</v>
          </cell>
          <cell r="E7">
            <v>6.3749999999999987E-2</v>
          </cell>
          <cell r="F7">
            <v>6.3749999999999987E-2</v>
          </cell>
          <cell r="G7">
            <v>0</v>
          </cell>
          <cell r="H7">
            <v>0.1010714285714286</v>
          </cell>
          <cell r="I7">
            <v>0</v>
          </cell>
          <cell r="J7">
            <v>7.0749999999999993E-2</v>
          </cell>
          <cell r="K7">
            <v>0</v>
          </cell>
        </row>
        <row r="8">
          <cell r="B8">
            <v>6.3749999999999987E-2</v>
          </cell>
          <cell r="C8">
            <v>8.4999999999999992E-2</v>
          </cell>
          <cell r="D8">
            <v>9.1071428571428567E-2</v>
          </cell>
          <cell r="E8">
            <v>6.3749999999999987E-2</v>
          </cell>
          <cell r="F8">
            <v>6.3749999999999987E-2</v>
          </cell>
          <cell r="G8">
            <v>0</v>
          </cell>
          <cell r="H8">
            <v>0.1010714285714286</v>
          </cell>
          <cell r="I8">
            <v>0</v>
          </cell>
          <cell r="J8">
            <v>7.0749999999999993E-2</v>
          </cell>
          <cell r="K8">
            <v>0</v>
          </cell>
        </row>
        <row r="9">
          <cell r="B9">
            <v>9.9999999999999992E-2</v>
          </cell>
          <cell r="C9">
            <v>8.4999999999999992E-2</v>
          </cell>
          <cell r="D9">
            <v>0.14285714285714279</v>
          </cell>
          <cell r="E9">
            <v>9.9999999999999992E-2</v>
          </cell>
          <cell r="F9">
            <v>9.9999999999999992E-2</v>
          </cell>
          <cell r="G9">
            <v>0</v>
          </cell>
          <cell r="H9">
            <v>0.15285714285714291</v>
          </cell>
          <cell r="I9">
            <v>0</v>
          </cell>
          <cell r="J9">
            <v>0.107</v>
          </cell>
          <cell r="K9">
            <v>0</v>
          </cell>
        </row>
        <row r="10">
          <cell r="B10">
            <v>0.1</v>
          </cell>
          <cell r="C10">
            <v>8.4999999999999992E-2</v>
          </cell>
          <cell r="D10">
            <v>0.1428571428571429</v>
          </cell>
          <cell r="E10">
            <v>0.1</v>
          </cell>
          <cell r="F10">
            <v>0.1</v>
          </cell>
          <cell r="G10">
            <v>0</v>
          </cell>
          <cell r="H10">
            <v>0.15285714285714291</v>
          </cell>
          <cell r="I10">
            <v>0</v>
          </cell>
          <cell r="J10">
            <v>0.107</v>
          </cell>
          <cell r="K10">
            <v>0</v>
          </cell>
        </row>
        <row r="11">
          <cell r="B11">
            <v>0.01</v>
          </cell>
          <cell r="C11">
            <v>8.4999999999999992E-2</v>
          </cell>
          <cell r="D11">
            <v>1.428571428571429E-2</v>
          </cell>
          <cell r="E11">
            <v>0.01</v>
          </cell>
          <cell r="F11">
            <v>0.01</v>
          </cell>
          <cell r="G11">
            <v>0</v>
          </cell>
          <cell r="H11">
            <v>2.4285714285714289E-2</v>
          </cell>
          <cell r="I11">
            <v>0</v>
          </cell>
          <cell r="J11">
            <v>1.7000000000000001E-2</v>
          </cell>
          <cell r="K11">
            <v>0</v>
          </cell>
        </row>
        <row r="12">
          <cell r="B12">
            <v>0</v>
          </cell>
          <cell r="C12">
            <v>8.4999999999999992E-2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B13">
            <v>0</v>
          </cell>
          <cell r="C13">
            <v>8.4999999999999992E-2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B14">
            <v>0</v>
          </cell>
          <cell r="C14">
            <v>8.4999999999999992E-2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B15">
            <v>0</v>
          </cell>
          <cell r="C15">
            <v>8.4999999999999992E-2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</row>
        <row r="16">
          <cell r="B16">
            <v>0</v>
          </cell>
          <cell r="C16">
            <v>8.4999999999999992E-2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</row>
        <row r="17">
          <cell r="B17">
            <v>0</v>
          </cell>
          <cell r="C17">
            <v>8.4999999999999992E-2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</row>
        <row r="18">
          <cell r="B18">
            <v>0</v>
          </cell>
          <cell r="C18">
            <v>8.4999999999999992E-2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B19">
            <v>9.9999999999999992E-2</v>
          </cell>
          <cell r="C19">
            <v>8.4999999999999992E-2</v>
          </cell>
          <cell r="D19">
            <v>0.14285714285714279</v>
          </cell>
          <cell r="E19">
            <v>9.9999999999999992E-2</v>
          </cell>
          <cell r="F19">
            <v>9.9999999999999992E-2</v>
          </cell>
          <cell r="G19">
            <v>0</v>
          </cell>
          <cell r="H19">
            <v>0.15285714285714291</v>
          </cell>
          <cell r="I19">
            <v>0</v>
          </cell>
          <cell r="J19">
            <v>0.107</v>
          </cell>
          <cell r="K19">
            <v>0</v>
          </cell>
        </row>
        <row r="20">
          <cell r="B20">
            <v>0.1</v>
          </cell>
          <cell r="C20">
            <v>8.4999999999999992E-2</v>
          </cell>
          <cell r="D20">
            <v>0.1428571428571429</v>
          </cell>
          <cell r="E20">
            <v>0.1</v>
          </cell>
          <cell r="F20">
            <v>0.1</v>
          </cell>
          <cell r="G20">
            <v>0.1</v>
          </cell>
          <cell r="H20">
            <v>0.15285714285714291</v>
          </cell>
          <cell r="I20">
            <v>0.1</v>
          </cell>
          <cell r="J20">
            <v>0.107</v>
          </cell>
          <cell r="K20">
            <v>0</v>
          </cell>
        </row>
        <row r="21">
          <cell r="B21">
            <v>0.1</v>
          </cell>
          <cell r="C21">
            <v>8.4999999999999992E-2</v>
          </cell>
          <cell r="D21">
            <v>0.1428571428571429</v>
          </cell>
          <cell r="E21">
            <v>0.1</v>
          </cell>
          <cell r="F21">
            <v>0.1</v>
          </cell>
          <cell r="G21">
            <v>0.1</v>
          </cell>
          <cell r="H21">
            <v>0.15285714285714291</v>
          </cell>
          <cell r="I21">
            <v>0.1</v>
          </cell>
          <cell r="J21">
            <v>0.107</v>
          </cell>
          <cell r="K21">
            <v>0</v>
          </cell>
        </row>
        <row r="22">
          <cell r="B22">
            <v>0.1</v>
          </cell>
          <cell r="C22">
            <v>8.5000000000000006E-2</v>
          </cell>
          <cell r="D22">
            <v>0.1428571428571429</v>
          </cell>
          <cell r="E22">
            <v>0.1</v>
          </cell>
          <cell r="F22">
            <v>0.1</v>
          </cell>
          <cell r="G22">
            <v>0.1</v>
          </cell>
          <cell r="H22">
            <v>0.15285714285714291</v>
          </cell>
          <cell r="I22">
            <v>0.1</v>
          </cell>
          <cell r="J22">
            <v>0.107</v>
          </cell>
          <cell r="K22">
            <v>0</v>
          </cell>
        </row>
        <row r="23">
          <cell r="B23">
            <v>0.1</v>
          </cell>
          <cell r="C23">
            <v>8.4999999999999992E-2</v>
          </cell>
          <cell r="D23">
            <v>0.1428571428571429</v>
          </cell>
          <cell r="E23">
            <v>0.1</v>
          </cell>
          <cell r="F23">
            <v>0.1</v>
          </cell>
          <cell r="G23">
            <v>9.0000000000000011E-2</v>
          </cell>
          <cell r="H23">
            <v>0.15285714285714291</v>
          </cell>
          <cell r="I23">
            <v>9.0000000000000011E-2</v>
          </cell>
          <cell r="J23">
            <v>0.107</v>
          </cell>
          <cell r="K23">
            <v>0</v>
          </cell>
        </row>
        <row r="24">
          <cell r="B24">
            <v>0.1</v>
          </cell>
          <cell r="C24">
            <v>8.4999999999999992E-2</v>
          </cell>
          <cell r="D24">
            <v>0.1428571428571429</v>
          </cell>
          <cell r="E24">
            <v>0.1</v>
          </cell>
          <cell r="F24">
            <v>0.1</v>
          </cell>
          <cell r="G24">
            <v>9.0000000000000011E-2</v>
          </cell>
          <cell r="H24">
            <v>0.15285714285714291</v>
          </cell>
          <cell r="I24">
            <v>9.0000000000000011E-2</v>
          </cell>
          <cell r="J24">
            <v>0.107</v>
          </cell>
          <cell r="K24">
            <v>0</v>
          </cell>
        </row>
        <row r="25">
          <cell r="B25">
            <v>9.9999999999999992E-2</v>
          </cell>
          <cell r="C25">
            <v>8.4999999999999992E-2</v>
          </cell>
          <cell r="D25">
            <v>0.14285714285714279</v>
          </cell>
          <cell r="E25">
            <v>9.9999999999999992E-2</v>
          </cell>
          <cell r="F25">
            <v>9.9999999999999992E-2</v>
          </cell>
          <cell r="G25">
            <v>0.09</v>
          </cell>
          <cell r="H25">
            <v>0.15285714285714291</v>
          </cell>
          <cell r="I25">
            <v>0.09</v>
          </cell>
          <cell r="J25">
            <v>0.107</v>
          </cell>
          <cell r="K25">
            <v>0</v>
          </cell>
        </row>
        <row r="26">
          <cell r="B26">
            <v>0.1</v>
          </cell>
          <cell r="C26">
            <v>8.4999999999999992E-2</v>
          </cell>
          <cell r="D26">
            <v>0.1428571428571429</v>
          </cell>
          <cell r="E26">
            <v>0.1</v>
          </cell>
          <cell r="F26">
            <v>0.1</v>
          </cell>
          <cell r="G26">
            <v>9.0000000000000011E-2</v>
          </cell>
          <cell r="H26">
            <v>0.15285714285714291</v>
          </cell>
          <cell r="I26">
            <v>9.0000000000000011E-2</v>
          </cell>
          <cell r="J26">
            <v>0.107</v>
          </cell>
          <cell r="K26">
            <v>0</v>
          </cell>
        </row>
        <row r="27">
          <cell r="B27">
            <v>0.1</v>
          </cell>
          <cell r="C27">
            <v>8.4999999999999992E-2</v>
          </cell>
          <cell r="D27">
            <v>0.1428571428571429</v>
          </cell>
          <cell r="E27">
            <v>0.1</v>
          </cell>
          <cell r="F27">
            <v>0.1</v>
          </cell>
          <cell r="G27">
            <v>9.0000000000000011E-2</v>
          </cell>
          <cell r="H27">
            <v>0.15285714285714291</v>
          </cell>
          <cell r="I27">
            <v>9.0000000000000011E-2</v>
          </cell>
          <cell r="J27">
            <v>0.107</v>
          </cell>
          <cell r="K27">
            <v>0</v>
          </cell>
        </row>
        <row r="28">
          <cell r="B28">
            <v>0.1</v>
          </cell>
          <cell r="C28">
            <v>8.4999999999999992E-2</v>
          </cell>
          <cell r="D28">
            <v>0.1428571428571429</v>
          </cell>
          <cell r="E28">
            <v>0.1</v>
          </cell>
          <cell r="F28">
            <v>0.1</v>
          </cell>
          <cell r="G28">
            <v>0</v>
          </cell>
          <cell r="H28">
            <v>0.15285714285714291</v>
          </cell>
          <cell r="I28">
            <v>0</v>
          </cell>
          <cell r="J28">
            <v>0.107</v>
          </cell>
          <cell r="K28">
            <v>0</v>
          </cell>
        </row>
        <row r="29">
          <cell r="B29">
            <v>0.1</v>
          </cell>
          <cell r="C29">
            <v>8.4999999999999992E-2</v>
          </cell>
          <cell r="D29">
            <v>0.1428571428571429</v>
          </cell>
          <cell r="E29">
            <v>0.1</v>
          </cell>
          <cell r="F29">
            <v>0.1</v>
          </cell>
          <cell r="G29">
            <v>0</v>
          </cell>
          <cell r="H29">
            <v>0.15285714285714291</v>
          </cell>
          <cell r="I29">
            <v>0</v>
          </cell>
          <cell r="J29">
            <v>0.107</v>
          </cell>
          <cell r="K29">
            <v>0</v>
          </cell>
        </row>
        <row r="30">
          <cell r="B30">
            <v>9.9999999999999992E-2</v>
          </cell>
          <cell r="C30">
            <v>8.4999999999999992E-2</v>
          </cell>
          <cell r="D30">
            <v>0.14285714285714279</v>
          </cell>
          <cell r="E30">
            <v>9.9999999999999992E-2</v>
          </cell>
          <cell r="F30">
            <v>9.9999999999999992E-2</v>
          </cell>
          <cell r="G30">
            <v>0</v>
          </cell>
          <cell r="H30">
            <v>0.15285714285714291</v>
          </cell>
          <cell r="I30">
            <v>0</v>
          </cell>
          <cell r="J30">
            <v>0.107</v>
          </cell>
          <cell r="K30">
            <v>0</v>
          </cell>
        </row>
        <row r="31">
          <cell r="B31">
            <v>0.1</v>
          </cell>
          <cell r="C31">
            <v>8.4999999999999992E-2</v>
          </cell>
          <cell r="D31">
            <v>0.1428571428571429</v>
          </cell>
          <cell r="E31">
            <v>0.1</v>
          </cell>
          <cell r="F31">
            <v>0.1</v>
          </cell>
          <cell r="G31">
            <v>0</v>
          </cell>
          <cell r="H31">
            <v>0.15285714285714291</v>
          </cell>
          <cell r="I31">
            <v>0</v>
          </cell>
          <cell r="J31">
            <v>0.107</v>
          </cell>
          <cell r="K31">
            <v>0</v>
          </cell>
        </row>
        <row r="32">
          <cell r="B32">
            <v>0.1</v>
          </cell>
          <cell r="C32">
            <v>8.4999999999999992E-2</v>
          </cell>
          <cell r="D32">
            <v>0.1428571428571429</v>
          </cell>
          <cell r="E32">
            <v>0.1</v>
          </cell>
          <cell r="F32">
            <v>0.1</v>
          </cell>
          <cell r="G32">
            <v>9.0000000000000011E-2</v>
          </cell>
          <cell r="H32">
            <v>0.15285714285714291</v>
          </cell>
          <cell r="I32">
            <v>9.0000000000000011E-2</v>
          </cell>
          <cell r="J32">
            <v>0.107</v>
          </cell>
          <cell r="K32">
            <v>0</v>
          </cell>
        </row>
        <row r="33">
          <cell r="B33">
            <v>0.1</v>
          </cell>
          <cell r="C33">
            <v>8.4999999999999992E-2</v>
          </cell>
          <cell r="D33">
            <v>0.1428571428571429</v>
          </cell>
          <cell r="E33">
            <v>0.1</v>
          </cell>
          <cell r="F33">
            <v>0.1</v>
          </cell>
          <cell r="G33">
            <v>9.0000000000000011E-2</v>
          </cell>
          <cell r="H33">
            <v>0.15285714285714291</v>
          </cell>
          <cell r="I33">
            <v>9.0000000000000011E-2</v>
          </cell>
          <cell r="J33">
            <v>0.107</v>
          </cell>
          <cell r="K33">
            <v>0</v>
          </cell>
        </row>
        <row r="34">
          <cell r="B34">
            <v>0.1</v>
          </cell>
          <cell r="C34">
            <v>8.4999999999999992E-2</v>
          </cell>
          <cell r="D34">
            <v>0.1428571428571429</v>
          </cell>
          <cell r="E34">
            <v>0.1</v>
          </cell>
          <cell r="F34">
            <v>0.1</v>
          </cell>
          <cell r="G34">
            <v>9.0000000000000011E-2</v>
          </cell>
          <cell r="H34">
            <v>0.15285714285714291</v>
          </cell>
          <cell r="I34">
            <v>9.0000000000000011E-2</v>
          </cell>
          <cell r="J34">
            <v>0.107</v>
          </cell>
          <cell r="K34">
            <v>0</v>
          </cell>
        </row>
        <row r="35">
          <cell r="B35">
            <v>9.9999999999999992E-2</v>
          </cell>
          <cell r="C35">
            <v>8.4999999999999992E-2</v>
          </cell>
          <cell r="D35">
            <v>0.14285714285714279</v>
          </cell>
          <cell r="E35">
            <v>9.9999999999999992E-2</v>
          </cell>
          <cell r="F35">
            <v>9.9999999999999992E-2</v>
          </cell>
          <cell r="G35">
            <v>0</v>
          </cell>
          <cell r="H35">
            <v>0.15285714285714291</v>
          </cell>
          <cell r="I35">
            <v>0</v>
          </cell>
          <cell r="J35">
            <v>0.107</v>
          </cell>
          <cell r="K35">
            <v>0</v>
          </cell>
        </row>
        <row r="36">
          <cell r="B36">
            <v>0</v>
          </cell>
          <cell r="C36">
            <v>8.4999999999999992E-2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</row>
        <row r="37">
          <cell r="B37">
            <v>0</v>
          </cell>
          <cell r="C37">
            <v>8.4999999999999992E-2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</row>
        <row r="38">
          <cell r="B38">
            <v>0</v>
          </cell>
          <cell r="C38">
            <v>8.4999999999999992E-2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</row>
        <row r="39">
          <cell r="B39">
            <v>0</v>
          </cell>
          <cell r="C39">
            <v>8.4999999999999992E-2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</row>
        <row r="40">
          <cell r="B40">
            <v>0</v>
          </cell>
          <cell r="C40">
            <v>8.4999999999999992E-2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</row>
        <row r="41">
          <cell r="B41">
            <v>0</v>
          </cell>
          <cell r="C41">
            <v>8.4999999999999992E-2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</row>
        <row r="42">
          <cell r="B42">
            <v>0</v>
          </cell>
          <cell r="C42">
            <v>8.4999999999999992E-2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</row>
        <row r="43">
          <cell r="B43">
            <v>0.1</v>
          </cell>
          <cell r="C43">
            <v>8.4999999999999992E-2</v>
          </cell>
          <cell r="D43">
            <v>0.1428571428571429</v>
          </cell>
          <cell r="E43">
            <v>0.1</v>
          </cell>
          <cell r="F43">
            <v>0.1</v>
          </cell>
          <cell r="G43">
            <v>0</v>
          </cell>
          <cell r="H43">
            <v>0.1328571428571429</v>
          </cell>
          <cell r="I43">
            <v>0</v>
          </cell>
          <cell r="J43">
            <v>9.3000000000000013E-2</v>
          </cell>
          <cell r="K43">
            <v>0</v>
          </cell>
        </row>
        <row r="44">
          <cell r="B44">
            <v>0.1</v>
          </cell>
          <cell r="C44">
            <v>8.4999999999999992E-2</v>
          </cell>
          <cell r="D44">
            <v>0.1428571428571429</v>
          </cell>
          <cell r="E44">
            <v>0.1</v>
          </cell>
          <cell r="F44">
            <v>0.1</v>
          </cell>
          <cell r="G44">
            <v>0</v>
          </cell>
          <cell r="H44">
            <v>0.1328571428571429</v>
          </cell>
          <cell r="I44">
            <v>0</v>
          </cell>
          <cell r="J44">
            <v>9.3000000000000013E-2</v>
          </cell>
          <cell r="K44">
            <v>0</v>
          </cell>
        </row>
        <row r="45">
          <cell r="B45">
            <v>0.1</v>
          </cell>
          <cell r="C45">
            <v>8.4999999999999992E-2</v>
          </cell>
          <cell r="D45">
            <v>0.1428571428571429</v>
          </cell>
          <cell r="E45">
            <v>0.1</v>
          </cell>
          <cell r="F45">
            <v>0.1</v>
          </cell>
          <cell r="G45">
            <v>0</v>
          </cell>
          <cell r="H45">
            <v>0.1328571428571429</v>
          </cell>
          <cell r="I45">
            <v>0</v>
          </cell>
          <cell r="J45">
            <v>9.3000000000000013E-2</v>
          </cell>
          <cell r="K45">
            <v>0</v>
          </cell>
        </row>
        <row r="46">
          <cell r="B46">
            <v>0.1</v>
          </cell>
          <cell r="C46">
            <v>8.4999999999999992E-2</v>
          </cell>
          <cell r="D46">
            <v>0.1428571428571429</v>
          </cell>
          <cell r="E46">
            <v>0.1</v>
          </cell>
          <cell r="F46">
            <v>0.1</v>
          </cell>
          <cell r="G46">
            <v>0</v>
          </cell>
          <cell r="H46">
            <v>0.1328571428571429</v>
          </cell>
          <cell r="I46">
            <v>0</v>
          </cell>
          <cell r="J46">
            <v>9.3000000000000013E-2</v>
          </cell>
          <cell r="K46">
            <v>0</v>
          </cell>
        </row>
        <row r="47">
          <cell r="B47">
            <v>0.1</v>
          </cell>
          <cell r="C47">
            <v>8.4999999999999992E-2</v>
          </cell>
          <cell r="D47">
            <v>0.1428571428571429</v>
          </cell>
          <cell r="E47">
            <v>0.1</v>
          </cell>
          <cell r="F47">
            <v>0.1</v>
          </cell>
          <cell r="G47">
            <v>0</v>
          </cell>
          <cell r="H47">
            <v>0.1328571428571429</v>
          </cell>
          <cell r="I47">
            <v>0</v>
          </cell>
          <cell r="J47">
            <v>9.3000000000000013E-2</v>
          </cell>
          <cell r="K47">
            <v>0</v>
          </cell>
        </row>
        <row r="48">
          <cell r="B48">
            <v>0.1</v>
          </cell>
          <cell r="C48">
            <v>8.4999999999999992E-2</v>
          </cell>
          <cell r="D48">
            <v>0.1428571428571429</v>
          </cell>
          <cell r="E48">
            <v>0.1</v>
          </cell>
          <cell r="F48">
            <v>0.1</v>
          </cell>
          <cell r="G48">
            <v>0</v>
          </cell>
          <cell r="H48">
            <v>0.1328571428571429</v>
          </cell>
          <cell r="I48">
            <v>0</v>
          </cell>
          <cell r="J48">
            <v>9.3000000000000013E-2</v>
          </cell>
          <cell r="K48">
            <v>0</v>
          </cell>
        </row>
        <row r="49">
          <cell r="B49">
            <v>0.1</v>
          </cell>
          <cell r="C49">
            <v>8.4999999999999992E-2</v>
          </cell>
          <cell r="D49">
            <v>0.1428571428571429</v>
          </cell>
          <cell r="E49">
            <v>0.1</v>
          </cell>
          <cell r="F49">
            <v>0.1</v>
          </cell>
          <cell r="G49">
            <v>0</v>
          </cell>
          <cell r="H49">
            <v>0.1328571428571429</v>
          </cell>
          <cell r="I49">
            <v>0</v>
          </cell>
          <cell r="J49">
            <v>9.3000000000000013E-2</v>
          </cell>
          <cell r="K49">
            <v>0</v>
          </cell>
        </row>
        <row r="50">
          <cell r="B50">
            <v>9.9999999999999992E-2</v>
          </cell>
          <cell r="C50">
            <v>8.4999999999999992E-2</v>
          </cell>
          <cell r="D50">
            <v>0.14285714285714279</v>
          </cell>
          <cell r="E50">
            <v>9.9999999999999992E-2</v>
          </cell>
          <cell r="F50">
            <v>9.9999999999999992E-2</v>
          </cell>
          <cell r="G50">
            <v>0</v>
          </cell>
          <cell r="H50">
            <v>0.13285714285714281</v>
          </cell>
          <cell r="I50">
            <v>0</v>
          </cell>
          <cell r="J50">
            <v>9.2999999999999999E-2</v>
          </cell>
          <cell r="K50">
            <v>0</v>
          </cell>
        </row>
        <row r="51">
          <cell r="B51">
            <v>9.9999999999999992E-2</v>
          </cell>
          <cell r="C51">
            <v>8.4999999999999992E-2</v>
          </cell>
          <cell r="D51">
            <v>0.14285714285714279</v>
          </cell>
          <cell r="E51">
            <v>9.9999999999999992E-2</v>
          </cell>
          <cell r="F51">
            <v>9.9999999999999992E-2</v>
          </cell>
          <cell r="G51">
            <v>0</v>
          </cell>
          <cell r="H51">
            <v>0.13285714285714281</v>
          </cell>
          <cell r="I51">
            <v>0</v>
          </cell>
          <cell r="J51">
            <v>9.2999999999999999E-2</v>
          </cell>
          <cell r="K51">
            <v>0</v>
          </cell>
        </row>
        <row r="52">
          <cell r="B52">
            <v>0.1</v>
          </cell>
          <cell r="C52">
            <v>8.4999999999999992E-2</v>
          </cell>
          <cell r="D52">
            <v>0.1428571428571429</v>
          </cell>
          <cell r="E52">
            <v>0.1</v>
          </cell>
          <cell r="F52">
            <v>0.1</v>
          </cell>
          <cell r="G52">
            <v>0</v>
          </cell>
          <cell r="H52">
            <v>0.1328571428571429</v>
          </cell>
          <cell r="I52">
            <v>0</v>
          </cell>
          <cell r="J52">
            <v>9.3000000000000013E-2</v>
          </cell>
          <cell r="K52">
            <v>0</v>
          </cell>
        </row>
        <row r="53">
          <cell r="B53">
            <v>0.1</v>
          </cell>
          <cell r="C53">
            <v>8.4999999999999992E-2</v>
          </cell>
          <cell r="D53">
            <v>0.1428571428571429</v>
          </cell>
          <cell r="E53">
            <v>0.1</v>
          </cell>
          <cell r="F53">
            <v>0.1</v>
          </cell>
          <cell r="G53">
            <v>0</v>
          </cell>
          <cell r="H53">
            <v>0.1328571428571429</v>
          </cell>
          <cell r="I53">
            <v>0</v>
          </cell>
          <cell r="J53">
            <v>9.3000000000000013E-2</v>
          </cell>
          <cell r="K53">
            <v>0</v>
          </cell>
        </row>
        <row r="54">
          <cell r="B54">
            <v>0.1</v>
          </cell>
          <cell r="C54">
            <v>8.4999999999999992E-2</v>
          </cell>
          <cell r="D54">
            <v>0.1428571428571429</v>
          </cell>
          <cell r="E54">
            <v>0.1</v>
          </cell>
          <cell r="F54">
            <v>0.1</v>
          </cell>
          <cell r="G54">
            <v>0</v>
          </cell>
          <cell r="H54">
            <v>0.1328571428571429</v>
          </cell>
          <cell r="I54">
            <v>0</v>
          </cell>
          <cell r="J54">
            <v>9.3000000000000013E-2</v>
          </cell>
          <cell r="K54">
            <v>0</v>
          </cell>
        </row>
        <row r="55">
          <cell r="B55">
            <v>0.1</v>
          </cell>
          <cell r="C55">
            <v>8.4999999999999992E-2</v>
          </cell>
          <cell r="D55">
            <v>0.1428571428571429</v>
          </cell>
          <cell r="E55">
            <v>0.1</v>
          </cell>
          <cell r="F55">
            <v>0.1</v>
          </cell>
          <cell r="G55">
            <v>0</v>
          </cell>
          <cell r="H55">
            <v>0.1328571428571429</v>
          </cell>
          <cell r="I55">
            <v>0</v>
          </cell>
          <cell r="J55">
            <v>9.3000000000000013E-2</v>
          </cell>
          <cell r="K55">
            <v>0</v>
          </cell>
        </row>
        <row r="56">
          <cell r="B56">
            <v>0.1</v>
          </cell>
          <cell r="C56">
            <v>8.4999999999999992E-2</v>
          </cell>
          <cell r="D56">
            <v>0.1428571428571429</v>
          </cell>
          <cell r="E56">
            <v>0.1</v>
          </cell>
          <cell r="F56">
            <v>0.1</v>
          </cell>
          <cell r="G56">
            <v>0</v>
          </cell>
          <cell r="H56">
            <v>0.1328571428571429</v>
          </cell>
          <cell r="I56">
            <v>0</v>
          </cell>
          <cell r="J56">
            <v>9.3000000000000013E-2</v>
          </cell>
          <cell r="K56">
            <v>0</v>
          </cell>
        </row>
        <row r="57">
          <cell r="B57">
            <v>0.1</v>
          </cell>
          <cell r="C57">
            <v>8.4999999999999992E-2</v>
          </cell>
          <cell r="D57">
            <v>0.1428571428571429</v>
          </cell>
          <cell r="E57">
            <v>0.1</v>
          </cell>
          <cell r="F57">
            <v>0.1</v>
          </cell>
          <cell r="G57">
            <v>0</v>
          </cell>
          <cell r="H57">
            <v>0.1328571428571429</v>
          </cell>
          <cell r="I57">
            <v>0</v>
          </cell>
          <cell r="J57">
            <v>9.3000000000000013E-2</v>
          </cell>
          <cell r="K57">
            <v>0</v>
          </cell>
        </row>
        <row r="58">
          <cell r="B58">
            <v>0.1</v>
          </cell>
          <cell r="C58">
            <v>8.4999999999999992E-2</v>
          </cell>
          <cell r="D58">
            <v>0.1428571428571429</v>
          </cell>
          <cell r="E58">
            <v>0.1</v>
          </cell>
          <cell r="F58">
            <v>0.1</v>
          </cell>
          <cell r="G58">
            <v>0</v>
          </cell>
          <cell r="H58">
            <v>0.1328571428571429</v>
          </cell>
          <cell r="I58">
            <v>0</v>
          </cell>
          <cell r="J58">
            <v>9.3000000000000013E-2</v>
          </cell>
          <cell r="K58">
            <v>0</v>
          </cell>
        </row>
        <row r="59">
          <cell r="B59">
            <v>6.3749999999999987E-2</v>
          </cell>
          <cell r="C59">
            <v>8.4999999999999992E-2</v>
          </cell>
          <cell r="D59">
            <v>9.1071428571428567E-2</v>
          </cell>
          <cell r="E59">
            <v>6.3749999999999987E-2</v>
          </cell>
          <cell r="F59">
            <v>6.3749999999999987E-2</v>
          </cell>
          <cell r="G59">
            <v>0</v>
          </cell>
          <cell r="H59">
            <v>8.1071428571428572E-2</v>
          </cell>
          <cell r="I59">
            <v>0</v>
          </cell>
          <cell r="J59">
            <v>5.6749999999999988E-2</v>
          </cell>
          <cell r="K59">
            <v>0</v>
          </cell>
        </row>
        <row r="60">
          <cell r="B60">
            <v>0</v>
          </cell>
          <cell r="C60">
            <v>8.4999999999999992E-2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B61">
            <v>0</v>
          </cell>
          <cell r="C61">
            <v>8.4999999999999992E-2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B62">
            <v>0</v>
          </cell>
          <cell r="C62">
            <v>8.4999999999999992E-2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B63">
            <v>0</v>
          </cell>
          <cell r="C63">
            <v>8.4999999999999992E-2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</row>
        <row r="64">
          <cell r="B64">
            <v>0</v>
          </cell>
          <cell r="C64">
            <v>8.4999999999999992E-2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</row>
        <row r="65">
          <cell r="B65">
            <v>0</v>
          </cell>
          <cell r="C65">
            <v>8.4999999999999992E-2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</row>
        <row r="66">
          <cell r="B66">
            <v>0</v>
          </cell>
          <cell r="C66">
            <v>8.4999999999999992E-2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B67">
            <v>15.62</v>
          </cell>
          <cell r="C67">
            <v>8.4999999999999992E-2</v>
          </cell>
          <cell r="D67">
            <v>22.31428571428572</v>
          </cell>
          <cell r="E67">
            <v>15.62</v>
          </cell>
          <cell r="F67">
            <v>15.62</v>
          </cell>
          <cell r="G67">
            <v>0</v>
          </cell>
          <cell r="H67">
            <v>22.304285714285719</v>
          </cell>
          <cell r="I67">
            <v>0</v>
          </cell>
          <cell r="J67">
            <v>15.613</v>
          </cell>
          <cell r="K67">
            <v>15.63</v>
          </cell>
        </row>
        <row r="68">
          <cell r="B68">
            <v>15.62</v>
          </cell>
          <cell r="C68">
            <v>8.4999999999999992E-2</v>
          </cell>
          <cell r="D68">
            <v>22.31428571428572</v>
          </cell>
          <cell r="E68">
            <v>15.62</v>
          </cell>
          <cell r="F68">
            <v>15.62</v>
          </cell>
          <cell r="G68">
            <v>0</v>
          </cell>
          <cell r="H68">
            <v>22.304285714285719</v>
          </cell>
          <cell r="I68">
            <v>0</v>
          </cell>
          <cell r="J68">
            <v>15.613</v>
          </cell>
          <cell r="K68">
            <v>15.63</v>
          </cell>
        </row>
        <row r="69">
          <cell r="B69">
            <v>15.62</v>
          </cell>
          <cell r="C69">
            <v>8.4999999999999992E-2</v>
          </cell>
          <cell r="D69">
            <v>22.31428571428572</v>
          </cell>
          <cell r="E69">
            <v>15.62</v>
          </cell>
          <cell r="F69">
            <v>15.62</v>
          </cell>
          <cell r="G69">
            <v>0</v>
          </cell>
          <cell r="H69">
            <v>22.304285714285719</v>
          </cell>
          <cell r="I69">
            <v>0</v>
          </cell>
          <cell r="J69">
            <v>15.613</v>
          </cell>
          <cell r="K69">
            <v>15.63</v>
          </cell>
        </row>
        <row r="70">
          <cell r="B70">
            <v>15.62</v>
          </cell>
          <cell r="C70">
            <v>8.4999999999999992E-2</v>
          </cell>
          <cell r="D70">
            <v>22.31428571428572</v>
          </cell>
          <cell r="E70">
            <v>15.62</v>
          </cell>
          <cell r="F70">
            <v>15.62</v>
          </cell>
          <cell r="G70">
            <v>0</v>
          </cell>
          <cell r="H70">
            <v>22.304285714285719</v>
          </cell>
          <cell r="I70">
            <v>0</v>
          </cell>
          <cell r="J70">
            <v>15.613</v>
          </cell>
          <cell r="K70">
            <v>15.63</v>
          </cell>
        </row>
        <row r="71">
          <cell r="B71">
            <v>15.62</v>
          </cell>
          <cell r="C71">
            <v>8.4999999999999992E-2</v>
          </cell>
          <cell r="D71">
            <v>22.31428571428572</v>
          </cell>
          <cell r="E71">
            <v>15.62</v>
          </cell>
          <cell r="F71">
            <v>15.62</v>
          </cell>
          <cell r="G71">
            <v>0</v>
          </cell>
          <cell r="H71">
            <v>22.304285714285719</v>
          </cell>
          <cell r="I71">
            <v>0</v>
          </cell>
          <cell r="J71">
            <v>15.613</v>
          </cell>
          <cell r="K71">
            <v>15.61</v>
          </cell>
        </row>
        <row r="72">
          <cell r="B72">
            <v>15.62</v>
          </cell>
          <cell r="C72">
            <v>8.4999999999999992E-2</v>
          </cell>
          <cell r="D72">
            <v>22.31428571428572</v>
          </cell>
          <cell r="E72">
            <v>15.62</v>
          </cell>
          <cell r="F72">
            <v>15.62</v>
          </cell>
          <cell r="G72">
            <v>0</v>
          </cell>
          <cell r="H72">
            <v>22.304285714285719</v>
          </cell>
          <cell r="I72">
            <v>0</v>
          </cell>
          <cell r="J72">
            <v>15.613</v>
          </cell>
          <cell r="K72">
            <v>15.61</v>
          </cell>
        </row>
        <row r="73">
          <cell r="B73">
            <v>15.62</v>
          </cell>
          <cell r="C73">
            <v>8.4999999999999992E-2</v>
          </cell>
          <cell r="D73">
            <v>22.31428571428572</v>
          </cell>
          <cell r="E73">
            <v>15.62</v>
          </cell>
          <cell r="F73">
            <v>15.62</v>
          </cell>
          <cell r="G73">
            <v>0</v>
          </cell>
          <cell r="H73">
            <v>22.304285714285719</v>
          </cell>
          <cell r="I73">
            <v>0</v>
          </cell>
          <cell r="J73">
            <v>15.613</v>
          </cell>
          <cell r="K73">
            <v>1.414142128354249</v>
          </cell>
        </row>
        <row r="74">
          <cell r="B74">
            <v>15.62</v>
          </cell>
          <cell r="C74">
            <v>8.4999999999999992E-2</v>
          </cell>
          <cell r="D74">
            <v>22.31428571428572</v>
          </cell>
          <cell r="E74">
            <v>15.62</v>
          </cell>
          <cell r="F74">
            <v>15.62</v>
          </cell>
          <cell r="G74">
            <v>0</v>
          </cell>
          <cell r="H74">
            <v>22.304285714285719</v>
          </cell>
          <cell r="I74">
            <v>0</v>
          </cell>
          <cell r="J74">
            <v>15.613</v>
          </cell>
          <cell r="K74">
            <v>0</v>
          </cell>
        </row>
        <row r="75">
          <cell r="B75">
            <v>15.62</v>
          </cell>
          <cell r="C75">
            <v>8.4999999999999992E-2</v>
          </cell>
          <cell r="D75">
            <v>22.31428571428572</v>
          </cell>
          <cell r="E75">
            <v>15.62</v>
          </cell>
          <cell r="F75">
            <v>15.62</v>
          </cell>
          <cell r="G75">
            <v>0</v>
          </cell>
          <cell r="H75">
            <v>22.304285714285719</v>
          </cell>
          <cell r="I75">
            <v>0</v>
          </cell>
          <cell r="J75">
            <v>15.613</v>
          </cell>
          <cell r="K75">
            <v>0</v>
          </cell>
        </row>
        <row r="76">
          <cell r="B76">
            <v>15.62</v>
          </cell>
          <cell r="C76">
            <v>8.4999999999999992E-2</v>
          </cell>
          <cell r="D76">
            <v>22.31428571428572</v>
          </cell>
          <cell r="E76">
            <v>15.62</v>
          </cell>
          <cell r="F76">
            <v>15.62</v>
          </cell>
          <cell r="G76">
            <v>0</v>
          </cell>
          <cell r="H76">
            <v>22.304285714285719</v>
          </cell>
          <cell r="I76">
            <v>0</v>
          </cell>
          <cell r="J76">
            <v>15.613</v>
          </cell>
          <cell r="K76">
            <v>0</v>
          </cell>
        </row>
        <row r="77">
          <cell r="B77">
            <v>15.62</v>
          </cell>
          <cell r="C77">
            <v>8.4999999999999992E-2</v>
          </cell>
          <cell r="D77">
            <v>22.31428571428572</v>
          </cell>
          <cell r="E77">
            <v>15.62</v>
          </cell>
          <cell r="F77">
            <v>15.62</v>
          </cell>
          <cell r="G77">
            <v>0</v>
          </cell>
          <cell r="H77">
            <v>22.304285714285719</v>
          </cell>
          <cell r="I77">
            <v>0</v>
          </cell>
          <cell r="J77">
            <v>15.613</v>
          </cell>
          <cell r="K77">
            <v>0</v>
          </cell>
        </row>
        <row r="78">
          <cell r="B78">
            <v>15.62</v>
          </cell>
          <cell r="C78">
            <v>8.4999999999999992E-2</v>
          </cell>
          <cell r="D78">
            <v>22.31428571428572</v>
          </cell>
          <cell r="E78">
            <v>15.62</v>
          </cell>
          <cell r="F78">
            <v>15.62</v>
          </cell>
          <cell r="G78">
            <v>0</v>
          </cell>
          <cell r="H78">
            <v>22.304285714285719</v>
          </cell>
          <cell r="I78">
            <v>0</v>
          </cell>
          <cell r="J78">
            <v>15.613</v>
          </cell>
          <cell r="K78">
            <v>0</v>
          </cell>
        </row>
        <row r="79">
          <cell r="B79">
            <v>15.62</v>
          </cell>
          <cell r="C79">
            <v>8.4999999999999992E-2</v>
          </cell>
          <cell r="D79">
            <v>22.31428571428572</v>
          </cell>
          <cell r="E79">
            <v>15.62</v>
          </cell>
          <cell r="F79">
            <v>15.62</v>
          </cell>
          <cell r="G79">
            <v>0</v>
          </cell>
          <cell r="H79">
            <v>22.304285714285719</v>
          </cell>
          <cell r="I79">
            <v>0</v>
          </cell>
          <cell r="J79">
            <v>15.613</v>
          </cell>
          <cell r="K79">
            <v>0</v>
          </cell>
        </row>
        <row r="80">
          <cell r="B80">
            <v>15.62</v>
          </cell>
          <cell r="C80">
            <v>8.4999999999999992E-2</v>
          </cell>
          <cell r="D80">
            <v>22.31428571428572</v>
          </cell>
          <cell r="E80">
            <v>15.62</v>
          </cell>
          <cell r="F80">
            <v>15.62</v>
          </cell>
          <cell r="G80">
            <v>0</v>
          </cell>
          <cell r="H80">
            <v>22.304285714285719</v>
          </cell>
          <cell r="I80">
            <v>0</v>
          </cell>
          <cell r="J80">
            <v>15.613</v>
          </cell>
          <cell r="K80">
            <v>15.61</v>
          </cell>
        </row>
        <row r="81">
          <cell r="B81">
            <v>15.62</v>
          </cell>
          <cell r="C81">
            <v>8.4999999999999992E-2</v>
          </cell>
          <cell r="D81">
            <v>22.31428571428572</v>
          </cell>
          <cell r="E81">
            <v>15.62</v>
          </cell>
          <cell r="F81">
            <v>15.62</v>
          </cell>
          <cell r="G81">
            <v>0</v>
          </cell>
          <cell r="H81">
            <v>22.304285714285719</v>
          </cell>
          <cell r="I81">
            <v>0</v>
          </cell>
          <cell r="J81">
            <v>15.613</v>
          </cell>
          <cell r="K81">
            <v>15.61</v>
          </cell>
        </row>
        <row r="82">
          <cell r="B82">
            <v>15.62</v>
          </cell>
          <cell r="C82">
            <v>8.4999999999999992E-2</v>
          </cell>
          <cell r="D82">
            <v>22.31428571428572</v>
          </cell>
          <cell r="E82">
            <v>15.62</v>
          </cell>
          <cell r="F82">
            <v>15.62</v>
          </cell>
          <cell r="G82">
            <v>0</v>
          </cell>
          <cell r="H82">
            <v>22.324285714285711</v>
          </cell>
          <cell r="I82">
            <v>0</v>
          </cell>
          <cell r="J82">
            <v>15.627000000000001</v>
          </cell>
          <cell r="K82">
            <v>15.61</v>
          </cell>
        </row>
        <row r="83">
          <cell r="B83">
            <v>9.9999999999999992E-2</v>
          </cell>
          <cell r="C83">
            <v>8.4999999999999992E-2</v>
          </cell>
          <cell r="D83">
            <v>0.14285714285714279</v>
          </cell>
          <cell r="E83">
            <v>9.9999999999999992E-2</v>
          </cell>
          <cell r="F83">
            <v>9.9999999999999992E-2</v>
          </cell>
          <cell r="G83">
            <v>0</v>
          </cell>
          <cell r="H83">
            <v>0.15285714285714291</v>
          </cell>
          <cell r="I83">
            <v>0</v>
          </cell>
          <cell r="J83">
            <v>0.107</v>
          </cell>
          <cell r="K83">
            <v>0</v>
          </cell>
        </row>
        <row r="84">
          <cell r="B84">
            <v>6.9999999999999993E-3</v>
          </cell>
          <cell r="C84">
            <v>8.4999999999999992E-2</v>
          </cell>
          <cell r="D84">
            <v>0.01</v>
          </cell>
          <cell r="E84">
            <v>6.9999999999999993E-3</v>
          </cell>
          <cell r="F84">
            <v>6.9999999999999993E-3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</row>
        <row r="85">
          <cell r="B85">
            <v>0</v>
          </cell>
          <cell r="C85">
            <v>8.4999999999999992E-2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</row>
        <row r="86">
          <cell r="B86">
            <v>0</v>
          </cell>
          <cell r="C86">
            <v>8.4999999999999992E-2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</row>
        <row r="87">
          <cell r="B87">
            <v>0</v>
          </cell>
          <cell r="C87">
            <v>8.4999999999999992E-2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</row>
        <row r="88">
          <cell r="B88">
            <v>0</v>
          </cell>
          <cell r="C88">
            <v>8.4999999999999992E-2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</row>
        <row r="89">
          <cell r="B89">
            <v>0</v>
          </cell>
          <cell r="C89">
            <v>8.4999999999999992E-2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</row>
        <row r="90">
          <cell r="B90">
            <v>0</v>
          </cell>
          <cell r="C90">
            <v>8.4999999999999992E-2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</row>
        <row r="91">
          <cell r="B91">
            <v>9.9999999999999992E-2</v>
          </cell>
          <cell r="C91">
            <v>8.4999999999999992E-2</v>
          </cell>
          <cell r="D91">
            <v>0.14285714285714279</v>
          </cell>
          <cell r="E91">
            <v>9.9999999999999992E-2</v>
          </cell>
          <cell r="F91">
            <v>9.9999999999999992E-2</v>
          </cell>
          <cell r="G91">
            <v>0</v>
          </cell>
          <cell r="H91">
            <v>0.13285714285714281</v>
          </cell>
          <cell r="I91">
            <v>0</v>
          </cell>
          <cell r="J91">
            <v>9.2999999999999999E-2</v>
          </cell>
          <cell r="K91">
            <v>0</v>
          </cell>
        </row>
        <row r="92">
          <cell r="B92">
            <v>0.1</v>
          </cell>
          <cell r="C92">
            <v>8.4999999999999992E-2</v>
          </cell>
          <cell r="D92">
            <v>0.1428571428571429</v>
          </cell>
          <cell r="E92">
            <v>0.1</v>
          </cell>
          <cell r="F92">
            <v>0.1</v>
          </cell>
          <cell r="G92">
            <v>0</v>
          </cell>
          <cell r="H92">
            <v>0.1328571428571429</v>
          </cell>
          <cell r="I92">
            <v>0</v>
          </cell>
          <cell r="J92">
            <v>9.3000000000000013E-2</v>
          </cell>
          <cell r="K92">
            <v>0</v>
          </cell>
        </row>
        <row r="93">
          <cell r="B93">
            <v>0.1</v>
          </cell>
          <cell r="C93">
            <v>8.5000000000000006E-2</v>
          </cell>
          <cell r="D93">
            <v>0.1428571428571429</v>
          </cell>
          <cell r="E93">
            <v>0.1</v>
          </cell>
          <cell r="F93">
            <v>0.1</v>
          </cell>
          <cell r="G93">
            <v>0</v>
          </cell>
          <cell r="H93">
            <v>0.1328571428571429</v>
          </cell>
          <cell r="I93">
            <v>0</v>
          </cell>
          <cell r="J93">
            <v>9.3000000000000013E-2</v>
          </cell>
          <cell r="K93">
            <v>0</v>
          </cell>
        </row>
        <row r="94">
          <cell r="B94">
            <v>9.9999999999999992E-2</v>
          </cell>
          <cell r="C94">
            <v>8.4999999999999992E-2</v>
          </cell>
          <cell r="D94">
            <v>0.14285714285714279</v>
          </cell>
          <cell r="E94">
            <v>9.9999999999999992E-2</v>
          </cell>
          <cell r="F94">
            <v>9.9999999999999992E-2</v>
          </cell>
          <cell r="G94">
            <v>0</v>
          </cell>
          <cell r="H94">
            <v>0.13285714285714281</v>
          </cell>
          <cell r="I94">
            <v>0</v>
          </cell>
          <cell r="J94">
            <v>9.2999999999999999E-2</v>
          </cell>
          <cell r="K94">
            <v>0</v>
          </cell>
        </row>
        <row r="95">
          <cell r="B95">
            <v>9.9999999999999992E-2</v>
          </cell>
          <cell r="C95">
            <v>8.4999999999999992E-2</v>
          </cell>
          <cell r="D95">
            <v>0.14285714285714279</v>
          </cell>
          <cell r="E95">
            <v>9.9999999999999992E-2</v>
          </cell>
          <cell r="F95">
            <v>9.9999999999999992E-2</v>
          </cell>
          <cell r="G95">
            <v>0</v>
          </cell>
          <cell r="H95">
            <v>0.13285714285714281</v>
          </cell>
          <cell r="I95">
            <v>0</v>
          </cell>
          <cell r="J95">
            <v>9.2999999999999999E-2</v>
          </cell>
          <cell r="K95">
            <v>0</v>
          </cell>
        </row>
        <row r="96">
          <cell r="B96">
            <v>9.9999999999999992E-2</v>
          </cell>
          <cell r="C96">
            <v>8.4999999999999992E-2</v>
          </cell>
          <cell r="D96">
            <v>0.14285714285714279</v>
          </cell>
          <cell r="E96">
            <v>9.9999999999999992E-2</v>
          </cell>
          <cell r="F96">
            <v>9.9999999999999992E-2</v>
          </cell>
          <cell r="G96">
            <v>0</v>
          </cell>
          <cell r="H96">
            <v>0.13285714285714281</v>
          </cell>
          <cell r="I96">
            <v>0</v>
          </cell>
          <cell r="J96">
            <v>9.2999999999999999E-2</v>
          </cell>
          <cell r="K96">
            <v>0</v>
          </cell>
        </row>
        <row r="97">
          <cell r="B97">
            <v>6.3749999999999987E-2</v>
          </cell>
          <cell r="C97">
            <v>8.4999999999999992E-2</v>
          </cell>
          <cell r="D97">
            <v>9.1071428571428567E-2</v>
          </cell>
          <cell r="E97">
            <v>6.3749999999999987E-2</v>
          </cell>
          <cell r="F97">
            <v>6.3749999999999987E-2</v>
          </cell>
          <cell r="G97">
            <v>0</v>
          </cell>
          <cell r="H97">
            <v>8.1071428571428572E-2</v>
          </cell>
          <cell r="I97">
            <v>0</v>
          </cell>
          <cell r="J97">
            <v>5.6749999999999988E-2</v>
          </cell>
          <cell r="K97">
            <v>0</v>
          </cell>
        </row>
        <row r="98">
          <cell r="B98">
            <v>6.3749999999999987E-2</v>
          </cell>
          <cell r="C98">
            <v>8.4999999999999992E-2</v>
          </cell>
          <cell r="D98">
            <v>9.1071428571428567E-2</v>
          </cell>
          <cell r="E98">
            <v>6.3749999999999987E-2</v>
          </cell>
          <cell r="F98">
            <v>6.3749999999999987E-2</v>
          </cell>
          <cell r="G98">
            <v>5.3749999999999992E-2</v>
          </cell>
          <cell r="H98">
            <v>0.1010714285714286</v>
          </cell>
          <cell r="I98">
            <v>5.3749999999999992E-2</v>
          </cell>
          <cell r="J98">
            <v>7.0749999999999993E-2</v>
          </cell>
          <cell r="K98">
            <v>0</v>
          </cell>
        </row>
        <row r="99">
          <cell r="B99">
            <v>6.3749999999999987E-2</v>
          </cell>
          <cell r="C99">
            <v>8.4999999999999992E-2</v>
          </cell>
          <cell r="D99">
            <v>9.1071428571428567E-2</v>
          </cell>
          <cell r="E99">
            <v>6.3749999999999987E-2</v>
          </cell>
          <cell r="F99">
            <v>6.3749999999999987E-2</v>
          </cell>
          <cell r="G99">
            <v>5.3749999999999992E-2</v>
          </cell>
          <cell r="H99">
            <v>0.1010714285714286</v>
          </cell>
          <cell r="I99">
            <v>5.3749999999999992E-2</v>
          </cell>
          <cell r="J99">
            <v>7.0749999999999993E-2</v>
          </cell>
          <cell r="K99">
            <v>0</v>
          </cell>
        </row>
        <row r="100">
          <cell r="B100">
            <v>6.3749999999999987E-2</v>
          </cell>
          <cell r="C100">
            <v>8.4999999999999992E-2</v>
          </cell>
          <cell r="D100">
            <v>9.1071428571428567E-2</v>
          </cell>
          <cell r="E100">
            <v>6.3749999999999987E-2</v>
          </cell>
          <cell r="F100">
            <v>6.3749999999999987E-2</v>
          </cell>
          <cell r="G100">
            <v>5.3749999999999992E-2</v>
          </cell>
          <cell r="H100">
            <v>0.1010714285714286</v>
          </cell>
          <cell r="I100">
            <v>5.3749999999999992E-2</v>
          </cell>
          <cell r="J100">
            <v>7.0749999999999993E-2</v>
          </cell>
          <cell r="K100">
            <v>0</v>
          </cell>
        </row>
        <row r="101">
          <cell r="B101">
            <v>6.3749999999999987E-2</v>
          </cell>
          <cell r="C101">
            <v>8.4999999999999992E-2</v>
          </cell>
          <cell r="D101">
            <v>9.1071428571428567E-2</v>
          </cell>
          <cell r="E101">
            <v>6.3749999999999987E-2</v>
          </cell>
          <cell r="F101">
            <v>6.3749999999999987E-2</v>
          </cell>
          <cell r="G101">
            <v>5.3749999999999992E-2</v>
          </cell>
          <cell r="H101">
            <v>0.1010714285714286</v>
          </cell>
          <cell r="I101">
            <v>5.3749999999999992E-2</v>
          </cell>
          <cell r="J101">
            <v>7.0749999999999993E-2</v>
          </cell>
          <cell r="K101">
            <v>0</v>
          </cell>
        </row>
        <row r="102">
          <cell r="B102">
            <v>6.3749999999999987E-2</v>
          </cell>
          <cell r="C102">
            <v>8.4999999999999992E-2</v>
          </cell>
          <cell r="D102">
            <v>9.1071428571428567E-2</v>
          </cell>
          <cell r="E102">
            <v>6.3749999999999987E-2</v>
          </cell>
          <cell r="F102">
            <v>6.3749999999999987E-2</v>
          </cell>
          <cell r="G102">
            <v>7.3749999999999996E-2</v>
          </cell>
          <cell r="H102">
            <v>0.1010714285714286</v>
          </cell>
          <cell r="I102">
            <v>7.3749999999999996E-2</v>
          </cell>
          <cell r="J102">
            <v>7.0749999999999993E-2</v>
          </cell>
          <cell r="K102">
            <v>0</v>
          </cell>
        </row>
        <row r="103">
          <cell r="B103">
            <v>0.01</v>
          </cell>
          <cell r="C103">
            <v>8.4999999999999992E-2</v>
          </cell>
          <cell r="D103">
            <v>1.428571428571429E-2</v>
          </cell>
          <cell r="E103">
            <v>0.01</v>
          </cell>
          <cell r="F103">
            <v>0.01</v>
          </cell>
          <cell r="G103">
            <v>0.02</v>
          </cell>
          <cell r="H103">
            <v>2.4285714285714289E-2</v>
          </cell>
          <cell r="I103">
            <v>0.02</v>
          </cell>
          <cell r="J103">
            <v>1.7000000000000001E-2</v>
          </cell>
          <cell r="K103">
            <v>0</v>
          </cell>
        </row>
        <row r="104">
          <cell r="B104">
            <v>0.01</v>
          </cell>
          <cell r="C104">
            <v>8.4999999999999992E-2</v>
          </cell>
          <cell r="D104">
            <v>1.428571428571429E-2</v>
          </cell>
          <cell r="E104">
            <v>0.01</v>
          </cell>
          <cell r="F104">
            <v>0.01</v>
          </cell>
          <cell r="G104">
            <v>0.02</v>
          </cell>
          <cell r="H104">
            <v>2.4285714285714289E-2</v>
          </cell>
          <cell r="I104">
            <v>0.02</v>
          </cell>
          <cell r="J104">
            <v>1.7000000000000001E-2</v>
          </cell>
          <cell r="K104">
            <v>0</v>
          </cell>
        </row>
        <row r="105">
          <cell r="B105">
            <v>0.01</v>
          </cell>
          <cell r="C105">
            <v>8.4999999999999992E-2</v>
          </cell>
          <cell r="D105">
            <v>1.428571428571429E-2</v>
          </cell>
          <cell r="E105">
            <v>0.01</v>
          </cell>
          <cell r="F105">
            <v>0.01</v>
          </cell>
          <cell r="G105">
            <v>0.02</v>
          </cell>
          <cell r="H105">
            <v>2.4285714285714289E-2</v>
          </cell>
          <cell r="I105">
            <v>0.02</v>
          </cell>
          <cell r="J105">
            <v>1.7000000000000001E-2</v>
          </cell>
          <cell r="K105">
            <v>0</v>
          </cell>
        </row>
        <row r="106">
          <cell r="B106">
            <v>0.01</v>
          </cell>
          <cell r="C106">
            <v>8.4999999999999992E-2</v>
          </cell>
          <cell r="D106">
            <v>1.428571428571429E-2</v>
          </cell>
          <cell r="E106">
            <v>0.01</v>
          </cell>
          <cell r="F106">
            <v>0.01</v>
          </cell>
          <cell r="G106">
            <v>0.02</v>
          </cell>
          <cell r="H106">
            <v>2.4285714285714289E-2</v>
          </cell>
          <cell r="I106">
            <v>0.02</v>
          </cell>
          <cell r="J106">
            <v>1.7000000000000001E-2</v>
          </cell>
          <cell r="K106">
            <v>0</v>
          </cell>
        </row>
        <row r="107">
          <cell r="B107">
            <v>0</v>
          </cell>
          <cell r="C107">
            <v>8.4999999999999992E-2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0.01</v>
          </cell>
          <cell r="I107">
            <v>0</v>
          </cell>
          <cell r="J107">
            <v>6.9999999999999993E-3</v>
          </cell>
          <cell r="K107">
            <v>0</v>
          </cell>
        </row>
        <row r="108">
          <cell r="B108">
            <v>0</v>
          </cell>
          <cell r="C108">
            <v>8.4999999999999992E-2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</row>
        <row r="109">
          <cell r="B109">
            <v>0</v>
          </cell>
          <cell r="C109">
            <v>8.4999999999999992E-2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B110">
            <v>0</v>
          </cell>
          <cell r="C110">
            <v>8.4999999999999992E-2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</row>
        <row r="111">
          <cell r="B111">
            <v>0</v>
          </cell>
          <cell r="C111">
            <v>8.4999999999999992E-2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</row>
        <row r="112">
          <cell r="B112">
            <v>0</v>
          </cell>
          <cell r="C112">
            <v>8.4999999999999992E-2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</row>
        <row r="113">
          <cell r="B113">
            <v>0</v>
          </cell>
          <cell r="C113">
            <v>8.4999999999999992E-2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</row>
        <row r="114">
          <cell r="B114">
            <v>0</v>
          </cell>
          <cell r="C114">
            <v>8.4999999999999992E-2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</row>
        <row r="115">
          <cell r="B115">
            <v>0</v>
          </cell>
          <cell r="C115">
            <v>8.4999999999999992E-2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0.01</v>
          </cell>
          <cell r="I115">
            <v>0</v>
          </cell>
          <cell r="J115">
            <v>6.9999999999999993E-3</v>
          </cell>
          <cell r="K115">
            <v>0</v>
          </cell>
        </row>
        <row r="116">
          <cell r="B116">
            <v>6.3749999999999987E-2</v>
          </cell>
          <cell r="C116">
            <v>8.4999999999999992E-2</v>
          </cell>
          <cell r="D116">
            <v>9.1071428571428567E-2</v>
          </cell>
          <cell r="E116">
            <v>6.3749999999999987E-2</v>
          </cell>
          <cell r="F116">
            <v>6.3749999999999987E-2</v>
          </cell>
          <cell r="G116">
            <v>7.3749999999999996E-2</v>
          </cell>
          <cell r="H116">
            <v>0.1010714285714286</v>
          </cell>
          <cell r="I116">
            <v>7.3749999999999996E-2</v>
          </cell>
          <cell r="J116">
            <v>7.0749999999999993E-2</v>
          </cell>
          <cell r="K116">
            <v>0</v>
          </cell>
        </row>
        <row r="117">
          <cell r="B117">
            <v>6.3749999999999987E-2</v>
          </cell>
          <cell r="C117">
            <v>8.4999999999999992E-2</v>
          </cell>
          <cell r="D117">
            <v>9.1071428571428567E-2</v>
          </cell>
          <cell r="E117">
            <v>6.3749999999999987E-2</v>
          </cell>
          <cell r="F117">
            <v>6.3749999999999987E-2</v>
          </cell>
          <cell r="G117">
            <v>7.3749999999999996E-2</v>
          </cell>
          <cell r="H117">
            <v>0.1010714285714286</v>
          </cell>
          <cell r="I117">
            <v>7.3749999999999996E-2</v>
          </cell>
          <cell r="J117">
            <v>7.0749999999999993E-2</v>
          </cell>
          <cell r="K117">
            <v>0</v>
          </cell>
        </row>
        <row r="118">
          <cell r="B118">
            <v>6.3749999999999987E-2</v>
          </cell>
          <cell r="C118">
            <v>8.4999999999999992E-2</v>
          </cell>
          <cell r="D118">
            <v>9.1071428571428567E-2</v>
          </cell>
          <cell r="E118">
            <v>6.3749999999999987E-2</v>
          </cell>
          <cell r="F118">
            <v>6.3749999999999987E-2</v>
          </cell>
          <cell r="G118">
            <v>7.3749999999999996E-2</v>
          </cell>
          <cell r="H118">
            <v>0.1010714285714286</v>
          </cell>
          <cell r="I118">
            <v>7.3749999999999996E-2</v>
          </cell>
          <cell r="J118">
            <v>7.0749999999999993E-2</v>
          </cell>
          <cell r="K118">
            <v>0</v>
          </cell>
        </row>
        <row r="119">
          <cell r="B119">
            <v>6.3749999999999987E-2</v>
          </cell>
          <cell r="C119">
            <v>8.4999999999999992E-2</v>
          </cell>
          <cell r="D119">
            <v>9.1071428571428567E-2</v>
          </cell>
          <cell r="E119">
            <v>6.3749999999999987E-2</v>
          </cell>
          <cell r="F119">
            <v>6.3749999999999987E-2</v>
          </cell>
          <cell r="G119">
            <v>7.3749999999999996E-2</v>
          </cell>
          <cell r="H119">
            <v>0.1010714285714286</v>
          </cell>
          <cell r="I119">
            <v>7.3749999999999996E-2</v>
          </cell>
          <cell r="J119">
            <v>7.0749999999999993E-2</v>
          </cell>
          <cell r="K119">
            <v>0</v>
          </cell>
        </row>
        <row r="120">
          <cell r="B120">
            <v>6.3749999999999987E-2</v>
          </cell>
          <cell r="C120">
            <v>8.4999999999999992E-2</v>
          </cell>
          <cell r="D120">
            <v>9.1071428571428567E-2</v>
          </cell>
          <cell r="E120">
            <v>6.3749999999999987E-2</v>
          </cell>
          <cell r="F120">
            <v>6.3749999999999987E-2</v>
          </cell>
          <cell r="G120">
            <v>7.3749999999999996E-2</v>
          </cell>
          <cell r="H120">
            <v>0.1010714285714286</v>
          </cell>
          <cell r="I120">
            <v>7.3749999999999996E-2</v>
          </cell>
          <cell r="J120">
            <v>7.0749999999999993E-2</v>
          </cell>
          <cell r="K120">
            <v>0</v>
          </cell>
        </row>
        <row r="121">
          <cell r="B121">
            <v>6.3749999999999987E-2</v>
          </cell>
          <cell r="C121">
            <v>8.4999999999999992E-2</v>
          </cell>
          <cell r="D121">
            <v>9.1071428571428567E-2</v>
          </cell>
          <cell r="E121">
            <v>6.3749999999999987E-2</v>
          </cell>
          <cell r="F121">
            <v>6.3749999999999987E-2</v>
          </cell>
          <cell r="G121">
            <v>7.3749999999999996E-2</v>
          </cell>
          <cell r="H121">
            <v>0.1010714285714286</v>
          </cell>
          <cell r="I121">
            <v>7.3749999999999996E-2</v>
          </cell>
          <cell r="J121">
            <v>7.0749999999999993E-2</v>
          </cell>
          <cell r="K121">
            <v>0</v>
          </cell>
        </row>
        <row r="122">
          <cell r="B122">
            <v>0.01</v>
          </cell>
          <cell r="C122">
            <v>8.4999999999999992E-2</v>
          </cell>
          <cell r="D122">
            <v>1.428571428571429E-2</v>
          </cell>
          <cell r="E122">
            <v>0.01</v>
          </cell>
          <cell r="F122">
            <v>0.01</v>
          </cell>
          <cell r="G122">
            <v>0.02</v>
          </cell>
          <cell r="H122">
            <v>2.4285714285714289E-2</v>
          </cell>
          <cell r="I122">
            <v>0.02</v>
          </cell>
          <cell r="J122">
            <v>1.7000000000000001E-2</v>
          </cell>
          <cell r="K122">
            <v>0</v>
          </cell>
        </row>
        <row r="123">
          <cell r="B123">
            <v>0</v>
          </cell>
          <cell r="C123">
            <v>8.4999999999999992E-2</v>
          </cell>
          <cell r="D123">
            <v>0</v>
          </cell>
          <cell r="E123">
            <v>0</v>
          </cell>
          <cell r="F123">
            <v>0</v>
          </cell>
          <cell r="G123">
            <v>0.01</v>
          </cell>
          <cell r="H123">
            <v>0.01</v>
          </cell>
          <cell r="I123">
            <v>0.01</v>
          </cell>
          <cell r="J123">
            <v>6.9999999999999993E-3</v>
          </cell>
          <cell r="K123">
            <v>0</v>
          </cell>
        </row>
        <row r="124">
          <cell r="B124">
            <v>0</v>
          </cell>
          <cell r="C124">
            <v>8.4999999999999992E-2</v>
          </cell>
          <cell r="D124">
            <v>0</v>
          </cell>
          <cell r="E124">
            <v>0</v>
          </cell>
          <cell r="F124">
            <v>0</v>
          </cell>
          <cell r="G124">
            <v>0.01</v>
          </cell>
          <cell r="H124">
            <v>0.01</v>
          </cell>
          <cell r="I124">
            <v>0.01</v>
          </cell>
          <cell r="J124">
            <v>6.9999999999999993E-3</v>
          </cell>
          <cell r="K124">
            <v>0</v>
          </cell>
        </row>
        <row r="125">
          <cell r="B125">
            <v>0</v>
          </cell>
          <cell r="C125">
            <v>8.4999999999999992E-2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0.01</v>
          </cell>
          <cell r="I125">
            <v>0</v>
          </cell>
          <cell r="J125">
            <v>6.9999999999999993E-3</v>
          </cell>
          <cell r="K125">
            <v>0</v>
          </cell>
        </row>
        <row r="126">
          <cell r="B126">
            <v>0</v>
          </cell>
          <cell r="C126">
            <v>8.4999999999999992E-2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0.01</v>
          </cell>
          <cell r="I126">
            <v>0</v>
          </cell>
          <cell r="J126">
            <v>6.9999999999999993E-3</v>
          </cell>
          <cell r="K126">
            <v>0</v>
          </cell>
        </row>
        <row r="127">
          <cell r="B127">
            <v>0</v>
          </cell>
          <cell r="C127">
            <v>8.4999999999999992E-2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0.01</v>
          </cell>
          <cell r="I127">
            <v>0</v>
          </cell>
          <cell r="J127">
            <v>6.9999999999999993E-3</v>
          </cell>
          <cell r="K127">
            <v>0</v>
          </cell>
        </row>
        <row r="128">
          <cell r="B128">
            <v>0</v>
          </cell>
          <cell r="C128">
            <v>8.4999999999999992E-2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0.01</v>
          </cell>
          <cell r="I128">
            <v>0</v>
          </cell>
          <cell r="J128">
            <v>6.9999999999999993E-3</v>
          </cell>
          <cell r="K128">
            <v>0</v>
          </cell>
        </row>
        <row r="129">
          <cell r="B129">
            <v>0</v>
          </cell>
          <cell r="C129">
            <v>8.4999999999999992E-2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0.01</v>
          </cell>
          <cell r="I129">
            <v>0</v>
          </cell>
          <cell r="J129">
            <v>6.9999999999999993E-3</v>
          </cell>
          <cell r="K129">
            <v>0</v>
          </cell>
        </row>
        <row r="130">
          <cell r="B130">
            <v>0.01</v>
          </cell>
          <cell r="C130">
            <v>8.4999999999999992E-2</v>
          </cell>
          <cell r="D130">
            <v>1.428571428571429E-2</v>
          </cell>
          <cell r="E130">
            <v>0.01</v>
          </cell>
          <cell r="F130">
            <v>0.01</v>
          </cell>
          <cell r="G130">
            <v>0</v>
          </cell>
          <cell r="H130">
            <v>2.4285714285714289E-2</v>
          </cell>
          <cell r="I130">
            <v>0</v>
          </cell>
          <cell r="J130">
            <v>1.7000000000000001E-2</v>
          </cell>
          <cell r="K130">
            <v>0</v>
          </cell>
        </row>
        <row r="131">
          <cell r="B131">
            <v>0</v>
          </cell>
          <cell r="C131">
            <v>8.4999999999999992E-2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0.01</v>
          </cell>
          <cell r="I131">
            <v>0</v>
          </cell>
          <cell r="J131">
            <v>6.9999999999999993E-3</v>
          </cell>
          <cell r="K131">
            <v>0</v>
          </cell>
        </row>
        <row r="132">
          <cell r="B132">
            <v>0</v>
          </cell>
          <cell r="C132">
            <v>8.4999999999999992E-2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0.01</v>
          </cell>
          <cell r="I132">
            <v>0</v>
          </cell>
          <cell r="J132">
            <v>6.9999999999999993E-3</v>
          </cell>
          <cell r="K132">
            <v>0</v>
          </cell>
        </row>
        <row r="133">
          <cell r="B133">
            <v>0</v>
          </cell>
          <cell r="C133">
            <v>8.4999999999999992E-2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</row>
        <row r="134">
          <cell r="B134">
            <v>0</v>
          </cell>
          <cell r="C134">
            <v>8.4999999999999992E-2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</row>
        <row r="135">
          <cell r="B135">
            <v>0</v>
          </cell>
          <cell r="C135">
            <v>8.4999999999999992E-2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</row>
        <row r="136">
          <cell r="B136">
            <v>0</v>
          </cell>
          <cell r="C136">
            <v>8.4999999999999992E-2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</row>
        <row r="137">
          <cell r="B137">
            <v>0</v>
          </cell>
          <cell r="C137">
            <v>8.4999999999999992E-2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</row>
        <row r="138">
          <cell r="B138">
            <v>0</v>
          </cell>
          <cell r="C138">
            <v>8.4999999999999992E-2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0.01</v>
          </cell>
          <cell r="I138">
            <v>0</v>
          </cell>
          <cell r="J138">
            <v>6.9999999999999993E-3</v>
          </cell>
          <cell r="K138">
            <v>0</v>
          </cell>
        </row>
        <row r="139">
          <cell r="B139">
            <v>6.3749999999999987E-2</v>
          </cell>
          <cell r="C139">
            <v>8.4999999999999992E-2</v>
          </cell>
          <cell r="D139">
            <v>9.1071428571428567E-2</v>
          </cell>
          <cell r="E139">
            <v>6.3749999999999987E-2</v>
          </cell>
          <cell r="F139">
            <v>6.3749999999999987E-2</v>
          </cell>
          <cell r="G139">
            <v>0</v>
          </cell>
          <cell r="H139">
            <v>0.1010714285714286</v>
          </cell>
          <cell r="I139">
            <v>0</v>
          </cell>
          <cell r="J139">
            <v>7.0749999999999993E-2</v>
          </cell>
          <cell r="K139">
            <v>7.3749999999999996E-2</v>
          </cell>
        </row>
        <row r="140">
          <cell r="B140">
            <v>9.9999999999999992E-2</v>
          </cell>
          <cell r="C140">
            <v>8.4999999999999992E-2</v>
          </cell>
          <cell r="D140">
            <v>0.14285714285714279</v>
          </cell>
          <cell r="E140">
            <v>9.9999999999999992E-2</v>
          </cell>
          <cell r="F140">
            <v>9.9999999999999992E-2</v>
          </cell>
          <cell r="G140">
            <v>0.1</v>
          </cell>
          <cell r="H140">
            <v>0.15285714285714291</v>
          </cell>
          <cell r="I140">
            <v>0.1</v>
          </cell>
          <cell r="J140">
            <v>0.107</v>
          </cell>
          <cell r="K140">
            <v>0.11</v>
          </cell>
        </row>
        <row r="141">
          <cell r="B141">
            <v>9.9999999999999992E-2</v>
          </cell>
          <cell r="C141">
            <v>8.4999999999999992E-2</v>
          </cell>
          <cell r="D141">
            <v>0.14285714285714279</v>
          </cell>
          <cell r="E141">
            <v>9.9999999999999992E-2</v>
          </cell>
          <cell r="F141">
            <v>9.9999999999999992E-2</v>
          </cell>
          <cell r="G141">
            <v>0.1</v>
          </cell>
          <cell r="H141">
            <v>0.15285714285714291</v>
          </cell>
          <cell r="I141">
            <v>0.1</v>
          </cell>
          <cell r="J141">
            <v>0.107</v>
          </cell>
          <cell r="K141">
            <v>9.9999999999999992E-2</v>
          </cell>
        </row>
        <row r="142">
          <cell r="B142">
            <v>9.0000000000000011E-2</v>
          </cell>
          <cell r="C142">
            <v>8.4999999999999992E-2</v>
          </cell>
          <cell r="D142">
            <v>0.12857142857142859</v>
          </cell>
          <cell r="E142">
            <v>9.0000000000000011E-2</v>
          </cell>
          <cell r="F142">
            <v>9.0000000000000011E-2</v>
          </cell>
          <cell r="G142">
            <v>0.1</v>
          </cell>
          <cell r="H142">
            <v>0.1385714285714286</v>
          </cell>
          <cell r="I142">
            <v>0.1</v>
          </cell>
          <cell r="J142">
            <v>9.7000000000000003E-2</v>
          </cell>
          <cell r="K142">
            <v>0</v>
          </cell>
        </row>
        <row r="143">
          <cell r="B143">
            <v>6.3749999999999987E-2</v>
          </cell>
          <cell r="C143">
            <v>8.4999999999999992E-2</v>
          </cell>
          <cell r="D143">
            <v>9.1071428571428567E-2</v>
          </cell>
          <cell r="E143">
            <v>6.3749999999999987E-2</v>
          </cell>
          <cell r="F143">
            <v>6.3749999999999987E-2</v>
          </cell>
          <cell r="G143">
            <v>7.3749999999999996E-2</v>
          </cell>
          <cell r="H143">
            <v>0.1010714285714286</v>
          </cell>
          <cell r="I143">
            <v>7.3749999999999996E-2</v>
          </cell>
          <cell r="J143">
            <v>7.0749999999999993E-2</v>
          </cell>
          <cell r="K143">
            <v>0</v>
          </cell>
        </row>
        <row r="144">
          <cell r="B144">
            <v>6.3749999999999987E-2</v>
          </cell>
          <cell r="C144">
            <v>8.4999999999999992E-2</v>
          </cell>
          <cell r="D144">
            <v>9.1071428571428567E-2</v>
          </cell>
          <cell r="E144">
            <v>6.3749999999999987E-2</v>
          </cell>
          <cell r="F144">
            <v>6.3749999999999987E-2</v>
          </cell>
          <cell r="G144">
            <v>7.3749999999999996E-2</v>
          </cell>
          <cell r="H144">
            <v>0.1010714285714286</v>
          </cell>
          <cell r="I144">
            <v>7.3749999999999996E-2</v>
          </cell>
          <cell r="J144">
            <v>7.0749999999999993E-2</v>
          </cell>
          <cell r="K144">
            <v>0</v>
          </cell>
        </row>
        <row r="145">
          <cell r="B145">
            <v>0.01</v>
          </cell>
          <cell r="C145">
            <v>8.4999999999999992E-2</v>
          </cell>
          <cell r="D145">
            <v>1.428571428571429E-2</v>
          </cell>
          <cell r="E145">
            <v>0.01</v>
          </cell>
          <cell r="F145">
            <v>0.01</v>
          </cell>
          <cell r="G145">
            <v>0.02</v>
          </cell>
          <cell r="H145">
            <v>2.4285714285714289E-2</v>
          </cell>
          <cell r="I145">
            <v>0.02</v>
          </cell>
          <cell r="J145">
            <v>1.7000000000000001E-2</v>
          </cell>
          <cell r="K145">
            <v>0</v>
          </cell>
        </row>
        <row r="146">
          <cell r="B146">
            <v>0</v>
          </cell>
          <cell r="C146">
            <v>8.4999999999999992E-2</v>
          </cell>
          <cell r="D146">
            <v>0</v>
          </cell>
          <cell r="E146">
            <v>0</v>
          </cell>
          <cell r="F146">
            <v>0</v>
          </cell>
          <cell r="G146">
            <v>0.01</v>
          </cell>
          <cell r="H146">
            <v>0.01</v>
          </cell>
          <cell r="I146">
            <v>0.01</v>
          </cell>
          <cell r="J146">
            <v>6.9999999999999993E-3</v>
          </cell>
          <cell r="K146">
            <v>0</v>
          </cell>
        </row>
        <row r="147">
          <cell r="B147">
            <v>0</v>
          </cell>
          <cell r="C147">
            <v>8.4999999999999992E-2</v>
          </cell>
          <cell r="D147">
            <v>0</v>
          </cell>
          <cell r="E147">
            <v>0</v>
          </cell>
          <cell r="F147">
            <v>0</v>
          </cell>
          <cell r="G147">
            <v>0.01</v>
          </cell>
          <cell r="H147">
            <v>0.01</v>
          </cell>
          <cell r="I147">
            <v>0.01</v>
          </cell>
          <cell r="J147">
            <v>6.9999999999999993E-3</v>
          </cell>
          <cell r="K147">
            <v>0</v>
          </cell>
        </row>
        <row r="148">
          <cell r="B148">
            <v>0</v>
          </cell>
          <cell r="C148">
            <v>8.4999999999999992E-2</v>
          </cell>
          <cell r="D148">
            <v>0</v>
          </cell>
          <cell r="E148">
            <v>0</v>
          </cell>
          <cell r="F148">
            <v>0</v>
          </cell>
          <cell r="G148">
            <v>0.01</v>
          </cell>
          <cell r="H148">
            <v>0.01</v>
          </cell>
          <cell r="I148">
            <v>0.01</v>
          </cell>
          <cell r="J148">
            <v>6.9999999999999993E-3</v>
          </cell>
          <cell r="K148">
            <v>0</v>
          </cell>
        </row>
        <row r="149">
          <cell r="B149">
            <v>0</v>
          </cell>
          <cell r="C149">
            <v>8.4999999999999992E-2</v>
          </cell>
          <cell r="D149">
            <v>0</v>
          </cell>
          <cell r="E149">
            <v>0</v>
          </cell>
          <cell r="F149">
            <v>0</v>
          </cell>
          <cell r="G149">
            <v>0.01</v>
          </cell>
          <cell r="H149">
            <v>0.01</v>
          </cell>
          <cell r="I149">
            <v>0.01</v>
          </cell>
          <cell r="J149">
            <v>6.9999999999999993E-3</v>
          </cell>
          <cell r="K149">
            <v>0</v>
          </cell>
        </row>
        <row r="150">
          <cell r="B150">
            <v>0</v>
          </cell>
          <cell r="C150">
            <v>8.4999999999999992E-2</v>
          </cell>
          <cell r="D150">
            <v>0</v>
          </cell>
          <cell r="E150">
            <v>0</v>
          </cell>
          <cell r="F150">
            <v>0</v>
          </cell>
          <cell r="G150">
            <v>0.01</v>
          </cell>
          <cell r="H150">
            <v>0.01</v>
          </cell>
          <cell r="I150">
            <v>0.01</v>
          </cell>
          <cell r="J150">
            <v>6.9999999999999993E-3</v>
          </cell>
          <cell r="K150">
            <v>0</v>
          </cell>
        </row>
        <row r="151">
          <cell r="B151">
            <v>0</v>
          </cell>
          <cell r="C151">
            <v>8.4999999999999992E-2</v>
          </cell>
          <cell r="D151">
            <v>0</v>
          </cell>
          <cell r="E151">
            <v>0</v>
          </cell>
          <cell r="F151">
            <v>0</v>
          </cell>
          <cell r="G151">
            <v>0.01</v>
          </cell>
          <cell r="H151">
            <v>0.01</v>
          </cell>
          <cell r="I151">
            <v>0.01</v>
          </cell>
          <cell r="J151">
            <v>6.9999999999999993E-3</v>
          </cell>
          <cell r="K151">
            <v>0</v>
          </cell>
        </row>
        <row r="152">
          <cell r="B152">
            <v>0</v>
          </cell>
          <cell r="C152">
            <v>8.4999999999999992E-2</v>
          </cell>
          <cell r="D152">
            <v>0</v>
          </cell>
          <cell r="E152">
            <v>0</v>
          </cell>
          <cell r="F152">
            <v>0</v>
          </cell>
          <cell r="G152">
            <v>0.01</v>
          </cell>
          <cell r="H152">
            <v>0.01</v>
          </cell>
          <cell r="I152">
            <v>0.01</v>
          </cell>
          <cell r="J152">
            <v>6.9999999999999993E-3</v>
          </cell>
          <cell r="K152">
            <v>0</v>
          </cell>
        </row>
        <row r="153">
          <cell r="B153">
            <v>0</v>
          </cell>
          <cell r="C153">
            <v>8.4999999999999992E-2</v>
          </cell>
          <cell r="D153">
            <v>0</v>
          </cell>
          <cell r="E153">
            <v>0</v>
          </cell>
          <cell r="F153">
            <v>0</v>
          </cell>
          <cell r="G153">
            <v>0.01</v>
          </cell>
          <cell r="H153">
            <v>0.01</v>
          </cell>
          <cell r="I153">
            <v>0.01</v>
          </cell>
          <cell r="J153">
            <v>6.9999999999999993E-3</v>
          </cell>
          <cell r="K153">
            <v>0</v>
          </cell>
        </row>
        <row r="154">
          <cell r="B154">
            <v>0</v>
          </cell>
          <cell r="C154">
            <v>8.4999999999999992E-2</v>
          </cell>
          <cell r="D154">
            <v>0</v>
          </cell>
          <cell r="E154">
            <v>0</v>
          </cell>
          <cell r="F154">
            <v>0</v>
          </cell>
          <cell r="G154">
            <v>0.01</v>
          </cell>
          <cell r="H154">
            <v>0.01</v>
          </cell>
          <cell r="I154">
            <v>0.01</v>
          </cell>
          <cell r="J154">
            <v>6.9999999999999993E-3</v>
          </cell>
          <cell r="K154">
            <v>0</v>
          </cell>
        </row>
        <row r="155">
          <cell r="B155">
            <v>0</v>
          </cell>
          <cell r="C155">
            <v>8.4999999999999992E-2</v>
          </cell>
          <cell r="D155">
            <v>0</v>
          </cell>
          <cell r="E155">
            <v>0</v>
          </cell>
          <cell r="F155">
            <v>0</v>
          </cell>
          <cell r="G155">
            <v>0.01</v>
          </cell>
          <cell r="H155">
            <v>0.01</v>
          </cell>
          <cell r="I155">
            <v>0.01</v>
          </cell>
          <cell r="J155">
            <v>6.9999999999999993E-3</v>
          </cell>
          <cell r="K155">
            <v>0</v>
          </cell>
        </row>
        <row r="156">
          <cell r="B156">
            <v>0</v>
          </cell>
          <cell r="C156">
            <v>8.4999999999999992E-2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0.01</v>
          </cell>
          <cell r="I156">
            <v>0</v>
          </cell>
          <cell r="J156">
            <v>6.9999999999999993E-3</v>
          </cell>
          <cell r="K156">
            <v>0</v>
          </cell>
        </row>
        <row r="157">
          <cell r="B157">
            <v>0</v>
          </cell>
          <cell r="C157">
            <v>8.4999999999999992E-2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0.01</v>
          </cell>
          <cell r="I157">
            <v>0</v>
          </cell>
          <cell r="J157">
            <v>6.9999999999999993E-3</v>
          </cell>
          <cell r="K157">
            <v>0</v>
          </cell>
        </row>
        <row r="158">
          <cell r="B158">
            <v>0</v>
          </cell>
          <cell r="C158">
            <v>8.4999999999999992E-2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0.01</v>
          </cell>
          <cell r="I158">
            <v>0</v>
          </cell>
          <cell r="J158">
            <v>6.9999999999999993E-3</v>
          </cell>
          <cell r="K158">
            <v>0</v>
          </cell>
        </row>
        <row r="159">
          <cell r="B159">
            <v>0</v>
          </cell>
          <cell r="C159">
            <v>8.4999999999999992E-2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</row>
        <row r="160">
          <cell r="B160">
            <v>0</v>
          </cell>
          <cell r="C160">
            <v>8.4999999999999992E-2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</row>
        <row r="161">
          <cell r="B161">
            <v>0</v>
          </cell>
          <cell r="C161">
            <v>8.4999999999999992E-2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</row>
        <row r="162">
          <cell r="B162">
            <v>0</v>
          </cell>
          <cell r="C162">
            <v>8.4999999999999992E-2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0.01</v>
          </cell>
          <cell r="I162">
            <v>0</v>
          </cell>
          <cell r="J162">
            <v>6.9999999999999993E-3</v>
          </cell>
          <cell r="K162">
            <v>0</v>
          </cell>
        </row>
        <row r="163">
          <cell r="B163">
            <v>0</v>
          </cell>
          <cell r="C163">
            <v>8.4999999999999992E-2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0.01</v>
          </cell>
          <cell r="I163">
            <v>0</v>
          </cell>
          <cell r="J163">
            <v>6.9999999999999993E-3</v>
          </cell>
          <cell r="K163">
            <v>0</v>
          </cell>
        </row>
        <row r="164">
          <cell r="B164">
            <v>0</v>
          </cell>
          <cell r="C164">
            <v>8.4999999999999992E-2</v>
          </cell>
          <cell r="D164">
            <v>0</v>
          </cell>
          <cell r="E164">
            <v>0</v>
          </cell>
          <cell r="F164">
            <v>0</v>
          </cell>
          <cell r="G164">
            <v>0.01</v>
          </cell>
          <cell r="H164">
            <v>0.01</v>
          </cell>
          <cell r="I164">
            <v>0.01</v>
          </cell>
          <cell r="J164">
            <v>6.9999999999999993E-3</v>
          </cell>
          <cell r="K164">
            <v>0</v>
          </cell>
        </row>
        <row r="165">
          <cell r="B165">
            <v>0</v>
          </cell>
          <cell r="C165">
            <v>8.4999999999999992E-2</v>
          </cell>
          <cell r="D165">
            <v>0</v>
          </cell>
          <cell r="E165">
            <v>0</v>
          </cell>
          <cell r="F165">
            <v>0</v>
          </cell>
          <cell r="G165">
            <v>0.01</v>
          </cell>
          <cell r="H165">
            <v>0.01</v>
          </cell>
          <cell r="I165">
            <v>0.01</v>
          </cell>
          <cell r="J165">
            <v>6.9999999999999993E-3</v>
          </cell>
          <cell r="K165">
            <v>0</v>
          </cell>
        </row>
        <row r="166">
          <cell r="B166">
            <v>0</v>
          </cell>
          <cell r="C166">
            <v>8.4999999999999992E-2</v>
          </cell>
          <cell r="D166">
            <v>0</v>
          </cell>
          <cell r="E166">
            <v>0</v>
          </cell>
          <cell r="F166">
            <v>0</v>
          </cell>
          <cell r="G166">
            <v>0.01</v>
          </cell>
          <cell r="H166">
            <v>0.01</v>
          </cell>
          <cell r="I166">
            <v>0.01</v>
          </cell>
          <cell r="J166">
            <v>6.9999999999999993E-3</v>
          </cell>
          <cell r="K166">
            <v>0</v>
          </cell>
        </row>
        <row r="167">
          <cell r="B167">
            <v>0</v>
          </cell>
          <cell r="C167">
            <v>8.4999999999999992E-2</v>
          </cell>
          <cell r="D167">
            <v>0</v>
          </cell>
          <cell r="E167">
            <v>0</v>
          </cell>
          <cell r="F167">
            <v>0</v>
          </cell>
          <cell r="G167">
            <v>0.01</v>
          </cell>
          <cell r="H167">
            <v>0.01</v>
          </cell>
          <cell r="I167">
            <v>0.01</v>
          </cell>
          <cell r="J167">
            <v>6.9999999999999993E-3</v>
          </cell>
          <cell r="K167">
            <v>0</v>
          </cell>
        </row>
        <row r="168">
          <cell r="B168">
            <v>0</v>
          </cell>
          <cell r="C168">
            <v>8.4999999999999992E-2</v>
          </cell>
          <cell r="D168">
            <v>0</v>
          </cell>
          <cell r="E168">
            <v>0</v>
          </cell>
          <cell r="F168">
            <v>0</v>
          </cell>
          <cell r="G168">
            <v>0.01</v>
          </cell>
          <cell r="H168">
            <v>0.01</v>
          </cell>
          <cell r="I168">
            <v>0.01</v>
          </cell>
          <cell r="J168">
            <v>6.9999999999999993E-3</v>
          </cell>
          <cell r="K168">
            <v>0</v>
          </cell>
        </row>
        <row r="169">
          <cell r="B169">
            <v>0</v>
          </cell>
          <cell r="C169">
            <v>8.4999999999999992E-2</v>
          </cell>
          <cell r="D169">
            <v>0</v>
          </cell>
          <cell r="E169">
            <v>0</v>
          </cell>
          <cell r="F169">
            <v>0</v>
          </cell>
          <cell r="G169">
            <v>0.01</v>
          </cell>
          <cell r="H169">
            <v>0.01</v>
          </cell>
          <cell r="I169">
            <v>0.01</v>
          </cell>
          <cell r="J169">
            <v>6.9999999999999993E-3</v>
          </cell>
          <cell r="K169">
            <v>0</v>
          </cell>
        </row>
      </sheetData>
      <sheetData sheetId="23"/>
      <sheetData sheetId="24">
        <row r="1">
          <cell r="B1" t="str">
            <v>ES_embalse</v>
          </cell>
        </row>
        <row r="2">
          <cell r="B2">
            <v>2788.799047741923</v>
          </cell>
        </row>
        <row r="3">
          <cell r="B3">
            <v>-1440.89218646005</v>
          </cell>
        </row>
        <row r="4">
          <cell r="B4">
            <v>-2837.8067210523118</v>
          </cell>
        </row>
        <row r="5">
          <cell r="B5">
            <v>-3888.82371784107</v>
          </cell>
        </row>
        <row r="6">
          <cell r="B6">
            <v>-5074.4111994273153</v>
          </cell>
        </row>
        <row r="7">
          <cell r="B7">
            <v>-4390.4353915776564</v>
          </cell>
        </row>
        <row r="8">
          <cell r="B8">
            <v>-906.75568157972884</v>
          </cell>
        </row>
        <row r="9">
          <cell r="B9">
            <v>9491.9676541744684</v>
          </cell>
        </row>
        <row r="10">
          <cell r="B10">
            <v>0</v>
          </cell>
        </row>
        <row r="11">
          <cell r="B11">
            <v>-9990.5629747239</v>
          </cell>
        </row>
        <row r="12">
          <cell r="B12">
            <v>-9990.5629747239</v>
          </cell>
        </row>
        <row r="13">
          <cell r="B13">
            <v>-9990.5629747239</v>
          </cell>
        </row>
        <row r="14">
          <cell r="B14">
            <v>-9990.5629747239</v>
          </cell>
        </row>
        <row r="15">
          <cell r="B15">
            <v>-9990.5629747239</v>
          </cell>
        </row>
        <row r="16">
          <cell r="B16">
            <v>-9990.5629747239</v>
          </cell>
        </row>
        <row r="17">
          <cell r="B17">
            <v>-9990.5629747239</v>
          </cell>
        </row>
        <row r="18">
          <cell r="B18">
            <v>-9990.5629747239</v>
          </cell>
        </row>
        <row r="19">
          <cell r="B19">
            <v>8550.2299186781438</v>
          </cell>
        </row>
        <row r="20">
          <cell r="B20">
            <v>25140.2664733333</v>
          </cell>
        </row>
        <row r="21">
          <cell r="B21">
            <v>0</v>
          </cell>
        </row>
        <row r="22">
          <cell r="B22">
            <v>24542.651428507641</v>
          </cell>
        </row>
        <row r="23">
          <cell r="B23">
            <v>25140.2664733333</v>
          </cell>
        </row>
        <row r="24">
          <cell r="B24">
            <v>25140.2664733333</v>
          </cell>
        </row>
        <row r="25">
          <cell r="B25">
            <v>23352.82241173106</v>
          </cell>
        </row>
        <row r="26">
          <cell r="B26">
            <v>0</v>
          </cell>
        </row>
        <row r="27">
          <cell r="B27">
            <v>0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20356.0095379794</v>
          </cell>
        </row>
        <row r="31">
          <cell r="B31">
            <v>0</v>
          </cell>
        </row>
        <row r="32">
          <cell r="B32">
            <v>25140.2664733333</v>
          </cell>
        </row>
        <row r="33">
          <cell r="B33">
            <v>0</v>
          </cell>
        </row>
        <row r="34">
          <cell r="B34">
            <v>0</v>
          </cell>
        </row>
        <row r="35">
          <cell r="B35">
            <v>1222.757714932882</v>
          </cell>
        </row>
        <row r="36">
          <cell r="B36">
            <v>-9990.5629747239</v>
          </cell>
        </row>
        <row r="37">
          <cell r="B37">
            <v>-9990.5629747239</v>
          </cell>
        </row>
        <row r="38">
          <cell r="B38">
            <v>-9990.5629747239</v>
          </cell>
        </row>
        <row r="39">
          <cell r="B39">
            <v>-9990.5629747239</v>
          </cell>
        </row>
        <row r="40">
          <cell r="B40">
            <v>-9990.5629747239</v>
          </cell>
        </row>
        <row r="41">
          <cell r="B41">
            <v>-9990.5629747239</v>
          </cell>
        </row>
        <row r="42">
          <cell r="B42">
            <v>-9990.5629747239</v>
          </cell>
        </row>
        <row r="43">
          <cell r="B43">
            <v>25140.2664733333</v>
          </cell>
        </row>
        <row r="44">
          <cell r="B44">
            <v>25140.2664733333</v>
          </cell>
        </row>
        <row r="45">
          <cell r="B45">
            <v>0</v>
          </cell>
        </row>
        <row r="46">
          <cell r="B46">
            <v>25140.2664733333</v>
          </cell>
        </row>
        <row r="47">
          <cell r="B47">
            <v>25140.2664733333</v>
          </cell>
        </row>
        <row r="48">
          <cell r="B48">
            <v>25140.2664733333</v>
          </cell>
        </row>
        <row r="49">
          <cell r="B49">
            <v>25140.2664733333</v>
          </cell>
        </row>
        <row r="50">
          <cell r="B50">
            <v>17776.2495303332</v>
          </cell>
        </row>
        <row r="51">
          <cell r="B51">
            <v>23246.413818464949</v>
          </cell>
        </row>
        <row r="52">
          <cell r="B52">
            <v>0</v>
          </cell>
        </row>
        <row r="53">
          <cell r="B53">
            <v>0</v>
          </cell>
        </row>
        <row r="54">
          <cell r="B54">
            <v>0</v>
          </cell>
        </row>
        <row r="55">
          <cell r="B55">
            <v>0</v>
          </cell>
        </row>
        <row r="56">
          <cell r="B56">
            <v>25140.2664733333</v>
          </cell>
        </row>
        <row r="57">
          <cell r="B57">
            <v>0</v>
          </cell>
        </row>
        <row r="58">
          <cell r="B58">
            <v>0</v>
          </cell>
        </row>
        <row r="59">
          <cell r="B59">
            <v>-575.07083118456603</v>
          </cell>
        </row>
        <row r="60">
          <cell r="B60">
            <v>-9990.5629747239</v>
          </cell>
        </row>
        <row r="61">
          <cell r="B61">
            <v>-9990.5629747239</v>
          </cell>
        </row>
        <row r="62">
          <cell r="B62">
            <v>-9990.5629747239</v>
          </cell>
        </row>
        <row r="63">
          <cell r="B63">
            <v>-9990.5629747239</v>
          </cell>
        </row>
        <row r="64">
          <cell r="B64">
            <v>-9990.5629747239</v>
          </cell>
        </row>
        <row r="65">
          <cell r="B65">
            <v>-9990.5629747239</v>
          </cell>
        </row>
        <row r="66">
          <cell r="B66">
            <v>-9990.5629747239</v>
          </cell>
        </row>
        <row r="67">
          <cell r="B67">
            <v>25140.2664733333</v>
          </cell>
        </row>
        <row r="68">
          <cell r="B68">
            <v>25140.2664733333</v>
          </cell>
        </row>
        <row r="69">
          <cell r="B69">
            <v>25140.2664733333</v>
          </cell>
        </row>
        <row r="70">
          <cell r="B70">
            <v>25140.2664733333</v>
          </cell>
        </row>
        <row r="71">
          <cell r="B71">
            <v>25140.2664733333</v>
          </cell>
        </row>
        <row r="72">
          <cell r="B72">
            <v>25140.2664733333</v>
          </cell>
        </row>
        <row r="73">
          <cell r="B73">
            <v>25140.2664733333</v>
          </cell>
        </row>
        <row r="74">
          <cell r="B74">
            <v>25140.2664733333</v>
          </cell>
        </row>
        <row r="75">
          <cell r="B75">
            <v>25140.2664733333</v>
          </cell>
        </row>
        <row r="76">
          <cell r="B76">
            <v>25140.2664733333</v>
          </cell>
        </row>
        <row r="77">
          <cell r="B77">
            <v>25140.2664733333</v>
          </cell>
        </row>
        <row r="78">
          <cell r="B78">
            <v>25140.2664733333</v>
          </cell>
        </row>
        <row r="79">
          <cell r="B79">
            <v>25140.2664733333</v>
          </cell>
        </row>
        <row r="80">
          <cell r="B80">
            <v>25140.2664733333</v>
          </cell>
        </row>
        <row r="81">
          <cell r="B81">
            <v>25140.2664733333</v>
          </cell>
        </row>
        <row r="82">
          <cell r="B82">
            <v>25140.2664733333</v>
          </cell>
        </row>
        <row r="83">
          <cell r="B83">
            <v>15065.552038168151</v>
          </cell>
        </row>
        <row r="84">
          <cell r="B84">
            <v>-9990.5629747239</v>
          </cell>
        </row>
        <row r="85">
          <cell r="B85">
            <v>-9990.5629747239</v>
          </cell>
        </row>
        <row r="86">
          <cell r="B86">
            <v>-9990.5629747239</v>
          </cell>
        </row>
        <row r="87">
          <cell r="B87">
            <v>-9990.5629747239</v>
          </cell>
        </row>
        <row r="88">
          <cell r="B88">
            <v>-9990.5629747239</v>
          </cell>
        </row>
        <row r="89">
          <cell r="B89">
            <v>-9990.5629747239</v>
          </cell>
        </row>
        <row r="90">
          <cell r="B90">
            <v>-9990.5629747239</v>
          </cell>
        </row>
        <row r="91">
          <cell r="B91">
            <v>10237.920013637669</v>
          </cell>
        </row>
        <row r="92">
          <cell r="B92">
            <v>25140.2664733333</v>
          </cell>
        </row>
        <row r="93">
          <cell r="B93">
            <v>2895.618847894948</v>
          </cell>
        </row>
        <row r="94">
          <cell r="B94">
            <v>16606.57885950377</v>
          </cell>
        </row>
        <row r="95">
          <cell r="B95">
            <v>11442.62167486167</v>
          </cell>
        </row>
        <row r="96">
          <cell r="B96">
            <v>3610.9349538360452</v>
          </cell>
        </row>
        <row r="97">
          <cell r="B97">
            <v>-2508.2527593481868</v>
          </cell>
        </row>
        <row r="98">
          <cell r="B98">
            <v>-4146.5553975517696</v>
          </cell>
        </row>
        <row r="99">
          <cell r="B99">
            <v>-1701.138873762216</v>
          </cell>
        </row>
        <row r="100">
          <cell r="B100">
            <v>-1668.0670302852791</v>
          </cell>
        </row>
        <row r="101">
          <cell r="B101">
            <v>-3821.1911514200401</v>
          </cell>
        </row>
        <row r="102">
          <cell r="B102">
            <v>-8467.76859583845</v>
          </cell>
        </row>
        <row r="103">
          <cell r="B103">
            <v>-9990.5629747239</v>
          </cell>
        </row>
        <row r="104">
          <cell r="B104">
            <v>-9990.5629747239</v>
          </cell>
        </row>
        <row r="105">
          <cell r="B105">
            <v>-9990.5629747239</v>
          </cell>
        </row>
        <row r="106">
          <cell r="B106">
            <v>-9990.5629747239</v>
          </cell>
        </row>
        <row r="107">
          <cell r="B107">
            <v>-9990.5629747239</v>
          </cell>
        </row>
        <row r="108">
          <cell r="B108">
            <v>-9990.5629747239</v>
          </cell>
        </row>
        <row r="109">
          <cell r="B109">
            <v>-9990.5629747239</v>
          </cell>
        </row>
        <row r="110">
          <cell r="B110">
            <v>-9990.5629747239</v>
          </cell>
        </row>
        <row r="111">
          <cell r="B111">
            <v>-9990.5629747239</v>
          </cell>
        </row>
        <row r="112">
          <cell r="B112">
            <v>-9990.5629747239</v>
          </cell>
        </row>
        <row r="113">
          <cell r="B113">
            <v>-9990.5629747239</v>
          </cell>
        </row>
        <row r="114">
          <cell r="B114">
            <v>-9990.5629747239</v>
          </cell>
        </row>
        <row r="115">
          <cell r="B115">
            <v>-9990.5629747239</v>
          </cell>
        </row>
        <row r="116">
          <cell r="B116">
            <v>-5690.743658318519</v>
          </cell>
        </row>
        <row r="117">
          <cell r="B117">
            <v>-1285.029656973662</v>
          </cell>
        </row>
        <row r="118">
          <cell r="B118">
            <v>-1624.668071399791</v>
          </cell>
        </row>
        <row r="119">
          <cell r="B119">
            <v>-3867.201722849738</v>
          </cell>
        </row>
        <row r="120">
          <cell r="B120">
            <v>-5464.5259473046754</v>
          </cell>
        </row>
        <row r="121">
          <cell r="B121">
            <v>-8576.0259504257792</v>
          </cell>
        </row>
        <row r="122">
          <cell r="B122">
            <v>-9990.5629747239</v>
          </cell>
        </row>
        <row r="123">
          <cell r="B123">
            <v>-9990.5629747239</v>
          </cell>
        </row>
        <row r="124">
          <cell r="B124">
            <v>-9990.5629747239</v>
          </cell>
        </row>
        <row r="125">
          <cell r="B125">
            <v>-9990.5629747239</v>
          </cell>
        </row>
        <row r="126">
          <cell r="B126">
            <v>-9990.5629747239</v>
          </cell>
        </row>
        <row r="127">
          <cell r="B127">
            <v>-9990.5629747239</v>
          </cell>
        </row>
        <row r="128">
          <cell r="B128">
            <v>-9990.5629747239</v>
          </cell>
        </row>
        <row r="129">
          <cell r="B129">
            <v>-9990.5629747239</v>
          </cell>
        </row>
        <row r="130">
          <cell r="B130">
            <v>-9990.5629747239</v>
          </cell>
        </row>
        <row r="131">
          <cell r="B131">
            <v>-9990.5629747239</v>
          </cell>
        </row>
        <row r="132">
          <cell r="B132">
            <v>-9990.5629747239</v>
          </cell>
        </row>
        <row r="133">
          <cell r="B133">
            <v>-9990.5629747239</v>
          </cell>
        </row>
        <row r="134">
          <cell r="B134">
            <v>-9990.5629747239</v>
          </cell>
        </row>
        <row r="135">
          <cell r="B135">
            <v>-9990.5629747239</v>
          </cell>
        </row>
        <row r="136">
          <cell r="B136">
            <v>-9990.5629747239</v>
          </cell>
        </row>
        <row r="137">
          <cell r="B137">
            <v>-9990.5629747239</v>
          </cell>
        </row>
        <row r="138">
          <cell r="B138">
            <v>-9990.5629747239</v>
          </cell>
        </row>
        <row r="139">
          <cell r="B139">
            <v>-6679.4866434502592</v>
          </cell>
        </row>
        <row r="140">
          <cell r="B140">
            <v>17784.210574776611</v>
          </cell>
        </row>
        <row r="141">
          <cell r="B141">
            <v>8697.815544126639</v>
          </cell>
        </row>
        <row r="142">
          <cell r="B142">
            <v>0</v>
          </cell>
        </row>
        <row r="143">
          <cell r="B143">
            <v>-1977.840312642089</v>
          </cell>
        </row>
        <row r="144">
          <cell r="B144">
            <v>-5796.633445174195</v>
          </cell>
        </row>
        <row r="145">
          <cell r="B145">
            <v>-9990.5629747239</v>
          </cell>
        </row>
        <row r="146">
          <cell r="B146">
            <v>-9990.5629747239</v>
          </cell>
        </row>
        <row r="147">
          <cell r="B147">
            <v>-9990.5629747239</v>
          </cell>
        </row>
        <row r="148">
          <cell r="B148">
            <v>-9990.5629747239</v>
          </cell>
        </row>
        <row r="149">
          <cell r="B149">
            <v>-9990.5629747239</v>
          </cell>
        </row>
        <row r="150">
          <cell r="B150">
            <v>-9990.5629747239</v>
          </cell>
        </row>
        <row r="151">
          <cell r="B151">
            <v>-9990.5629747239</v>
          </cell>
        </row>
        <row r="152">
          <cell r="B152">
            <v>-9990.5629747239</v>
          </cell>
        </row>
        <row r="153">
          <cell r="B153">
            <v>-9990.5629747239</v>
          </cell>
        </row>
        <row r="154">
          <cell r="B154">
            <v>-9990.5629747239</v>
          </cell>
        </row>
        <row r="155">
          <cell r="B155">
            <v>-9990.5629747239</v>
          </cell>
        </row>
        <row r="156">
          <cell r="B156">
            <v>-9990.5629747239</v>
          </cell>
        </row>
        <row r="157">
          <cell r="B157">
            <v>-9990.5629747239</v>
          </cell>
        </row>
        <row r="158">
          <cell r="B158">
            <v>-9990.5629747239</v>
          </cell>
        </row>
        <row r="159">
          <cell r="B159">
            <v>-9990.5629747239</v>
          </cell>
        </row>
        <row r="160">
          <cell r="B160">
            <v>-9990.5629747239</v>
          </cell>
        </row>
        <row r="161">
          <cell r="B161">
            <v>-9990.5629747239</v>
          </cell>
        </row>
        <row r="162">
          <cell r="B162">
            <v>-9990.5629747239</v>
          </cell>
        </row>
        <row r="163">
          <cell r="B163">
            <v>-9990.5629747239</v>
          </cell>
        </row>
        <row r="164">
          <cell r="B164">
            <v>-9990.5629747239</v>
          </cell>
        </row>
        <row r="165">
          <cell r="B165">
            <v>-9990.5629747239</v>
          </cell>
        </row>
        <row r="166">
          <cell r="B166">
            <v>-9990.5629747239</v>
          </cell>
        </row>
        <row r="167">
          <cell r="B167">
            <v>-9990.5629747239</v>
          </cell>
        </row>
        <row r="168">
          <cell r="B168">
            <v>-9990.5629747239</v>
          </cell>
        </row>
        <row r="169">
          <cell r="B169">
            <v>-9990.5629747239</v>
          </cell>
        </row>
      </sheetData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uide Sheet"/>
      <sheetName val="carriers"/>
      <sheetName val="buses_1busSRES"/>
      <sheetName val="buses_2busSRES"/>
      <sheetName val="generators_1busSRES"/>
      <sheetName val="generators_2busSRES"/>
      <sheetName val="links_1busSRES"/>
      <sheetName val="links_2busSRES"/>
      <sheetName val="loads"/>
      <sheetName val="run_of_river_inflow"/>
      <sheetName val="storage_units"/>
      <sheetName val="store"/>
      <sheetName val="demands"/>
      <sheetName val="profiles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9">
          <cell r="D19">
            <v>4200</v>
          </cell>
        </row>
        <row r="20">
          <cell r="D20">
            <v>2860.169492</v>
          </cell>
        </row>
        <row r="21">
          <cell r="D21">
            <v>3500</v>
          </cell>
        </row>
        <row r="22">
          <cell r="D22">
            <v>2860.169492</v>
          </cell>
        </row>
        <row r="23">
          <cell r="D23">
            <v>5000</v>
          </cell>
        </row>
        <row r="25">
          <cell r="D25">
            <v>5014.1242920000004</v>
          </cell>
        </row>
        <row r="26">
          <cell r="D26">
            <v>7627.1186459999999</v>
          </cell>
        </row>
        <row r="27">
          <cell r="D27">
            <v>1553.672292</v>
          </cell>
        </row>
        <row r="28">
          <cell r="D28">
            <v>1553.672292</v>
          </cell>
        </row>
        <row r="29">
          <cell r="D29">
            <v>6779.6610170000004</v>
          </cell>
        </row>
        <row r="30">
          <cell r="D30">
            <v>6779.6610170000004</v>
          </cell>
        </row>
        <row r="31">
          <cell r="D31">
            <v>3742.94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3E848-C4BB-4E50-B5D5-B1BD32993548}">
  <sheetPr>
    <tabColor rgb="FFC00000"/>
  </sheetPr>
  <dimension ref="A1:A5"/>
  <sheetViews>
    <sheetView workbookViewId="0">
      <selection activeCell="J16" sqref="J16"/>
    </sheetView>
  </sheetViews>
  <sheetFormatPr baseColWidth="10" defaultRowHeight="14"/>
  <cols>
    <col min="1" max="16384" width="10.90625" style="5"/>
  </cols>
  <sheetData>
    <row r="1" spans="1:1">
      <c r="A1" s="5" t="s">
        <v>3</v>
      </c>
    </row>
    <row r="2" spans="1:1">
      <c r="A2" s="5" t="s">
        <v>7</v>
      </c>
    </row>
    <row r="3" spans="1:1">
      <c r="A3" s="5" t="s">
        <v>10</v>
      </c>
    </row>
    <row r="5" spans="1:1">
      <c r="A5" s="5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931A7-B4AC-4D80-BB4A-826DADE8A8A3}">
  <sheetPr>
    <tabColor theme="6" tint="0.59999389629810485"/>
  </sheetPr>
  <dimension ref="A1:L172"/>
  <sheetViews>
    <sheetView topLeftCell="D13" zoomScale="85" zoomScaleNormal="85" workbookViewId="0">
      <selection activeCell="E5" sqref="E5"/>
    </sheetView>
  </sheetViews>
  <sheetFormatPr baseColWidth="10" defaultRowHeight="14.5"/>
  <cols>
    <col min="1" max="1" width="24.36328125" style="16" bestFit="1" customWidth="1"/>
    <col min="2" max="2" width="17.7265625" style="16" bestFit="1" customWidth="1"/>
    <col min="3" max="3" width="25.36328125" style="16" bestFit="1" customWidth="1"/>
    <col min="4" max="4" width="18.36328125" style="16" bestFit="1" customWidth="1"/>
    <col min="5" max="5" width="42.453125" style="16" bestFit="1" customWidth="1"/>
    <col min="6" max="6" width="27.1796875" style="16" bestFit="1" customWidth="1"/>
    <col min="7" max="7" width="3.08984375" style="17" customWidth="1"/>
    <col min="8" max="8" width="26.81640625" style="1" bestFit="1" customWidth="1"/>
    <col min="9" max="9" width="21.36328125" style="1" customWidth="1"/>
    <col min="10" max="10" width="22.1796875" style="1" bestFit="1" customWidth="1"/>
    <col min="11" max="11" width="42.453125" style="1" bestFit="1" customWidth="1"/>
    <col min="12" max="12" width="3.08984375" style="17" customWidth="1"/>
    <col min="13" max="16384" width="10.90625" style="17"/>
  </cols>
  <sheetData>
    <row r="1" spans="1:12">
      <c r="A1" s="60" t="s">
        <v>18</v>
      </c>
      <c r="B1" s="60"/>
      <c r="C1" s="60"/>
      <c r="D1" s="60"/>
      <c r="E1" s="60"/>
      <c r="F1" s="60"/>
      <c r="G1" s="20"/>
      <c r="H1" s="60" t="s">
        <v>26</v>
      </c>
      <c r="I1" s="60"/>
      <c r="J1" s="60"/>
      <c r="K1" s="60"/>
      <c r="L1" s="20"/>
    </row>
    <row r="2" spans="1:12">
      <c r="A2" s="21" t="s">
        <v>14</v>
      </c>
      <c r="B2" s="21" t="s">
        <v>12</v>
      </c>
      <c r="C2" s="21"/>
      <c r="D2" s="21" t="s">
        <v>13</v>
      </c>
      <c r="E2" s="21"/>
      <c r="F2" s="25"/>
      <c r="G2" s="20"/>
      <c r="H2" s="32" t="s">
        <v>20</v>
      </c>
      <c r="I2" s="32">
        <v>75999.48</v>
      </c>
      <c r="J2" s="38"/>
      <c r="K2" s="39"/>
      <c r="L2" s="20"/>
    </row>
    <row r="3" spans="1:12">
      <c r="A3" s="22"/>
      <c r="B3" s="22">
        <v>43399.56</v>
      </c>
      <c r="C3" s="22"/>
      <c r="D3" s="22">
        <v>32600</v>
      </c>
      <c r="E3" s="22"/>
      <c r="F3" s="26"/>
      <c r="G3" s="20"/>
      <c r="H3" s="33" t="s">
        <v>24</v>
      </c>
      <c r="I3" s="33">
        <v>32600</v>
      </c>
      <c r="K3" s="40"/>
      <c r="L3" s="20"/>
    </row>
    <row r="4" spans="1:12">
      <c r="A4" s="24" t="s">
        <v>19</v>
      </c>
      <c r="B4" s="23" t="s">
        <v>12</v>
      </c>
      <c r="C4" s="23" t="s">
        <v>15</v>
      </c>
      <c r="D4" s="23" t="s">
        <v>13</v>
      </c>
      <c r="E4" s="46" t="s">
        <v>27</v>
      </c>
      <c r="F4" s="27" t="s">
        <v>17</v>
      </c>
      <c r="G4" s="20"/>
      <c r="H4" s="41" t="s">
        <v>19</v>
      </c>
      <c r="I4" s="11" t="s">
        <v>21</v>
      </c>
      <c r="J4" s="11" t="s">
        <v>22</v>
      </c>
      <c r="K4" s="47" t="s">
        <v>28</v>
      </c>
      <c r="L4" s="20"/>
    </row>
    <row r="5" spans="1:12">
      <c r="A5" s="18">
        <v>0</v>
      </c>
      <c r="B5" s="16">
        <v>5970.4387567924796</v>
      </c>
      <c r="C5" s="19">
        <v>0.137569108</v>
      </c>
      <c r="D5" s="16">
        <v>4484.7529207999996</v>
      </c>
      <c r="E5" s="19">
        <v>0.137569108</v>
      </c>
      <c r="F5" s="28">
        <v>65544.368322407507</v>
      </c>
      <c r="G5" s="20"/>
      <c r="H5" s="42">
        <v>0</v>
      </c>
      <c r="I5" s="1">
        <v>0</v>
      </c>
      <c r="J5" s="1">
        <v>10455.19167759248</v>
      </c>
      <c r="K5" s="43">
        <v>0.32071140115314356</v>
      </c>
      <c r="L5" s="20"/>
    </row>
    <row r="6" spans="1:12">
      <c r="A6" s="18">
        <v>1</v>
      </c>
      <c r="B6" s="16">
        <v>6389.1069558870586</v>
      </c>
      <c r="C6" s="19">
        <v>0.14721593849999998</v>
      </c>
      <c r="D6" s="16">
        <v>4799.2395950999999</v>
      </c>
      <c r="E6" s="19">
        <v>0.1472159385</v>
      </c>
      <c r="F6" s="28">
        <v>64811.213449012947</v>
      </c>
      <c r="G6" s="20"/>
      <c r="H6" s="42">
        <v>1</v>
      </c>
      <c r="I6" s="1">
        <v>0</v>
      </c>
      <c r="J6" s="1">
        <v>11188.34655098706</v>
      </c>
      <c r="K6" s="43">
        <v>0.34320081444745582</v>
      </c>
      <c r="L6" s="20"/>
    </row>
    <row r="7" spans="1:12">
      <c r="A7" s="18">
        <v>2</v>
      </c>
      <c r="B7" s="16">
        <v>6498.1158658163986</v>
      </c>
      <c r="C7" s="19">
        <v>0.14972768999999997</v>
      </c>
      <c r="D7" s="16">
        <v>4881.1226939999997</v>
      </c>
      <c r="E7" s="19">
        <v>0.14972769</v>
      </c>
      <c r="F7" s="28">
        <v>64620.321440183609</v>
      </c>
      <c r="G7" s="20"/>
      <c r="H7" s="42">
        <v>2</v>
      </c>
      <c r="I7" s="1">
        <v>0</v>
      </c>
      <c r="J7" s="1">
        <v>11379.2385598164</v>
      </c>
      <c r="K7" s="43">
        <v>0.34905639754038037</v>
      </c>
      <c r="L7" s="20"/>
    </row>
    <row r="8" spans="1:12">
      <c r="A8" s="18">
        <v>3</v>
      </c>
      <c r="B8" s="16">
        <v>6661.2082441285193</v>
      </c>
      <c r="C8" s="19">
        <v>0.15348561699999999</v>
      </c>
      <c r="D8" s="16">
        <v>5003.6311142000004</v>
      </c>
      <c r="E8" s="19">
        <v>0.15348561700000002</v>
      </c>
      <c r="F8" s="28">
        <v>64334.720641671483</v>
      </c>
      <c r="G8" s="20"/>
      <c r="H8" s="42">
        <v>3</v>
      </c>
      <c r="I8" s="1">
        <v>0</v>
      </c>
      <c r="J8" s="1">
        <v>11664.83935832852</v>
      </c>
      <c r="K8" s="43">
        <v>0.35781715823093618</v>
      </c>
      <c r="L8" s="20"/>
    </row>
    <row r="9" spans="1:12">
      <c r="A9" s="18">
        <v>4</v>
      </c>
      <c r="B9" s="16">
        <v>6983.28603529062</v>
      </c>
      <c r="C9" s="19">
        <v>0.16090683950000001</v>
      </c>
      <c r="D9" s="16">
        <v>5245.5629677000006</v>
      </c>
      <c r="E9" s="19">
        <v>0.16090683950000001</v>
      </c>
      <c r="F9" s="28">
        <v>63770.710997009381</v>
      </c>
      <c r="G9" s="20"/>
      <c r="H9" s="42">
        <v>4</v>
      </c>
      <c r="I9" s="1">
        <v>0</v>
      </c>
      <c r="J9" s="1">
        <v>12228.849002990621</v>
      </c>
      <c r="K9" s="43">
        <v>0.37511806757639943</v>
      </c>
      <c r="L9" s="20"/>
    </row>
    <row r="10" spans="1:12">
      <c r="A10" s="18">
        <v>5</v>
      </c>
      <c r="B10" s="16">
        <v>7025.1552400058999</v>
      </c>
      <c r="C10" s="19">
        <v>0.1618715775</v>
      </c>
      <c r="D10" s="16">
        <v>5277.0134264999997</v>
      </c>
      <c r="E10" s="19">
        <v>0.1618715775</v>
      </c>
      <c r="F10" s="28">
        <v>63697.391333494095</v>
      </c>
      <c r="G10" s="20"/>
      <c r="H10" s="42">
        <v>5</v>
      </c>
      <c r="I10" s="1">
        <v>0</v>
      </c>
      <c r="J10" s="1">
        <v>12302.168666505901</v>
      </c>
      <c r="K10" s="43">
        <v>0.37736713700938346</v>
      </c>
      <c r="L10" s="20"/>
    </row>
    <row r="11" spans="1:12">
      <c r="A11" s="18">
        <v>6</v>
      </c>
      <c r="B11" s="16">
        <v>6569.2742617875601</v>
      </c>
      <c r="C11" s="19">
        <v>0.15136730100000001</v>
      </c>
      <c r="D11" s="16">
        <v>4934.5740126000001</v>
      </c>
      <c r="E11" s="19">
        <v>0.15136730100000001</v>
      </c>
      <c r="F11" s="28">
        <v>64495.711725612433</v>
      </c>
      <c r="G11" s="20"/>
      <c r="H11" s="42">
        <v>6</v>
      </c>
      <c r="I11" s="1">
        <v>0</v>
      </c>
      <c r="J11" s="1">
        <v>11503.848274387559</v>
      </c>
      <c r="K11" s="43">
        <v>0.35287878142293128</v>
      </c>
      <c r="L11" s="20"/>
    </row>
    <row r="12" spans="1:12">
      <c r="A12" s="18">
        <v>7</v>
      </c>
      <c r="B12" s="16">
        <v>5323.6783762766399</v>
      </c>
      <c r="C12" s="19">
        <v>0.12266664400000001</v>
      </c>
      <c r="D12" s="16">
        <v>3998.9325944000002</v>
      </c>
      <c r="E12" s="19">
        <v>0.12266664400000001</v>
      </c>
      <c r="F12" s="28">
        <v>66676.949029323354</v>
      </c>
      <c r="G12" s="20"/>
      <c r="H12" s="42">
        <v>7</v>
      </c>
      <c r="I12" s="1">
        <v>0</v>
      </c>
      <c r="J12" s="1">
        <v>9322.6109706766401</v>
      </c>
      <c r="K12" s="43">
        <v>0.28596966167719756</v>
      </c>
      <c r="L12" s="20"/>
    </row>
    <row r="13" spans="1:12">
      <c r="A13" s="18">
        <v>8</v>
      </c>
      <c r="B13" s="16">
        <v>4360.4335398915</v>
      </c>
      <c r="C13" s="19">
        <v>0.10047183750000001</v>
      </c>
      <c r="D13" s="16">
        <v>3275.3819025000003</v>
      </c>
      <c r="E13" s="19">
        <v>0.10047183750000001</v>
      </c>
      <c r="F13" s="28">
        <v>68363.744557608501</v>
      </c>
      <c r="G13" s="20"/>
      <c r="H13" s="42">
        <v>8</v>
      </c>
      <c r="I13" s="1">
        <v>0</v>
      </c>
      <c r="J13" s="1">
        <v>7635.8146833483006</v>
      </c>
      <c r="K13" s="43">
        <v>0.23422744427448774</v>
      </c>
      <c r="L13" s="20"/>
    </row>
    <row r="14" spans="1:12">
      <c r="A14" s="18">
        <v>9</v>
      </c>
      <c r="B14" s="16">
        <v>9070.6004810628001</v>
      </c>
      <c r="C14" s="19">
        <v>0.20900213000000001</v>
      </c>
      <c r="D14" s="16">
        <v>6813.4694380000001</v>
      </c>
      <c r="E14" s="19">
        <v>0.20900213000000001</v>
      </c>
      <c r="F14" s="28">
        <v>60115.49008093719</v>
      </c>
      <c r="G14" s="20"/>
      <c r="H14" s="42">
        <v>9</v>
      </c>
      <c r="I14" s="1">
        <v>1055.8184152400099</v>
      </c>
      <c r="J14" s="1">
        <v>14828.231237266309</v>
      </c>
      <c r="K14" s="43">
        <v>0.45485371893454934</v>
      </c>
      <c r="L14" s="20"/>
    </row>
    <row r="15" spans="1:12">
      <c r="A15" s="18">
        <v>10</v>
      </c>
      <c r="B15" s="16">
        <v>16787.617401731699</v>
      </c>
      <c r="C15" s="19">
        <v>0.38681538249999997</v>
      </c>
      <c r="D15" s="16">
        <v>12610.181469500001</v>
      </c>
      <c r="E15" s="19">
        <v>0.38681538250000003</v>
      </c>
      <c r="F15" s="28">
        <v>46601.761128768303</v>
      </c>
      <c r="G15" s="20"/>
      <c r="H15" s="42">
        <v>10</v>
      </c>
      <c r="I15" s="1">
        <v>0</v>
      </c>
      <c r="J15" s="1">
        <v>14917.168211885721</v>
      </c>
      <c r="K15" s="43">
        <v>0.45758184699035953</v>
      </c>
      <c r="L15" s="20"/>
    </row>
    <row r="16" spans="1:12">
      <c r="A16" s="18">
        <v>11</v>
      </c>
      <c r="B16" s="16">
        <v>21384.83700970278</v>
      </c>
      <c r="C16" s="19">
        <v>0.49274317550000002</v>
      </c>
      <c r="D16" s="16">
        <v>16063.4275213</v>
      </c>
      <c r="E16" s="19">
        <v>0.49274317550000002</v>
      </c>
      <c r="F16" s="28">
        <v>38551.295468997218</v>
      </c>
      <c r="G16" s="20"/>
      <c r="H16" s="42">
        <v>11</v>
      </c>
      <c r="I16" s="1">
        <v>0</v>
      </c>
      <c r="J16" s="1">
        <v>14882.242845700001</v>
      </c>
      <c r="K16" s="43">
        <v>0.45651051673926379</v>
      </c>
      <c r="L16" s="20"/>
    </row>
    <row r="17" spans="1:12">
      <c r="A17" s="18">
        <v>12</v>
      </c>
      <c r="B17" s="16">
        <v>23664.849538034039</v>
      </c>
      <c r="C17" s="19">
        <v>0.545278559</v>
      </c>
      <c r="D17" s="16">
        <v>17066.849325214291</v>
      </c>
      <c r="E17" s="19">
        <v>0.52352298543602116</v>
      </c>
      <c r="F17" s="28">
        <v>35267.861136751671</v>
      </c>
      <c r="G17" s="20"/>
      <c r="H17" s="42">
        <v>12</v>
      </c>
      <c r="I17" s="1">
        <v>0</v>
      </c>
      <c r="J17" s="1">
        <v>14847.3174795</v>
      </c>
      <c r="K17" s="43">
        <v>0.45543918648773007</v>
      </c>
      <c r="L17" s="20"/>
    </row>
    <row r="18" spans="1:12">
      <c r="A18" s="18">
        <v>13</v>
      </c>
      <c r="B18" s="16">
        <v>24035.917620515342</v>
      </c>
      <c r="C18" s="19">
        <v>0.55382860150000002</v>
      </c>
      <c r="D18" s="16">
        <v>17066.849325214291</v>
      </c>
      <c r="E18" s="19">
        <v>0.52352298543602116</v>
      </c>
      <c r="F18" s="28">
        <v>34896.793054270369</v>
      </c>
      <c r="G18" s="20"/>
      <c r="H18" s="42">
        <v>13</v>
      </c>
      <c r="I18" s="1">
        <v>0</v>
      </c>
      <c r="J18" s="1">
        <v>0</v>
      </c>
      <c r="K18" s="43">
        <v>0</v>
      </c>
      <c r="L18" s="20"/>
    </row>
    <row r="19" spans="1:12">
      <c r="A19" s="18">
        <v>14</v>
      </c>
      <c r="B19" s="16">
        <v>22643.028207018</v>
      </c>
      <c r="C19" s="19">
        <v>0.52173405000000006</v>
      </c>
      <c r="D19" s="16">
        <v>17008.530030000002</v>
      </c>
      <c r="E19" s="19">
        <v>0.52173405000000006</v>
      </c>
      <c r="F19" s="28">
        <v>36348.001762981999</v>
      </c>
      <c r="G19" s="20"/>
      <c r="H19" s="42">
        <v>14</v>
      </c>
      <c r="I19" s="1">
        <v>0</v>
      </c>
      <c r="J19" s="1">
        <v>0</v>
      </c>
      <c r="K19" s="43">
        <v>0</v>
      </c>
      <c r="L19" s="20"/>
    </row>
    <row r="20" spans="1:12">
      <c r="A20" s="18">
        <v>15</v>
      </c>
      <c r="B20" s="16">
        <v>19929.533018086378</v>
      </c>
      <c r="C20" s="19">
        <v>0.45921048549999999</v>
      </c>
      <c r="D20" s="16">
        <v>14970.261827300001</v>
      </c>
      <c r="E20" s="19">
        <v>0.45921048550000004</v>
      </c>
      <c r="F20" s="28">
        <v>41099.765154613619</v>
      </c>
      <c r="G20" s="20"/>
      <c r="H20" s="42">
        <v>15</v>
      </c>
      <c r="I20" s="1">
        <v>0</v>
      </c>
      <c r="J20" s="1">
        <v>14917.168211885721</v>
      </c>
      <c r="K20" s="43">
        <v>0.45758184699035953</v>
      </c>
      <c r="L20" s="20"/>
    </row>
    <row r="21" spans="1:12">
      <c r="A21" s="18">
        <v>16</v>
      </c>
      <c r="B21" s="16">
        <v>14424.144459851459</v>
      </c>
      <c r="C21" s="19">
        <v>0.33235692849999998</v>
      </c>
      <c r="D21" s="16">
        <v>10834.835869099999</v>
      </c>
      <c r="E21" s="19">
        <v>0.33235692849999998</v>
      </c>
      <c r="F21" s="28">
        <v>50740.579671048545</v>
      </c>
      <c r="G21" s="20"/>
      <c r="H21" s="42">
        <v>16</v>
      </c>
      <c r="I21" s="1">
        <v>10341.77545887654</v>
      </c>
      <c r="J21" s="1">
        <v>14917.168211885721</v>
      </c>
      <c r="K21" s="43">
        <v>0.45758184699035953</v>
      </c>
      <c r="L21" s="20"/>
    </row>
    <row r="22" spans="1:12">
      <c r="A22" s="18">
        <v>17</v>
      </c>
      <c r="B22" s="16">
        <v>6049.8579552127194</v>
      </c>
      <c r="C22" s="19">
        <v>0.13939906199999999</v>
      </c>
      <c r="D22" s="16">
        <v>4544.4094212</v>
      </c>
      <c r="E22" s="19">
        <v>0.13939906199999999</v>
      </c>
      <c r="F22" s="28">
        <v>65405.29262358728</v>
      </c>
      <c r="G22" s="20"/>
      <c r="H22" s="42">
        <v>17</v>
      </c>
      <c r="I22" s="1">
        <v>0</v>
      </c>
      <c r="J22" s="1">
        <v>10594.258825880081</v>
      </c>
      <c r="K22" s="43">
        <v>0.3249772645975485</v>
      </c>
      <c r="L22" s="20"/>
    </row>
    <row r="23" spans="1:12">
      <c r="A23" s="18">
        <v>18</v>
      </c>
      <c r="B23" s="16">
        <v>3449.8637693680203</v>
      </c>
      <c r="C23" s="19">
        <v>7.949075450000001E-2</v>
      </c>
      <c r="D23" s="16">
        <v>2591.3985966999999</v>
      </c>
      <c r="E23" s="19">
        <v>7.9490754499999997E-2</v>
      </c>
      <c r="F23" s="28">
        <v>69958.297633931972</v>
      </c>
      <c r="G23" s="20"/>
      <c r="H23" s="42">
        <v>18</v>
      </c>
      <c r="I23" s="1">
        <v>0</v>
      </c>
      <c r="J23" s="1">
        <v>6041.2623654096196</v>
      </c>
      <c r="K23" s="43">
        <v>0.18531479648495766</v>
      </c>
      <c r="L23" s="20"/>
    </row>
    <row r="24" spans="1:12">
      <c r="A24" s="18">
        <v>19</v>
      </c>
      <c r="B24" s="16">
        <v>3362.1366365765398</v>
      </c>
      <c r="C24" s="19">
        <v>7.7469371499999995E-2</v>
      </c>
      <c r="D24" s="16">
        <v>2525.5015109000001</v>
      </c>
      <c r="E24" s="19">
        <v>7.7469371500000009E-2</v>
      </c>
      <c r="F24" s="28">
        <v>70111.921852523461</v>
      </c>
      <c r="G24" s="20"/>
      <c r="H24" s="42">
        <v>19</v>
      </c>
      <c r="I24" s="1">
        <v>0</v>
      </c>
      <c r="J24" s="1">
        <v>5887.6381474765394</v>
      </c>
      <c r="K24" s="43">
        <v>0.18060239716185703</v>
      </c>
      <c r="L24" s="20"/>
    </row>
    <row r="25" spans="1:12">
      <c r="A25" s="18">
        <v>20</v>
      </c>
      <c r="B25" s="16">
        <v>3395.2286274783</v>
      </c>
      <c r="C25" s="19">
        <v>7.823186750000001E-2</v>
      </c>
      <c r="D25" s="16">
        <v>2550.3588804999999</v>
      </c>
      <c r="E25" s="19">
        <v>7.8231867499999996E-2</v>
      </c>
      <c r="F25" s="28">
        <v>70053.972492021698</v>
      </c>
      <c r="G25" s="20"/>
      <c r="H25" s="42">
        <v>20</v>
      </c>
      <c r="I25" s="1">
        <v>0</v>
      </c>
      <c r="J25" s="1">
        <v>5945.5875079783</v>
      </c>
      <c r="K25" s="43">
        <v>0.18237998490730981</v>
      </c>
      <c r="L25" s="20"/>
    </row>
    <row r="26" spans="1:12">
      <c r="A26" s="18">
        <v>21</v>
      </c>
      <c r="B26" s="16">
        <v>3509.8447388598602</v>
      </c>
      <c r="C26" s="19">
        <v>8.0872818500000013E-2</v>
      </c>
      <c r="D26" s="16">
        <v>2636.4538831</v>
      </c>
      <c r="E26" s="19">
        <v>8.0872818499999999E-2</v>
      </c>
      <c r="F26" s="28">
        <v>69853.261378040144</v>
      </c>
      <c r="G26" s="20"/>
      <c r="H26" s="42">
        <v>21</v>
      </c>
      <c r="I26" s="1">
        <v>0</v>
      </c>
      <c r="J26" s="1">
        <v>6146.2986219598597</v>
      </c>
      <c r="K26" s="43">
        <v>0.18853676754478096</v>
      </c>
      <c r="L26" s="20"/>
    </row>
    <row r="27" spans="1:12">
      <c r="A27" s="18">
        <v>22</v>
      </c>
      <c r="B27" s="16">
        <v>3752.5910855120401</v>
      </c>
      <c r="C27" s="19">
        <v>8.6466109000000013E-2</v>
      </c>
      <c r="D27" s="16">
        <v>2818.7951533999999</v>
      </c>
      <c r="E27" s="19">
        <v>8.6466108999999999E-2</v>
      </c>
      <c r="F27" s="28">
        <v>69428.17376108795</v>
      </c>
      <c r="G27" s="20"/>
      <c r="H27" s="42">
        <v>22</v>
      </c>
      <c r="I27" s="1">
        <v>0</v>
      </c>
      <c r="J27" s="1">
        <v>6571.3862389120404</v>
      </c>
      <c r="K27" s="43">
        <v>0.20157626499730186</v>
      </c>
      <c r="L27" s="20"/>
    </row>
    <row r="28" spans="1:12">
      <c r="A28" s="18">
        <v>23</v>
      </c>
      <c r="B28" s="16">
        <v>3973.3289510939398</v>
      </c>
      <c r="C28" s="19">
        <v>9.1552286499999996E-2</v>
      </c>
      <c r="D28" s="16">
        <v>2984.6045399</v>
      </c>
      <c r="E28" s="19">
        <v>9.1552286499999996E-2</v>
      </c>
      <c r="F28" s="28">
        <v>69041.626509006062</v>
      </c>
      <c r="G28" s="20"/>
      <c r="H28" s="42">
        <v>23</v>
      </c>
      <c r="I28" s="1">
        <v>0</v>
      </c>
      <c r="J28" s="1">
        <v>6957.9334909939398</v>
      </c>
      <c r="K28" s="43">
        <v>0.21343354266852577</v>
      </c>
      <c r="L28" s="20"/>
    </row>
    <row r="29" spans="1:12">
      <c r="A29" s="18">
        <v>24</v>
      </c>
      <c r="B29" s="16">
        <v>4151.3451578030399</v>
      </c>
      <c r="C29" s="19">
        <v>9.5654084E-2</v>
      </c>
      <c r="D29" s="16">
        <v>3118.3231384000001</v>
      </c>
      <c r="E29" s="19">
        <v>9.5654084E-2</v>
      </c>
      <c r="F29" s="28">
        <v>68729.891703796966</v>
      </c>
      <c r="G29" s="20"/>
      <c r="H29" s="42">
        <v>24</v>
      </c>
      <c r="I29" s="1">
        <v>0</v>
      </c>
      <c r="J29" s="1">
        <v>7269.66829620304</v>
      </c>
      <c r="K29" s="43">
        <v>0.22299596000622823</v>
      </c>
      <c r="L29" s="20"/>
    </row>
    <row r="30" spans="1:12">
      <c r="A30" s="18">
        <v>25</v>
      </c>
      <c r="B30" s="16">
        <v>4006.4282331217801</v>
      </c>
      <c r="C30" s="19">
        <v>9.2314950500000006E-2</v>
      </c>
      <c r="D30" s="16">
        <v>3009.4673862999998</v>
      </c>
      <c r="E30" s="19">
        <v>9.2314950499999993E-2</v>
      </c>
      <c r="F30" s="28">
        <v>68983.664380578208</v>
      </c>
      <c r="G30" s="20"/>
      <c r="H30" s="42">
        <v>25</v>
      </c>
      <c r="I30" s="1">
        <v>0</v>
      </c>
      <c r="J30" s="1">
        <v>7015.8956194217799</v>
      </c>
      <c r="K30" s="43">
        <v>0.21521152206815275</v>
      </c>
      <c r="L30" s="20"/>
    </row>
    <row r="31" spans="1:12">
      <c r="A31" s="18">
        <v>26</v>
      </c>
      <c r="B31" s="16">
        <v>3801.8734124704802</v>
      </c>
      <c r="C31" s="19">
        <v>8.7601658000000013E-2</v>
      </c>
      <c r="D31" s="16">
        <v>2855.8140508000001</v>
      </c>
      <c r="E31" s="19">
        <v>8.7601657999999999E-2</v>
      </c>
      <c r="F31" s="28">
        <v>69341.872536729512</v>
      </c>
      <c r="G31" s="20"/>
      <c r="H31" s="42">
        <v>26</v>
      </c>
      <c r="I31" s="1">
        <v>0</v>
      </c>
      <c r="J31" s="1">
        <v>6657.6874632704794</v>
      </c>
      <c r="K31" s="43">
        <v>0.20422354181811286</v>
      </c>
      <c r="L31" s="20"/>
    </row>
    <row r="32" spans="1:12">
      <c r="A32" s="18">
        <v>27</v>
      </c>
      <c r="B32" s="16">
        <v>3560.6692691828998</v>
      </c>
      <c r="C32" s="19">
        <v>8.2043902500000002E-2</v>
      </c>
      <c r="D32" s="16">
        <v>2674.6312214999998</v>
      </c>
      <c r="E32" s="19">
        <v>8.2043902499999988E-2</v>
      </c>
      <c r="F32" s="28">
        <v>69764.259509317111</v>
      </c>
      <c r="G32" s="20"/>
      <c r="H32" s="42">
        <v>27</v>
      </c>
      <c r="I32" s="1">
        <v>0</v>
      </c>
      <c r="J32" s="1">
        <v>6235.3004906829001</v>
      </c>
      <c r="K32" s="43">
        <v>0.19126688621726687</v>
      </c>
      <c r="L32" s="20"/>
    </row>
    <row r="33" spans="1:12">
      <c r="A33" s="18">
        <v>28</v>
      </c>
      <c r="B33" s="16">
        <v>3382.0278918119998</v>
      </c>
      <c r="C33" s="19">
        <v>7.7927700000000003E-2</v>
      </c>
      <c r="D33" s="16">
        <v>2540.4430200000002</v>
      </c>
      <c r="E33" s="19">
        <v>7.7927700000000003E-2</v>
      </c>
      <c r="F33" s="28">
        <v>70077.08908818799</v>
      </c>
      <c r="G33" s="20"/>
      <c r="H33" s="42">
        <v>28</v>
      </c>
      <c r="I33" s="1">
        <v>0</v>
      </c>
      <c r="J33" s="1">
        <v>5922.4709118119999</v>
      </c>
      <c r="K33" s="43">
        <v>0.18167088686539878</v>
      </c>
      <c r="L33" s="20"/>
    </row>
    <row r="34" spans="1:12">
      <c r="A34" s="18">
        <v>29</v>
      </c>
      <c r="B34" s="16">
        <v>3214.6429715191798</v>
      </c>
      <c r="C34" s="19">
        <v>7.4070865499999999E-2</v>
      </c>
      <c r="D34" s="16">
        <v>2414.7102153000001</v>
      </c>
      <c r="E34" s="19">
        <v>7.4070865499999999E-2</v>
      </c>
      <c r="F34" s="28">
        <v>70370.206813180819</v>
      </c>
      <c r="G34" s="20"/>
      <c r="H34" s="42">
        <v>29</v>
      </c>
      <c r="I34" s="1">
        <v>0</v>
      </c>
      <c r="J34" s="1">
        <v>5629.3531868191794</v>
      </c>
      <c r="K34" s="43">
        <v>0.17267954560795029</v>
      </c>
      <c r="L34" s="20"/>
    </row>
    <row r="35" spans="1:12">
      <c r="A35" s="18">
        <v>30</v>
      </c>
      <c r="B35" s="16">
        <v>2903.1743546975399</v>
      </c>
      <c r="C35" s="19">
        <v>6.68940965E-2</v>
      </c>
      <c r="D35" s="16">
        <v>2180.7475459000002</v>
      </c>
      <c r="E35" s="19">
        <v>6.68940965E-2</v>
      </c>
      <c r="F35" s="28">
        <v>70915.638099402466</v>
      </c>
      <c r="G35" s="20"/>
      <c r="H35" s="42">
        <v>30</v>
      </c>
      <c r="I35" s="1">
        <v>0</v>
      </c>
      <c r="J35" s="1">
        <v>5083.9219005975401</v>
      </c>
      <c r="K35" s="43">
        <v>0.15594852455820676</v>
      </c>
      <c r="L35" s="20"/>
    </row>
    <row r="36" spans="1:12">
      <c r="A36" s="18">
        <v>31</v>
      </c>
      <c r="B36" s="16">
        <v>2501.0635217385602</v>
      </c>
      <c r="C36" s="19">
        <v>5.7628776000000007E-2</v>
      </c>
      <c r="D36" s="16">
        <v>1878.6980976</v>
      </c>
      <c r="E36" s="19">
        <v>5.7628776E-2</v>
      </c>
      <c r="F36" s="28">
        <v>71619.798380661436</v>
      </c>
      <c r="G36" s="20"/>
      <c r="H36" s="42">
        <v>31</v>
      </c>
      <c r="I36" s="1">
        <v>0</v>
      </c>
      <c r="J36" s="1">
        <v>4379.7616193385602</v>
      </c>
      <c r="K36" s="43">
        <v>0.13434851593063069</v>
      </c>
      <c r="L36" s="20"/>
    </row>
    <row r="37" spans="1:12">
      <c r="A37" s="18">
        <v>32</v>
      </c>
      <c r="B37" s="16">
        <v>2633.78972701362</v>
      </c>
      <c r="C37" s="19">
        <v>6.0687014500000004E-2</v>
      </c>
      <c r="D37" s="16">
        <v>1978.3966727000002</v>
      </c>
      <c r="E37" s="19">
        <v>6.0687014500000004E-2</v>
      </c>
      <c r="F37" s="28">
        <v>71387.373600286388</v>
      </c>
      <c r="G37" s="20"/>
      <c r="H37" s="42">
        <v>32</v>
      </c>
      <c r="I37" s="1">
        <v>0</v>
      </c>
      <c r="J37" s="1">
        <v>4612.1857650420998</v>
      </c>
      <c r="K37" s="43">
        <v>0.14147809095221164</v>
      </c>
      <c r="L37" s="20"/>
    </row>
    <row r="38" spans="1:12">
      <c r="A38" s="18">
        <v>33</v>
      </c>
      <c r="B38" s="16">
        <v>7006.5344851896598</v>
      </c>
      <c r="C38" s="19">
        <v>0.16144252349999999</v>
      </c>
      <c r="D38" s="16">
        <v>5263.0262660999997</v>
      </c>
      <c r="E38" s="19">
        <v>0.16144252349999999</v>
      </c>
      <c r="F38" s="28">
        <v>63729.99924871033</v>
      </c>
      <c r="G38" s="20"/>
      <c r="H38" s="42">
        <v>33</v>
      </c>
      <c r="I38" s="1">
        <v>0</v>
      </c>
      <c r="J38" s="1">
        <v>12269.54316466182</v>
      </c>
      <c r="K38" s="43">
        <v>0.37636635474422758</v>
      </c>
      <c r="L38" s="20"/>
    </row>
    <row r="39" spans="1:12">
      <c r="A39" s="18">
        <v>34</v>
      </c>
      <c r="B39" s="16">
        <v>13906.49314828248</v>
      </c>
      <c r="C39" s="19">
        <v>0.320429358</v>
      </c>
      <c r="D39" s="16">
        <v>10445.9970708</v>
      </c>
      <c r="E39" s="19">
        <v>0.320429358</v>
      </c>
      <c r="F39" s="28">
        <v>51647.069780917518</v>
      </c>
      <c r="G39" s="20"/>
      <c r="H39" s="42">
        <v>34</v>
      </c>
      <c r="I39" s="1">
        <v>0</v>
      </c>
      <c r="J39" s="1">
        <v>0</v>
      </c>
      <c r="K39" s="48">
        <v>0</v>
      </c>
      <c r="L39" s="20"/>
    </row>
    <row r="40" spans="1:12">
      <c r="A40" s="18">
        <v>35</v>
      </c>
      <c r="B40" s="16">
        <v>18218.468866056421</v>
      </c>
      <c r="C40" s="19">
        <v>0.41978464450000003</v>
      </c>
      <c r="D40" s="16">
        <v>13684.9794107</v>
      </c>
      <c r="E40" s="19">
        <v>0.41978464449999997</v>
      </c>
      <c r="F40" s="28">
        <v>44096.111723243579</v>
      </c>
      <c r="G40" s="20"/>
      <c r="H40" s="42">
        <v>35</v>
      </c>
      <c r="I40" s="1">
        <v>0</v>
      </c>
      <c r="J40" s="1">
        <v>14882.21608148572</v>
      </c>
      <c r="K40" s="43">
        <v>0.45650969575109568</v>
      </c>
      <c r="L40" s="20"/>
    </row>
    <row r="41" spans="1:12">
      <c r="A41" s="18">
        <v>36</v>
      </c>
      <c r="B41" s="16">
        <v>20837.108913362819</v>
      </c>
      <c r="C41" s="19">
        <v>0.4801225845</v>
      </c>
      <c r="D41" s="16">
        <v>15651.9962547</v>
      </c>
      <c r="E41" s="19">
        <v>0.4801225845</v>
      </c>
      <c r="F41" s="28">
        <v>39510.454831937182</v>
      </c>
      <c r="G41" s="20"/>
      <c r="H41" s="42">
        <v>36</v>
      </c>
      <c r="I41" s="1">
        <v>9088.8334764670872</v>
      </c>
      <c r="J41" s="1">
        <v>14847.290715285721</v>
      </c>
      <c r="K41" s="43">
        <v>0.45543836549956196</v>
      </c>
      <c r="L41" s="20"/>
    </row>
    <row r="42" spans="1:12">
      <c r="A42" s="18">
        <v>37</v>
      </c>
      <c r="B42" s="16">
        <v>21595.851616162501</v>
      </c>
      <c r="C42" s="19">
        <v>0.49760531250000006</v>
      </c>
      <c r="D42" s="16">
        <v>16221.933187499999</v>
      </c>
      <c r="E42" s="19">
        <v>0.49760531249999995</v>
      </c>
      <c r="F42" s="28">
        <v>38181.775196337498</v>
      </c>
      <c r="G42" s="20"/>
      <c r="H42" s="42">
        <v>37</v>
      </c>
      <c r="I42" s="1">
        <v>4887.5210327062523</v>
      </c>
      <c r="J42" s="1">
        <v>14847.290715285721</v>
      </c>
      <c r="K42" s="43">
        <v>0.45543836549956196</v>
      </c>
      <c r="L42" s="20"/>
    </row>
    <row r="43" spans="1:12">
      <c r="A43" s="18">
        <v>38</v>
      </c>
      <c r="B43" s="16">
        <v>20658.672794210939</v>
      </c>
      <c r="C43" s="19">
        <v>0.47601111150000003</v>
      </c>
      <c r="D43" s="16">
        <v>15517.962234899998</v>
      </c>
      <c r="E43" s="19">
        <v>0.47601111149999997</v>
      </c>
      <c r="F43" s="28">
        <v>39822.924970889057</v>
      </c>
      <c r="G43" s="20"/>
      <c r="H43" s="42">
        <v>38</v>
      </c>
      <c r="I43" s="1">
        <v>9086.2004902607587</v>
      </c>
      <c r="J43" s="1">
        <v>14882.21608148572</v>
      </c>
      <c r="K43" s="43">
        <v>0.45650969575109568</v>
      </c>
      <c r="L43" s="20"/>
    </row>
    <row r="44" spans="1:12">
      <c r="A44" s="18">
        <v>39</v>
      </c>
      <c r="B44" s="16">
        <v>17692.944483707401</v>
      </c>
      <c r="C44" s="19">
        <v>0.40767566500000002</v>
      </c>
      <c r="D44" s="16">
        <v>13290.226678999999</v>
      </c>
      <c r="E44" s="19">
        <v>0.40767566499999996</v>
      </c>
      <c r="F44" s="28">
        <v>45016.388837292601</v>
      </c>
      <c r="G44" s="20"/>
      <c r="H44" s="42">
        <v>39</v>
      </c>
      <c r="I44" s="1">
        <v>16065.97076882317</v>
      </c>
      <c r="J44" s="1">
        <v>14917.141447671431</v>
      </c>
      <c r="K44" s="43">
        <v>0.45758102600219114</v>
      </c>
      <c r="L44" s="20"/>
    </row>
    <row r="45" spans="1:12">
      <c r="A45" s="18">
        <v>40</v>
      </c>
      <c r="B45" s="16">
        <v>11921.24099206692</v>
      </c>
      <c r="C45" s="19">
        <v>0.27468575700000003</v>
      </c>
      <c r="D45" s="16">
        <v>8954.7556781999992</v>
      </c>
      <c r="E45" s="19">
        <v>0.27468575699999997</v>
      </c>
      <c r="F45" s="28">
        <v>55123.563329733079</v>
      </c>
      <c r="G45" s="20"/>
      <c r="H45" s="42">
        <v>40</v>
      </c>
      <c r="I45" s="1">
        <v>5958.8170894193281</v>
      </c>
      <c r="J45" s="1">
        <v>14917.141447671431</v>
      </c>
      <c r="K45" s="43">
        <v>0.45758102600219114</v>
      </c>
      <c r="L45" s="20"/>
    </row>
    <row r="46" spans="1:12">
      <c r="A46" s="18">
        <v>41</v>
      </c>
      <c r="B46" s="16">
        <v>4018.6492671206402</v>
      </c>
      <c r="C46" s="19">
        <v>9.2596544000000003E-2</v>
      </c>
      <c r="D46" s="16">
        <v>3018.6473344000001</v>
      </c>
      <c r="E46" s="19">
        <v>9.2596544000000003E-2</v>
      </c>
      <c r="F46" s="28">
        <v>68962.263398479365</v>
      </c>
      <c r="G46" s="20"/>
      <c r="H46" s="42">
        <v>41</v>
      </c>
      <c r="I46" s="1">
        <v>0</v>
      </c>
      <c r="J46" s="1">
        <v>7037.2876650047201</v>
      </c>
      <c r="K46" s="43">
        <v>0.21586771978542085</v>
      </c>
      <c r="L46" s="20"/>
    </row>
    <row r="47" spans="1:12">
      <c r="A47" s="18">
        <v>42</v>
      </c>
      <c r="B47" s="16">
        <v>2509.0939810229402</v>
      </c>
      <c r="C47" s="19">
        <v>5.7813811500000006E-2</v>
      </c>
      <c r="D47" s="16">
        <v>1884.7302548999999</v>
      </c>
      <c r="E47" s="19">
        <v>5.7813811499999992E-2</v>
      </c>
      <c r="F47" s="28">
        <v>71605.73576407705</v>
      </c>
      <c r="G47" s="20"/>
      <c r="H47" s="42">
        <v>42</v>
      </c>
      <c r="I47" s="1">
        <v>0</v>
      </c>
      <c r="J47" s="1">
        <v>4393.8242346029401</v>
      </c>
      <c r="K47" s="43">
        <v>0.13477988449702269</v>
      </c>
      <c r="L47" s="20"/>
    </row>
    <row r="48" spans="1:12">
      <c r="A48" s="18">
        <v>43</v>
      </c>
      <c r="B48" s="16">
        <v>3000.5721246447001</v>
      </c>
      <c r="C48" s="19">
        <v>6.913830750000001E-2</v>
      </c>
      <c r="D48" s="16">
        <v>2253.9088244999998</v>
      </c>
      <c r="E48" s="19">
        <v>6.9138307499999996E-2</v>
      </c>
      <c r="F48" s="28">
        <v>70745.079050855289</v>
      </c>
      <c r="G48" s="20"/>
      <c r="H48" s="42">
        <v>43</v>
      </c>
      <c r="I48" s="1">
        <v>0</v>
      </c>
      <c r="J48" s="1">
        <v>5254.4809491446986</v>
      </c>
      <c r="K48" s="43">
        <v>0.16118039721302757</v>
      </c>
      <c r="L48" s="20"/>
    </row>
    <row r="49" spans="1:12">
      <c r="A49" s="18">
        <v>44</v>
      </c>
      <c r="B49" s="16">
        <v>2834.3757664018199</v>
      </c>
      <c r="C49" s="19">
        <v>6.5308859499999997E-2</v>
      </c>
      <c r="D49" s="16">
        <v>2129.0688196999999</v>
      </c>
      <c r="E49" s="19">
        <v>6.5308859499999997E-2</v>
      </c>
      <c r="F49" s="28">
        <v>71036.11541389818</v>
      </c>
      <c r="G49" s="20"/>
      <c r="H49" s="42">
        <v>44</v>
      </c>
      <c r="I49" s="1">
        <v>0</v>
      </c>
      <c r="J49" s="1">
        <v>4963.4445861018194</v>
      </c>
      <c r="K49" s="43">
        <v>0.15225290141416623</v>
      </c>
      <c r="L49" s="20"/>
    </row>
    <row r="50" spans="1:12">
      <c r="A50" s="18">
        <v>45</v>
      </c>
      <c r="B50" s="16">
        <v>2474.4396710605201</v>
      </c>
      <c r="C50" s="19">
        <v>5.7015317000000003E-2</v>
      </c>
      <c r="D50" s="16">
        <v>1858.6993342000001</v>
      </c>
      <c r="E50" s="19">
        <v>5.7015317000000003E-2</v>
      </c>
      <c r="F50" s="28">
        <v>71666.42099473947</v>
      </c>
      <c r="G50" s="20"/>
      <c r="H50" s="42">
        <v>45</v>
      </c>
      <c r="I50" s="1">
        <v>0</v>
      </c>
      <c r="J50" s="1">
        <v>4333.1390052605202</v>
      </c>
      <c r="K50" s="43">
        <v>0.1329183743944945</v>
      </c>
      <c r="L50" s="20"/>
    </row>
    <row r="51" spans="1:12">
      <c r="A51" s="18">
        <v>46</v>
      </c>
      <c r="B51" s="16">
        <v>2330.4440322389401</v>
      </c>
      <c r="C51" s="19">
        <v>5.3697411500000007E-2</v>
      </c>
      <c r="D51" s="16">
        <v>1750.5356148999999</v>
      </c>
      <c r="E51" s="19">
        <v>5.36974115E-2</v>
      </c>
      <c r="F51" s="28">
        <v>71918.580352861056</v>
      </c>
      <c r="G51" s="20"/>
      <c r="H51" s="42">
        <v>46</v>
      </c>
      <c r="I51" s="1">
        <v>0</v>
      </c>
      <c r="J51" s="1">
        <v>4080.97964713894</v>
      </c>
      <c r="K51" s="43">
        <v>0.12518342475886318</v>
      </c>
      <c r="L51" s="20"/>
    </row>
    <row r="52" spans="1:12">
      <c r="A52" s="18">
        <v>47</v>
      </c>
      <c r="B52" s="16">
        <v>2244.2988134094599</v>
      </c>
      <c r="C52" s="19">
        <v>5.1712478499999999E-2</v>
      </c>
      <c r="D52" s="16">
        <v>1685.8267991</v>
      </c>
      <c r="E52" s="19">
        <v>5.1712478499999999E-2</v>
      </c>
      <c r="F52" s="28">
        <v>72069.434387490532</v>
      </c>
      <c r="G52" s="20"/>
      <c r="H52" s="42">
        <v>47</v>
      </c>
      <c r="I52" s="1">
        <v>0</v>
      </c>
      <c r="J52" s="1">
        <v>3930.1256125094601</v>
      </c>
      <c r="K52" s="43">
        <v>0.12055600038372577</v>
      </c>
      <c r="L52" s="20"/>
    </row>
    <row r="53" spans="1:12">
      <c r="A53" s="18">
        <v>48</v>
      </c>
      <c r="B53" s="16">
        <v>2338.14628235082</v>
      </c>
      <c r="C53" s="19">
        <v>5.3874884500000005E-2</v>
      </c>
      <c r="D53" s="16">
        <v>1756.3212347000001</v>
      </c>
      <c r="E53" s="19">
        <v>5.3874884500000005E-2</v>
      </c>
      <c r="F53" s="28">
        <v>71905.092482949185</v>
      </c>
      <c r="G53" s="20"/>
      <c r="H53" s="42">
        <v>48</v>
      </c>
      <c r="I53" s="1">
        <v>0</v>
      </c>
      <c r="J53" s="1">
        <v>4094.4675170508199</v>
      </c>
      <c r="K53" s="43">
        <v>0.12559716309971841</v>
      </c>
      <c r="L53" s="20"/>
    </row>
    <row r="54" spans="1:12">
      <c r="A54" s="18">
        <v>49</v>
      </c>
      <c r="B54" s="16">
        <v>2419.4499113660399</v>
      </c>
      <c r="C54" s="19">
        <v>5.5748259000000001E-2</v>
      </c>
      <c r="D54" s="16">
        <v>1817.3932434000001</v>
      </c>
      <c r="E54" s="19">
        <v>5.5748259000000001E-2</v>
      </c>
      <c r="F54" s="28">
        <v>71762.716845233954</v>
      </c>
      <c r="G54" s="20"/>
      <c r="H54" s="42">
        <v>49</v>
      </c>
      <c r="I54" s="1">
        <v>0</v>
      </c>
      <c r="J54" s="1">
        <v>4236.8431547660402</v>
      </c>
      <c r="K54" s="43">
        <v>0.12996451394987854</v>
      </c>
      <c r="L54" s="20"/>
    </row>
    <row r="55" spans="1:12">
      <c r="A55" s="18">
        <v>50</v>
      </c>
      <c r="B55" s="16">
        <v>2463.1085016399002</v>
      </c>
      <c r="C55" s="19">
        <v>5.6754227500000004E-2</v>
      </c>
      <c r="D55" s="16">
        <v>1850.1878165000001</v>
      </c>
      <c r="E55" s="19">
        <v>5.6754227500000004E-2</v>
      </c>
      <c r="F55" s="28">
        <v>71686.263681860102</v>
      </c>
      <c r="G55" s="20"/>
      <c r="H55" s="42">
        <v>50</v>
      </c>
      <c r="I55" s="1">
        <v>0</v>
      </c>
      <c r="J55" s="1">
        <v>4313.2963181399</v>
      </c>
      <c r="K55" s="43">
        <v>0.13230970301042638</v>
      </c>
      <c r="L55" s="20"/>
    </row>
    <row r="56" spans="1:12">
      <c r="A56" s="18">
        <v>51</v>
      </c>
      <c r="B56" s="16">
        <v>2368.8148201223999</v>
      </c>
      <c r="C56" s="19">
        <v>5.4581539999999998E-2</v>
      </c>
      <c r="D56" s="16">
        <v>1779.3582039999999</v>
      </c>
      <c r="E56" s="19">
        <v>5.4581539999999998E-2</v>
      </c>
      <c r="F56" s="28">
        <v>71851.386975877598</v>
      </c>
      <c r="G56" s="20"/>
      <c r="H56" s="42">
        <v>51</v>
      </c>
      <c r="I56" s="1">
        <v>0</v>
      </c>
      <c r="J56" s="1">
        <v>4148.1730241224004</v>
      </c>
      <c r="K56" s="43">
        <v>0.12724457129209818</v>
      </c>
      <c r="L56" s="20"/>
    </row>
    <row r="57" spans="1:12">
      <c r="A57" s="18">
        <v>52</v>
      </c>
      <c r="B57" s="16">
        <v>2272.8862988794799</v>
      </c>
      <c r="C57" s="19">
        <v>5.2371183000000002E-2</v>
      </c>
      <c r="D57" s="16">
        <v>1707.3005658</v>
      </c>
      <c r="E57" s="19">
        <v>5.2371183000000002E-2</v>
      </c>
      <c r="F57" s="28">
        <v>72019.373135320508</v>
      </c>
      <c r="G57" s="20"/>
      <c r="H57" s="42">
        <v>52</v>
      </c>
      <c r="I57" s="1">
        <v>0</v>
      </c>
      <c r="J57" s="1">
        <v>3980.1868646794801</v>
      </c>
      <c r="K57" s="43">
        <v>0.12209162161593497</v>
      </c>
      <c r="L57" s="20"/>
    </row>
    <row r="58" spans="1:12">
      <c r="A58" s="18">
        <v>53</v>
      </c>
      <c r="B58" s="16">
        <v>2198.9574919957199</v>
      </c>
      <c r="C58" s="19">
        <v>5.0667736999999997E-2</v>
      </c>
      <c r="D58" s="16">
        <v>1651.7682262000001</v>
      </c>
      <c r="E58" s="19">
        <v>5.0667737000000004E-2</v>
      </c>
      <c r="F58" s="28">
        <v>72148.834281804273</v>
      </c>
      <c r="G58" s="20"/>
      <c r="H58" s="42">
        <v>53</v>
      </c>
      <c r="I58" s="1">
        <v>0</v>
      </c>
      <c r="J58" s="1">
        <v>3850.7257181957202</v>
      </c>
      <c r="K58" s="43">
        <v>0.1181204208035497</v>
      </c>
      <c r="L58" s="20"/>
    </row>
    <row r="59" spans="1:12">
      <c r="A59" s="18">
        <v>54</v>
      </c>
      <c r="B59" s="16">
        <v>2031.67703444382</v>
      </c>
      <c r="C59" s="19">
        <v>4.6813309500000004E-2</v>
      </c>
      <c r="D59" s="16">
        <v>1526.1138897000001</v>
      </c>
      <c r="E59" s="19">
        <v>4.6813309500000004E-2</v>
      </c>
      <c r="F59" s="28">
        <v>72441.769075856166</v>
      </c>
      <c r="G59" s="20"/>
      <c r="H59" s="42">
        <v>54</v>
      </c>
      <c r="I59" s="1">
        <v>0</v>
      </c>
      <c r="J59" s="1">
        <v>3557.7909241438201</v>
      </c>
      <c r="K59" s="43">
        <v>0.10913469092465707</v>
      </c>
      <c r="L59" s="20"/>
    </row>
    <row r="60" spans="1:12">
      <c r="A60" s="18">
        <v>55</v>
      </c>
      <c r="B60" s="16">
        <v>1747.22425312614</v>
      </c>
      <c r="C60" s="19">
        <v>4.02590315E-2</v>
      </c>
      <c r="D60" s="16">
        <v>1312.4444269000001</v>
      </c>
      <c r="E60" s="19">
        <v>4.02590315E-2</v>
      </c>
      <c r="F60" s="28">
        <v>72939.89131997386</v>
      </c>
      <c r="G60" s="20"/>
      <c r="H60" s="42">
        <v>55</v>
      </c>
      <c r="I60" s="1">
        <v>0</v>
      </c>
      <c r="J60" s="1">
        <v>3059.66868002614</v>
      </c>
      <c r="K60" s="43">
        <v>9.3854867485464413E-2</v>
      </c>
      <c r="L60" s="20"/>
    </row>
    <row r="61" spans="1:12">
      <c r="A61" s="18">
        <v>56</v>
      </c>
      <c r="B61" s="16">
        <v>1894.4707359895199</v>
      </c>
      <c r="C61" s="19">
        <v>4.3651841999999996E-2</v>
      </c>
      <c r="D61" s="16">
        <v>1423.0500491999999</v>
      </c>
      <c r="E61" s="19">
        <v>4.3651841999999996E-2</v>
      </c>
      <c r="F61" s="28">
        <v>72682.039214810473</v>
      </c>
      <c r="G61" s="20"/>
      <c r="H61" s="42">
        <v>56</v>
      </c>
      <c r="I61" s="1">
        <v>0</v>
      </c>
      <c r="J61" s="1">
        <v>3317.519974804241</v>
      </c>
      <c r="K61" s="43">
        <v>0.10176441640503807</v>
      </c>
      <c r="L61" s="20"/>
    </row>
    <row r="62" spans="1:12">
      <c r="A62" s="18">
        <v>57</v>
      </c>
      <c r="B62" s="16">
        <v>6604.6332504056991</v>
      </c>
      <c r="C62" s="19">
        <v>0.15218203249999998</v>
      </c>
      <c r="D62" s="16">
        <v>4961.1342594999996</v>
      </c>
      <c r="E62" s="19">
        <v>0.15218203249999998</v>
      </c>
      <c r="F62" s="28">
        <v>64433.792490094304</v>
      </c>
      <c r="G62" s="20"/>
      <c r="H62" s="42">
        <v>57</v>
      </c>
      <c r="I62" s="1">
        <v>2399.5909027028301</v>
      </c>
      <c r="J62" s="1">
        <v>9166.157346671429</v>
      </c>
      <c r="K62" s="43">
        <v>0.2811704707567923</v>
      </c>
      <c r="L62" s="20"/>
    </row>
    <row r="63" spans="1:12">
      <c r="A63" s="18">
        <v>58</v>
      </c>
      <c r="B63" s="16">
        <v>13080.500201589421</v>
      </c>
      <c r="C63" s="19">
        <v>0.3013970695</v>
      </c>
      <c r="D63" s="16">
        <v>9825.5444657000007</v>
      </c>
      <c r="E63" s="19">
        <v>0.3013970695</v>
      </c>
      <c r="F63" s="28">
        <v>53093.51533271058</v>
      </c>
      <c r="G63" s="20"/>
      <c r="H63" s="42">
        <v>58</v>
      </c>
      <c r="I63" s="1">
        <v>0</v>
      </c>
      <c r="J63" s="1">
        <v>8951.7470737605836</v>
      </c>
      <c r="K63" s="43">
        <v>0.27459346852026328</v>
      </c>
      <c r="L63" s="20"/>
    </row>
    <row r="64" spans="1:12">
      <c r="A64" s="18">
        <v>59</v>
      </c>
      <c r="B64" s="16">
        <v>16915.174914708779</v>
      </c>
      <c r="C64" s="19">
        <v>0.3897545255</v>
      </c>
      <c r="D64" s="16">
        <v>12705.997531300001</v>
      </c>
      <c r="E64" s="19">
        <v>0.38975452550000006</v>
      </c>
      <c r="F64" s="28">
        <v>46378.387553991211</v>
      </c>
      <c r="G64" s="20"/>
      <c r="H64" s="42">
        <v>59</v>
      </c>
      <c r="I64" s="1">
        <v>14738.92200338311</v>
      </c>
      <c r="J64" s="1">
        <v>14882.18931727143</v>
      </c>
      <c r="K64" s="43">
        <v>0.45650887476292729</v>
      </c>
      <c r="L64" s="20"/>
    </row>
    <row r="65" spans="1:12">
      <c r="A65" s="18">
        <v>60</v>
      </c>
      <c r="B65" s="16">
        <v>18922.397403781379</v>
      </c>
      <c r="C65" s="19">
        <v>0.43600436049999997</v>
      </c>
      <c r="D65" s="16">
        <v>14213.742152300001</v>
      </c>
      <c r="E65" s="19">
        <v>0.43600436050000002</v>
      </c>
      <c r="F65" s="28">
        <v>42863.420443918621</v>
      </c>
      <c r="G65" s="20"/>
      <c r="H65" s="42">
        <v>60</v>
      </c>
      <c r="I65" s="1">
        <v>17498.30444797163</v>
      </c>
      <c r="J65" s="1">
        <v>14847.263951071431</v>
      </c>
      <c r="K65" s="43">
        <v>0.45543754451139357</v>
      </c>
      <c r="L65" s="20"/>
    </row>
    <row r="66" spans="1:12">
      <c r="A66" s="18">
        <v>61</v>
      </c>
      <c r="B66" s="16">
        <v>19215.040484962919</v>
      </c>
      <c r="C66" s="19">
        <v>0.44274735700000001</v>
      </c>
      <c r="D66" s="16">
        <v>14433.5638382</v>
      </c>
      <c r="E66" s="19">
        <v>0.44274735700000001</v>
      </c>
      <c r="F66" s="28">
        <v>42350.955676837082</v>
      </c>
      <c r="G66" s="20"/>
      <c r="H66" s="42">
        <v>61</v>
      </c>
      <c r="I66" s="1">
        <v>15595.12318238075</v>
      </c>
      <c r="J66" s="1">
        <v>14847.263951071431</v>
      </c>
      <c r="K66" s="43">
        <v>0.45543754451139357</v>
      </c>
      <c r="L66" s="20"/>
    </row>
    <row r="67" spans="1:12">
      <c r="A67" s="18">
        <v>62</v>
      </c>
      <c r="B67" s="16">
        <v>17982.04670328744</v>
      </c>
      <c r="C67" s="19">
        <v>0.41433707400000003</v>
      </c>
      <c r="D67" s="16">
        <v>13507.3886124</v>
      </c>
      <c r="E67" s="19">
        <v>0.41433707400000003</v>
      </c>
      <c r="F67" s="28">
        <v>44510.124684312555</v>
      </c>
      <c r="G67" s="20"/>
      <c r="H67" s="42">
        <v>62</v>
      </c>
      <c r="I67" s="1">
        <v>16607.180521153849</v>
      </c>
      <c r="J67" s="1">
        <v>14882.18931727143</v>
      </c>
      <c r="K67" s="43">
        <v>0.45650887476292729</v>
      </c>
      <c r="L67" s="20"/>
    </row>
    <row r="68" spans="1:12">
      <c r="A68" s="18">
        <v>63</v>
      </c>
      <c r="B68" s="16">
        <v>15172.131341197441</v>
      </c>
      <c r="C68" s="19">
        <v>0.34959182400000005</v>
      </c>
      <c r="D68" s="16">
        <v>11396.6934624</v>
      </c>
      <c r="E68" s="19">
        <v>0.349591824</v>
      </c>
      <c r="F68" s="28">
        <v>49430.735196402558</v>
      </c>
      <c r="G68" s="20"/>
      <c r="H68" s="42">
        <v>63</v>
      </c>
      <c r="I68" s="1">
        <v>12420.29687913688</v>
      </c>
      <c r="J68" s="1">
        <v>14148.4728746</v>
      </c>
      <c r="K68" s="43">
        <v>0.43400223541717792</v>
      </c>
      <c r="L68" s="20"/>
    </row>
    <row r="69" spans="1:12">
      <c r="A69" s="18">
        <v>64</v>
      </c>
      <c r="B69" s="16">
        <v>9786.8835281333995</v>
      </c>
      <c r="C69" s="19">
        <v>0.22550651499999999</v>
      </c>
      <c r="D69" s="16">
        <v>7351.5123890000004</v>
      </c>
      <c r="E69" s="19">
        <v>0.22550651500000002</v>
      </c>
      <c r="F69" s="28">
        <v>58861.164082866591</v>
      </c>
      <c r="G69" s="20"/>
      <c r="H69" s="42">
        <v>64</v>
      </c>
      <c r="I69" s="1">
        <v>2763.6726819803612</v>
      </c>
      <c r="J69" s="1">
        <v>14374.687946026081</v>
      </c>
      <c r="K69" s="43">
        <v>0.44094134803760981</v>
      </c>
      <c r="L69" s="20"/>
    </row>
    <row r="70" spans="1:12">
      <c r="A70" s="18">
        <v>65</v>
      </c>
      <c r="B70" s="16">
        <v>2693.0186038304396</v>
      </c>
      <c r="C70" s="19">
        <v>6.2051748999999996E-2</v>
      </c>
      <c r="D70" s="16">
        <v>2022.8870173999999</v>
      </c>
      <c r="E70" s="19">
        <v>6.2051748999999996E-2</v>
      </c>
      <c r="F70" s="28">
        <v>71283.654378769555</v>
      </c>
      <c r="G70" s="20"/>
      <c r="H70" s="42">
        <v>65</v>
      </c>
      <c r="I70" s="1">
        <v>0</v>
      </c>
      <c r="J70" s="1">
        <v>4715.8971153683597</v>
      </c>
      <c r="K70" s="43">
        <v>0.14465942071682084</v>
      </c>
      <c r="L70" s="20"/>
    </row>
    <row r="71" spans="1:12">
      <c r="A71" s="18">
        <v>66</v>
      </c>
      <c r="B71" s="16">
        <v>702.79387792854004</v>
      </c>
      <c r="C71" s="19">
        <v>1.61935715E-2</v>
      </c>
      <c r="D71" s="16">
        <v>527.91043089999994</v>
      </c>
      <c r="E71" s="19">
        <v>1.6193571499999997E-2</v>
      </c>
      <c r="F71" s="28">
        <v>74768.855691171455</v>
      </c>
      <c r="G71" s="20"/>
      <c r="H71" s="42">
        <v>66</v>
      </c>
      <c r="I71" s="1">
        <v>0</v>
      </c>
      <c r="J71" s="1">
        <v>1230.70430575654</v>
      </c>
      <c r="K71" s="43">
        <v>3.7751665820752761E-2</v>
      </c>
      <c r="L71" s="20"/>
    </row>
    <row r="72" spans="1:12">
      <c r="A72" s="18">
        <v>67</v>
      </c>
      <c r="B72" s="16">
        <v>716.8308797164799</v>
      </c>
      <c r="C72" s="19">
        <v>1.6517008E-2</v>
      </c>
      <c r="D72" s="16">
        <v>538.45446079999999</v>
      </c>
      <c r="E72" s="19">
        <v>1.6517008E-2</v>
      </c>
      <c r="F72" s="28">
        <v>74744.274659483519</v>
      </c>
      <c r="G72" s="20"/>
      <c r="H72" s="42">
        <v>67</v>
      </c>
      <c r="I72" s="1">
        <v>0</v>
      </c>
      <c r="J72" s="1">
        <v>1255.2853405164799</v>
      </c>
      <c r="K72" s="43">
        <v>3.8505685291916558E-2</v>
      </c>
      <c r="L72" s="20"/>
    </row>
    <row r="73" spans="1:12">
      <c r="A73" s="18">
        <v>68</v>
      </c>
      <c r="B73" s="16">
        <v>472.25040255935988</v>
      </c>
      <c r="C73" s="19">
        <v>1.0881455999999998E-2</v>
      </c>
      <c r="D73" s="16">
        <v>354.7354656</v>
      </c>
      <c r="E73" s="19">
        <v>1.0881455999999999E-2</v>
      </c>
      <c r="F73" s="28">
        <v>75172.574131840636</v>
      </c>
      <c r="G73" s="20"/>
      <c r="H73" s="42">
        <v>68</v>
      </c>
      <c r="I73" s="1">
        <v>0</v>
      </c>
      <c r="J73" s="1">
        <v>826.98586815935994</v>
      </c>
      <c r="K73" s="43">
        <v>2.5367664667465029E-2</v>
      </c>
      <c r="L73" s="20"/>
    </row>
    <row r="74" spans="1:12">
      <c r="A74" s="18">
        <v>69</v>
      </c>
      <c r="B74" s="16">
        <v>379.46344526616002</v>
      </c>
      <c r="C74" s="19">
        <v>8.7434860000000017E-3</v>
      </c>
      <c r="D74" s="16">
        <v>285.03764360000002</v>
      </c>
      <c r="E74" s="19">
        <v>8.743486E-3</v>
      </c>
      <c r="F74" s="28">
        <v>75335.058911133849</v>
      </c>
      <c r="G74" s="20"/>
      <c r="H74" s="42">
        <v>69</v>
      </c>
      <c r="I74" s="1">
        <v>0</v>
      </c>
      <c r="J74" s="1">
        <v>664.50108886615999</v>
      </c>
      <c r="K74" s="43">
        <v>2.0383468983624541E-2</v>
      </c>
      <c r="L74" s="20"/>
    </row>
    <row r="75" spans="1:12">
      <c r="A75" s="18">
        <v>70</v>
      </c>
      <c r="B75" s="16">
        <v>406.26039508925999</v>
      </c>
      <c r="C75" s="19">
        <v>9.3609334999999998E-3</v>
      </c>
      <c r="D75" s="16">
        <v>305.16643210000001</v>
      </c>
      <c r="E75" s="19">
        <v>9.3609334999999998E-3</v>
      </c>
      <c r="F75" s="28">
        <v>75288.133172810733</v>
      </c>
      <c r="G75" s="20"/>
      <c r="H75" s="42">
        <v>70</v>
      </c>
      <c r="I75" s="1">
        <v>0</v>
      </c>
      <c r="J75" s="1">
        <v>711.42682718925994</v>
      </c>
      <c r="K75" s="43">
        <v>2.1822908809486501E-2</v>
      </c>
      <c r="L75" s="20"/>
    </row>
    <row r="76" spans="1:12">
      <c r="A76" s="18">
        <v>71</v>
      </c>
      <c r="B76" s="16">
        <v>421.80919885001998</v>
      </c>
      <c r="C76" s="19">
        <v>9.7192045000000001E-3</v>
      </c>
      <c r="D76" s="16">
        <v>316.84606669999999</v>
      </c>
      <c r="E76" s="19">
        <v>9.7192045000000001E-3</v>
      </c>
      <c r="F76" s="28">
        <v>75260.90473444997</v>
      </c>
      <c r="G76" s="20"/>
      <c r="H76" s="42">
        <v>71</v>
      </c>
      <c r="I76" s="1">
        <v>0</v>
      </c>
      <c r="J76" s="1">
        <v>738.65526555001998</v>
      </c>
      <c r="K76" s="43">
        <v>2.2658136980061961E-2</v>
      </c>
      <c r="L76" s="20"/>
    </row>
    <row r="77" spans="1:12">
      <c r="A77" s="18">
        <v>72</v>
      </c>
      <c r="B77" s="16">
        <v>494.70166764053999</v>
      </c>
      <c r="C77" s="19">
        <v>1.13987715E-2</v>
      </c>
      <c r="D77" s="16">
        <v>371.59995090000001</v>
      </c>
      <c r="E77" s="19">
        <v>1.13987715E-2</v>
      </c>
      <c r="F77" s="28">
        <v>75133.258381459469</v>
      </c>
      <c r="G77" s="20"/>
      <c r="H77" s="42">
        <v>72</v>
      </c>
      <c r="I77" s="1">
        <v>0</v>
      </c>
      <c r="J77" s="1">
        <v>866.30161854053995</v>
      </c>
      <c r="K77" s="43">
        <v>2.6573669280384661E-2</v>
      </c>
      <c r="L77" s="20"/>
    </row>
    <row r="78" spans="1:12">
      <c r="A78" s="18">
        <v>73</v>
      </c>
      <c r="B78" s="16">
        <v>580.06827666384004</v>
      </c>
      <c r="C78" s="19">
        <v>1.3365764000000002E-2</v>
      </c>
      <c r="D78" s="16">
        <v>435.72390639999998</v>
      </c>
      <c r="E78" s="19">
        <v>1.3365763999999999E-2</v>
      </c>
      <c r="F78" s="28">
        <v>74983.767816936161</v>
      </c>
      <c r="G78" s="20"/>
      <c r="H78" s="42">
        <v>73</v>
      </c>
      <c r="I78" s="1">
        <v>0</v>
      </c>
      <c r="J78" s="1">
        <v>1015.79218306384</v>
      </c>
      <c r="K78" s="43">
        <v>3.1159269419136194E-2</v>
      </c>
      <c r="L78" s="20"/>
    </row>
    <row r="79" spans="1:12">
      <c r="A79" s="18">
        <v>74</v>
      </c>
      <c r="B79" s="16">
        <v>708.52153485954</v>
      </c>
      <c r="C79" s="19">
        <v>1.63255465E-2</v>
      </c>
      <c r="D79" s="16">
        <v>532.21281590000001</v>
      </c>
      <c r="E79" s="19">
        <v>1.63255465E-2</v>
      </c>
      <c r="F79" s="28">
        <v>74758.825649240462</v>
      </c>
      <c r="G79" s="20"/>
      <c r="H79" s="42">
        <v>74</v>
      </c>
      <c r="I79" s="1">
        <v>0</v>
      </c>
      <c r="J79" s="1">
        <v>1240.7343507595399</v>
      </c>
      <c r="K79" s="43">
        <v>3.8059335912869321E-2</v>
      </c>
      <c r="L79" s="20"/>
    </row>
    <row r="80" spans="1:12">
      <c r="A80" s="18">
        <v>75</v>
      </c>
      <c r="B80" s="16">
        <v>880.61478661763988</v>
      </c>
      <c r="C80" s="19">
        <v>2.0290869E-2</v>
      </c>
      <c r="D80" s="16">
        <v>661.48232940000003</v>
      </c>
      <c r="E80" s="19">
        <v>2.0290869E-2</v>
      </c>
      <c r="F80" s="28">
        <v>74457.462883982356</v>
      </c>
      <c r="G80" s="20"/>
      <c r="H80" s="42">
        <v>75</v>
      </c>
      <c r="I80" s="1">
        <v>0</v>
      </c>
      <c r="J80" s="1">
        <v>1542.09711601764</v>
      </c>
      <c r="K80" s="43">
        <v>4.7303592515878526E-2</v>
      </c>
      <c r="L80" s="20"/>
    </row>
    <row r="81" spans="1:12">
      <c r="A81" s="18">
        <v>76</v>
      </c>
      <c r="B81" s="16">
        <v>1106.30434669752</v>
      </c>
      <c r="C81" s="19">
        <v>2.5491142000000001E-2</v>
      </c>
      <c r="D81" s="16">
        <v>831.0112292</v>
      </c>
      <c r="E81" s="19">
        <v>2.5491142000000001E-2</v>
      </c>
      <c r="F81" s="28">
        <v>74062.244424102479</v>
      </c>
      <c r="G81" s="20"/>
      <c r="H81" s="42">
        <v>76</v>
      </c>
      <c r="I81" s="1">
        <v>0</v>
      </c>
      <c r="J81" s="1">
        <v>1937.3155758975199</v>
      </c>
      <c r="K81" s="43">
        <v>5.9426858156365642E-2</v>
      </c>
      <c r="L81" s="20"/>
    </row>
    <row r="82" spans="1:12">
      <c r="A82" s="18">
        <v>77</v>
      </c>
      <c r="B82" s="16">
        <v>1288.39759487214</v>
      </c>
      <c r="C82" s="19">
        <v>2.9686881500000002E-2</v>
      </c>
      <c r="D82" s="16">
        <v>967.79233690000001</v>
      </c>
      <c r="E82" s="19">
        <v>2.9686881500000002E-2</v>
      </c>
      <c r="F82" s="28">
        <v>73743.370068227858</v>
      </c>
      <c r="G82" s="20"/>
      <c r="H82" s="42">
        <v>77</v>
      </c>
      <c r="I82" s="1">
        <v>0</v>
      </c>
      <c r="J82" s="1">
        <v>2256.18993177214</v>
      </c>
      <c r="K82" s="43">
        <v>6.9208280115709814E-2</v>
      </c>
      <c r="L82" s="20"/>
    </row>
    <row r="83" spans="1:12">
      <c r="A83" s="18">
        <v>78</v>
      </c>
      <c r="B83" s="16">
        <v>1433.50814669034</v>
      </c>
      <c r="C83" s="19">
        <v>3.3030476500000003E-2</v>
      </c>
      <c r="D83" s="16">
        <v>1076.7935339000001</v>
      </c>
      <c r="E83" s="19">
        <v>3.3030476500000003E-2</v>
      </c>
      <c r="F83" s="28">
        <v>73489.258319409666</v>
      </c>
      <c r="G83" s="20"/>
      <c r="H83" s="42">
        <v>78</v>
      </c>
      <c r="I83" s="1">
        <v>0</v>
      </c>
      <c r="J83" s="1">
        <v>2510.3016805903399</v>
      </c>
      <c r="K83" s="43">
        <v>7.7003119036513495E-2</v>
      </c>
      <c r="L83" s="20"/>
    </row>
    <row r="84" spans="1:12">
      <c r="A84" s="18">
        <v>79</v>
      </c>
      <c r="B84" s="16">
        <v>1518.3298525380601</v>
      </c>
      <c r="C84" s="19">
        <v>3.4984913500000006E-2</v>
      </c>
      <c r="D84" s="16">
        <v>1140.5081800999999</v>
      </c>
      <c r="E84" s="19">
        <v>3.4984913499999999E-2</v>
      </c>
      <c r="F84" s="28">
        <v>73340.721967361926</v>
      </c>
      <c r="G84" s="20"/>
      <c r="H84" s="42">
        <v>79</v>
      </c>
      <c r="I84" s="1">
        <v>0</v>
      </c>
      <c r="J84" s="1">
        <v>2658.8380326380602</v>
      </c>
      <c r="K84" s="43">
        <v>8.1559448853928226E-2</v>
      </c>
      <c r="L84" s="20"/>
    </row>
    <row r="85" spans="1:12">
      <c r="A85" s="18">
        <v>80</v>
      </c>
      <c r="B85" s="16">
        <v>1857.8147298210001</v>
      </c>
      <c r="C85" s="19">
        <v>4.2807225000000004E-2</v>
      </c>
      <c r="D85" s="16">
        <v>1395.515535</v>
      </c>
      <c r="E85" s="19">
        <v>4.2807224999999997E-2</v>
      </c>
      <c r="F85" s="28">
        <v>72746.229735179004</v>
      </c>
      <c r="G85" s="20"/>
      <c r="H85" s="42">
        <v>80</v>
      </c>
      <c r="I85" s="1">
        <v>0</v>
      </c>
      <c r="J85" s="1">
        <v>3253.3297160085999</v>
      </c>
      <c r="K85" s="43">
        <v>9.979539006161349E-2</v>
      </c>
      <c r="L85" s="20"/>
    </row>
    <row r="86" spans="1:12">
      <c r="A86" s="18">
        <v>81</v>
      </c>
      <c r="B86" s="16">
        <v>5204.5879655571007</v>
      </c>
      <c r="C86" s="19">
        <v>0.11992259750000002</v>
      </c>
      <c r="D86" s="16">
        <v>3909.4766785000002</v>
      </c>
      <c r="E86" s="19">
        <v>0.11992259750000001</v>
      </c>
      <c r="F86" s="28">
        <v>66885.495355942898</v>
      </c>
      <c r="G86" s="20"/>
      <c r="H86" s="42">
        <v>81</v>
      </c>
      <c r="I86" s="1">
        <v>0</v>
      </c>
      <c r="J86" s="1">
        <v>9114.0527315221407</v>
      </c>
      <c r="K86" s="43">
        <v>0.27957216967859327</v>
      </c>
      <c r="L86" s="20"/>
    </row>
    <row r="87" spans="1:12">
      <c r="A87" s="18">
        <v>82</v>
      </c>
      <c r="B87" s="16">
        <v>10070.165693119201</v>
      </c>
      <c r="C87" s="19">
        <v>0.23203382000000003</v>
      </c>
      <c r="D87" s="16">
        <v>7564.3025319999997</v>
      </c>
      <c r="E87" s="19">
        <v>0.23203382</v>
      </c>
      <c r="F87" s="28">
        <v>58365.091774880799</v>
      </c>
      <c r="G87" s="20"/>
      <c r="H87" s="42">
        <v>82</v>
      </c>
      <c r="I87" s="1">
        <v>3638.1715320019539</v>
      </c>
      <c r="J87" s="1">
        <v>13996.267615546451</v>
      </c>
      <c r="K87" s="43">
        <v>0.42933336244007519</v>
      </c>
      <c r="L87" s="20"/>
    </row>
    <row r="88" spans="1:12">
      <c r="A88" s="18">
        <v>83</v>
      </c>
      <c r="B88" s="16">
        <v>13849.34159140506</v>
      </c>
      <c r="C88" s="19">
        <v>0.31911248850000001</v>
      </c>
      <c r="D88" s="16">
        <v>10403.067125099999</v>
      </c>
      <c r="E88" s="19">
        <v>0.31911248849999996</v>
      </c>
      <c r="F88" s="28">
        <v>51747.151283494939</v>
      </c>
      <c r="G88" s="20"/>
      <c r="H88" s="42">
        <v>83</v>
      </c>
      <c r="I88" s="1">
        <v>0</v>
      </c>
      <c r="J88" s="1">
        <v>14882.16255305714</v>
      </c>
      <c r="K88" s="43">
        <v>0.45650805377475889</v>
      </c>
      <c r="L88" s="20"/>
    </row>
    <row r="89" spans="1:12">
      <c r="A89" s="18">
        <v>84</v>
      </c>
      <c r="B89" s="16">
        <v>16464.65011488762</v>
      </c>
      <c r="C89" s="19">
        <v>0.37937366449999999</v>
      </c>
      <c r="D89" s="16">
        <v>12367.5814627</v>
      </c>
      <c r="E89" s="19">
        <v>0.37937366449999999</v>
      </c>
      <c r="F89" s="28">
        <v>47167.328422412378</v>
      </c>
      <c r="G89" s="20"/>
      <c r="H89" s="42">
        <v>84</v>
      </c>
      <c r="I89" s="1">
        <v>0</v>
      </c>
      <c r="J89" s="1">
        <v>0</v>
      </c>
      <c r="K89" s="43">
        <v>0</v>
      </c>
      <c r="L89" s="20"/>
    </row>
    <row r="90" spans="1:12">
      <c r="A90" s="18">
        <v>85</v>
      </c>
      <c r="B90" s="16">
        <v>17417.301379074121</v>
      </c>
      <c r="C90" s="19">
        <v>0.40132437700000001</v>
      </c>
      <c r="D90" s="16">
        <v>13083.174690200001</v>
      </c>
      <c r="E90" s="19">
        <v>0.40132437700000007</v>
      </c>
      <c r="F90" s="28">
        <v>45499.083930725872</v>
      </c>
      <c r="G90" s="20"/>
      <c r="H90" s="42">
        <v>85</v>
      </c>
      <c r="I90" s="1">
        <v>0</v>
      </c>
      <c r="J90" s="1">
        <v>14847.23718685715</v>
      </c>
      <c r="K90" s="43">
        <v>0.45543672352322545</v>
      </c>
      <c r="L90" s="20"/>
    </row>
    <row r="91" spans="1:12">
      <c r="A91" s="18">
        <v>86</v>
      </c>
      <c r="B91" s="16">
        <v>16852.669175813942</v>
      </c>
      <c r="C91" s="19">
        <v>0.38831428650000005</v>
      </c>
      <c r="D91" s="16">
        <v>12659.045739900001</v>
      </c>
      <c r="E91" s="19">
        <v>0.38831428649999999</v>
      </c>
      <c r="F91" s="28">
        <v>46487.845084286055</v>
      </c>
      <c r="G91" s="20"/>
      <c r="H91" s="42">
        <v>86</v>
      </c>
      <c r="I91" s="1">
        <v>0</v>
      </c>
      <c r="J91" s="1">
        <v>14882.16255305714</v>
      </c>
      <c r="K91" s="43">
        <v>0.45650805377475889</v>
      </c>
      <c r="L91" s="20"/>
    </row>
    <row r="92" spans="1:12">
      <c r="A92" s="18">
        <v>87</v>
      </c>
      <c r="B92" s="16">
        <v>15338.71514901222</v>
      </c>
      <c r="C92" s="19">
        <v>0.35343019949999999</v>
      </c>
      <c r="D92" s="16">
        <v>11521.8245037</v>
      </c>
      <c r="E92" s="19">
        <v>0.35343019949999999</v>
      </c>
      <c r="F92" s="28">
        <v>49139.020347287777</v>
      </c>
      <c r="G92" s="20"/>
      <c r="H92" s="42">
        <v>87</v>
      </c>
      <c r="I92" s="1">
        <v>0</v>
      </c>
      <c r="J92" s="1">
        <v>14917.08791924286</v>
      </c>
      <c r="K92" s="43">
        <v>0.45757938402585463</v>
      </c>
      <c r="L92" s="20"/>
    </row>
    <row r="93" spans="1:12">
      <c r="A93" s="18">
        <v>88</v>
      </c>
      <c r="B93" s="16">
        <v>12125.529816814978</v>
      </c>
      <c r="C93" s="19">
        <v>0.27939292049999997</v>
      </c>
      <c r="D93" s="16">
        <v>9108.2092083000007</v>
      </c>
      <c r="E93" s="19">
        <v>0.27939292050000003</v>
      </c>
      <c r="F93" s="28">
        <v>54765.82097488502</v>
      </c>
      <c r="G93" s="20"/>
      <c r="H93" s="42">
        <v>88</v>
      </c>
      <c r="I93" s="1">
        <v>0</v>
      </c>
      <c r="J93" s="1">
        <v>14917.08791924286</v>
      </c>
      <c r="K93" s="43">
        <v>0.45757938402585463</v>
      </c>
      <c r="L93" s="20"/>
    </row>
    <row r="94" spans="1:12">
      <c r="A94" s="18">
        <v>89</v>
      </c>
      <c r="B94" s="16">
        <v>6683.289484561139</v>
      </c>
      <c r="C94" s="19">
        <v>0.15399440649999999</v>
      </c>
      <c r="D94" s="16">
        <v>5020.2176519000004</v>
      </c>
      <c r="E94" s="19">
        <v>0.15399440650000001</v>
      </c>
      <c r="F94" s="28">
        <v>64296.052863538855</v>
      </c>
      <c r="G94" s="20"/>
      <c r="H94" s="42">
        <v>89</v>
      </c>
      <c r="I94" s="1">
        <v>0</v>
      </c>
      <c r="J94" s="1">
        <v>11703.4988632529</v>
      </c>
      <c r="K94" s="43">
        <v>0.35900303261511962</v>
      </c>
      <c r="L94" s="20"/>
    </row>
    <row r="95" spans="1:12">
      <c r="A95" s="18">
        <v>90</v>
      </c>
      <c r="B95" s="16">
        <v>4833.6727146263402</v>
      </c>
      <c r="C95" s="19">
        <v>0.1113760765</v>
      </c>
      <c r="D95" s="16">
        <v>3630.8600939000003</v>
      </c>
      <c r="E95" s="19">
        <v>0.1113760765</v>
      </c>
      <c r="F95" s="28">
        <v>67535.027191473651</v>
      </c>
      <c r="G95" s="20"/>
      <c r="H95" s="42">
        <v>90</v>
      </c>
      <c r="I95" s="1">
        <v>0</v>
      </c>
      <c r="J95" s="1">
        <v>8464.5328023583406</v>
      </c>
      <c r="K95" s="43">
        <v>0.25964824547111476</v>
      </c>
      <c r="L95" s="20"/>
    </row>
    <row r="96" spans="1:12">
      <c r="A96" s="18">
        <v>91</v>
      </c>
      <c r="B96" s="16">
        <v>5527.7535015912599</v>
      </c>
      <c r="C96" s="19">
        <v>0.1273688835</v>
      </c>
      <c r="D96" s="16">
        <v>4152.2256021000003</v>
      </c>
      <c r="E96" s="19">
        <v>0.1273688835</v>
      </c>
      <c r="F96" s="28">
        <v>66319.580896308733</v>
      </c>
      <c r="G96" s="20"/>
      <c r="H96" s="42">
        <v>91</v>
      </c>
      <c r="I96" s="1">
        <v>0</v>
      </c>
      <c r="J96" s="1">
        <v>9679.9791036912593</v>
      </c>
      <c r="K96" s="43">
        <v>0.29693187434635765</v>
      </c>
      <c r="L96" s="20"/>
    </row>
    <row r="97" spans="1:12">
      <c r="A97" s="18">
        <v>92</v>
      </c>
      <c r="B97" s="16">
        <v>5967.7769532787806</v>
      </c>
      <c r="C97" s="19">
        <v>0.13750777550000001</v>
      </c>
      <c r="D97" s="16">
        <v>4482.7534813000002</v>
      </c>
      <c r="E97" s="19">
        <v>0.13750777550000001</v>
      </c>
      <c r="F97" s="28">
        <v>65549.029565421224</v>
      </c>
      <c r="G97" s="20"/>
      <c r="H97" s="42">
        <v>92</v>
      </c>
      <c r="I97" s="1">
        <v>0</v>
      </c>
      <c r="J97" s="1">
        <v>10450.530434578781</v>
      </c>
      <c r="K97" s="43">
        <v>0.32056841823861293</v>
      </c>
      <c r="L97" s="20"/>
    </row>
    <row r="98" spans="1:12">
      <c r="A98" s="18">
        <v>93</v>
      </c>
      <c r="B98" s="16">
        <v>6253.5925241800196</v>
      </c>
      <c r="C98" s="19">
        <v>0.1440934545</v>
      </c>
      <c r="D98" s="16">
        <v>4697.4466167</v>
      </c>
      <c r="E98" s="19">
        <v>0.1440934545</v>
      </c>
      <c r="F98" s="28">
        <v>65048.520859119984</v>
      </c>
      <c r="G98" s="20"/>
      <c r="H98" s="42">
        <v>93</v>
      </c>
      <c r="I98" s="1">
        <v>0</v>
      </c>
      <c r="J98" s="1">
        <v>10951.039140880021</v>
      </c>
      <c r="K98" s="43">
        <v>0.33592144603926444</v>
      </c>
      <c r="L98" s="20"/>
    </row>
    <row r="99" spans="1:12">
      <c r="A99" s="18">
        <v>94</v>
      </c>
      <c r="B99" s="16">
        <v>6932.4940546375792</v>
      </c>
      <c r="C99" s="19">
        <v>0.15973650549999999</v>
      </c>
      <c r="D99" s="16">
        <v>5207.4100792999998</v>
      </c>
      <c r="E99" s="19">
        <v>0.15973650549999999</v>
      </c>
      <c r="F99" s="28">
        <v>63859.655866062429</v>
      </c>
      <c r="G99" s="20"/>
      <c r="H99" s="42">
        <v>94</v>
      </c>
      <c r="I99" s="1">
        <v>0</v>
      </c>
      <c r="J99" s="1">
        <v>12139.90413393758</v>
      </c>
      <c r="K99" s="43">
        <v>0.37238969736004846</v>
      </c>
      <c r="L99" s="20"/>
    </row>
    <row r="100" spans="1:12">
      <c r="A100" s="18">
        <v>95</v>
      </c>
      <c r="B100" s="16">
        <v>7681.3518566538596</v>
      </c>
      <c r="C100" s="19">
        <v>0.1769914685</v>
      </c>
      <c r="D100" s="16">
        <v>5769.9218731000001</v>
      </c>
      <c r="E100" s="19">
        <v>0.1769914685</v>
      </c>
      <c r="F100" s="28">
        <v>62548.286270246143</v>
      </c>
      <c r="G100" s="20"/>
      <c r="H100" s="42">
        <v>95</v>
      </c>
      <c r="I100" s="1">
        <v>351.20231006499853</v>
      </c>
      <c r="J100" s="1">
        <v>13100.07141968886</v>
      </c>
      <c r="K100" s="43">
        <v>0.40184268158554787</v>
      </c>
      <c r="L100" s="20"/>
    </row>
    <row r="101" spans="1:12">
      <c r="A101" s="18">
        <v>96</v>
      </c>
      <c r="B101" s="16">
        <v>7964.2508686241999</v>
      </c>
      <c r="C101" s="19">
        <v>0.18350994500000001</v>
      </c>
      <c r="D101" s="16">
        <v>5982.424207</v>
      </c>
      <c r="E101" s="19">
        <v>0.18350994500000001</v>
      </c>
      <c r="F101" s="28">
        <v>62052.884924375801</v>
      </c>
      <c r="G101" s="20"/>
      <c r="H101" s="42">
        <v>96</v>
      </c>
      <c r="I101" s="1">
        <v>0</v>
      </c>
      <c r="J101" s="1">
        <v>13946.6750756242</v>
      </c>
      <c r="K101" s="43">
        <v>0.42781211888417792</v>
      </c>
      <c r="L101" s="20"/>
    </row>
    <row r="102" spans="1:12">
      <c r="A102" s="18">
        <v>97</v>
      </c>
      <c r="B102" s="16">
        <v>7432.3543675779592</v>
      </c>
      <c r="C102" s="19">
        <v>0.171254141</v>
      </c>
      <c r="D102" s="16">
        <v>5582.8849965999998</v>
      </c>
      <c r="E102" s="19">
        <v>0.171254141</v>
      </c>
      <c r="F102" s="28">
        <v>62984.320635822034</v>
      </c>
      <c r="G102" s="20"/>
      <c r="H102" s="42">
        <v>97</v>
      </c>
      <c r="I102" s="1">
        <v>0</v>
      </c>
      <c r="J102" s="1">
        <v>13015.23936417796</v>
      </c>
      <c r="K102" s="43">
        <v>0.39924047129380247</v>
      </c>
      <c r="L102" s="20"/>
    </row>
    <row r="103" spans="1:12">
      <c r="A103" s="18">
        <v>98</v>
      </c>
      <c r="B103" s="16">
        <v>7262.9579210786997</v>
      </c>
      <c r="C103" s="19">
        <v>0.16735095750000001</v>
      </c>
      <c r="D103" s="16">
        <v>5455.6412145000004</v>
      </c>
      <c r="E103" s="19">
        <v>0.16735095750000001</v>
      </c>
      <c r="F103" s="28">
        <v>63280.960864421293</v>
      </c>
      <c r="G103" s="20"/>
      <c r="H103" s="42">
        <v>98</v>
      </c>
      <c r="I103" s="1">
        <v>0</v>
      </c>
      <c r="J103" s="1">
        <v>12718.599135578699</v>
      </c>
      <c r="K103" s="43">
        <v>0.39014107777848772</v>
      </c>
      <c r="L103" s="20"/>
    </row>
    <row r="104" spans="1:12">
      <c r="A104" s="18">
        <v>99</v>
      </c>
      <c r="B104" s="16">
        <v>7755.2589637576202</v>
      </c>
      <c r="C104" s="19">
        <v>0.17869441450000001</v>
      </c>
      <c r="D104" s="16">
        <v>5825.4379127000002</v>
      </c>
      <c r="E104" s="19">
        <v>0.17869441450000001</v>
      </c>
      <c r="F104" s="28">
        <v>62418.863123542382</v>
      </c>
      <c r="G104" s="20"/>
      <c r="H104" s="42">
        <v>99</v>
      </c>
      <c r="I104" s="1">
        <v>0</v>
      </c>
      <c r="J104" s="1">
        <v>13580.69687645762</v>
      </c>
      <c r="K104" s="43">
        <v>0.41658579375636867</v>
      </c>
      <c r="L104" s="20"/>
    </row>
    <row r="105" spans="1:12">
      <c r="A105" s="18">
        <v>100</v>
      </c>
      <c r="B105" s="16">
        <v>9002.3099063166592</v>
      </c>
      <c r="C105" s="19">
        <v>0.20742859850000001</v>
      </c>
      <c r="D105" s="16">
        <v>6762.1723111000001</v>
      </c>
      <c r="E105" s="19">
        <v>0.20742859850000001</v>
      </c>
      <c r="F105" s="28">
        <v>60235.077782583336</v>
      </c>
      <c r="G105" s="20"/>
      <c r="H105" s="42">
        <v>100</v>
      </c>
      <c r="I105" s="1">
        <v>0</v>
      </c>
      <c r="J105" s="1">
        <v>15764.48221741666</v>
      </c>
      <c r="K105" s="43">
        <v>0.48357307415388529</v>
      </c>
      <c r="L105" s="20"/>
    </row>
    <row r="106" spans="1:12">
      <c r="A106" s="18">
        <v>101</v>
      </c>
      <c r="B106" s="16">
        <v>10215.448649689501</v>
      </c>
      <c r="C106" s="19">
        <v>0.23538138750000004</v>
      </c>
      <c r="D106" s="16">
        <v>7673.4332324999996</v>
      </c>
      <c r="E106" s="19">
        <v>0.23538138749999998</v>
      </c>
      <c r="F106" s="28">
        <v>58110.678117810501</v>
      </c>
      <c r="G106" s="20"/>
      <c r="H106" s="42">
        <v>101</v>
      </c>
      <c r="I106" s="1">
        <v>1103.345186689497</v>
      </c>
      <c r="J106" s="1">
        <v>16785.536695499999</v>
      </c>
      <c r="K106" s="43">
        <v>0.5148937636656441</v>
      </c>
      <c r="L106" s="20"/>
    </row>
    <row r="107" spans="1:12">
      <c r="A107" s="18">
        <v>102</v>
      </c>
      <c r="B107" s="16">
        <v>10797.14790351792</v>
      </c>
      <c r="C107" s="19">
        <v>0.24878473200000001</v>
      </c>
      <c r="D107" s="16">
        <v>8110.3822632000001</v>
      </c>
      <c r="E107" s="19">
        <v>0.24878473200000001</v>
      </c>
      <c r="F107" s="28">
        <v>57092.029833282075</v>
      </c>
      <c r="G107" s="20"/>
      <c r="H107" s="42">
        <v>102</v>
      </c>
      <c r="I107" s="1">
        <v>1947.130282175061</v>
      </c>
      <c r="J107" s="1">
        <v>16960.399884542861</v>
      </c>
      <c r="K107" s="43">
        <v>0.52025766517002647</v>
      </c>
      <c r="L107" s="20"/>
    </row>
    <row r="108" spans="1:12">
      <c r="A108" s="18">
        <v>103</v>
      </c>
      <c r="B108" s="16">
        <v>11144.79285287118</v>
      </c>
      <c r="C108" s="19">
        <v>0.25679506550000003</v>
      </c>
      <c r="D108" s="16">
        <v>8371.5191352999991</v>
      </c>
      <c r="E108" s="19">
        <v>0.25679506549999997</v>
      </c>
      <c r="F108" s="28">
        <v>56483.248011828822</v>
      </c>
      <c r="G108" s="20"/>
      <c r="H108" s="42">
        <v>103</v>
      </c>
      <c r="I108" s="1">
        <v>2388.4140617140329</v>
      </c>
      <c r="J108" s="1">
        <v>17127.89792645715</v>
      </c>
      <c r="K108" s="43">
        <v>0.52539564191586352</v>
      </c>
      <c r="L108" s="20"/>
    </row>
    <row r="109" spans="1:12">
      <c r="A109" s="18">
        <v>104</v>
      </c>
      <c r="B109" s="16">
        <v>11895.320214260881</v>
      </c>
      <c r="C109" s="19">
        <v>0.27408849800000001</v>
      </c>
      <c r="D109" s="16">
        <v>8935.2850347999993</v>
      </c>
      <c r="E109" s="19">
        <v>0.27408849799999996</v>
      </c>
      <c r="F109" s="28">
        <v>55168.95475093912</v>
      </c>
      <c r="G109" s="20"/>
      <c r="H109" s="42">
        <v>104</v>
      </c>
      <c r="I109" s="1">
        <v>3562.769099627465</v>
      </c>
      <c r="J109" s="1">
        <v>17267.83574931429</v>
      </c>
      <c r="K109" s="43">
        <v>0.52968821316915005</v>
      </c>
      <c r="L109" s="20"/>
    </row>
    <row r="110" spans="1:12">
      <c r="A110" s="18">
        <v>105</v>
      </c>
      <c r="B110" s="16">
        <v>15415.872818060641</v>
      </c>
      <c r="C110" s="19">
        <v>0.35520804400000006</v>
      </c>
      <c r="D110" s="16">
        <v>11579.7822344</v>
      </c>
      <c r="E110" s="19">
        <v>0.355208044</v>
      </c>
      <c r="F110" s="28">
        <v>49003.904947539355</v>
      </c>
      <c r="G110" s="20"/>
      <c r="H110" s="42">
        <v>105</v>
      </c>
      <c r="I110" s="1">
        <v>0</v>
      </c>
      <c r="J110" s="1">
        <v>6299.5809083041349</v>
      </c>
      <c r="K110" s="43">
        <v>0.1932386781688385</v>
      </c>
      <c r="L110" s="20"/>
    </row>
    <row r="111" spans="1:12">
      <c r="A111" s="18">
        <v>106</v>
      </c>
      <c r="B111" s="16">
        <v>21667.617128578502</v>
      </c>
      <c r="C111" s="19">
        <v>0.4992589125000001</v>
      </c>
      <c r="D111" s="16">
        <v>16275.8405475</v>
      </c>
      <c r="E111" s="19">
        <v>0.49925891249999999</v>
      </c>
      <c r="F111" s="28">
        <v>38056.102323921499</v>
      </c>
      <c r="G111" s="20"/>
      <c r="H111" s="42">
        <v>106</v>
      </c>
      <c r="I111" s="1">
        <v>0</v>
      </c>
      <c r="J111" s="1">
        <v>0</v>
      </c>
      <c r="K111" s="43">
        <v>0</v>
      </c>
      <c r="L111" s="20"/>
    </row>
    <row r="112" spans="1:12">
      <c r="A112" s="18">
        <v>107</v>
      </c>
      <c r="B112" s="16">
        <v>26669.12453483772</v>
      </c>
      <c r="C112" s="19">
        <v>0.61450218700000003</v>
      </c>
      <c r="D112" s="16">
        <v>17101.667634542857</v>
      </c>
      <c r="E112" s="19">
        <v>0.52459103173444344</v>
      </c>
      <c r="F112" s="28">
        <v>32228.767830619421</v>
      </c>
      <c r="G112" s="20"/>
      <c r="H112" s="42">
        <v>107</v>
      </c>
      <c r="I112" s="1">
        <v>0</v>
      </c>
      <c r="J112" s="1">
        <v>14882.135788828569</v>
      </c>
      <c r="K112" s="43">
        <v>0.45650723278615241</v>
      </c>
      <c r="L112" s="20"/>
    </row>
    <row r="113" spans="1:12">
      <c r="A113" s="18">
        <v>108</v>
      </c>
      <c r="B113" s="16">
        <v>30352.170386023798</v>
      </c>
      <c r="C113" s="19">
        <v>0.69936585500000004</v>
      </c>
      <c r="D113" s="16">
        <v>14847.21042264286</v>
      </c>
      <c r="E113" s="19">
        <v>0.45543590253505706</v>
      </c>
      <c r="F113" s="28">
        <v>30800.17919133334</v>
      </c>
      <c r="G113" s="20"/>
      <c r="H113" s="42">
        <v>108</v>
      </c>
      <c r="I113" s="1">
        <v>0</v>
      </c>
      <c r="J113" s="1">
        <v>19234.99339692857</v>
      </c>
      <c r="K113" s="43">
        <v>0.59003047229842243</v>
      </c>
      <c r="L113" s="20"/>
    </row>
    <row r="114" spans="1:12">
      <c r="A114" s="18">
        <v>109</v>
      </c>
      <c r="B114" s="16">
        <v>32184.014103048059</v>
      </c>
      <c r="C114" s="19">
        <v>0.74157466350000001</v>
      </c>
      <c r="D114" s="16">
        <v>17066.742268357146</v>
      </c>
      <c r="E114" s="19">
        <v>0.52351970148334803</v>
      </c>
      <c r="F114" s="28">
        <v>26748.803628594793</v>
      </c>
      <c r="G114" s="20"/>
      <c r="H114" s="42">
        <v>109</v>
      </c>
      <c r="I114" s="1">
        <v>0</v>
      </c>
      <c r="J114" s="1">
        <v>19234.99339692857</v>
      </c>
      <c r="K114" s="43">
        <v>0.59003047229842243</v>
      </c>
      <c r="L114" s="20"/>
    </row>
    <row r="115" spans="1:12">
      <c r="A115" s="18">
        <v>110</v>
      </c>
      <c r="B115" s="16">
        <v>32080.367729551443</v>
      </c>
      <c r="C115" s="19">
        <v>0.73918647400000015</v>
      </c>
      <c r="D115" s="16">
        <v>17101.667634542857</v>
      </c>
      <c r="E115" s="19">
        <v>0.52459103173444344</v>
      </c>
      <c r="F115" s="28">
        <v>26817.524635905698</v>
      </c>
      <c r="G115" s="20"/>
      <c r="H115" s="42">
        <v>110</v>
      </c>
      <c r="I115" s="1">
        <v>0</v>
      </c>
      <c r="J115" s="1">
        <v>19269.918763114281</v>
      </c>
      <c r="K115" s="43">
        <v>0.59110180254951783</v>
      </c>
      <c r="L115" s="20"/>
    </row>
    <row r="116" spans="1:12">
      <c r="A116" s="18">
        <v>111</v>
      </c>
      <c r="B116" s="16">
        <v>29154.907114899841</v>
      </c>
      <c r="C116" s="19">
        <v>0.67177886400000009</v>
      </c>
      <c r="D116" s="16">
        <v>17136.593000742861</v>
      </c>
      <c r="E116" s="19">
        <v>0.52566236198597738</v>
      </c>
      <c r="F116" s="28">
        <v>29708.059884357295</v>
      </c>
      <c r="G116" s="20"/>
      <c r="H116" s="42">
        <v>111</v>
      </c>
      <c r="I116" s="1">
        <v>0</v>
      </c>
      <c r="J116" s="1">
        <v>14917.06115502857</v>
      </c>
      <c r="K116" s="43">
        <v>0.45757856303768618</v>
      </c>
      <c r="L116" s="20"/>
    </row>
    <row r="117" spans="1:12">
      <c r="A117" s="18">
        <v>112</v>
      </c>
      <c r="B117" s="16">
        <v>23903.866712393879</v>
      </c>
      <c r="C117" s="19">
        <v>0.55078592300000007</v>
      </c>
      <c r="D117" s="16">
        <v>14917.061155028574</v>
      </c>
      <c r="E117" s="19">
        <v>0.45757856303768629</v>
      </c>
      <c r="F117" s="28">
        <v>37178.632132577543</v>
      </c>
      <c r="G117" s="20"/>
      <c r="H117" s="42">
        <v>112</v>
      </c>
      <c r="I117" s="1">
        <v>0</v>
      </c>
      <c r="J117" s="1">
        <v>0</v>
      </c>
      <c r="K117" s="43">
        <v>0</v>
      </c>
      <c r="L117" s="20"/>
    </row>
    <row r="118" spans="1:12">
      <c r="A118" s="18">
        <v>113</v>
      </c>
      <c r="B118" s="16">
        <v>15735.799379832661</v>
      </c>
      <c r="C118" s="19">
        <v>0.36257969850000005</v>
      </c>
      <c r="D118" s="16">
        <v>11820.0981711</v>
      </c>
      <c r="E118" s="19">
        <v>0.36257969849999999</v>
      </c>
      <c r="F118" s="28">
        <v>48443.662449067335</v>
      </c>
      <c r="G118" s="20"/>
      <c r="H118" s="42">
        <v>113</v>
      </c>
      <c r="I118" s="1">
        <v>0</v>
      </c>
      <c r="J118" s="1">
        <v>9261.2626045923062</v>
      </c>
      <c r="K118" s="43">
        <v>0.2840878099568192</v>
      </c>
      <c r="L118" s="20"/>
    </row>
    <row r="119" spans="1:12">
      <c r="A119" s="18">
        <v>114</v>
      </c>
      <c r="B119" s="16">
        <v>11589.40257476148</v>
      </c>
      <c r="C119" s="19">
        <v>0.267039633</v>
      </c>
      <c r="D119" s="16">
        <v>8705.4920357999981</v>
      </c>
      <c r="E119" s="19">
        <v>0.26703963299999994</v>
      </c>
      <c r="F119" s="28">
        <v>55704.665389438524</v>
      </c>
      <c r="G119" s="20"/>
      <c r="H119" s="42">
        <v>114</v>
      </c>
      <c r="I119" s="1">
        <v>3061.9842166036719</v>
      </c>
      <c r="J119" s="1">
        <v>17232.910383114289</v>
      </c>
      <c r="K119" s="43">
        <v>0.52861688291761622</v>
      </c>
      <c r="L119" s="20"/>
    </row>
    <row r="120" spans="1:12">
      <c r="A120" s="18">
        <v>115</v>
      </c>
      <c r="B120" s="16">
        <v>10489.89234238284</v>
      </c>
      <c r="C120" s="19">
        <v>0.24170503900000001</v>
      </c>
      <c r="D120" s="16">
        <v>7879.5842714</v>
      </c>
      <c r="E120" s="19">
        <v>0.24170503900000001</v>
      </c>
      <c r="F120" s="28">
        <v>57630.083386217157</v>
      </c>
      <c r="G120" s="20"/>
      <c r="H120" s="42">
        <v>115</v>
      </c>
      <c r="I120" s="1">
        <v>1392.446053997126</v>
      </c>
      <c r="J120" s="1">
        <v>16977.030559785719</v>
      </c>
      <c r="K120" s="43">
        <v>0.52076780858238403</v>
      </c>
      <c r="L120" s="20"/>
    </row>
    <row r="121" spans="1:12">
      <c r="A121" s="18">
        <v>116</v>
      </c>
      <c r="B121" s="16">
        <v>10197.82486956558</v>
      </c>
      <c r="C121" s="19">
        <v>0.23497530550000001</v>
      </c>
      <c r="D121" s="16">
        <v>7660.1949592999999</v>
      </c>
      <c r="E121" s="19">
        <v>0.23497530550000001</v>
      </c>
      <c r="F121" s="28">
        <v>58141.540171134417</v>
      </c>
      <c r="G121" s="20"/>
      <c r="H121" s="42">
        <v>116</v>
      </c>
      <c r="I121" s="1">
        <v>1063.2176224227189</v>
      </c>
      <c r="J121" s="1">
        <v>16794.802206442859</v>
      </c>
      <c r="K121" s="43">
        <v>0.51517798179272578</v>
      </c>
      <c r="L121" s="20"/>
    </row>
    <row r="122" spans="1:12">
      <c r="A122" s="18">
        <v>117</v>
      </c>
      <c r="B122" s="16">
        <v>10204.62223885146</v>
      </c>
      <c r="C122" s="19">
        <v>0.2351319285</v>
      </c>
      <c r="D122" s="16">
        <v>7665.3008690999995</v>
      </c>
      <c r="E122" s="19">
        <v>0.23513192849999998</v>
      </c>
      <c r="F122" s="28">
        <v>58129.63689204854</v>
      </c>
      <c r="G122" s="20"/>
      <c r="H122" s="42">
        <v>117</v>
      </c>
      <c r="I122" s="1">
        <v>1220.523496280028</v>
      </c>
      <c r="J122" s="1">
        <v>16649.39961167143</v>
      </c>
      <c r="K122" s="43">
        <v>0.51071777949912356</v>
      </c>
      <c r="L122" s="20"/>
    </row>
    <row r="123" spans="1:12">
      <c r="A123" s="18">
        <v>118</v>
      </c>
      <c r="B123" s="16">
        <v>10184.736495360121</v>
      </c>
      <c r="C123" s="19">
        <v>0.23467372700000003</v>
      </c>
      <c r="D123" s="16">
        <v>7650.3635002000001</v>
      </c>
      <c r="E123" s="19">
        <v>0.234673727</v>
      </c>
      <c r="F123" s="28">
        <v>58164.460004439876</v>
      </c>
      <c r="G123" s="20"/>
      <c r="H123" s="42">
        <v>118</v>
      </c>
      <c r="I123" s="1">
        <v>1294.2772372315451</v>
      </c>
      <c r="J123" s="1">
        <v>16540.82275832857</v>
      </c>
      <c r="K123" s="43">
        <v>0.507387201175723</v>
      </c>
      <c r="L123" s="20"/>
    </row>
    <row r="124" spans="1:12">
      <c r="A124" s="18">
        <v>119</v>
      </c>
      <c r="B124" s="16">
        <v>10388.58856863612</v>
      </c>
      <c r="C124" s="19">
        <v>0.23937082700000001</v>
      </c>
      <c r="D124" s="16">
        <v>7803.4889602000003</v>
      </c>
      <c r="E124" s="19">
        <v>0.23937082700000001</v>
      </c>
      <c r="F124" s="28">
        <v>57807.482471163879</v>
      </c>
      <c r="G124" s="20"/>
      <c r="H124" s="42">
        <v>119</v>
      </c>
      <c r="I124" s="1">
        <v>1651.2547705075449</v>
      </c>
      <c r="J124" s="1">
        <v>16540.82275832857</v>
      </c>
      <c r="K124" s="43">
        <v>0.507387201175723</v>
      </c>
      <c r="L124" s="20"/>
    </row>
    <row r="125" spans="1:12">
      <c r="A125" s="18">
        <v>120</v>
      </c>
      <c r="B125" s="16">
        <v>10698.48382120908</v>
      </c>
      <c r="C125" s="19">
        <v>0.24651134300000002</v>
      </c>
      <c r="D125" s="16">
        <v>8036.2697817999997</v>
      </c>
      <c r="E125" s="19">
        <v>0.24651134299999999</v>
      </c>
      <c r="F125" s="28">
        <v>57264.806396990913</v>
      </c>
      <c r="G125" s="20"/>
      <c r="H125" s="42">
        <v>120</v>
      </c>
      <c r="I125" s="1">
        <v>1626.7997889233629</v>
      </c>
      <c r="J125" s="1">
        <v>17107.953814085711</v>
      </c>
      <c r="K125" s="43">
        <v>0.5247838593277826</v>
      </c>
      <c r="L125" s="20"/>
    </row>
    <row r="126" spans="1:12">
      <c r="A126" s="18">
        <v>121</v>
      </c>
      <c r="B126" s="16">
        <v>10716.702305503681</v>
      </c>
      <c r="C126" s="19">
        <v>0.24693112800000003</v>
      </c>
      <c r="D126" s="16">
        <v>8049.9547727999998</v>
      </c>
      <c r="E126" s="19">
        <v>0.246931128</v>
      </c>
      <c r="F126" s="28">
        <v>57232.90292169631</v>
      </c>
      <c r="G126" s="20"/>
      <c r="H126" s="42">
        <v>121</v>
      </c>
      <c r="I126" s="1">
        <v>1658.7032642179661</v>
      </c>
      <c r="J126" s="1">
        <v>17107.953814085711</v>
      </c>
      <c r="K126" s="43">
        <v>0.5247838593277826</v>
      </c>
      <c r="L126" s="20"/>
    </row>
    <row r="127" spans="1:12">
      <c r="A127" s="18">
        <v>122</v>
      </c>
      <c r="B127" s="16">
        <v>10574.054505117239</v>
      </c>
      <c r="C127" s="19">
        <v>0.24364427899999999</v>
      </c>
      <c r="D127" s="16">
        <v>7942.8034954000004</v>
      </c>
      <c r="E127" s="19">
        <v>0.24364427900000002</v>
      </c>
      <c r="F127" s="28">
        <v>57482.701999482757</v>
      </c>
      <c r="G127" s="20"/>
      <c r="H127" s="42">
        <v>122</v>
      </c>
      <c r="I127" s="1">
        <v>1102.11469494994</v>
      </c>
      <c r="J127" s="1">
        <v>17107.953814085711</v>
      </c>
      <c r="K127" s="43">
        <v>0.5247838593277826</v>
      </c>
      <c r="L127" s="20"/>
    </row>
    <row r="128" spans="1:12">
      <c r="A128" s="18">
        <v>123</v>
      </c>
      <c r="B128" s="16">
        <v>10546.773433202339</v>
      </c>
      <c r="C128" s="19">
        <v>0.2430156765</v>
      </c>
      <c r="D128" s="16">
        <v>7922.3110538999999</v>
      </c>
      <c r="E128" s="19">
        <v>0.2430156765</v>
      </c>
      <c r="F128" s="28">
        <v>57530.475512897661</v>
      </c>
      <c r="G128" s="20"/>
      <c r="H128" s="42">
        <v>123</v>
      </c>
      <c r="I128" s="1">
        <v>0</v>
      </c>
      <c r="J128" s="1">
        <v>17107.953814085711</v>
      </c>
      <c r="K128" s="43">
        <v>0.5247838593277826</v>
      </c>
      <c r="L128" s="20"/>
    </row>
    <row r="129" spans="1:12">
      <c r="A129" s="18">
        <v>124</v>
      </c>
      <c r="B129" s="16">
        <v>10510.33451163294</v>
      </c>
      <c r="C129" s="19">
        <v>0.24217606150000001</v>
      </c>
      <c r="D129" s="16">
        <v>7894.9396049000006</v>
      </c>
      <c r="E129" s="19">
        <v>0.24217606150000001</v>
      </c>
      <c r="F129" s="28">
        <v>57594.285883467055</v>
      </c>
      <c r="G129" s="20"/>
      <c r="H129" s="42">
        <v>124</v>
      </c>
      <c r="I129" s="1">
        <v>0</v>
      </c>
      <c r="J129" s="1">
        <v>14964.792344586511</v>
      </c>
      <c r="K129" s="43">
        <v>0.45904270995664143</v>
      </c>
      <c r="L129" s="20"/>
    </row>
    <row r="130" spans="1:12">
      <c r="A130" s="18">
        <v>125</v>
      </c>
      <c r="B130" s="16">
        <v>10390.71890113806</v>
      </c>
      <c r="C130" s="19">
        <v>0.2394199135</v>
      </c>
      <c r="D130" s="16">
        <v>7805.0891800999998</v>
      </c>
      <c r="E130" s="19">
        <v>0.2394199135</v>
      </c>
      <c r="F130" s="28">
        <v>57803.751918761947</v>
      </c>
      <c r="G130" s="20"/>
      <c r="H130" s="42">
        <v>125</v>
      </c>
      <c r="I130" s="1">
        <v>597.44926510416735</v>
      </c>
      <c r="J130" s="1">
        <v>17248.86584097143</v>
      </c>
      <c r="K130" s="43">
        <v>0.52910631414022791</v>
      </c>
      <c r="L130" s="20"/>
    </row>
    <row r="131" spans="1:12">
      <c r="A131" s="18">
        <v>126</v>
      </c>
      <c r="B131" s="16">
        <v>10258.62136018938</v>
      </c>
      <c r="C131" s="19">
        <v>0.23637616050000002</v>
      </c>
      <c r="D131" s="16">
        <v>7705.8628322999994</v>
      </c>
      <c r="E131" s="19">
        <v>0.23637616049999999</v>
      </c>
      <c r="F131" s="28">
        <v>58035.075807510613</v>
      </c>
      <c r="G131" s="20"/>
      <c r="H131" s="42">
        <v>126</v>
      </c>
      <c r="I131" s="1">
        <v>680.39033407509123</v>
      </c>
      <c r="J131" s="1">
        <v>17284.09385841429</v>
      </c>
      <c r="K131" s="43">
        <v>0.53018692817221746</v>
      </c>
      <c r="L131" s="20"/>
    </row>
    <row r="132" spans="1:12">
      <c r="A132" s="18">
        <v>127</v>
      </c>
      <c r="B132" s="16">
        <v>9927.3084030566406</v>
      </c>
      <c r="C132" s="19">
        <v>0.22874214400000004</v>
      </c>
      <c r="D132" s="16">
        <v>7456.9938943999996</v>
      </c>
      <c r="E132" s="19">
        <v>0.22874214399999998</v>
      </c>
      <c r="F132" s="28">
        <v>58615.257702543357</v>
      </c>
      <c r="G132" s="20"/>
      <c r="H132" s="42">
        <v>127</v>
      </c>
      <c r="I132" s="1">
        <v>135.4364564852076</v>
      </c>
      <c r="J132" s="1">
        <v>17248.86584097143</v>
      </c>
      <c r="K132" s="43">
        <v>0.52910631414022791</v>
      </c>
      <c r="L132" s="20"/>
    </row>
    <row r="133" spans="1:12">
      <c r="A133" s="18">
        <v>128</v>
      </c>
      <c r="B133" s="16">
        <v>9672.8071553797799</v>
      </c>
      <c r="C133" s="19">
        <v>0.22287800050000001</v>
      </c>
      <c r="D133" s="16">
        <v>7265.8228163000003</v>
      </c>
      <c r="E133" s="19">
        <v>0.22287800050000001</v>
      </c>
      <c r="F133" s="28">
        <v>59060.930028320217</v>
      </c>
      <c r="G133" s="20"/>
      <c r="H133" s="42">
        <v>128</v>
      </c>
      <c r="I133" s="1">
        <v>748.37072274578713</v>
      </c>
      <c r="J133" s="1">
        <v>16190.258509399429</v>
      </c>
      <c r="K133" s="43">
        <v>0.49663369660734447</v>
      </c>
      <c r="L133" s="20"/>
    </row>
    <row r="134" spans="1:12">
      <c r="A134" s="18">
        <v>129</v>
      </c>
      <c r="B134" s="16">
        <v>14722.07792569722</v>
      </c>
      <c r="C134" s="19">
        <v>0.33922182450000005</v>
      </c>
      <c r="D134" s="16">
        <v>11058.631478699999</v>
      </c>
      <c r="E134" s="19">
        <v>0.33922182449999999</v>
      </c>
      <c r="F134" s="28">
        <v>50218.85059560278</v>
      </c>
      <c r="G134" s="20"/>
      <c r="H134" s="42">
        <v>129</v>
      </c>
      <c r="I134" s="1">
        <v>0</v>
      </c>
      <c r="J134" s="1">
        <v>1748.865840971431</v>
      </c>
      <c r="K134" s="43">
        <v>5.3646191440841443E-2</v>
      </c>
      <c r="L134" s="20"/>
    </row>
    <row r="135" spans="1:12">
      <c r="A135" s="18">
        <v>130</v>
      </c>
      <c r="B135" s="16">
        <v>22602.334284087301</v>
      </c>
      <c r="C135" s="19">
        <v>0.52079639250000009</v>
      </c>
      <c r="D135" s="16">
        <v>16977.962395499999</v>
      </c>
      <c r="E135" s="19">
        <v>0.52079639249999998</v>
      </c>
      <c r="F135" s="28">
        <v>36419.263320412698</v>
      </c>
      <c r="G135" s="20"/>
      <c r="H135" s="42">
        <v>130</v>
      </c>
      <c r="I135" s="1">
        <v>0</v>
      </c>
      <c r="J135" s="1">
        <v>14877.266555257151</v>
      </c>
      <c r="K135" s="43">
        <v>0.45635786979316412</v>
      </c>
      <c r="L135" s="20"/>
    </row>
    <row r="136" spans="1:12">
      <c r="A136" s="18">
        <v>131</v>
      </c>
      <c r="B136" s="16">
        <v>27245.86343595594</v>
      </c>
      <c r="C136" s="19">
        <v>0.62779123650000002</v>
      </c>
      <c r="D136" s="16">
        <v>17132.026418414287</v>
      </c>
      <c r="E136" s="19">
        <v>0.52552228277344437</v>
      </c>
      <c r="F136" s="28">
        <v>31621.670145629774</v>
      </c>
      <c r="G136" s="20"/>
      <c r="H136" s="42">
        <v>131</v>
      </c>
      <c r="I136" s="1">
        <v>0</v>
      </c>
      <c r="J136" s="1">
        <v>19300.277546985719</v>
      </c>
      <c r="K136" s="43">
        <v>0.59203305358851899</v>
      </c>
      <c r="L136" s="20"/>
    </row>
    <row r="137" spans="1:12">
      <c r="A137" s="18">
        <v>132</v>
      </c>
      <c r="B137" s="16">
        <v>29331.308098484638</v>
      </c>
      <c r="C137" s="19">
        <v>0.67584344399999996</v>
      </c>
      <c r="D137" s="16">
        <v>17096.798400971431</v>
      </c>
      <c r="E137" s="19">
        <v>0.52444166874145492</v>
      </c>
      <c r="F137" s="28">
        <v>29571.453500543928</v>
      </c>
      <c r="G137" s="20"/>
      <c r="H137" s="42">
        <v>132</v>
      </c>
      <c r="I137" s="1">
        <v>0</v>
      </c>
      <c r="J137" s="1">
        <v>19265.049529542859</v>
      </c>
      <c r="K137" s="43">
        <v>0.59095243955652943</v>
      </c>
      <c r="L137" s="20"/>
    </row>
    <row r="138" spans="1:12">
      <c r="A138" s="18">
        <v>133</v>
      </c>
      <c r="B138" s="16">
        <v>29331.043578166438</v>
      </c>
      <c r="C138" s="19">
        <v>0.67583734900000003</v>
      </c>
      <c r="D138" s="16">
        <v>17096.798400971431</v>
      </c>
      <c r="E138" s="19">
        <v>0.52444166874145492</v>
      </c>
      <c r="F138" s="28">
        <v>29571.718020862125</v>
      </c>
      <c r="G138" s="20"/>
      <c r="H138" s="42">
        <v>133</v>
      </c>
      <c r="I138" s="1">
        <v>0</v>
      </c>
      <c r="J138" s="1">
        <v>19265.049529542859</v>
      </c>
      <c r="K138" s="43">
        <v>0.59095243955652943</v>
      </c>
      <c r="L138" s="20"/>
    </row>
    <row r="139" spans="1:12">
      <c r="A139" s="18">
        <v>134</v>
      </c>
      <c r="B139" s="16">
        <v>27512.902100424057</v>
      </c>
      <c r="C139" s="19">
        <v>0.63394426349999999</v>
      </c>
      <c r="D139" s="16">
        <v>17132.026418414287</v>
      </c>
      <c r="E139" s="19">
        <v>0.52552228277344437</v>
      </c>
      <c r="F139" s="28">
        <v>31354.631481161654</v>
      </c>
      <c r="G139" s="20"/>
      <c r="H139" s="42">
        <v>134</v>
      </c>
      <c r="I139" s="1">
        <v>0</v>
      </c>
      <c r="J139" s="1">
        <v>19300.277546985719</v>
      </c>
      <c r="K139" s="43">
        <v>0.59203305358851899</v>
      </c>
      <c r="L139" s="20"/>
    </row>
    <row r="140" spans="1:12">
      <c r="A140" s="18">
        <v>135</v>
      </c>
      <c r="B140" s="16">
        <v>24028.467521847058</v>
      </c>
      <c r="C140" s="19">
        <v>0.55365693849999997</v>
      </c>
      <c r="D140" s="16">
        <v>17096.798400971427</v>
      </c>
      <c r="E140" s="19">
        <v>0.52444166874145481</v>
      </c>
      <c r="F140" s="28">
        <v>34874.294077181512</v>
      </c>
      <c r="G140" s="20"/>
      <c r="H140" s="42">
        <v>135</v>
      </c>
      <c r="I140" s="1">
        <v>0</v>
      </c>
      <c r="J140" s="1">
        <v>0</v>
      </c>
      <c r="K140" s="43">
        <v>0</v>
      </c>
      <c r="L140" s="20"/>
    </row>
    <row r="141" spans="1:12">
      <c r="A141" s="18">
        <v>136</v>
      </c>
      <c r="B141" s="16">
        <v>18420.970670521921</v>
      </c>
      <c r="C141" s="19">
        <v>0.42445063200000005</v>
      </c>
      <c r="D141" s="16">
        <v>13837.0906032</v>
      </c>
      <c r="E141" s="19">
        <v>0.42445063199999999</v>
      </c>
      <c r="F141" s="28">
        <v>43741.498726278078</v>
      </c>
      <c r="G141" s="20"/>
      <c r="H141" s="42">
        <v>136</v>
      </c>
      <c r="I141" s="1">
        <v>0</v>
      </c>
      <c r="J141" s="1">
        <v>2939.2414293053348</v>
      </c>
      <c r="K141" s="43">
        <v>9.0160780040040939E-2</v>
      </c>
      <c r="L141" s="20"/>
    </row>
    <row r="142" spans="1:12">
      <c r="A142" s="18">
        <v>137</v>
      </c>
      <c r="B142" s="16">
        <v>9898.1994284736593</v>
      </c>
      <c r="C142" s="19">
        <v>0.22807142350000001</v>
      </c>
      <c r="D142" s="16">
        <v>7435.1284061000006</v>
      </c>
      <c r="E142" s="19">
        <v>0.22807142350000001</v>
      </c>
      <c r="F142" s="28">
        <v>58666.232165426336</v>
      </c>
      <c r="G142" s="20"/>
      <c r="H142" s="42">
        <v>137</v>
      </c>
      <c r="I142" s="1">
        <v>0</v>
      </c>
      <c r="J142" s="1">
        <v>17333.31891253934</v>
      </c>
      <c r="K142" s="43">
        <v>0.53169689915764851</v>
      </c>
      <c r="L142" s="20"/>
    </row>
    <row r="143" spans="1:12">
      <c r="A143" s="18">
        <v>138</v>
      </c>
      <c r="B143" s="16">
        <v>7514.82316628028</v>
      </c>
      <c r="C143" s="19">
        <v>0.17315436300000001</v>
      </c>
      <c r="D143" s="16">
        <v>5644.8322338000007</v>
      </c>
      <c r="E143" s="19">
        <v>0.17315436300000003</v>
      </c>
      <c r="F143" s="28">
        <v>62839.904599919711</v>
      </c>
      <c r="G143" s="20"/>
      <c r="H143" s="42">
        <v>138</v>
      </c>
      <c r="I143" s="1">
        <v>0</v>
      </c>
      <c r="J143" s="1">
        <v>13159.65538155148</v>
      </c>
      <c r="K143" s="43">
        <v>0.40367041047703928</v>
      </c>
      <c r="L143" s="20"/>
    </row>
    <row r="144" spans="1:12">
      <c r="A144" s="18">
        <v>139</v>
      </c>
      <c r="B144" s="16">
        <v>8340.6960263908204</v>
      </c>
      <c r="C144" s="19">
        <v>0.19218388450000001</v>
      </c>
      <c r="D144" s="16">
        <v>6265.1946347000003</v>
      </c>
      <c r="E144" s="19">
        <v>0.19218388450000001</v>
      </c>
      <c r="F144" s="28">
        <v>61393.669338909174</v>
      </c>
      <c r="G144" s="20"/>
      <c r="H144" s="42">
        <v>139</v>
      </c>
      <c r="I144" s="1">
        <v>0</v>
      </c>
      <c r="J144" s="1">
        <v>14605.89066109082</v>
      </c>
      <c r="K144" s="43">
        <v>0.44803345586168158</v>
      </c>
      <c r="L144" s="20"/>
    </row>
    <row r="145" spans="1:12">
      <c r="A145" s="18">
        <v>140</v>
      </c>
      <c r="B145" s="16">
        <v>8975.9538309238196</v>
      </c>
      <c r="C145" s="19">
        <v>0.20682130949999999</v>
      </c>
      <c r="D145" s="16">
        <v>6742.3746897000001</v>
      </c>
      <c r="E145" s="19">
        <v>0.20682130949999999</v>
      </c>
      <c r="F145" s="28">
        <v>60281.231479376169</v>
      </c>
      <c r="G145" s="20"/>
      <c r="H145" s="42">
        <v>140</v>
      </c>
      <c r="I145" s="1">
        <v>0</v>
      </c>
      <c r="J145" s="1">
        <v>15718.32852062382</v>
      </c>
      <c r="K145" s="43">
        <v>0.48215731658355276</v>
      </c>
      <c r="L145" s="20"/>
    </row>
    <row r="146" spans="1:12">
      <c r="A146" s="18">
        <v>141</v>
      </c>
      <c r="B146" s="16">
        <v>9378.7403516324393</v>
      </c>
      <c r="C146" s="19">
        <v>0.21610219899999999</v>
      </c>
      <c r="D146" s="16">
        <v>7044.9316873999996</v>
      </c>
      <c r="E146" s="19">
        <v>0.21610219899999999</v>
      </c>
      <c r="F146" s="28">
        <v>59575.887960967557</v>
      </c>
      <c r="G146" s="20"/>
      <c r="H146" s="42">
        <v>141</v>
      </c>
      <c r="I146" s="1">
        <v>0</v>
      </c>
      <c r="J146" s="1">
        <v>16423.672039032441</v>
      </c>
      <c r="K146" s="43">
        <v>0.50379362082921597</v>
      </c>
      <c r="L146" s="20"/>
    </row>
    <row r="147" spans="1:12">
      <c r="A147" s="18">
        <v>142</v>
      </c>
      <c r="B147" s="16">
        <v>9948.8354094082788</v>
      </c>
      <c r="C147" s="19">
        <v>0.22923816299999999</v>
      </c>
      <c r="D147" s="16">
        <v>7473.1641138000005</v>
      </c>
      <c r="E147" s="19">
        <v>0.22923816300000002</v>
      </c>
      <c r="F147" s="28">
        <v>58577.560476791725</v>
      </c>
      <c r="G147" s="20"/>
      <c r="H147" s="42">
        <v>142</v>
      </c>
      <c r="I147" s="1">
        <v>314.04570912256531</v>
      </c>
      <c r="J147" s="1">
        <v>17107.953814085711</v>
      </c>
      <c r="K147" s="43">
        <v>0.5247838593277826</v>
      </c>
      <c r="L147" s="20"/>
    </row>
    <row r="148" spans="1:12">
      <c r="A148" s="18">
        <v>143</v>
      </c>
      <c r="B148" s="16">
        <v>10549.18386646452</v>
      </c>
      <c r="C148" s="19">
        <v>0.24307121700000001</v>
      </c>
      <c r="D148" s="16">
        <v>7924.1216742000006</v>
      </c>
      <c r="E148" s="19">
        <v>0.24307121700000001</v>
      </c>
      <c r="F148" s="28">
        <v>57526.254459335476</v>
      </c>
      <c r="G148" s="20"/>
      <c r="H148" s="42">
        <v>143</v>
      </c>
      <c r="I148" s="1">
        <v>1365.3517265788071</v>
      </c>
      <c r="J148" s="1">
        <v>17107.953814085711</v>
      </c>
      <c r="K148" s="43">
        <v>0.5247838593277826</v>
      </c>
      <c r="L148" s="20"/>
    </row>
    <row r="149" spans="1:12">
      <c r="A149" s="18">
        <v>144</v>
      </c>
      <c r="B149" s="16">
        <v>11361.366443871961</v>
      </c>
      <c r="C149" s="19">
        <v>0.26178529100000003</v>
      </c>
      <c r="D149" s="16">
        <v>8534.2004865999988</v>
      </c>
      <c r="E149" s="19">
        <v>0.26178529099999998</v>
      </c>
      <c r="F149" s="28">
        <v>56103.993069528042</v>
      </c>
      <c r="G149" s="20"/>
      <c r="H149" s="42">
        <v>144</v>
      </c>
      <c r="I149" s="1">
        <v>1543.018982469428</v>
      </c>
      <c r="J149" s="1">
        <v>17147.553685585721</v>
      </c>
      <c r="K149" s="43">
        <v>0.52599857931244542</v>
      </c>
      <c r="L149" s="20"/>
    </row>
    <row r="150" spans="1:12">
      <c r="A150" s="18">
        <v>145</v>
      </c>
      <c r="B150" s="16">
        <v>12239.69902122744</v>
      </c>
      <c r="C150" s="19">
        <v>0.282023574</v>
      </c>
      <c r="D150" s="16">
        <v>9193.9685124000007</v>
      </c>
      <c r="E150" s="19">
        <v>0.282023574</v>
      </c>
      <c r="F150" s="28">
        <v>54565.892466372556</v>
      </c>
      <c r="G150" s="20"/>
      <c r="H150" s="42">
        <v>145</v>
      </c>
      <c r="I150" s="1">
        <v>0</v>
      </c>
      <c r="J150" s="1">
        <v>13068.18222880852</v>
      </c>
      <c r="K150" s="43">
        <v>0.40086448554627363</v>
      </c>
      <c r="L150" s="20"/>
    </row>
    <row r="151" spans="1:12">
      <c r="A151" s="18">
        <v>146</v>
      </c>
      <c r="B151" s="16">
        <v>13113.725732937301</v>
      </c>
      <c r="C151" s="19">
        <v>0.30216264250000002</v>
      </c>
      <c r="D151" s="16">
        <v>9850.5021455000006</v>
      </c>
      <c r="E151" s="19">
        <v>0.30216264250000002</v>
      </c>
      <c r="F151" s="28">
        <v>53035.332121562693</v>
      </c>
      <c r="G151" s="20"/>
      <c r="H151" s="42">
        <v>146</v>
      </c>
      <c r="I151" s="1">
        <v>0</v>
      </c>
      <c r="J151" s="1">
        <v>17147.553685585721</v>
      </c>
      <c r="K151" s="43">
        <v>0.52599857931244542</v>
      </c>
      <c r="L151" s="20"/>
    </row>
    <row r="152" spans="1:12">
      <c r="A152" s="18">
        <v>147</v>
      </c>
      <c r="B152" s="16">
        <v>14035.5313023483</v>
      </c>
      <c r="C152" s="19">
        <v>0.32340261749999999</v>
      </c>
      <c r="D152" s="16">
        <v>10542.9253305</v>
      </c>
      <c r="E152" s="19">
        <v>0.32340261749999999</v>
      </c>
      <c r="F152" s="28">
        <v>51421.103367151693</v>
      </c>
      <c r="G152" s="20"/>
      <c r="H152" s="42">
        <v>147</v>
      </c>
      <c r="I152" s="1">
        <v>0</v>
      </c>
      <c r="J152" s="1">
        <v>3502.0168523057232</v>
      </c>
      <c r="K152" s="43">
        <v>0.10742382982532893</v>
      </c>
      <c r="L152" s="20"/>
    </row>
    <row r="153" spans="1:12">
      <c r="A153" s="18">
        <v>148</v>
      </c>
      <c r="B153" s="16">
        <v>14948.66776624974</v>
      </c>
      <c r="C153" s="19">
        <v>0.34444284150000004</v>
      </c>
      <c r="D153" s="16">
        <v>11228.8366329</v>
      </c>
      <c r="E153" s="19">
        <v>0.34444284149999999</v>
      </c>
      <c r="F153" s="28">
        <v>49822.055600850261</v>
      </c>
      <c r="G153" s="20"/>
      <c r="H153" s="42">
        <v>148</v>
      </c>
      <c r="I153" s="1">
        <v>0</v>
      </c>
      <c r="J153" s="1">
        <v>1718.00970617143</v>
      </c>
      <c r="K153" s="43">
        <v>5.2699684238387424E-2</v>
      </c>
      <c r="L153" s="20"/>
    </row>
    <row r="154" spans="1:12">
      <c r="A154" s="18">
        <v>149</v>
      </c>
      <c r="B154" s="16">
        <v>15383.716109376661</v>
      </c>
      <c r="C154" s="19">
        <v>0.35446709850000002</v>
      </c>
      <c r="D154" s="16">
        <v>11555.6274111</v>
      </c>
      <c r="E154" s="19">
        <v>0.35446709850000002</v>
      </c>
      <c r="F154" s="28">
        <v>49060.216479523333</v>
      </c>
      <c r="G154" s="20"/>
      <c r="H154" s="42">
        <v>149</v>
      </c>
      <c r="I154" s="1">
        <v>0</v>
      </c>
      <c r="J154" s="1">
        <v>17288.465712471429</v>
      </c>
      <c r="K154" s="43">
        <v>0.5303210341248904</v>
      </c>
      <c r="L154" s="20"/>
    </row>
    <row r="155" spans="1:12">
      <c r="A155" s="18">
        <v>150</v>
      </c>
      <c r="B155" s="16">
        <v>15127.070272442401</v>
      </c>
      <c r="C155" s="19">
        <v>0.34855354000000005</v>
      </c>
      <c r="D155" s="16">
        <v>11362.845404</v>
      </c>
      <c r="E155" s="19">
        <v>0.34855354</v>
      </c>
      <c r="F155" s="28">
        <v>49509.644323557593</v>
      </c>
      <c r="G155" s="20"/>
      <c r="H155" s="42">
        <v>150</v>
      </c>
      <c r="I155" s="1">
        <v>0</v>
      </c>
      <c r="J155" s="1">
        <v>17323.693729914288</v>
      </c>
      <c r="K155" s="43">
        <v>0.53140164815687996</v>
      </c>
      <c r="L155" s="20"/>
    </row>
    <row r="156" spans="1:12">
      <c r="A156" s="18">
        <v>151</v>
      </c>
      <c r="B156" s="16">
        <v>14554.64882465232</v>
      </c>
      <c r="C156" s="19">
        <v>0.33536397200000001</v>
      </c>
      <c r="D156" s="16">
        <v>10932.865487200001</v>
      </c>
      <c r="E156" s="19">
        <v>0.33536397200000001</v>
      </c>
      <c r="F156" s="28">
        <v>50512.045688147671</v>
      </c>
      <c r="G156" s="20"/>
      <c r="H156" s="42">
        <v>151</v>
      </c>
      <c r="I156" s="1">
        <v>0</v>
      </c>
      <c r="J156" s="1">
        <v>4008.4071100650431</v>
      </c>
      <c r="K156" s="43">
        <v>0.12295727331487862</v>
      </c>
      <c r="L156" s="20"/>
    </row>
    <row r="157" spans="1:12">
      <c r="A157" s="18">
        <v>152</v>
      </c>
      <c r="B157" s="16">
        <v>13937.07280375518</v>
      </c>
      <c r="C157" s="19">
        <v>0.32113396550000001</v>
      </c>
      <c r="D157" s="16">
        <v>10468.9672753</v>
      </c>
      <c r="E157" s="19">
        <v>0.32113396550000001</v>
      </c>
      <c r="F157" s="28">
        <v>51593.519920944818</v>
      </c>
      <c r="G157" s="20"/>
      <c r="H157" s="42">
        <v>152</v>
      </c>
      <c r="I157" s="1">
        <v>0</v>
      </c>
      <c r="J157" s="1">
        <v>8873.1439129967857</v>
      </c>
      <c r="K157" s="43">
        <v>0.27218232861953329</v>
      </c>
      <c r="L157" s="20"/>
    </row>
    <row r="158" spans="1:12">
      <c r="A158" s="18">
        <v>153</v>
      </c>
      <c r="B158" s="16">
        <v>14601.06897232854</v>
      </c>
      <c r="C158" s="19">
        <v>0.33643357150000003</v>
      </c>
      <c r="D158" s="16">
        <v>10967.734430900002</v>
      </c>
      <c r="E158" s="19">
        <v>0.33643357150000008</v>
      </c>
      <c r="F158" s="28">
        <v>50430.756596771454</v>
      </c>
      <c r="G158" s="20"/>
      <c r="H158" s="42">
        <v>153</v>
      </c>
      <c r="I158" s="1">
        <v>0</v>
      </c>
      <c r="J158" s="1">
        <v>8707.2441974217018</v>
      </c>
      <c r="K158" s="43">
        <v>0.26709338028900925</v>
      </c>
      <c r="L158" s="20"/>
    </row>
    <row r="159" spans="1:12">
      <c r="A159" s="18">
        <v>154</v>
      </c>
      <c r="B159" s="16">
        <v>17177.10406217898</v>
      </c>
      <c r="C159" s="19">
        <v>0.3957898205</v>
      </c>
      <c r="D159" s="16">
        <v>12902.748148300001</v>
      </c>
      <c r="E159" s="19">
        <v>0.39578982050000006</v>
      </c>
      <c r="F159" s="28">
        <v>45919.707789521017</v>
      </c>
      <c r="G159" s="20"/>
      <c r="H159" s="42">
        <v>154</v>
      </c>
      <c r="I159" s="1">
        <v>0</v>
      </c>
      <c r="J159" s="1">
        <v>4233.7797667571458</v>
      </c>
      <c r="K159" s="43">
        <v>0.12987054499255049</v>
      </c>
      <c r="L159" s="20"/>
    </row>
    <row r="160" spans="1:12">
      <c r="A160" s="18">
        <v>155</v>
      </c>
      <c r="B160" s="16">
        <v>20254.516735287179</v>
      </c>
      <c r="C160" s="19">
        <v>0.4666986655</v>
      </c>
      <c r="D160" s="16">
        <v>15214.376495300001</v>
      </c>
      <c r="E160" s="19">
        <v>0.46669866550000005</v>
      </c>
      <c r="F160" s="28">
        <v>40530.666769412819</v>
      </c>
      <c r="G160" s="20"/>
      <c r="H160" s="42">
        <v>155</v>
      </c>
      <c r="I160" s="1">
        <v>0</v>
      </c>
      <c r="J160" s="1">
        <v>4269.0077842000019</v>
      </c>
      <c r="K160" s="43">
        <v>0.13095115902453994</v>
      </c>
      <c r="L160" s="20"/>
    </row>
    <row r="161" spans="1:12">
      <c r="A161" s="18">
        <v>156</v>
      </c>
      <c r="B161" s="16">
        <v>23495.022763197601</v>
      </c>
      <c r="C161" s="19">
        <v>0.54136546000000008</v>
      </c>
      <c r="D161" s="16">
        <v>17648.513996000001</v>
      </c>
      <c r="E161" s="19">
        <v>0.54136546000000008</v>
      </c>
      <c r="F161" s="28">
        <v>34856.023240802395</v>
      </c>
      <c r="G161" s="20"/>
      <c r="H161" s="42">
        <v>156</v>
      </c>
      <c r="I161" s="1">
        <v>0</v>
      </c>
      <c r="J161" s="1">
        <v>17060.0969339</v>
      </c>
      <c r="K161" s="43">
        <v>0.52331585686809812</v>
      </c>
      <c r="L161" s="20"/>
    </row>
    <row r="162" spans="1:12">
      <c r="A162" s="18">
        <v>157</v>
      </c>
      <c r="B162" s="16">
        <v>25525.327047858838</v>
      </c>
      <c r="C162" s="19">
        <v>0.58814713900000004</v>
      </c>
      <c r="D162" s="16">
        <v>19173.596731400001</v>
      </c>
      <c r="E162" s="19">
        <v>0.58814713900000004</v>
      </c>
      <c r="F162" s="28">
        <v>31300.636220741158</v>
      </c>
      <c r="G162" s="20"/>
      <c r="H162" s="42">
        <v>157</v>
      </c>
      <c r="I162" s="1">
        <v>0</v>
      </c>
      <c r="J162" s="1">
        <v>17060.0969339</v>
      </c>
      <c r="K162" s="43">
        <v>0.52331585686809812</v>
      </c>
      <c r="L162" s="20"/>
    </row>
    <row r="163" spans="1:12">
      <c r="A163" s="18">
        <v>158</v>
      </c>
      <c r="B163" s="16">
        <v>25911.77094345474</v>
      </c>
      <c r="C163" s="19">
        <v>0.59705146650000007</v>
      </c>
      <c r="D163" s="16">
        <v>19463.8778079</v>
      </c>
      <c r="E163" s="19">
        <v>0.59705146649999996</v>
      </c>
      <c r="F163" s="28">
        <v>30623.911248645254</v>
      </c>
      <c r="G163" s="20"/>
      <c r="H163" s="42">
        <v>158</v>
      </c>
      <c r="I163" s="1">
        <v>0</v>
      </c>
      <c r="J163" s="1">
        <v>17095.32495134286</v>
      </c>
      <c r="K163" s="43">
        <v>0.52439647090008779</v>
      </c>
      <c r="L163" s="20"/>
    </row>
    <row r="164" spans="1:12">
      <c r="A164" s="18">
        <v>159</v>
      </c>
      <c r="B164" s="16">
        <v>24241.492916720701</v>
      </c>
      <c r="C164" s="19">
        <v>0.55856540750000006</v>
      </c>
      <c r="D164" s="16">
        <v>18209.232284500002</v>
      </c>
      <c r="E164" s="19">
        <v>0.55856540750000006</v>
      </c>
      <c r="F164" s="28">
        <v>33548.834798779295</v>
      </c>
      <c r="G164" s="20"/>
      <c r="H164" s="42">
        <v>159</v>
      </c>
      <c r="I164" s="1">
        <v>0</v>
      </c>
      <c r="J164" s="1">
        <v>1560.0969339000021</v>
      </c>
      <c r="K164" s="43">
        <v>4.7855734168711722E-2</v>
      </c>
      <c r="L164" s="20"/>
    </row>
    <row r="165" spans="1:12">
      <c r="A165" s="18">
        <v>160</v>
      </c>
      <c r="B165" s="16">
        <v>21861.083969243638</v>
      </c>
      <c r="C165" s="19">
        <v>0.50371671900000003</v>
      </c>
      <c r="D165" s="16">
        <v>16421.165039399999</v>
      </c>
      <c r="E165" s="19">
        <v>0.50371671899999992</v>
      </c>
      <c r="F165" s="28">
        <v>37717.310991356353</v>
      </c>
      <c r="G165" s="20"/>
      <c r="H165" s="42">
        <v>160</v>
      </c>
      <c r="I165" s="1">
        <v>0</v>
      </c>
      <c r="J165" s="1">
        <v>17438.738911448181</v>
      </c>
      <c r="K165" s="43">
        <v>0.53493064145546565</v>
      </c>
      <c r="L165" s="20"/>
    </row>
    <row r="166" spans="1:12">
      <c r="A166" s="18">
        <v>161</v>
      </c>
      <c r="B166" s="16">
        <v>17917.099608943918</v>
      </c>
      <c r="C166" s="29">
        <v>0.41284058199999996</v>
      </c>
      <c r="D166" s="16">
        <v>13458.602973199999</v>
      </c>
      <c r="E166" s="29">
        <v>0.41284058199999996</v>
      </c>
      <c r="F166" s="28">
        <v>44623.857417856081</v>
      </c>
      <c r="G166" s="20"/>
      <c r="H166" s="42">
        <v>161</v>
      </c>
      <c r="I166" s="1">
        <v>0</v>
      </c>
      <c r="J166" s="1">
        <v>19982.067780342859</v>
      </c>
      <c r="K166" s="43">
        <v>0.61294686442769508</v>
      </c>
      <c r="L166" s="20"/>
    </row>
    <row r="167" spans="1:12">
      <c r="A167" s="18">
        <v>162</v>
      </c>
      <c r="B167" s="16">
        <v>15557.55641042256</v>
      </c>
      <c r="C167" s="29">
        <v>0.35847267599999999</v>
      </c>
      <c r="D167" s="16">
        <v>11686.2092376</v>
      </c>
      <c r="E167" s="29">
        <v>0.35847267599999999</v>
      </c>
      <c r="F167" s="28">
        <v>48755.794351977434</v>
      </c>
      <c r="G167" s="20"/>
      <c r="H167" s="42">
        <v>162</v>
      </c>
      <c r="I167" s="1">
        <v>7411.8661499967093</v>
      </c>
      <c r="J167" s="1">
        <v>19831.899484440091</v>
      </c>
      <c r="K167" s="43">
        <v>0.60834047498282484</v>
      </c>
      <c r="L167" s="20"/>
    </row>
    <row r="168" spans="1:12">
      <c r="A168" s="18">
        <v>163</v>
      </c>
      <c r="B168" s="16">
        <v>15128.32849078614</v>
      </c>
      <c r="C168" s="29">
        <v>0.34858253150000001</v>
      </c>
      <c r="D168" s="16">
        <v>11363.7905269</v>
      </c>
      <c r="E168" s="29">
        <v>0.34858253150000001</v>
      </c>
      <c r="F168" s="28">
        <v>49507.440982313856</v>
      </c>
      <c r="G168" s="20"/>
      <c r="H168" s="42">
        <v>163</v>
      </c>
      <c r="I168" s="1">
        <v>7020.7961623575648</v>
      </c>
      <c r="J168" s="1">
        <v>19471.322855328581</v>
      </c>
      <c r="K168" s="43">
        <v>0.59727984218799324</v>
      </c>
      <c r="L168" s="20"/>
    </row>
    <row r="169" spans="1:12">
      <c r="A169" s="18">
        <v>164</v>
      </c>
      <c r="B169" s="16">
        <v>15247.23013511946</v>
      </c>
      <c r="C169" s="29">
        <v>0.3513222285</v>
      </c>
      <c r="D169" s="16">
        <v>11453.1046491</v>
      </c>
      <c r="E169" s="29">
        <v>0.3513222285</v>
      </c>
      <c r="F169" s="28">
        <v>49299.225215780534</v>
      </c>
      <c r="G169" s="20"/>
      <c r="H169" s="42">
        <v>164</v>
      </c>
      <c r="I169" s="1">
        <v>7264.2399320480254</v>
      </c>
      <c r="J169" s="1">
        <v>19436.094852171431</v>
      </c>
      <c r="K169" s="43">
        <v>0.5961992285942157</v>
      </c>
      <c r="L169" s="20"/>
    </row>
    <row r="170" spans="1:12">
      <c r="A170" s="18">
        <v>165</v>
      </c>
      <c r="B170" s="16">
        <v>15556.12669871748</v>
      </c>
      <c r="C170" s="29">
        <v>0.35843973300000004</v>
      </c>
      <c r="D170" s="16">
        <v>11685.135295800001</v>
      </c>
      <c r="E170" s="29">
        <v>0.35843973300000004</v>
      </c>
      <c r="F170" s="28">
        <v>48758.298005482517</v>
      </c>
      <c r="G170" s="20"/>
      <c r="H170" s="42">
        <v>165</v>
      </c>
      <c r="I170" s="1">
        <v>7840.3951454889029</v>
      </c>
      <c r="J170" s="1">
        <v>19400.866849028571</v>
      </c>
      <c r="K170" s="43">
        <v>0.59511861500087637</v>
      </c>
      <c r="L170" s="20"/>
    </row>
    <row r="171" spans="1:12">
      <c r="A171" s="18">
        <v>166</v>
      </c>
      <c r="B171" s="16">
        <v>15917.659181774039</v>
      </c>
      <c r="C171" s="29">
        <v>0.36677005899999998</v>
      </c>
      <c r="D171" s="16">
        <v>11956.7039234</v>
      </c>
      <c r="E171" s="29">
        <v>0.36677005900000004</v>
      </c>
      <c r="F171" s="28">
        <v>48125.19689482596</v>
      </c>
      <c r="G171" s="20"/>
      <c r="H171" s="42">
        <v>166</v>
      </c>
      <c r="I171" s="1">
        <v>8543.9522767311792</v>
      </c>
      <c r="J171" s="1">
        <v>19330.410828442858</v>
      </c>
      <c r="K171" s="43">
        <v>0.59295738737554782</v>
      </c>
      <c r="L171" s="20"/>
    </row>
    <row r="172" spans="1:12">
      <c r="A172" s="30">
        <v>167</v>
      </c>
      <c r="B172" s="22">
        <v>16338.182082765001</v>
      </c>
      <c r="C172" s="31">
        <v>0.37645962500000002</v>
      </c>
      <c r="D172" s="22">
        <v>12272.583774999999</v>
      </c>
      <c r="E172" s="31">
        <v>0.37645962499999996</v>
      </c>
      <c r="F172" s="26">
        <v>47388.794142234998</v>
      </c>
      <c r="G172" s="20"/>
      <c r="H172" s="44">
        <v>167</v>
      </c>
      <c r="I172" s="3">
        <v>11463.21217217929</v>
      </c>
      <c r="J172" s="3">
        <v>17147.553685585721</v>
      </c>
      <c r="K172" s="45">
        <v>0.52599857931244542</v>
      </c>
      <c r="L172" s="20"/>
    </row>
  </sheetData>
  <mergeCells count="2">
    <mergeCell ref="A1:F1"/>
    <mergeCell ref="H1:K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B5704-7899-488C-AF86-111EF7990B0C}">
  <sheetPr>
    <tabColor theme="6" tint="0.79998168889431442"/>
  </sheetPr>
  <dimension ref="A1:W1048562"/>
  <sheetViews>
    <sheetView workbookViewId="0">
      <selection activeCell="F26" sqref="F26"/>
    </sheetView>
  </sheetViews>
  <sheetFormatPr baseColWidth="10" defaultRowHeight="14"/>
  <cols>
    <col min="1" max="1" width="26.81640625" style="1" bestFit="1" customWidth="1"/>
    <col min="2" max="2" width="21.36328125" style="1" customWidth="1"/>
    <col min="3" max="3" width="20.90625" style="1" customWidth="1"/>
    <col min="4" max="4" width="16.90625" style="1" bestFit="1" customWidth="1"/>
    <col min="5" max="7" width="10.90625" style="1"/>
    <col min="8" max="8" width="10.90625" style="13"/>
    <col min="9" max="9" width="10.90625" style="2"/>
    <col min="10" max="10" width="12.90625" style="2" bestFit="1" customWidth="1"/>
    <col min="11" max="11" width="10.90625" style="2"/>
    <col min="12" max="12" width="25.6328125" style="2" bestFit="1" customWidth="1"/>
    <col min="13" max="13" width="25.36328125" style="2" bestFit="1" customWidth="1"/>
    <col min="14" max="14" width="25.453125" style="2" bestFit="1" customWidth="1"/>
    <col min="15" max="15" width="2.7265625" style="2" customWidth="1"/>
    <col min="16" max="16" width="21.6328125" style="1" customWidth="1"/>
    <col min="17" max="17" width="13.6328125" style="1" bestFit="1" customWidth="1"/>
    <col min="18" max="18" width="14.26953125" style="1" bestFit="1" customWidth="1"/>
    <col min="19" max="19" width="20" style="1" bestFit="1" customWidth="1"/>
    <col min="20" max="20" width="20.26953125" style="1" bestFit="1" customWidth="1"/>
    <col min="21" max="21" width="10.90625" style="1"/>
    <col min="22" max="23" width="2.7265625" style="6" customWidth="1"/>
    <col min="24" max="16384" width="10.90625" style="1"/>
  </cols>
  <sheetData>
    <row r="1" spans="1:23">
      <c r="A1" s="32" t="s">
        <v>20</v>
      </c>
      <c r="B1" s="32">
        <v>75999.48</v>
      </c>
      <c r="I1" s="61" t="s">
        <v>4</v>
      </c>
      <c r="J1" s="61"/>
      <c r="K1" s="61"/>
      <c r="L1" s="61"/>
      <c r="M1" s="61"/>
      <c r="N1" s="61"/>
      <c r="O1" s="6"/>
      <c r="P1" s="62" t="s">
        <v>23</v>
      </c>
      <c r="Q1" s="62"/>
      <c r="R1" s="62"/>
      <c r="S1" s="62"/>
      <c r="T1" s="62"/>
    </row>
    <row r="2" spans="1:23">
      <c r="A2" s="32" t="s">
        <v>24</v>
      </c>
      <c r="B2" s="32">
        <f>32600</f>
        <v>32600</v>
      </c>
      <c r="H2" s="14" t="s">
        <v>0</v>
      </c>
      <c r="I2" s="8" t="str" cm="1">
        <f t="array" ref="I2:M170">'[1]generators-p_max_pu'!$B$1:$F$169</f>
        <v>ES_solar</v>
      </c>
      <c r="J2" s="8" t="str">
        <v>ES_wind</v>
      </c>
      <c r="K2" s="8" t="str">
        <v>ES_water</v>
      </c>
      <c r="L2" s="8" t="str">
        <v>ES_SRES_excedentes_solar</v>
      </c>
      <c r="M2" s="8" t="str">
        <v>ES_SRES_excedentes_wind</v>
      </c>
      <c r="N2" s="9" t="s">
        <v>2</v>
      </c>
      <c r="O2" s="7"/>
      <c r="P2" s="3" t="str" cm="1">
        <f t="array" ref="P2:P170">'[1]links-p0'!$B$1:$B$169</f>
        <v>ES_turbina</v>
      </c>
      <c r="Q2" s="3" t="str" cm="1">
        <f t="array" ref="Q2:Q170">'[1]links-p0'!$C$1:$C$169</f>
        <v>ES_pump</v>
      </c>
      <c r="R2" s="3" t="str">
        <f>'[1]links-p0'!D1</f>
        <v>ES_electrolyzer</v>
      </c>
      <c r="S2" s="3" t="str">
        <f>'[1]links-p0'!E1</f>
        <v>ES_SRES_electrolyzer</v>
      </c>
      <c r="T2" s="3" t="str">
        <f>'[1]links-p0'!F1</f>
        <v>ES_SRES_excedentes</v>
      </c>
      <c r="U2" s="10" t="s">
        <v>5</v>
      </c>
      <c r="V2" s="7"/>
      <c r="W2" s="7"/>
    </row>
    <row r="3" spans="1:23">
      <c r="A3" s="4" t="s">
        <v>19</v>
      </c>
      <c r="B3" s="3" t="s">
        <v>21</v>
      </c>
      <c r="C3" s="3" t="s">
        <v>22</v>
      </c>
      <c r="D3" s="3" t="s">
        <v>25</v>
      </c>
      <c r="H3" s="13">
        <v>0</v>
      </c>
      <c r="I3" s="2">
        <v>0</v>
      </c>
      <c r="J3" s="2">
        <v>0.27513821599999999</v>
      </c>
      <c r="K3" s="2">
        <v>0.15811435523114359</v>
      </c>
      <c r="L3" s="2">
        <v>0</v>
      </c>
      <c r="M3" s="2">
        <v>0.27513821599999999</v>
      </c>
      <c r="O3" s="6"/>
      <c r="P3" s="1">
        <v>2788.799047741923</v>
      </c>
      <c r="Q3" s="1">
        <v>0</v>
      </c>
      <c r="R3" s="1">
        <f>'[1]links-p0'!D2</f>
        <v>10781.361550927521</v>
      </c>
      <c r="S3" s="1">
        <f>'[1]links-p0'!E2</f>
        <v>4484.7529207999996</v>
      </c>
      <c r="T3" s="1">
        <f>'[1]links-p0'!F2</f>
        <v>5970.4387567924796</v>
      </c>
    </row>
    <row r="4" spans="1:23">
      <c r="A4" s="1">
        <v>0</v>
      </c>
      <c r="B4" s="1">
        <f t="shared" ref="B4:B35" si="0">T3</f>
        <v>5970.4387567924796</v>
      </c>
      <c r="C4" s="1">
        <f t="shared" ref="C4:C35" si="1">S3</f>
        <v>4484.7529207999996</v>
      </c>
      <c r="D4" s="15">
        <f>C4/$B$2</f>
        <v>0.137569108</v>
      </c>
      <c r="H4" s="13">
        <v>1</v>
      </c>
      <c r="I4" s="2">
        <v>0</v>
      </c>
      <c r="J4" s="2">
        <v>0.29443187700000001</v>
      </c>
      <c r="K4" s="2">
        <v>0.15811435523114359</v>
      </c>
      <c r="L4" s="2">
        <v>0</v>
      </c>
      <c r="M4" s="2">
        <v>0.29443187700000001</v>
      </c>
      <c r="O4" s="6"/>
      <c r="P4" s="1">
        <v>0</v>
      </c>
      <c r="Q4" s="1">
        <v>1921.1895819467341</v>
      </c>
      <c r="R4" s="1">
        <f>'[1]links-p0'!D3</f>
        <v>10390.127936333991</v>
      </c>
      <c r="S4" s="1">
        <f>'[1]links-p0'!E3</f>
        <v>4799.2395950999999</v>
      </c>
      <c r="T4" s="1">
        <f>'[1]links-p0'!F3</f>
        <v>6389.1069558870586</v>
      </c>
    </row>
    <row r="5" spans="1:23">
      <c r="A5" s="1">
        <v>1</v>
      </c>
      <c r="B5" s="1">
        <f t="shared" si="0"/>
        <v>6389.1069558870586</v>
      </c>
      <c r="C5" s="1">
        <f t="shared" si="1"/>
        <v>4799.2395950999999</v>
      </c>
      <c r="D5" s="15">
        <f t="shared" ref="D5:D68" si="2">C5/$B$2</f>
        <v>0.1472159385</v>
      </c>
      <c r="H5" s="13">
        <v>2</v>
      </c>
      <c r="I5" s="2">
        <v>0</v>
      </c>
      <c r="J5" s="2">
        <v>0.29945537999999999</v>
      </c>
      <c r="K5" s="2">
        <v>0.15811435523114359</v>
      </c>
      <c r="L5" s="2">
        <v>0</v>
      </c>
      <c r="M5" s="2">
        <v>0.29945537999999999</v>
      </c>
      <c r="O5" s="6"/>
      <c r="P5" s="1">
        <v>0</v>
      </c>
      <c r="Q5" s="1">
        <v>3783.7422947364162</v>
      </c>
      <c r="R5" s="1">
        <f>'[1]links-p0'!D4</f>
        <v>10312.143676342839</v>
      </c>
      <c r="S5" s="1">
        <f>'[1]links-p0'!E4</f>
        <v>4881.1226939999997</v>
      </c>
      <c r="T5" s="1">
        <f>'[1]links-p0'!F4</f>
        <v>6498.1158658163986</v>
      </c>
    </row>
    <row r="6" spans="1:23">
      <c r="A6" s="1">
        <v>2</v>
      </c>
      <c r="B6" s="1">
        <f t="shared" si="0"/>
        <v>6498.1158658163986</v>
      </c>
      <c r="C6" s="1">
        <f t="shared" si="1"/>
        <v>4881.1226939999997</v>
      </c>
      <c r="D6" s="15">
        <f t="shared" si="2"/>
        <v>0.14972769</v>
      </c>
      <c r="H6" s="13">
        <v>3</v>
      </c>
      <c r="I6" s="2">
        <v>0</v>
      </c>
      <c r="J6" s="2">
        <v>0.30697123399999998</v>
      </c>
      <c r="K6" s="2">
        <v>0.15811435523114359</v>
      </c>
      <c r="L6" s="2">
        <v>0</v>
      </c>
      <c r="M6" s="2">
        <v>0.30697123399999998</v>
      </c>
      <c r="O6" s="6"/>
      <c r="P6" s="1">
        <v>0</v>
      </c>
      <c r="Q6" s="1">
        <v>5185.09829045476</v>
      </c>
      <c r="R6" s="1">
        <f>'[1]links-p0'!D5</f>
        <v>10370.927911327981</v>
      </c>
      <c r="S6" s="1">
        <f>'[1]links-p0'!E5</f>
        <v>5003.6311142000004</v>
      </c>
      <c r="T6" s="1">
        <f>'[1]links-p0'!F5</f>
        <v>6661.2082441285193</v>
      </c>
    </row>
    <row r="7" spans="1:23">
      <c r="A7" s="1">
        <v>3</v>
      </c>
      <c r="B7" s="1">
        <f t="shared" si="0"/>
        <v>6661.2082441285193</v>
      </c>
      <c r="C7" s="1">
        <f t="shared" si="1"/>
        <v>5003.6311142000004</v>
      </c>
      <c r="D7" s="15">
        <f t="shared" si="2"/>
        <v>0.15348561700000002</v>
      </c>
      <c r="H7" s="13">
        <v>4</v>
      </c>
      <c r="I7" s="2">
        <v>0</v>
      </c>
      <c r="J7" s="2">
        <v>0.32181367900000002</v>
      </c>
      <c r="K7" s="2">
        <v>0.15811435523114359</v>
      </c>
      <c r="L7" s="2">
        <v>0</v>
      </c>
      <c r="M7" s="2">
        <v>0.32181367900000002</v>
      </c>
      <c r="O7" s="6"/>
      <c r="P7" s="1">
        <v>0</v>
      </c>
      <c r="Q7" s="1">
        <v>6765.8815992364198</v>
      </c>
      <c r="R7" s="1">
        <f>'[1]links-p0'!D6</f>
        <v>10238.602793992281</v>
      </c>
      <c r="S7" s="1">
        <f>'[1]links-p0'!E6</f>
        <v>5245.5629677000006</v>
      </c>
      <c r="T7" s="1">
        <f>'[1]links-p0'!F6</f>
        <v>6983.28603529062</v>
      </c>
    </row>
    <row r="8" spans="1:23">
      <c r="A8" s="1">
        <v>4</v>
      </c>
      <c r="B8" s="1">
        <f t="shared" si="0"/>
        <v>6983.28603529062</v>
      </c>
      <c r="C8" s="1">
        <f t="shared" si="1"/>
        <v>5245.5629677000006</v>
      </c>
      <c r="D8" s="15">
        <f t="shared" si="2"/>
        <v>0.16090683950000001</v>
      </c>
      <c r="H8" s="13">
        <v>5</v>
      </c>
      <c r="I8" s="2">
        <v>0</v>
      </c>
      <c r="J8" s="2">
        <v>0.323743155</v>
      </c>
      <c r="K8" s="2">
        <v>0.15811435523114359</v>
      </c>
      <c r="L8" s="2">
        <v>0</v>
      </c>
      <c r="M8" s="2">
        <v>0.323743155</v>
      </c>
      <c r="O8" s="6"/>
      <c r="P8" s="1">
        <v>0</v>
      </c>
      <c r="Q8" s="1">
        <v>5853.9138554368747</v>
      </c>
      <c r="R8" s="1">
        <f>'[1]links-p0'!D7</f>
        <v>10366.094242722609</v>
      </c>
      <c r="S8" s="1">
        <f>'[1]links-p0'!E7</f>
        <v>5277.0134264999997</v>
      </c>
      <c r="T8" s="1">
        <f>'[1]links-p0'!F7</f>
        <v>7025.1552400058999</v>
      </c>
    </row>
    <row r="9" spans="1:23">
      <c r="A9" s="1">
        <v>5</v>
      </c>
      <c r="B9" s="1">
        <f t="shared" si="0"/>
        <v>7025.1552400058999</v>
      </c>
      <c r="C9" s="1">
        <f t="shared" si="1"/>
        <v>5277.0134264999997</v>
      </c>
      <c r="D9" s="15">
        <f t="shared" si="2"/>
        <v>0.1618715775</v>
      </c>
      <c r="H9" s="13">
        <v>6</v>
      </c>
      <c r="I9" s="2">
        <v>0</v>
      </c>
      <c r="J9" s="2">
        <v>0.30273460200000002</v>
      </c>
      <c r="K9" s="2">
        <v>0.15811435523114359</v>
      </c>
      <c r="L9" s="2">
        <v>0</v>
      </c>
      <c r="M9" s="2">
        <v>0.30273460200000002</v>
      </c>
      <c r="O9" s="6"/>
      <c r="P9" s="1">
        <v>0</v>
      </c>
      <c r="Q9" s="1">
        <v>1209.007575439638</v>
      </c>
      <c r="R9" s="1">
        <f>'[1]links-p0'!D8</f>
        <v>10840.905697199491</v>
      </c>
      <c r="S9" s="1">
        <f>'[1]links-p0'!E8</f>
        <v>4934.5740126000001</v>
      </c>
      <c r="T9" s="1">
        <f>'[1]links-p0'!F8</f>
        <v>6569.2742617875601</v>
      </c>
    </row>
    <row r="10" spans="1:23">
      <c r="A10" s="1">
        <v>6</v>
      </c>
      <c r="B10" s="1">
        <f t="shared" si="0"/>
        <v>6569.2742617875601</v>
      </c>
      <c r="C10" s="1">
        <f t="shared" si="1"/>
        <v>4934.5740126000001</v>
      </c>
      <c r="D10" s="15">
        <f t="shared" si="2"/>
        <v>0.15136730100000001</v>
      </c>
      <c r="H10" s="13">
        <v>7</v>
      </c>
      <c r="I10" s="2">
        <v>0</v>
      </c>
      <c r="J10" s="2">
        <v>0.24533328800000001</v>
      </c>
      <c r="K10" s="2">
        <v>0.15811435523114359</v>
      </c>
      <c r="L10" s="2">
        <v>0</v>
      </c>
      <c r="M10" s="2">
        <v>0.24533328800000001</v>
      </c>
      <c r="O10" s="6"/>
      <c r="P10" s="1">
        <v>9491.9676541744684</v>
      </c>
      <c r="Q10" s="1">
        <v>0</v>
      </c>
      <c r="R10" s="1">
        <f>'[1]links-p0'!D9</f>
        <v>11834.170066242579</v>
      </c>
      <c r="S10" s="1">
        <f>'[1]links-p0'!E9</f>
        <v>3998.9325944000002</v>
      </c>
      <c r="T10" s="1">
        <f>'[1]links-p0'!F9</f>
        <v>5323.6783762766399</v>
      </c>
    </row>
    <row r="11" spans="1:23">
      <c r="A11" s="1">
        <v>7</v>
      </c>
      <c r="B11" s="1">
        <f t="shared" si="0"/>
        <v>5323.6783762766399</v>
      </c>
      <c r="C11" s="1">
        <f t="shared" si="1"/>
        <v>3998.9325944000002</v>
      </c>
      <c r="D11" s="15">
        <f t="shared" si="2"/>
        <v>0.12266664400000001</v>
      </c>
      <c r="H11" s="13">
        <v>8</v>
      </c>
      <c r="I11" s="2">
        <v>9.4880399999999997E-3</v>
      </c>
      <c r="J11" s="2">
        <v>0.19145563500000001</v>
      </c>
      <c r="K11" s="2">
        <v>0.15811435523114359</v>
      </c>
      <c r="L11" s="2">
        <v>9.4880399999999997E-3</v>
      </c>
      <c r="M11" s="2">
        <v>0.19145563500000001</v>
      </c>
      <c r="O11" s="6"/>
      <c r="P11" s="1">
        <v>0</v>
      </c>
      <c r="Q11" s="1">
        <v>0</v>
      </c>
      <c r="R11" s="1">
        <f>'[1]links-p0'!D10</f>
        <v>12607.299796813561</v>
      </c>
      <c r="S11" s="1">
        <f>'[1]links-p0'!E10</f>
        <v>3275.3819024999998</v>
      </c>
      <c r="T11" s="1">
        <f>'[1]links-p0'!F10</f>
        <v>4360.4335398915</v>
      </c>
    </row>
    <row r="12" spans="1:23">
      <c r="A12" s="1">
        <v>8</v>
      </c>
      <c r="B12" s="1">
        <f t="shared" si="0"/>
        <v>4360.4335398915</v>
      </c>
      <c r="C12" s="1">
        <f t="shared" si="1"/>
        <v>3275.3819024999998</v>
      </c>
      <c r="D12" s="15">
        <f t="shared" si="2"/>
        <v>0.10047183749999999</v>
      </c>
      <c r="H12" s="13">
        <v>9</v>
      </c>
      <c r="I12" s="2">
        <v>0.25333195600000002</v>
      </c>
      <c r="J12" s="2">
        <v>0.16467230399999999</v>
      </c>
      <c r="K12" s="2">
        <v>0.15811435523114359</v>
      </c>
      <c r="L12" s="2">
        <v>0.25333195600000002</v>
      </c>
      <c r="M12" s="2">
        <v>0.16467230399999999</v>
      </c>
      <c r="O12" s="6"/>
      <c r="P12" s="1">
        <v>0</v>
      </c>
      <c r="Q12" s="1">
        <v>13320.750632965201</v>
      </c>
      <c r="R12" s="1">
        <f>'[1]links-p0'!D11</f>
        <v>8359.7292517835849</v>
      </c>
      <c r="S12" s="1">
        <f>'[1]links-p0'!E11</f>
        <v>6813.4694380000001</v>
      </c>
      <c r="T12" s="1">
        <f>'[1]links-p0'!F11</f>
        <v>9070.6004810628001</v>
      </c>
    </row>
    <row r="13" spans="1:23">
      <c r="A13" s="1">
        <v>9</v>
      </c>
      <c r="B13" s="1">
        <f t="shared" si="0"/>
        <v>9070.6004810628001</v>
      </c>
      <c r="C13" s="1">
        <f t="shared" si="1"/>
        <v>6813.4694380000001</v>
      </c>
      <c r="D13" s="15">
        <f t="shared" si="2"/>
        <v>0.20900213000000001</v>
      </c>
      <c r="H13" s="13">
        <v>10</v>
      </c>
      <c r="I13" s="2">
        <v>0.61809580500000005</v>
      </c>
      <c r="J13" s="2">
        <v>0.15553496</v>
      </c>
      <c r="K13" s="2">
        <v>0.15811435523114359</v>
      </c>
      <c r="L13" s="2">
        <v>0.61809580500000005</v>
      </c>
      <c r="M13" s="2">
        <v>0.15553496</v>
      </c>
      <c r="O13" s="6"/>
      <c r="P13" s="1">
        <v>0</v>
      </c>
      <c r="Q13" s="1">
        <v>13320.750632965201</v>
      </c>
      <c r="R13" s="1">
        <f>'[1]links-p0'!D12</f>
        <v>2306.986742385714</v>
      </c>
      <c r="S13" s="1">
        <f>'[1]links-p0'!E12</f>
        <v>12610.181469499999</v>
      </c>
      <c r="T13" s="1">
        <f>'[1]links-p0'!F12</f>
        <v>16787.617401731699</v>
      </c>
    </row>
    <row r="14" spans="1:23">
      <c r="A14" s="1">
        <v>10</v>
      </c>
      <c r="B14" s="1">
        <f t="shared" si="0"/>
        <v>16787.617401731699</v>
      </c>
      <c r="C14" s="1">
        <f t="shared" si="1"/>
        <v>12610.181469499999</v>
      </c>
      <c r="D14" s="15">
        <f t="shared" si="2"/>
        <v>0.38681538249999997</v>
      </c>
      <c r="H14" s="13">
        <v>11</v>
      </c>
      <c r="I14" s="2">
        <v>0.82067192099999997</v>
      </c>
      <c r="J14" s="2">
        <v>0.16481443000000001</v>
      </c>
      <c r="K14" s="2">
        <v>0.15811435523114359</v>
      </c>
      <c r="L14" s="2">
        <v>0.82067192099999997</v>
      </c>
      <c r="M14" s="2">
        <v>0.16481443000000001</v>
      </c>
      <c r="O14" s="6"/>
      <c r="P14" s="1">
        <v>0</v>
      </c>
      <c r="Q14" s="1">
        <v>13320.750632965201</v>
      </c>
      <c r="R14" s="1">
        <f>'[1]links-p0'!D13</f>
        <v>0</v>
      </c>
      <c r="S14" s="1">
        <f>'[1]links-p0'!E13</f>
        <v>16063.4275213</v>
      </c>
      <c r="T14" s="1">
        <f>'[1]links-p0'!F13</f>
        <v>21384.83700970278</v>
      </c>
    </row>
    <row r="15" spans="1:23">
      <c r="A15" s="1">
        <v>11</v>
      </c>
      <c r="B15" s="1">
        <f t="shared" si="0"/>
        <v>21384.83700970278</v>
      </c>
      <c r="C15" s="1">
        <f t="shared" si="1"/>
        <v>16063.4275213</v>
      </c>
      <c r="D15" s="15">
        <f t="shared" si="2"/>
        <v>0.49274317550000002</v>
      </c>
      <c r="H15" s="13">
        <v>12</v>
      </c>
      <c r="I15" s="2">
        <v>0.90059444</v>
      </c>
      <c r="J15" s="2">
        <v>0.189962678</v>
      </c>
      <c r="K15" s="2">
        <v>0.15811435523114359</v>
      </c>
      <c r="L15" s="2">
        <v>0.90059444</v>
      </c>
      <c r="M15" s="2">
        <v>0.189962678</v>
      </c>
      <c r="O15" s="6"/>
      <c r="P15" s="1">
        <v>0</v>
      </c>
      <c r="Q15" s="1">
        <v>13320.750632965201</v>
      </c>
      <c r="R15" s="1">
        <f>'[1]links-p0'!D14</f>
        <v>0</v>
      </c>
      <c r="S15" s="1">
        <f>'[1]links-p0'!E14</f>
        <v>17066.849325214291</v>
      </c>
      <c r="T15" s="1">
        <f>'[1]links-p0'!F14</f>
        <v>23664.849538034039</v>
      </c>
    </row>
    <row r="16" spans="1:23">
      <c r="A16" s="1">
        <v>12</v>
      </c>
      <c r="B16" s="1">
        <f t="shared" si="0"/>
        <v>23664.849538034039</v>
      </c>
      <c r="C16" s="1">
        <f t="shared" si="1"/>
        <v>17066.849325214291</v>
      </c>
      <c r="D16" s="15">
        <f t="shared" si="2"/>
        <v>0.52352298543602116</v>
      </c>
      <c r="H16" s="13">
        <v>13</v>
      </c>
      <c r="I16" s="2">
        <v>0.90052196299999998</v>
      </c>
      <c r="J16" s="2">
        <v>0.20713524</v>
      </c>
      <c r="K16" s="2">
        <v>0.15811435523114359</v>
      </c>
      <c r="L16" s="2">
        <v>0.90052196299999998</v>
      </c>
      <c r="M16" s="2">
        <v>0.20713524</v>
      </c>
      <c r="O16" s="6"/>
      <c r="P16" s="1">
        <v>0</v>
      </c>
      <c r="Q16" s="1">
        <v>13320.750632965201</v>
      </c>
      <c r="R16" s="1">
        <f>'[1]links-p0'!D15</f>
        <v>0</v>
      </c>
      <c r="S16" s="1">
        <f>'[1]links-p0'!E15</f>
        <v>17066.849325214291</v>
      </c>
      <c r="T16" s="1">
        <f>'[1]links-p0'!F15</f>
        <v>24035.917620515342</v>
      </c>
    </row>
    <row r="17" spans="1:20">
      <c r="A17" s="1">
        <v>13</v>
      </c>
      <c r="B17" s="1">
        <f t="shared" si="0"/>
        <v>24035.917620515342</v>
      </c>
      <c r="C17" s="1">
        <f t="shared" si="1"/>
        <v>17066.849325214291</v>
      </c>
      <c r="D17" s="15">
        <f t="shared" si="2"/>
        <v>0.52352298543602116</v>
      </c>
      <c r="H17" s="13">
        <v>14</v>
      </c>
      <c r="I17" s="2">
        <v>0.82937190999999999</v>
      </c>
      <c r="J17" s="2">
        <v>0.21409618999999999</v>
      </c>
      <c r="K17" s="2">
        <v>0.15811435523114359</v>
      </c>
      <c r="L17" s="2">
        <v>0.82937190999999999</v>
      </c>
      <c r="M17" s="2">
        <v>0.21409618999999999</v>
      </c>
      <c r="O17" s="6"/>
      <c r="P17" s="1">
        <v>0</v>
      </c>
      <c r="Q17" s="1">
        <v>13320.750632965201</v>
      </c>
      <c r="R17" s="1">
        <f>'[1]links-p0'!D16</f>
        <v>93.244661414282746</v>
      </c>
      <c r="S17" s="1">
        <f>'[1]links-p0'!E16</f>
        <v>17008.530030000002</v>
      </c>
      <c r="T17" s="1">
        <f>'[1]links-p0'!F16</f>
        <v>22643.028207018</v>
      </c>
    </row>
    <row r="18" spans="1:20">
      <c r="A18" s="1">
        <v>14</v>
      </c>
      <c r="B18" s="1">
        <f t="shared" si="0"/>
        <v>22643.028207018</v>
      </c>
      <c r="C18" s="1">
        <f t="shared" si="1"/>
        <v>17008.530030000002</v>
      </c>
      <c r="D18" s="15">
        <f t="shared" si="2"/>
        <v>0.52173405000000006</v>
      </c>
      <c r="H18" s="13">
        <v>15</v>
      </c>
      <c r="I18" s="2">
        <v>0.70370061399999995</v>
      </c>
      <c r="J18" s="2">
        <v>0.214720357</v>
      </c>
      <c r="K18" s="2">
        <v>0.15811435523114359</v>
      </c>
      <c r="L18" s="2">
        <v>0.70370061399999995</v>
      </c>
      <c r="M18" s="2">
        <v>0.214720357</v>
      </c>
      <c r="O18" s="6"/>
      <c r="P18" s="1">
        <v>0</v>
      </c>
      <c r="Q18" s="1">
        <v>13320.750632965201</v>
      </c>
      <c r="R18" s="1">
        <f>'[1]links-p0'!D17</f>
        <v>0</v>
      </c>
      <c r="S18" s="1">
        <f>'[1]links-p0'!E17</f>
        <v>14970.261827300001</v>
      </c>
      <c r="T18" s="1">
        <f>'[1]links-p0'!F17</f>
        <v>19929.533018086378</v>
      </c>
    </row>
    <row r="19" spans="1:20">
      <c r="A19" s="1">
        <v>15</v>
      </c>
      <c r="B19" s="1">
        <f t="shared" si="0"/>
        <v>19929.533018086378</v>
      </c>
      <c r="C19" s="1">
        <f t="shared" si="1"/>
        <v>14970.261827300001</v>
      </c>
      <c r="D19" s="15">
        <f t="shared" si="2"/>
        <v>0.45921048550000004</v>
      </c>
      <c r="H19" s="13">
        <v>16</v>
      </c>
      <c r="I19" s="2">
        <v>0.458227365</v>
      </c>
      <c r="J19" s="2">
        <v>0.20648649199999999</v>
      </c>
      <c r="K19" s="2">
        <v>0.15811435523114359</v>
      </c>
      <c r="L19" s="2">
        <v>0.458227365</v>
      </c>
      <c r="M19" s="2">
        <v>0.20648649199999999</v>
      </c>
      <c r="O19" s="6"/>
      <c r="P19" s="1">
        <v>0</v>
      </c>
      <c r="Q19" s="1">
        <v>13320.750632965201</v>
      </c>
      <c r="R19" s="1">
        <f>'[1]links-p0'!D18</f>
        <v>4082.3323427857158</v>
      </c>
      <c r="S19" s="1">
        <f>'[1]links-p0'!E18</f>
        <v>10834.835869099999</v>
      </c>
      <c r="T19" s="1">
        <f>'[1]links-p0'!F18</f>
        <v>14424.144459851461</v>
      </c>
    </row>
    <row r="20" spans="1:20">
      <c r="A20" s="1">
        <v>16</v>
      </c>
      <c r="B20" s="1">
        <f t="shared" si="0"/>
        <v>14424.144459851461</v>
      </c>
      <c r="C20" s="1">
        <f t="shared" si="1"/>
        <v>10834.835869099999</v>
      </c>
      <c r="D20" s="15">
        <f t="shared" si="2"/>
        <v>0.33235692849999998</v>
      </c>
      <c r="H20" s="13">
        <v>17</v>
      </c>
      <c r="I20" s="2">
        <v>0.106881658</v>
      </c>
      <c r="J20" s="2">
        <v>0.17191646599999999</v>
      </c>
      <c r="K20" s="2">
        <v>0.15811435523114359</v>
      </c>
      <c r="L20" s="2">
        <v>0.106881658</v>
      </c>
      <c r="M20" s="2">
        <v>0.17191646599999999</v>
      </c>
      <c r="O20" s="6"/>
      <c r="P20" s="1">
        <v>8550.2299186781438</v>
      </c>
      <c r="Q20" s="1">
        <v>0</v>
      </c>
      <c r="R20" s="1">
        <f>'[1]links-p0'!D19</f>
        <v>10614.23012119038</v>
      </c>
      <c r="S20" s="1">
        <f>'[1]links-p0'!E19</f>
        <v>4544.4094212</v>
      </c>
      <c r="T20" s="1">
        <f>'[1]links-p0'!F19</f>
        <v>6049.8579552127194</v>
      </c>
    </row>
    <row r="21" spans="1:20">
      <c r="A21" s="1">
        <v>17</v>
      </c>
      <c r="B21" s="1">
        <f t="shared" si="0"/>
        <v>6049.8579552127194</v>
      </c>
      <c r="C21" s="1">
        <f t="shared" si="1"/>
        <v>4544.4094212</v>
      </c>
      <c r="D21" s="15">
        <f t="shared" si="2"/>
        <v>0.13939906199999999</v>
      </c>
      <c r="H21" s="13">
        <v>18</v>
      </c>
      <c r="I21" s="2">
        <v>8.2300000000000008E-6</v>
      </c>
      <c r="J21" s="2">
        <v>0.158973279</v>
      </c>
      <c r="K21" s="2">
        <v>0.15811435523114359</v>
      </c>
      <c r="L21" s="2">
        <v>8.2300000000000008E-6</v>
      </c>
      <c r="M21" s="2">
        <v>0.158973279</v>
      </c>
      <c r="O21" s="6"/>
      <c r="P21" s="1">
        <v>25140.2664733333</v>
      </c>
      <c r="Q21" s="1">
        <v>0</v>
      </c>
      <c r="R21" s="1">
        <f>'[1]links-p0'!D20</f>
        <v>13948.771924947379</v>
      </c>
      <c r="S21" s="1">
        <f>'[1]links-p0'!E20</f>
        <v>2591.3985966999999</v>
      </c>
      <c r="T21" s="1">
        <f>'[1]links-p0'!F20</f>
        <v>3449.8637693680198</v>
      </c>
    </row>
    <row r="22" spans="1:20">
      <c r="A22" s="1">
        <v>18</v>
      </c>
      <c r="B22" s="1">
        <f t="shared" si="0"/>
        <v>3449.8637693680198</v>
      </c>
      <c r="C22" s="1">
        <f t="shared" si="1"/>
        <v>2591.3985966999999</v>
      </c>
      <c r="D22" s="15">
        <f t="shared" si="2"/>
        <v>7.9490754499999997E-2</v>
      </c>
      <c r="H22" s="13">
        <v>19</v>
      </c>
      <c r="I22" s="2">
        <v>0</v>
      </c>
      <c r="J22" s="2">
        <v>0.15493874299999999</v>
      </c>
      <c r="K22" s="2">
        <v>0.15811435523114359</v>
      </c>
      <c r="L22" s="2">
        <v>0</v>
      </c>
      <c r="M22" s="2">
        <v>0.15493874299999999</v>
      </c>
      <c r="O22" s="6"/>
      <c r="P22" s="1">
        <v>0</v>
      </c>
      <c r="Q22" s="1">
        <v>0</v>
      </c>
      <c r="R22" s="1">
        <f>'[1]links-p0'!D21</f>
        <v>13731.95669393258</v>
      </c>
      <c r="S22" s="1">
        <f>'[1]links-p0'!E21</f>
        <v>2525.5015109000001</v>
      </c>
      <c r="T22" s="1">
        <f>'[1]links-p0'!F21</f>
        <v>3362.1366365765398</v>
      </c>
    </row>
    <row r="23" spans="1:20">
      <c r="A23" s="1">
        <v>19</v>
      </c>
      <c r="B23" s="1">
        <f t="shared" si="0"/>
        <v>3362.1366365765398</v>
      </c>
      <c r="C23" s="1">
        <f t="shared" si="1"/>
        <v>2525.5015109000001</v>
      </c>
      <c r="D23" s="15">
        <f t="shared" si="2"/>
        <v>7.7469371500000009E-2</v>
      </c>
      <c r="H23" s="13">
        <v>20</v>
      </c>
      <c r="I23" s="2">
        <v>0</v>
      </c>
      <c r="J23" s="2">
        <v>0.15646373499999999</v>
      </c>
      <c r="K23" s="2">
        <v>0.15811435523114359</v>
      </c>
      <c r="L23" s="2">
        <v>0</v>
      </c>
      <c r="M23" s="2">
        <v>0.15646373499999999</v>
      </c>
      <c r="O23" s="6"/>
      <c r="P23" s="1">
        <v>24542.651428507641</v>
      </c>
      <c r="Q23" s="1">
        <v>0</v>
      </c>
      <c r="R23" s="1">
        <f>'[1]links-p0'!D22</f>
        <v>13500.436023007711</v>
      </c>
      <c r="S23" s="1">
        <f>'[1]links-p0'!E22</f>
        <v>2550.3588804999999</v>
      </c>
      <c r="T23" s="1">
        <f>'[1]links-p0'!F22</f>
        <v>3395.2286274783</v>
      </c>
    </row>
    <row r="24" spans="1:20">
      <c r="A24" s="1">
        <v>20</v>
      </c>
      <c r="B24" s="1">
        <f t="shared" si="0"/>
        <v>3395.2286274783</v>
      </c>
      <c r="C24" s="1">
        <f t="shared" si="1"/>
        <v>2550.3588804999999</v>
      </c>
      <c r="D24" s="15">
        <f t="shared" si="2"/>
        <v>7.8231867499999996E-2</v>
      </c>
      <c r="H24" s="13">
        <v>21</v>
      </c>
      <c r="I24" s="2">
        <v>0</v>
      </c>
      <c r="J24" s="2">
        <v>0.161745637</v>
      </c>
      <c r="K24" s="2">
        <v>0.15811435523114359</v>
      </c>
      <c r="L24" s="2">
        <v>0</v>
      </c>
      <c r="M24" s="2">
        <v>0.161745637</v>
      </c>
      <c r="O24" s="6"/>
      <c r="P24" s="1">
        <v>25140.2664733333</v>
      </c>
      <c r="Q24" s="1">
        <v>0</v>
      </c>
      <c r="R24" s="1">
        <f>'[1]links-p0'!D23</f>
        <v>13125.7904890142</v>
      </c>
      <c r="S24" s="1">
        <f>'[1]links-p0'!E23</f>
        <v>2636.4538831</v>
      </c>
      <c r="T24" s="1">
        <f>'[1]links-p0'!F23</f>
        <v>3509.8447388598602</v>
      </c>
    </row>
    <row r="25" spans="1:20">
      <c r="A25" s="1">
        <v>21</v>
      </c>
      <c r="B25" s="1">
        <f t="shared" si="0"/>
        <v>3509.8447388598602</v>
      </c>
      <c r="C25" s="1">
        <f t="shared" si="1"/>
        <v>2636.4538831</v>
      </c>
      <c r="D25" s="15">
        <f t="shared" si="2"/>
        <v>8.0872818499999999E-2</v>
      </c>
      <c r="H25" s="13">
        <v>22</v>
      </c>
      <c r="I25" s="2">
        <v>0</v>
      </c>
      <c r="J25" s="2">
        <v>0.172932218</v>
      </c>
      <c r="K25" s="2">
        <v>0.15811435523114359</v>
      </c>
      <c r="L25" s="2">
        <v>0</v>
      </c>
      <c r="M25" s="2">
        <v>0.172932218</v>
      </c>
      <c r="O25" s="6"/>
      <c r="P25" s="1">
        <v>25140.2664733333</v>
      </c>
      <c r="Q25" s="1">
        <v>0</v>
      </c>
      <c r="R25" s="1">
        <f>'[1]links-p0'!D24</f>
        <v>12811.42165750859</v>
      </c>
      <c r="S25" s="1">
        <f>'[1]links-p0'!E24</f>
        <v>2818.7951533999999</v>
      </c>
      <c r="T25" s="1">
        <f>'[1]links-p0'!F24</f>
        <v>3752.5910855120401</v>
      </c>
    </row>
    <row r="26" spans="1:20">
      <c r="A26" s="1">
        <v>22</v>
      </c>
      <c r="B26" s="1">
        <f t="shared" si="0"/>
        <v>3752.5910855120401</v>
      </c>
      <c r="C26" s="1">
        <f t="shared" si="1"/>
        <v>2818.7951533999999</v>
      </c>
      <c r="D26" s="15">
        <f t="shared" si="2"/>
        <v>8.6466108999999999E-2</v>
      </c>
      <c r="H26" s="13">
        <v>23</v>
      </c>
      <c r="I26" s="2">
        <v>0</v>
      </c>
      <c r="J26" s="2">
        <v>0.18310457299999999</v>
      </c>
      <c r="K26" s="2">
        <v>0.15811435523114359</v>
      </c>
      <c r="L26" s="2">
        <v>0</v>
      </c>
      <c r="M26" s="2">
        <v>0.18310457299999999</v>
      </c>
      <c r="O26" s="6"/>
      <c r="P26" s="1">
        <v>23352.82241173106</v>
      </c>
      <c r="Q26" s="1">
        <v>0</v>
      </c>
      <c r="R26" s="1">
        <f>'[1]links-p0'!D25</f>
        <v>12528.713448501479</v>
      </c>
      <c r="S26" s="1">
        <f>'[1]links-p0'!E25</f>
        <v>2984.6045399</v>
      </c>
      <c r="T26" s="1">
        <f>'[1]links-p0'!F25</f>
        <v>3973.3289510939398</v>
      </c>
    </row>
    <row r="27" spans="1:20">
      <c r="A27" s="1">
        <v>23</v>
      </c>
      <c r="B27" s="1">
        <f t="shared" si="0"/>
        <v>3973.3289510939398</v>
      </c>
      <c r="C27" s="1">
        <f t="shared" si="1"/>
        <v>2984.6045399</v>
      </c>
      <c r="D27" s="15">
        <f t="shared" si="2"/>
        <v>9.1552286499999996E-2</v>
      </c>
      <c r="H27" s="13">
        <v>24</v>
      </c>
      <c r="I27" s="2">
        <v>0</v>
      </c>
      <c r="J27" s="2">
        <v>0.191308168</v>
      </c>
      <c r="K27" s="2">
        <v>0.16173965936739659</v>
      </c>
      <c r="L27" s="2">
        <v>0</v>
      </c>
      <c r="M27" s="2">
        <v>0.191308168</v>
      </c>
      <c r="O27" s="6"/>
      <c r="P27" s="1">
        <v>0</v>
      </c>
      <c r="Q27" s="1">
        <v>0</v>
      </c>
      <c r="R27" s="1">
        <f>'[1]links-p0'!D26</f>
        <v>12236.092756836249</v>
      </c>
      <c r="S27" s="1">
        <f>'[1]links-p0'!E26</f>
        <v>3118.3231384000001</v>
      </c>
      <c r="T27" s="1">
        <f>'[1]links-p0'!F26</f>
        <v>4151.3451578030399</v>
      </c>
    </row>
    <row r="28" spans="1:20">
      <c r="A28" s="1">
        <v>24</v>
      </c>
      <c r="B28" s="1">
        <f t="shared" si="0"/>
        <v>4151.3451578030399</v>
      </c>
      <c r="C28" s="1">
        <f t="shared" si="1"/>
        <v>3118.3231384000001</v>
      </c>
      <c r="D28" s="15">
        <f t="shared" si="2"/>
        <v>9.5654084E-2</v>
      </c>
      <c r="H28" s="13">
        <v>25</v>
      </c>
      <c r="I28" s="2">
        <v>0</v>
      </c>
      <c r="J28" s="2">
        <v>0.18462990100000001</v>
      </c>
      <c r="K28" s="2">
        <v>0.16173965936739659</v>
      </c>
      <c r="L28" s="2">
        <v>0</v>
      </c>
      <c r="M28" s="2">
        <v>0.18462990100000001</v>
      </c>
      <c r="O28" s="6"/>
      <c r="P28" s="1">
        <v>0</v>
      </c>
      <c r="Q28" s="1">
        <v>0</v>
      </c>
      <c r="R28" s="1">
        <f>'[1]links-p0'!D27</f>
        <v>12179.03912124847</v>
      </c>
      <c r="S28" s="1">
        <f>'[1]links-p0'!E27</f>
        <v>3009.4673862999998</v>
      </c>
      <c r="T28" s="1">
        <f>'[1]links-p0'!F27</f>
        <v>4006.4282331217801</v>
      </c>
    </row>
    <row r="29" spans="1:20">
      <c r="A29" s="1">
        <v>25</v>
      </c>
      <c r="B29" s="1">
        <f t="shared" si="0"/>
        <v>4006.4282331217801</v>
      </c>
      <c r="C29" s="1">
        <f t="shared" si="1"/>
        <v>3009.4673862999998</v>
      </c>
      <c r="D29" s="15">
        <f t="shared" si="2"/>
        <v>9.2314950499999993E-2</v>
      </c>
      <c r="H29" s="13">
        <v>26</v>
      </c>
      <c r="I29" s="2">
        <v>0</v>
      </c>
      <c r="J29" s="2">
        <v>0.175203316</v>
      </c>
      <c r="K29" s="2">
        <v>0.16173965936739659</v>
      </c>
      <c r="L29" s="2">
        <v>0</v>
      </c>
      <c r="M29" s="2">
        <v>0.175203316</v>
      </c>
      <c r="O29" s="6"/>
      <c r="P29" s="1">
        <v>0</v>
      </c>
      <c r="Q29" s="1">
        <v>0</v>
      </c>
      <c r="R29" s="1">
        <f>'[1]links-p0'!D28</f>
        <v>12253.04667356252</v>
      </c>
      <c r="S29" s="1">
        <f>'[1]links-p0'!E28</f>
        <v>2855.8140508000001</v>
      </c>
      <c r="T29" s="1">
        <f>'[1]links-p0'!F28</f>
        <v>3801.8734124704802</v>
      </c>
    </row>
    <row r="30" spans="1:20">
      <c r="A30" s="1">
        <v>26</v>
      </c>
      <c r="B30" s="1">
        <f t="shared" si="0"/>
        <v>3801.8734124704802</v>
      </c>
      <c r="C30" s="1">
        <f t="shared" si="1"/>
        <v>2855.8140508000001</v>
      </c>
      <c r="D30" s="15">
        <f t="shared" si="2"/>
        <v>8.7601657999999999E-2</v>
      </c>
      <c r="H30" s="13">
        <v>27</v>
      </c>
      <c r="I30" s="2">
        <v>0</v>
      </c>
      <c r="J30" s="2">
        <v>0.164087805</v>
      </c>
      <c r="K30" s="2">
        <v>0.16173965936739659</v>
      </c>
      <c r="L30" s="2">
        <v>0</v>
      </c>
      <c r="M30" s="2">
        <v>0.164087805</v>
      </c>
      <c r="O30" s="6"/>
      <c r="P30" s="1">
        <v>0</v>
      </c>
      <c r="Q30" s="1">
        <v>0</v>
      </c>
      <c r="R30" s="1">
        <f>'[1]links-p0'!D29</f>
        <v>12442.41211812552</v>
      </c>
      <c r="S30" s="1">
        <f>'[1]links-p0'!E29</f>
        <v>2674.6312214999998</v>
      </c>
      <c r="T30" s="1">
        <f>'[1]links-p0'!F29</f>
        <v>3560.6692691828998</v>
      </c>
    </row>
    <row r="31" spans="1:20">
      <c r="A31" s="1">
        <v>27</v>
      </c>
      <c r="B31" s="1">
        <f t="shared" si="0"/>
        <v>3560.6692691828998</v>
      </c>
      <c r="C31" s="1">
        <f t="shared" si="1"/>
        <v>2674.6312214999998</v>
      </c>
      <c r="D31" s="15">
        <f t="shared" si="2"/>
        <v>8.2043902499999988E-2</v>
      </c>
      <c r="H31" s="13">
        <v>28</v>
      </c>
      <c r="I31" s="2">
        <v>0</v>
      </c>
      <c r="J31" s="2">
        <v>0.15585540000000001</v>
      </c>
      <c r="K31" s="2">
        <v>0.16173965936739659</v>
      </c>
      <c r="L31" s="2">
        <v>0</v>
      </c>
      <c r="M31" s="2">
        <v>0.15585540000000001</v>
      </c>
      <c r="O31" s="6"/>
      <c r="P31" s="1">
        <v>20356.0095379794</v>
      </c>
      <c r="Q31" s="1">
        <v>0</v>
      </c>
      <c r="R31" s="1">
        <f>'[1]links-p0'!D30</f>
        <v>12575.93679714947</v>
      </c>
      <c r="S31" s="1">
        <f>'[1]links-p0'!E30</f>
        <v>2540.4430200000002</v>
      </c>
      <c r="T31" s="1">
        <f>'[1]links-p0'!F30</f>
        <v>3382.0278918119998</v>
      </c>
    </row>
    <row r="32" spans="1:20">
      <c r="A32" s="1">
        <v>28</v>
      </c>
      <c r="B32" s="1">
        <f t="shared" si="0"/>
        <v>3382.0278918119998</v>
      </c>
      <c r="C32" s="1">
        <f t="shared" si="1"/>
        <v>2540.4430200000002</v>
      </c>
      <c r="D32" s="15">
        <f t="shared" si="2"/>
        <v>7.7927700000000003E-2</v>
      </c>
      <c r="H32" s="13">
        <v>29</v>
      </c>
      <c r="I32" s="2">
        <v>0</v>
      </c>
      <c r="J32" s="2">
        <v>0.148141731</v>
      </c>
      <c r="K32" s="2">
        <v>0.16173965936739659</v>
      </c>
      <c r="L32" s="2">
        <v>0</v>
      </c>
      <c r="M32" s="2">
        <v>0.148141731</v>
      </c>
      <c r="O32" s="6"/>
      <c r="P32" s="1">
        <v>0</v>
      </c>
      <c r="Q32" s="1">
        <v>0</v>
      </c>
      <c r="R32" s="1">
        <f>'[1]links-p0'!D31</f>
        <v>13045.818630082649</v>
      </c>
      <c r="S32" s="1">
        <f>'[1]links-p0'!E31</f>
        <v>2414.7102153000001</v>
      </c>
      <c r="T32" s="1">
        <f>'[1]links-p0'!F31</f>
        <v>3214.6429715191798</v>
      </c>
    </row>
    <row r="33" spans="1:20">
      <c r="A33" s="1">
        <v>29</v>
      </c>
      <c r="B33" s="1">
        <f t="shared" si="0"/>
        <v>3214.6429715191798</v>
      </c>
      <c r="C33" s="1">
        <f t="shared" si="1"/>
        <v>2414.7102153000001</v>
      </c>
      <c r="D33" s="15">
        <f t="shared" si="2"/>
        <v>7.4070865499999999E-2</v>
      </c>
      <c r="H33" s="13">
        <v>30</v>
      </c>
      <c r="I33" s="2">
        <v>0</v>
      </c>
      <c r="J33" s="2">
        <v>0.133788193</v>
      </c>
      <c r="K33" s="2">
        <v>0.16173965936739659</v>
      </c>
      <c r="L33" s="2">
        <v>0</v>
      </c>
      <c r="M33" s="2">
        <v>0.133788193</v>
      </c>
      <c r="O33" s="6"/>
      <c r="P33" s="1">
        <v>25140.2664733333</v>
      </c>
      <c r="Q33" s="1">
        <v>0</v>
      </c>
      <c r="R33" s="1">
        <f>'[1]links-p0'!D32</f>
        <v>13525.752815036811</v>
      </c>
      <c r="S33" s="1">
        <f>'[1]links-p0'!E32</f>
        <v>2180.7475459000002</v>
      </c>
      <c r="T33" s="1">
        <f>'[1]links-p0'!F32</f>
        <v>2903.1743546975399</v>
      </c>
    </row>
    <row r="34" spans="1:20">
      <c r="A34" s="1">
        <v>30</v>
      </c>
      <c r="B34" s="1">
        <f t="shared" si="0"/>
        <v>2903.1743546975399</v>
      </c>
      <c r="C34" s="1">
        <f t="shared" si="1"/>
        <v>2180.7475459000002</v>
      </c>
      <c r="D34" s="15">
        <f t="shared" si="2"/>
        <v>6.68940965E-2</v>
      </c>
      <c r="H34" s="13">
        <v>31</v>
      </c>
      <c r="I34" s="2">
        <v>0</v>
      </c>
      <c r="J34" s="2">
        <v>0.115257552</v>
      </c>
      <c r="K34" s="2">
        <v>0.16173965936739659</v>
      </c>
      <c r="L34" s="2">
        <v>0</v>
      </c>
      <c r="M34" s="2">
        <v>0.115257552</v>
      </c>
      <c r="O34" s="6"/>
      <c r="P34" s="1">
        <v>0</v>
      </c>
      <c r="Q34" s="1">
        <v>0</v>
      </c>
      <c r="R34" s="1">
        <f>'[1]links-p0'!D33</f>
        <v>13985.30862634086</v>
      </c>
      <c r="S34" s="1">
        <f>'[1]links-p0'!E33</f>
        <v>1878.6980976</v>
      </c>
      <c r="T34" s="1">
        <f>'[1]links-p0'!F33</f>
        <v>2501.0635217385602</v>
      </c>
    </row>
    <row r="35" spans="1:20">
      <c r="A35" s="1">
        <v>31</v>
      </c>
      <c r="B35" s="1">
        <f t="shared" si="0"/>
        <v>2501.0635217385602</v>
      </c>
      <c r="C35" s="1">
        <f t="shared" si="1"/>
        <v>1878.6980976</v>
      </c>
      <c r="D35" s="15">
        <f t="shared" si="2"/>
        <v>5.7628776E-2</v>
      </c>
      <c r="H35" s="13">
        <v>32</v>
      </c>
      <c r="I35" s="2">
        <v>7.9333939999999999E-3</v>
      </c>
      <c r="J35" s="2">
        <v>0.113440635</v>
      </c>
      <c r="K35" s="2">
        <v>0.16173965936739659</v>
      </c>
      <c r="L35" s="2">
        <v>7.9333939999999999E-3</v>
      </c>
      <c r="M35" s="2">
        <v>0.113440635</v>
      </c>
      <c r="O35" s="6"/>
      <c r="P35" s="1">
        <v>0</v>
      </c>
      <c r="Q35" s="1">
        <v>0</v>
      </c>
      <c r="R35" s="1">
        <f>'[1]links-p0'!D34</f>
        <v>13941.73959106244</v>
      </c>
      <c r="S35" s="1">
        <f>'[1]links-p0'!E34</f>
        <v>1978.3966727</v>
      </c>
      <c r="T35" s="1">
        <f>'[1]links-p0'!F34</f>
        <v>2633.78972701362</v>
      </c>
    </row>
    <row r="36" spans="1:20">
      <c r="A36" s="1">
        <v>32</v>
      </c>
      <c r="B36" s="1">
        <f t="shared" ref="B36:B67" si="3">T35</f>
        <v>2633.78972701362</v>
      </c>
      <c r="C36" s="1">
        <f t="shared" ref="C36:C67" si="4">S35</f>
        <v>1978.3966727</v>
      </c>
      <c r="D36" s="15">
        <f t="shared" si="2"/>
        <v>6.0687014499999997E-2</v>
      </c>
      <c r="H36" s="13">
        <v>33</v>
      </c>
      <c r="I36" s="2">
        <v>0.219832848</v>
      </c>
      <c r="J36" s="2">
        <v>0.103052199</v>
      </c>
      <c r="K36" s="2">
        <v>0.16173965936739659</v>
      </c>
      <c r="L36" s="2">
        <v>0.219832848</v>
      </c>
      <c r="M36" s="2">
        <v>0.103052199</v>
      </c>
      <c r="O36" s="6"/>
      <c r="P36" s="1">
        <v>1222.757714932882</v>
      </c>
      <c r="Q36" s="1">
        <v>0</v>
      </c>
      <c r="R36" s="1">
        <f>'[1]links-p0'!D35</f>
        <v>9717.6623847775227</v>
      </c>
      <c r="S36" s="1">
        <f>'[1]links-p0'!E35</f>
        <v>5263.0262660999997</v>
      </c>
      <c r="T36" s="1">
        <f>'[1]links-p0'!F35</f>
        <v>7006.5344851896598</v>
      </c>
    </row>
    <row r="37" spans="1:20">
      <c r="A37" s="1">
        <v>33</v>
      </c>
      <c r="B37" s="1">
        <f t="shared" si="3"/>
        <v>7006.5344851896598</v>
      </c>
      <c r="C37" s="1">
        <f t="shared" si="4"/>
        <v>5263.0262660999997</v>
      </c>
      <c r="D37" s="15">
        <f t="shared" si="2"/>
        <v>0.16144252349999999</v>
      </c>
      <c r="H37" s="13">
        <v>34</v>
      </c>
      <c r="I37" s="2">
        <v>0.55434557600000001</v>
      </c>
      <c r="J37" s="2">
        <v>8.6513140000000002E-2</v>
      </c>
      <c r="K37" s="2">
        <v>0.16173965936739659</v>
      </c>
      <c r="L37" s="2">
        <v>0.55434557600000001</v>
      </c>
      <c r="M37" s="2">
        <v>8.6513140000000002E-2</v>
      </c>
      <c r="O37" s="6"/>
      <c r="P37" s="1">
        <v>0</v>
      </c>
      <c r="Q37" s="1">
        <v>13320.750632965201</v>
      </c>
      <c r="R37" s="1">
        <f>'[1]links-p0'!D36</f>
        <v>4471.1443768714307</v>
      </c>
      <c r="S37" s="1">
        <f>'[1]links-p0'!E36</f>
        <v>10445.9970708</v>
      </c>
      <c r="T37" s="1">
        <f>'[1]links-p0'!F36</f>
        <v>13906.49314828248</v>
      </c>
    </row>
    <row r="38" spans="1:20">
      <c r="A38" s="1">
        <v>34</v>
      </c>
      <c r="B38" s="1">
        <f t="shared" si="3"/>
        <v>13906.49314828248</v>
      </c>
      <c r="C38" s="1">
        <f t="shared" si="4"/>
        <v>10445.9970708</v>
      </c>
      <c r="D38" s="15">
        <f t="shared" si="2"/>
        <v>0.320429358</v>
      </c>
      <c r="H38" s="13">
        <v>35</v>
      </c>
      <c r="I38" s="2">
        <v>0.75789682000000003</v>
      </c>
      <c r="J38" s="2">
        <v>8.1672468999999998E-2</v>
      </c>
      <c r="K38" s="2">
        <v>0.16173965936739659</v>
      </c>
      <c r="L38" s="2">
        <v>0.75789682000000003</v>
      </c>
      <c r="M38" s="2">
        <v>8.1672468999999998E-2</v>
      </c>
      <c r="O38" s="6"/>
      <c r="P38" s="1">
        <v>0</v>
      </c>
      <c r="Q38" s="1">
        <v>13320.750632965201</v>
      </c>
      <c r="R38" s="1">
        <f>'[1]links-p0'!D37</f>
        <v>3416.7685165000048</v>
      </c>
      <c r="S38" s="1">
        <f>'[1]links-p0'!E37</f>
        <v>13684.9794107</v>
      </c>
      <c r="T38" s="1">
        <f>'[1]links-p0'!F37</f>
        <v>18218.468866056421</v>
      </c>
    </row>
    <row r="39" spans="1:20">
      <c r="A39" s="1">
        <v>35</v>
      </c>
      <c r="B39" s="1">
        <f t="shared" si="3"/>
        <v>18218.468866056421</v>
      </c>
      <c r="C39" s="1">
        <f t="shared" si="4"/>
        <v>13684.9794107</v>
      </c>
      <c r="D39" s="15">
        <f t="shared" si="2"/>
        <v>0.41978464449999997</v>
      </c>
      <c r="H39" s="13">
        <v>36</v>
      </c>
      <c r="I39" s="2">
        <v>0.87286365799999999</v>
      </c>
      <c r="J39" s="2">
        <v>8.7381510999999995E-2</v>
      </c>
      <c r="K39" s="2">
        <v>0.16173965936739659</v>
      </c>
      <c r="L39" s="2">
        <v>0.87286365799999999</v>
      </c>
      <c r="M39" s="2">
        <v>8.7381510999999995E-2</v>
      </c>
      <c r="O39" s="6"/>
      <c r="P39" s="1">
        <v>0</v>
      </c>
      <c r="Q39" s="1">
        <v>13320.750632965201</v>
      </c>
      <c r="R39" s="1">
        <f>'[1]links-p0'!D38</f>
        <v>0</v>
      </c>
      <c r="S39" s="1">
        <f>'[1]links-p0'!E38</f>
        <v>15651.9962547</v>
      </c>
      <c r="T39" s="1">
        <f>'[1]links-p0'!F38</f>
        <v>20837.108913362819</v>
      </c>
    </row>
    <row r="40" spans="1:20">
      <c r="A40" s="1">
        <v>36</v>
      </c>
      <c r="B40" s="1">
        <f t="shared" si="3"/>
        <v>20837.108913362819</v>
      </c>
      <c r="C40" s="1">
        <f t="shared" si="4"/>
        <v>15651.9962547</v>
      </c>
      <c r="D40" s="15">
        <f t="shared" si="2"/>
        <v>0.4801225845</v>
      </c>
      <c r="H40" s="13">
        <v>37</v>
      </c>
      <c r="I40" s="2">
        <v>0.90580659200000002</v>
      </c>
      <c r="J40" s="2">
        <v>8.9404032999999994E-2</v>
      </c>
      <c r="K40" s="2">
        <v>0.16173965936739659</v>
      </c>
      <c r="L40" s="2">
        <v>0.90580659200000002</v>
      </c>
      <c r="M40" s="2">
        <v>8.9404032999999994E-2</v>
      </c>
      <c r="O40" s="6"/>
      <c r="P40" s="1">
        <v>0</v>
      </c>
      <c r="Q40" s="1">
        <v>13320.750632965201</v>
      </c>
      <c r="R40" s="1">
        <f>'[1]links-p0'!D39</f>
        <v>0</v>
      </c>
      <c r="S40" s="1">
        <f>'[1]links-p0'!E39</f>
        <v>16221.933187500001</v>
      </c>
      <c r="T40" s="1">
        <f>'[1]links-p0'!F39</f>
        <v>21595.851616162501</v>
      </c>
    </row>
    <row r="41" spans="1:20">
      <c r="A41" s="1">
        <v>37</v>
      </c>
      <c r="B41" s="1">
        <f t="shared" si="3"/>
        <v>21595.851616162501</v>
      </c>
      <c r="C41" s="1">
        <f t="shared" si="4"/>
        <v>16221.933187500001</v>
      </c>
      <c r="D41" s="15">
        <f t="shared" si="2"/>
        <v>0.49760531250000001</v>
      </c>
      <c r="H41" s="13">
        <v>38</v>
      </c>
      <c r="I41" s="2">
        <v>0.86813232600000001</v>
      </c>
      <c r="J41" s="2">
        <v>8.3889897000000005E-2</v>
      </c>
      <c r="K41" s="2">
        <v>0.16173965936739659</v>
      </c>
      <c r="L41" s="2">
        <v>0.86813232600000001</v>
      </c>
      <c r="M41" s="2">
        <v>8.3889897000000005E-2</v>
      </c>
      <c r="O41" s="6"/>
      <c r="P41" s="1">
        <v>0</v>
      </c>
      <c r="Q41" s="1">
        <v>13320.750632965201</v>
      </c>
      <c r="R41" s="1">
        <f>'[1]links-p0'!D40</f>
        <v>0</v>
      </c>
      <c r="S41" s="1">
        <f>'[1]links-p0'!E40</f>
        <v>15517.9622349</v>
      </c>
      <c r="T41" s="1">
        <f>'[1]links-p0'!F40</f>
        <v>20658.672794210939</v>
      </c>
    </row>
    <row r="42" spans="1:20">
      <c r="A42" s="1">
        <v>38</v>
      </c>
      <c r="B42" s="1">
        <f t="shared" si="3"/>
        <v>20658.672794210939</v>
      </c>
      <c r="C42" s="1">
        <f t="shared" si="4"/>
        <v>15517.9622349</v>
      </c>
      <c r="D42" s="15">
        <f t="shared" si="2"/>
        <v>0.47601111150000003</v>
      </c>
      <c r="H42" s="13">
        <v>39</v>
      </c>
      <c r="I42" s="2">
        <v>0.73682766</v>
      </c>
      <c r="J42" s="2">
        <v>7.8523670000000004E-2</v>
      </c>
      <c r="K42" s="2">
        <v>0.16173965936739659</v>
      </c>
      <c r="L42" s="2">
        <v>0.73682766</v>
      </c>
      <c r="M42" s="2">
        <v>7.8523670000000004E-2</v>
      </c>
      <c r="O42" s="6"/>
      <c r="P42" s="1">
        <v>0</v>
      </c>
      <c r="Q42" s="1">
        <v>13320.750632965201</v>
      </c>
      <c r="R42" s="1">
        <f>'[1]links-p0'!D41</f>
        <v>1626.9147686714309</v>
      </c>
      <c r="S42" s="1">
        <f>'[1]links-p0'!E41</f>
        <v>13290.226678999999</v>
      </c>
      <c r="T42" s="1">
        <f>'[1]links-p0'!F41</f>
        <v>17692.944483707401</v>
      </c>
    </row>
    <row r="43" spans="1:20">
      <c r="A43" s="1">
        <v>39</v>
      </c>
      <c r="B43" s="1">
        <f t="shared" si="3"/>
        <v>17692.944483707401</v>
      </c>
      <c r="C43" s="1">
        <f t="shared" si="4"/>
        <v>13290.226678999999</v>
      </c>
      <c r="D43" s="15">
        <f t="shared" si="2"/>
        <v>0.40767566499999996</v>
      </c>
      <c r="H43" s="13">
        <v>40</v>
      </c>
      <c r="I43" s="2">
        <v>0.476664702</v>
      </c>
      <c r="J43" s="2">
        <v>7.2706811999999996E-2</v>
      </c>
      <c r="K43" s="2">
        <v>0.16173965936739659</v>
      </c>
      <c r="L43" s="2">
        <v>0.476664702</v>
      </c>
      <c r="M43" s="2">
        <v>7.2706811999999996E-2</v>
      </c>
      <c r="O43" s="6"/>
      <c r="P43" s="1">
        <v>0</v>
      </c>
      <c r="Q43" s="1">
        <v>13320.750632965201</v>
      </c>
      <c r="R43" s="1">
        <f>'[1]links-p0'!D42</f>
        <v>5962.3857694714316</v>
      </c>
      <c r="S43" s="1">
        <f>'[1]links-p0'!E42</f>
        <v>8954.7556781999992</v>
      </c>
      <c r="T43" s="1">
        <f>'[1]links-p0'!F42</f>
        <v>11921.24099206692</v>
      </c>
    </row>
    <row r="44" spans="1:20">
      <c r="A44" s="1">
        <v>40</v>
      </c>
      <c r="B44" s="1">
        <f t="shared" si="3"/>
        <v>11921.24099206692</v>
      </c>
      <c r="C44" s="1">
        <f t="shared" si="4"/>
        <v>8954.7556781999992</v>
      </c>
      <c r="D44" s="15">
        <f t="shared" si="2"/>
        <v>0.27468575699999997</v>
      </c>
      <c r="H44" s="13">
        <v>41</v>
      </c>
      <c r="I44" s="2">
        <v>0.111706449</v>
      </c>
      <c r="J44" s="2">
        <v>7.3486639000000006E-2</v>
      </c>
      <c r="K44" s="2">
        <v>0.16173965936739659</v>
      </c>
      <c r="L44" s="2">
        <v>0.111706449</v>
      </c>
      <c r="M44" s="2">
        <v>7.3486639000000006E-2</v>
      </c>
      <c r="O44" s="6"/>
      <c r="P44" s="1">
        <v>25140.2664733333</v>
      </c>
      <c r="Q44" s="1">
        <v>0</v>
      </c>
      <c r="R44" s="1">
        <f>'[1]links-p0'!D43</f>
        <v>9866.9523004786315</v>
      </c>
      <c r="S44" s="1">
        <f>'[1]links-p0'!E43</f>
        <v>3018.6473344000001</v>
      </c>
      <c r="T44" s="1">
        <f>'[1]links-p0'!F43</f>
        <v>4018.6492671206402</v>
      </c>
    </row>
    <row r="45" spans="1:20">
      <c r="A45" s="1">
        <v>41</v>
      </c>
      <c r="B45" s="1">
        <f t="shared" si="3"/>
        <v>4018.6492671206402</v>
      </c>
      <c r="C45" s="1">
        <f t="shared" si="4"/>
        <v>3018.6473344000001</v>
      </c>
      <c r="D45" s="15">
        <f t="shared" si="2"/>
        <v>9.2596544000000003E-2</v>
      </c>
      <c r="H45" s="13">
        <v>42</v>
      </c>
      <c r="I45" s="2">
        <v>1.6500000000000001E-5</v>
      </c>
      <c r="J45" s="2">
        <v>0.115611123</v>
      </c>
      <c r="K45" s="2">
        <v>0.16173965936739659</v>
      </c>
      <c r="L45" s="2">
        <v>1.6500000000000001E-5</v>
      </c>
      <c r="M45" s="2">
        <v>0.115611123</v>
      </c>
      <c r="O45" s="6"/>
      <c r="P45" s="1">
        <v>25140.2664733333</v>
      </c>
      <c r="Q45" s="1">
        <v>0</v>
      </c>
      <c r="R45" s="1">
        <f>'[1]links-p0'!D44</f>
        <v>11011.991275192921</v>
      </c>
      <c r="S45" s="1">
        <f>'[1]links-p0'!E44</f>
        <v>1884.7302549000001</v>
      </c>
      <c r="T45" s="1">
        <f>'[1]links-p0'!F44</f>
        <v>2509.0939810229402</v>
      </c>
    </row>
    <row r="46" spans="1:20">
      <c r="A46" s="1">
        <v>42</v>
      </c>
      <c r="B46" s="1">
        <f t="shared" si="3"/>
        <v>2509.0939810229402</v>
      </c>
      <c r="C46" s="1">
        <f t="shared" si="4"/>
        <v>1884.7302549000001</v>
      </c>
      <c r="D46" s="15">
        <f t="shared" si="2"/>
        <v>5.7813811499999999E-2</v>
      </c>
      <c r="H46" s="13">
        <v>43</v>
      </c>
      <c r="I46" s="2">
        <v>0</v>
      </c>
      <c r="J46" s="2">
        <v>0.13827661499999999</v>
      </c>
      <c r="K46" s="2">
        <v>0.16173965936739659</v>
      </c>
      <c r="L46" s="2">
        <v>0</v>
      </c>
      <c r="M46" s="2">
        <v>0.13827661499999999</v>
      </c>
      <c r="O46" s="6"/>
      <c r="P46" s="1">
        <v>0</v>
      </c>
      <c r="Q46" s="1">
        <v>0</v>
      </c>
      <c r="R46" s="1">
        <f>'[1]links-p0'!D45</f>
        <v>10101.736185937531</v>
      </c>
      <c r="S46" s="1">
        <f>'[1]links-p0'!E45</f>
        <v>2253.9088244999998</v>
      </c>
      <c r="T46" s="1">
        <f>'[1]links-p0'!F45</f>
        <v>3000.5721246447001</v>
      </c>
    </row>
    <row r="47" spans="1:20">
      <c r="A47" s="1">
        <v>43</v>
      </c>
      <c r="B47" s="1">
        <f t="shared" si="3"/>
        <v>3000.5721246447001</v>
      </c>
      <c r="C47" s="1">
        <f t="shared" si="4"/>
        <v>2253.9088244999998</v>
      </c>
      <c r="D47" s="15">
        <f t="shared" si="2"/>
        <v>6.9138307499999996E-2</v>
      </c>
      <c r="H47" s="13">
        <v>44</v>
      </c>
      <c r="I47" s="2">
        <v>0</v>
      </c>
      <c r="J47" s="2">
        <v>0.13061771899999999</v>
      </c>
      <c r="K47" s="2">
        <v>0.16173965936739659</v>
      </c>
      <c r="L47" s="2">
        <v>0</v>
      </c>
      <c r="M47" s="2">
        <v>0.13061771899999999</v>
      </c>
      <c r="O47" s="6"/>
      <c r="P47" s="1">
        <v>25140.2664733333</v>
      </c>
      <c r="Q47" s="1">
        <v>0</v>
      </c>
      <c r="R47" s="1">
        <f>'[1]links-p0'!D46</f>
        <v>9966.8609421647288</v>
      </c>
      <c r="S47" s="1">
        <f>'[1]links-p0'!E46</f>
        <v>2129.0688196999999</v>
      </c>
      <c r="T47" s="1">
        <f>'[1]links-p0'!F46</f>
        <v>2834.3757664018199</v>
      </c>
    </row>
    <row r="48" spans="1:20">
      <c r="A48" s="1">
        <v>44</v>
      </c>
      <c r="B48" s="1">
        <f t="shared" si="3"/>
        <v>2834.3757664018199</v>
      </c>
      <c r="C48" s="1">
        <f t="shared" si="4"/>
        <v>2129.0688196999999</v>
      </c>
      <c r="D48" s="15">
        <f t="shared" si="2"/>
        <v>6.5308859499999997E-2</v>
      </c>
      <c r="H48" s="13">
        <v>45</v>
      </c>
      <c r="I48" s="2">
        <v>0</v>
      </c>
      <c r="J48" s="2">
        <v>0.11403063400000001</v>
      </c>
      <c r="K48" s="2">
        <v>0.16173965936739659</v>
      </c>
      <c r="L48" s="2">
        <v>0</v>
      </c>
      <c r="M48" s="2">
        <v>0.11403063400000001</v>
      </c>
      <c r="O48" s="6"/>
      <c r="P48" s="1">
        <v>25140.2664733333</v>
      </c>
      <c r="Q48" s="1">
        <v>0</v>
      </c>
      <c r="R48" s="1">
        <f>'[1]links-p0'!D47</f>
        <v>9976.3702091951436</v>
      </c>
      <c r="S48" s="1">
        <f>'[1]links-p0'!E47</f>
        <v>1858.6993342000001</v>
      </c>
      <c r="T48" s="1">
        <f>'[1]links-p0'!F47</f>
        <v>2474.4396710605201</v>
      </c>
    </row>
    <row r="49" spans="1:20">
      <c r="A49" s="1">
        <v>45</v>
      </c>
      <c r="B49" s="1">
        <f t="shared" si="3"/>
        <v>2474.4396710605201</v>
      </c>
      <c r="C49" s="1">
        <f t="shared" si="4"/>
        <v>1858.6993342000001</v>
      </c>
      <c r="D49" s="15">
        <f t="shared" si="2"/>
        <v>5.7015317000000003E-2</v>
      </c>
      <c r="H49" s="13">
        <v>46</v>
      </c>
      <c r="I49" s="2">
        <v>0</v>
      </c>
      <c r="J49" s="2">
        <v>0.107394823</v>
      </c>
      <c r="K49" s="2">
        <v>0.16173965936739659</v>
      </c>
      <c r="L49" s="2">
        <v>0</v>
      </c>
      <c r="M49" s="2">
        <v>0.107394823</v>
      </c>
      <c r="O49" s="6"/>
      <c r="P49" s="1">
        <v>25140.2664733333</v>
      </c>
      <c r="Q49" s="1">
        <v>0</v>
      </c>
      <c r="R49" s="1">
        <f>'[1]links-p0'!D48</f>
        <v>9698.5611132966951</v>
      </c>
      <c r="S49" s="1">
        <f>'[1]links-p0'!E48</f>
        <v>1750.5356148999999</v>
      </c>
      <c r="T49" s="1">
        <f>'[1]links-p0'!F48</f>
        <v>2330.4440322389401</v>
      </c>
    </row>
    <row r="50" spans="1:20">
      <c r="A50" s="1">
        <v>46</v>
      </c>
      <c r="B50" s="1">
        <f t="shared" si="3"/>
        <v>2330.4440322389401</v>
      </c>
      <c r="C50" s="1">
        <f t="shared" si="4"/>
        <v>1750.5356148999999</v>
      </c>
      <c r="D50" s="15">
        <f t="shared" si="2"/>
        <v>5.36974115E-2</v>
      </c>
      <c r="H50" s="13">
        <v>47</v>
      </c>
      <c r="I50" s="2">
        <v>0</v>
      </c>
      <c r="J50" s="2">
        <v>0.103424957</v>
      </c>
      <c r="K50" s="2">
        <v>0.16173965936739659</v>
      </c>
      <c r="L50" s="2">
        <v>0</v>
      </c>
      <c r="M50" s="2">
        <v>0.103424957</v>
      </c>
      <c r="O50" s="6"/>
      <c r="P50" s="1">
        <v>25140.2664733333</v>
      </c>
      <c r="Q50" s="1">
        <v>0</v>
      </c>
      <c r="R50" s="1">
        <f>'[1]links-p0'!D49</f>
        <v>9658.1691487402659</v>
      </c>
      <c r="S50" s="1">
        <f>'[1]links-p0'!E49</f>
        <v>1685.8267991</v>
      </c>
      <c r="T50" s="1">
        <f>'[1]links-p0'!F49</f>
        <v>2244.2988134094599</v>
      </c>
    </row>
    <row r="51" spans="1:20">
      <c r="A51" s="1">
        <v>47</v>
      </c>
      <c r="B51" s="1">
        <f t="shared" si="3"/>
        <v>2244.2988134094599</v>
      </c>
      <c r="C51" s="1">
        <f t="shared" si="4"/>
        <v>1685.8267991</v>
      </c>
      <c r="D51" s="15">
        <f t="shared" si="2"/>
        <v>5.1712478499999999E-2</v>
      </c>
      <c r="H51" s="13">
        <v>48</v>
      </c>
      <c r="I51" s="2">
        <v>0</v>
      </c>
      <c r="J51" s="2">
        <v>0.107749769</v>
      </c>
      <c r="K51" s="2">
        <v>0.16793187347931879</v>
      </c>
      <c r="L51" s="2">
        <v>0</v>
      </c>
      <c r="M51" s="2">
        <v>0.107749769</v>
      </c>
      <c r="O51" s="6"/>
      <c r="P51" s="1">
        <v>17776.2495303332</v>
      </c>
      <c r="Q51" s="1">
        <v>0</v>
      </c>
      <c r="R51" s="1">
        <f>'[1]links-p0'!D50</f>
        <v>9428.3705044506914</v>
      </c>
      <c r="S51" s="1">
        <f>'[1]links-p0'!E50</f>
        <v>1756.3212347000001</v>
      </c>
      <c r="T51" s="1">
        <f>'[1]links-p0'!F50</f>
        <v>2338.14628235082</v>
      </c>
    </row>
    <row r="52" spans="1:20">
      <c r="A52" s="1">
        <v>48</v>
      </c>
      <c r="B52" s="1">
        <f t="shared" si="3"/>
        <v>2338.14628235082</v>
      </c>
      <c r="C52" s="1">
        <f t="shared" si="4"/>
        <v>1756.3212347000001</v>
      </c>
      <c r="D52" s="15">
        <f t="shared" si="2"/>
        <v>5.3874884500000005E-2</v>
      </c>
      <c r="H52" s="13">
        <v>49</v>
      </c>
      <c r="I52" s="2">
        <v>0</v>
      </c>
      <c r="J52" s="2">
        <v>0.111496518</v>
      </c>
      <c r="K52" s="2">
        <v>0.16793187347931879</v>
      </c>
      <c r="L52" s="2">
        <v>0</v>
      </c>
      <c r="M52" s="2">
        <v>0.111496518</v>
      </c>
      <c r="O52" s="6"/>
      <c r="P52" s="1">
        <v>23246.413818464949</v>
      </c>
      <c r="Q52" s="1">
        <v>0</v>
      </c>
      <c r="R52" s="1">
        <f>'[1]links-p0'!D51</f>
        <v>9223.5286022855253</v>
      </c>
      <c r="S52" s="1">
        <f>'[1]links-p0'!E51</f>
        <v>1817.3932434000001</v>
      </c>
      <c r="T52" s="1">
        <f>'[1]links-p0'!F51</f>
        <v>2419.4499113660399</v>
      </c>
    </row>
    <row r="53" spans="1:20">
      <c r="A53" s="1">
        <v>49</v>
      </c>
      <c r="B53" s="1">
        <f t="shared" si="3"/>
        <v>2419.4499113660399</v>
      </c>
      <c r="C53" s="1">
        <f t="shared" si="4"/>
        <v>1817.3932434000001</v>
      </c>
      <c r="D53" s="15">
        <f t="shared" si="2"/>
        <v>5.5748259000000001E-2</v>
      </c>
      <c r="H53" s="13">
        <v>50</v>
      </c>
      <c r="I53" s="2">
        <v>0</v>
      </c>
      <c r="J53" s="2">
        <v>0.11350845499999999</v>
      </c>
      <c r="K53" s="2">
        <v>0.16793187347931879</v>
      </c>
      <c r="L53" s="2">
        <v>0</v>
      </c>
      <c r="M53" s="2">
        <v>0.11350845499999999</v>
      </c>
      <c r="O53" s="6"/>
      <c r="P53" s="1">
        <v>0</v>
      </c>
      <c r="Q53" s="1">
        <v>0</v>
      </c>
      <c r="R53" s="1">
        <f>'[1]links-p0'!D52</f>
        <v>9080.2166978166788</v>
      </c>
      <c r="S53" s="1">
        <f>'[1]links-p0'!E52</f>
        <v>1850.1878165000001</v>
      </c>
      <c r="T53" s="1">
        <f>'[1]links-p0'!F52</f>
        <v>2463.1085016399002</v>
      </c>
    </row>
    <row r="54" spans="1:20">
      <c r="A54" s="1">
        <v>50</v>
      </c>
      <c r="B54" s="1">
        <f t="shared" si="3"/>
        <v>2463.1085016399002</v>
      </c>
      <c r="C54" s="1">
        <f t="shared" si="4"/>
        <v>1850.1878165000001</v>
      </c>
      <c r="D54" s="15">
        <f t="shared" si="2"/>
        <v>5.6754227500000004E-2</v>
      </c>
      <c r="H54" s="13">
        <v>51</v>
      </c>
      <c r="I54" s="2">
        <v>0</v>
      </c>
      <c r="J54" s="2">
        <v>0.10916308</v>
      </c>
      <c r="K54" s="2">
        <v>0.16793187347931879</v>
      </c>
      <c r="L54" s="2">
        <v>0</v>
      </c>
      <c r="M54" s="2">
        <v>0.10916308</v>
      </c>
      <c r="O54" s="6"/>
      <c r="P54" s="1">
        <v>0</v>
      </c>
      <c r="Q54" s="1">
        <v>0</v>
      </c>
      <c r="R54" s="1">
        <f>'[1]links-p0'!D53</f>
        <v>9029.5294862179271</v>
      </c>
      <c r="S54" s="1">
        <f>'[1]links-p0'!E53</f>
        <v>1779.3582039999999</v>
      </c>
      <c r="T54" s="1">
        <f>'[1]links-p0'!F53</f>
        <v>2368.8148201223999</v>
      </c>
    </row>
    <row r="55" spans="1:20">
      <c r="A55" s="1">
        <v>51</v>
      </c>
      <c r="B55" s="1">
        <f t="shared" si="3"/>
        <v>2368.8148201223999</v>
      </c>
      <c r="C55" s="1">
        <f t="shared" si="4"/>
        <v>1779.3582039999999</v>
      </c>
      <c r="D55" s="15">
        <f t="shared" si="2"/>
        <v>5.4581539999999998E-2</v>
      </c>
      <c r="H55" s="13">
        <v>52</v>
      </c>
      <c r="I55" s="2">
        <v>0</v>
      </c>
      <c r="J55" s="2">
        <v>0.104742366</v>
      </c>
      <c r="K55" s="2">
        <v>0.16793187347931879</v>
      </c>
      <c r="L55" s="2">
        <v>0</v>
      </c>
      <c r="M55" s="2">
        <v>0.104742366</v>
      </c>
      <c r="O55" s="6"/>
      <c r="P55" s="1">
        <v>0</v>
      </c>
      <c r="Q55" s="1">
        <v>0</v>
      </c>
      <c r="R55" s="1">
        <f>'[1]links-p0'!D54</f>
        <v>9094.8461724924655</v>
      </c>
      <c r="S55" s="1">
        <f>'[1]links-p0'!E54</f>
        <v>1707.3005658</v>
      </c>
      <c r="T55" s="1">
        <f>'[1]links-p0'!F54</f>
        <v>2272.8862988794799</v>
      </c>
    </row>
    <row r="56" spans="1:20">
      <c r="A56" s="1">
        <v>52</v>
      </c>
      <c r="B56" s="1">
        <f t="shared" si="3"/>
        <v>2272.8862988794799</v>
      </c>
      <c r="C56" s="1">
        <f t="shared" si="4"/>
        <v>1707.3005658</v>
      </c>
      <c r="D56" s="15">
        <f t="shared" si="2"/>
        <v>5.2371183000000002E-2</v>
      </c>
      <c r="H56" s="13">
        <v>53</v>
      </c>
      <c r="I56" s="2">
        <v>0</v>
      </c>
      <c r="J56" s="2">
        <v>0.10133547399999999</v>
      </c>
      <c r="K56" s="2">
        <v>0.16793187347931879</v>
      </c>
      <c r="L56" s="2">
        <v>0</v>
      </c>
      <c r="M56" s="2">
        <v>0.10133547399999999</v>
      </c>
      <c r="O56" s="6"/>
      <c r="P56" s="1">
        <v>0</v>
      </c>
      <c r="Q56" s="1">
        <v>0</v>
      </c>
      <c r="R56" s="1">
        <f>'[1]links-p0'!D55</f>
        <v>9085.9707061770769</v>
      </c>
      <c r="S56" s="1">
        <f>'[1]links-p0'!E55</f>
        <v>1651.7682262000001</v>
      </c>
      <c r="T56" s="1">
        <f>'[1]links-p0'!F55</f>
        <v>2198.9574919957199</v>
      </c>
    </row>
    <row r="57" spans="1:20">
      <c r="A57" s="1">
        <v>53</v>
      </c>
      <c r="B57" s="1">
        <f t="shared" si="3"/>
        <v>2198.9574919957199</v>
      </c>
      <c r="C57" s="1">
        <f t="shared" si="4"/>
        <v>1651.7682262000001</v>
      </c>
      <c r="D57" s="15">
        <f t="shared" si="2"/>
        <v>5.0667737000000004E-2</v>
      </c>
      <c r="H57" s="13">
        <v>54</v>
      </c>
      <c r="I57" s="2">
        <v>0</v>
      </c>
      <c r="J57" s="2">
        <v>9.3626618999999994E-2</v>
      </c>
      <c r="K57" s="2">
        <v>0.16793187347931879</v>
      </c>
      <c r="L57" s="2">
        <v>0</v>
      </c>
      <c r="M57" s="2">
        <v>9.3626618999999994E-2</v>
      </c>
      <c r="O57" s="6"/>
      <c r="P57" s="1">
        <v>25140.2664733333</v>
      </c>
      <c r="Q57" s="1">
        <v>0</v>
      </c>
      <c r="R57" s="1">
        <f>'[1]links-p0'!D56</f>
        <v>9217.9041665350087</v>
      </c>
      <c r="S57" s="1">
        <f>'[1]links-p0'!E56</f>
        <v>1526.1138897000001</v>
      </c>
      <c r="T57" s="1">
        <f>'[1]links-p0'!F56</f>
        <v>2031.67703444382</v>
      </c>
    </row>
    <row r="58" spans="1:20">
      <c r="A58" s="1">
        <v>54</v>
      </c>
      <c r="B58" s="1">
        <f t="shared" si="3"/>
        <v>2031.67703444382</v>
      </c>
      <c r="C58" s="1">
        <f t="shared" si="4"/>
        <v>1526.1138897000001</v>
      </c>
      <c r="D58" s="15">
        <f t="shared" si="2"/>
        <v>4.6813309500000004E-2</v>
      </c>
      <c r="H58" s="13">
        <v>55</v>
      </c>
      <c r="I58" s="2">
        <v>0</v>
      </c>
      <c r="J58" s="2">
        <v>8.0518063000000001E-2</v>
      </c>
      <c r="K58" s="2">
        <v>0.16793187347931879</v>
      </c>
      <c r="L58" s="2">
        <v>0</v>
      </c>
      <c r="M58" s="2">
        <v>8.0518063000000001E-2</v>
      </c>
      <c r="O58" s="6"/>
      <c r="P58" s="1">
        <v>0</v>
      </c>
      <c r="Q58" s="1">
        <v>0</v>
      </c>
      <c r="R58" s="1">
        <f>'[1]links-p0'!D57</f>
        <v>9533.0715310307733</v>
      </c>
      <c r="S58" s="1">
        <f>'[1]links-p0'!E57</f>
        <v>1312.4444269000001</v>
      </c>
      <c r="T58" s="1">
        <f>'[1]links-p0'!F57</f>
        <v>1747.22425312614</v>
      </c>
    </row>
    <row r="59" spans="1:20">
      <c r="A59" s="1">
        <v>55</v>
      </c>
      <c r="B59" s="1">
        <f t="shared" si="3"/>
        <v>1747.22425312614</v>
      </c>
      <c r="C59" s="1">
        <f t="shared" si="4"/>
        <v>1312.4444269000001</v>
      </c>
      <c r="D59" s="15">
        <f t="shared" si="2"/>
        <v>4.02590315E-2</v>
      </c>
      <c r="H59" s="13">
        <v>56</v>
      </c>
      <c r="I59" s="2">
        <v>1.0129816E-2</v>
      </c>
      <c r="J59" s="2">
        <v>7.7173868000000007E-2</v>
      </c>
      <c r="K59" s="2">
        <v>0.16793187347931879</v>
      </c>
      <c r="L59" s="2">
        <v>1.0129816E-2</v>
      </c>
      <c r="M59" s="2">
        <v>7.7173868000000007E-2</v>
      </c>
      <c r="O59" s="6"/>
      <c r="P59" s="1">
        <v>0</v>
      </c>
      <c r="Q59" s="1">
        <v>0</v>
      </c>
      <c r="R59" s="1">
        <f>'[1]links-p0'!D58</f>
        <v>9702.0812315233761</v>
      </c>
      <c r="S59" s="1">
        <f>'[1]links-p0'!E58</f>
        <v>1423.0500492000001</v>
      </c>
      <c r="T59" s="1">
        <f>'[1]links-p0'!F58</f>
        <v>1894.4707359895201</v>
      </c>
    </row>
    <row r="60" spans="1:20">
      <c r="A60" s="1">
        <v>56</v>
      </c>
      <c r="B60" s="1">
        <f t="shared" si="3"/>
        <v>1894.4707359895201</v>
      </c>
      <c r="C60" s="1">
        <f t="shared" si="4"/>
        <v>1423.0500492000001</v>
      </c>
      <c r="D60" s="15">
        <f t="shared" si="2"/>
        <v>4.3651842000000003E-2</v>
      </c>
      <c r="H60" s="13">
        <v>57</v>
      </c>
      <c r="I60" s="2">
        <v>0.24075664299999999</v>
      </c>
      <c r="J60" s="2">
        <v>6.3607421999999997E-2</v>
      </c>
      <c r="K60" s="2">
        <v>0.16793187347931879</v>
      </c>
      <c r="L60" s="2">
        <v>0.24075664299999999</v>
      </c>
      <c r="M60" s="2">
        <v>6.3607421999999997E-2</v>
      </c>
      <c r="O60" s="6"/>
      <c r="P60" s="1">
        <v>0</v>
      </c>
      <c r="Q60" s="1">
        <v>766.76110824608804</v>
      </c>
      <c r="R60" s="1">
        <f>'[1]links-p0'!D59</f>
        <v>6012.2190556836831</v>
      </c>
      <c r="S60" s="1">
        <f>'[1]links-p0'!E59</f>
        <v>4961.1342594999996</v>
      </c>
      <c r="T60" s="1">
        <f>'[1]links-p0'!F59</f>
        <v>6604.6332504056991</v>
      </c>
    </row>
    <row r="61" spans="1:20">
      <c r="A61" s="1">
        <v>57</v>
      </c>
      <c r="B61" s="1">
        <f t="shared" si="3"/>
        <v>6604.6332504056991</v>
      </c>
      <c r="C61" s="1">
        <f t="shared" si="4"/>
        <v>4961.1342594999996</v>
      </c>
      <c r="D61" s="15">
        <f t="shared" si="2"/>
        <v>0.15218203249999998</v>
      </c>
      <c r="H61" s="13">
        <v>58</v>
      </c>
      <c r="I61" s="2">
        <v>0.57076075199999998</v>
      </c>
      <c r="J61" s="2">
        <v>3.2033387000000003E-2</v>
      </c>
      <c r="K61" s="2">
        <v>0.16793187347931879</v>
      </c>
      <c r="L61" s="2">
        <v>0.57076075199999998</v>
      </c>
      <c r="M61" s="2">
        <v>3.2033387000000003E-2</v>
      </c>
      <c r="O61" s="6"/>
      <c r="P61" s="1">
        <v>0</v>
      </c>
      <c r="Q61" s="1">
        <v>13320.750632965201</v>
      </c>
      <c r="R61" s="1">
        <f>'[1]links-p0'!D60</f>
        <v>4594.2550124000018</v>
      </c>
      <c r="S61" s="1">
        <f>'[1]links-p0'!E60</f>
        <v>9825.5444657000007</v>
      </c>
      <c r="T61" s="1">
        <f>'[1]links-p0'!F60</f>
        <v>13080.500201589421</v>
      </c>
    </row>
    <row r="62" spans="1:20">
      <c r="A62" s="1">
        <v>58</v>
      </c>
      <c r="B62" s="1">
        <f t="shared" si="3"/>
        <v>13080.500201589421</v>
      </c>
      <c r="C62" s="1">
        <f t="shared" si="4"/>
        <v>9825.5444657000007</v>
      </c>
      <c r="D62" s="15">
        <f t="shared" si="2"/>
        <v>0.3013970695</v>
      </c>
      <c r="H62" s="13">
        <v>59</v>
      </c>
      <c r="I62" s="2">
        <v>0.76406692799999998</v>
      </c>
      <c r="J62" s="2">
        <v>1.5442123E-2</v>
      </c>
      <c r="K62" s="2">
        <v>0.16793187347931879</v>
      </c>
      <c r="L62" s="2">
        <v>0.76406692799999998</v>
      </c>
      <c r="M62" s="2">
        <v>1.5442123E-2</v>
      </c>
      <c r="O62" s="6"/>
      <c r="P62" s="1">
        <v>0</v>
      </c>
      <c r="Q62" s="1">
        <v>13320.750632965201</v>
      </c>
      <c r="R62" s="1">
        <f>'[1]links-p0'!D61</f>
        <v>2176.191785971429</v>
      </c>
      <c r="S62" s="1">
        <f>'[1]links-p0'!E61</f>
        <v>12705.9975313</v>
      </c>
      <c r="T62" s="1">
        <f>'[1]links-p0'!F61</f>
        <v>16915.174914708779</v>
      </c>
    </row>
    <row r="63" spans="1:20">
      <c r="A63" s="1">
        <v>59</v>
      </c>
      <c r="B63" s="1">
        <f t="shared" si="3"/>
        <v>16915.174914708779</v>
      </c>
      <c r="C63" s="1">
        <f t="shared" si="4"/>
        <v>12705.9975313</v>
      </c>
      <c r="D63" s="15">
        <f t="shared" si="2"/>
        <v>0.3897545255</v>
      </c>
      <c r="H63" s="13">
        <v>60</v>
      </c>
      <c r="I63" s="2">
        <v>0.86059442200000003</v>
      </c>
      <c r="J63" s="2">
        <v>1.1414298999999999E-2</v>
      </c>
      <c r="K63" s="2">
        <v>0.16793187347931879</v>
      </c>
      <c r="L63" s="2">
        <v>0.86059442200000003</v>
      </c>
      <c r="M63" s="2">
        <v>1.1414298999999999E-2</v>
      </c>
      <c r="O63" s="6"/>
      <c r="P63" s="1">
        <v>0</v>
      </c>
      <c r="Q63" s="1">
        <v>13320.750632965201</v>
      </c>
      <c r="R63" s="1">
        <f>'[1]links-p0'!D62</f>
        <v>633.52179877142987</v>
      </c>
      <c r="S63" s="1">
        <f>'[1]links-p0'!E62</f>
        <v>14213.742152299999</v>
      </c>
      <c r="T63" s="1">
        <f>'[1]links-p0'!F62</f>
        <v>18922.397403781379</v>
      </c>
    </row>
    <row r="64" spans="1:20">
      <c r="A64" s="1">
        <v>60</v>
      </c>
      <c r="B64" s="1">
        <f t="shared" si="3"/>
        <v>18922.397403781379</v>
      </c>
      <c r="C64" s="1">
        <f t="shared" si="4"/>
        <v>14213.742152299999</v>
      </c>
      <c r="D64" s="15">
        <f t="shared" si="2"/>
        <v>0.43600436049999997</v>
      </c>
      <c r="H64" s="13">
        <v>61</v>
      </c>
      <c r="I64" s="2">
        <v>0.87515930900000005</v>
      </c>
      <c r="J64" s="2">
        <v>1.0335405000000001E-2</v>
      </c>
      <c r="K64" s="2">
        <v>0.16793187347931879</v>
      </c>
      <c r="L64" s="2">
        <v>0.87515930900000005</v>
      </c>
      <c r="M64" s="2">
        <v>1.0335405000000001E-2</v>
      </c>
      <c r="O64" s="6"/>
      <c r="P64" s="1">
        <v>0</v>
      </c>
      <c r="Q64" s="1">
        <v>13320.750632965201</v>
      </c>
      <c r="R64" s="1">
        <f>'[1]links-p0'!D63</f>
        <v>413.70011287142921</v>
      </c>
      <c r="S64" s="1">
        <f>'[1]links-p0'!E63</f>
        <v>14433.5638382</v>
      </c>
      <c r="T64" s="1">
        <f>'[1]links-p0'!F63</f>
        <v>19215.040484962919</v>
      </c>
    </row>
    <row r="65" spans="1:20">
      <c r="A65" s="1">
        <v>61</v>
      </c>
      <c r="B65" s="1">
        <f t="shared" si="3"/>
        <v>19215.040484962919</v>
      </c>
      <c r="C65" s="1">
        <f t="shared" si="4"/>
        <v>14433.5638382</v>
      </c>
      <c r="D65" s="15">
        <f t="shared" si="2"/>
        <v>0.44274735700000001</v>
      </c>
      <c r="H65" s="13">
        <v>62</v>
      </c>
      <c r="I65" s="2">
        <v>0.81846577700000001</v>
      </c>
      <c r="J65" s="2">
        <v>1.0208371000000001E-2</v>
      </c>
      <c r="K65" s="2">
        <v>0.16793187347931879</v>
      </c>
      <c r="L65" s="2">
        <v>0.81846577700000001</v>
      </c>
      <c r="M65" s="2">
        <v>1.0208371000000001E-2</v>
      </c>
      <c r="O65" s="6"/>
      <c r="P65" s="1">
        <v>0</v>
      </c>
      <c r="Q65" s="1">
        <v>13320.750632965201</v>
      </c>
      <c r="R65" s="1">
        <f>'[1]links-p0'!D64</f>
        <v>1374.8007048714301</v>
      </c>
      <c r="S65" s="1">
        <f>'[1]links-p0'!E64</f>
        <v>13507.3886124</v>
      </c>
      <c r="T65" s="1">
        <f>'[1]links-p0'!F64</f>
        <v>17982.04670328744</v>
      </c>
    </row>
    <row r="66" spans="1:20">
      <c r="A66" s="1">
        <v>62</v>
      </c>
      <c r="B66" s="1">
        <f t="shared" si="3"/>
        <v>17982.04670328744</v>
      </c>
      <c r="C66" s="1">
        <f t="shared" si="4"/>
        <v>13507.3886124</v>
      </c>
      <c r="D66" s="15">
        <f t="shared" si="2"/>
        <v>0.41433707400000003</v>
      </c>
      <c r="H66" s="13">
        <v>63</v>
      </c>
      <c r="I66" s="2">
        <v>0.68812325699999999</v>
      </c>
      <c r="J66" s="2">
        <v>1.1060390999999999E-2</v>
      </c>
      <c r="K66" s="2">
        <v>0.16793187347931879</v>
      </c>
      <c r="L66" s="2">
        <v>0.68812325699999999</v>
      </c>
      <c r="M66" s="2">
        <v>1.1060390999999999E-2</v>
      </c>
      <c r="O66" s="6"/>
      <c r="P66" s="1">
        <v>0</v>
      </c>
      <c r="Q66" s="1">
        <v>13320.750632965201</v>
      </c>
      <c r="R66" s="1">
        <f>'[1]links-p0'!D65</f>
        <v>2751.7794122000018</v>
      </c>
      <c r="S66" s="1">
        <f>'[1]links-p0'!E65</f>
        <v>11396.6934624</v>
      </c>
      <c r="T66" s="1">
        <f>'[1]links-p0'!F65</f>
        <v>15172.131341197441</v>
      </c>
    </row>
    <row r="67" spans="1:20">
      <c r="A67" s="1">
        <v>63</v>
      </c>
      <c r="B67" s="1">
        <f t="shared" si="3"/>
        <v>15172.131341197441</v>
      </c>
      <c r="C67" s="1">
        <f t="shared" si="4"/>
        <v>11396.6934624</v>
      </c>
      <c r="D67" s="15">
        <f t="shared" si="2"/>
        <v>0.349591824</v>
      </c>
      <c r="H67" s="13">
        <v>64</v>
      </c>
      <c r="I67" s="2">
        <v>0.44111408699999999</v>
      </c>
      <c r="J67" s="2">
        <v>9.8989430000000003E-3</v>
      </c>
      <c r="K67" s="2">
        <v>0.16793187347931879</v>
      </c>
      <c r="L67" s="2">
        <v>0.44111408699999999</v>
      </c>
      <c r="M67" s="2">
        <v>9.8989430000000003E-3</v>
      </c>
      <c r="O67" s="6"/>
      <c r="P67" s="1">
        <v>0</v>
      </c>
      <c r="Q67" s="1">
        <v>13320.750632965201</v>
      </c>
      <c r="R67" s="1">
        <f>'[1]links-p0'!D66</f>
        <v>7023.2108461530388</v>
      </c>
      <c r="S67" s="1">
        <f>'[1]links-p0'!E66</f>
        <v>7351.5123890000004</v>
      </c>
      <c r="T67" s="1">
        <f>'[1]links-p0'!F66</f>
        <v>9786.8835281333995</v>
      </c>
    </row>
    <row r="68" spans="1:20">
      <c r="A68" s="1">
        <v>64</v>
      </c>
      <c r="B68" s="1">
        <f t="shared" ref="B68:B99" si="5">T67</f>
        <v>9786.8835281333995</v>
      </c>
      <c r="C68" s="1">
        <f t="shared" ref="C68:C99" si="6">S67</f>
        <v>7351.5123890000004</v>
      </c>
      <c r="D68" s="15">
        <f t="shared" si="2"/>
        <v>0.22550651500000002</v>
      </c>
      <c r="H68" s="13">
        <v>65</v>
      </c>
      <c r="I68" s="2">
        <v>0.10632327599999999</v>
      </c>
      <c r="J68" s="2">
        <v>1.7780221999999998E-2</v>
      </c>
      <c r="K68" s="2">
        <v>0.16793187347931879</v>
      </c>
      <c r="L68" s="2">
        <v>0.10632327599999999</v>
      </c>
      <c r="M68" s="2">
        <v>1.7780221999999998E-2</v>
      </c>
      <c r="O68" s="6"/>
      <c r="P68" s="1">
        <v>25140.2664733333</v>
      </c>
      <c r="Q68" s="1">
        <v>0</v>
      </c>
      <c r="R68" s="1">
        <f>'[1]links-p0'!D67</f>
        <v>7124.5824602223383</v>
      </c>
      <c r="S68" s="1">
        <f>'[1]links-p0'!E67</f>
        <v>2022.8870174000001</v>
      </c>
      <c r="T68" s="1">
        <f>'[1]links-p0'!F67</f>
        <v>2693.01860383044</v>
      </c>
    </row>
    <row r="69" spans="1:20">
      <c r="A69" s="1">
        <v>65</v>
      </c>
      <c r="B69" s="1">
        <f t="shared" si="5"/>
        <v>2693.01860383044</v>
      </c>
      <c r="C69" s="1">
        <f t="shared" si="6"/>
        <v>2022.8870174000001</v>
      </c>
      <c r="D69" s="15">
        <f t="shared" ref="D69:D132" si="7">C69/$B$2</f>
        <v>6.2051749000000003E-2</v>
      </c>
      <c r="H69" s="13">
        <v>66</v>
      </c>
      <c r="I69" s="2">
        <v>3.8399999999999998E-5</v>
      </c>
      <c r="J69" s="2">
        <v>3.2348742999999999E-2</v>
      </c>
      <c r="K69" s="2">
        <v>0.16793187347931879</v>
      </c>
      <c r="L69" s="2">
        <v>3.8399999999999998E-5</v>
      </c>
      <c r="M69" s="2">
        <v>3.2348742999999999E-2</v>
      </c>
      <c r="O69" s="6"/>
      <c r="P69" s="1">
        <v>25140.2664733333</v>
      </c>
      <c r="Q69" s="1">
        <v>0</v>
      </c>
      <c r="R69" s="1">
        <f>'[1]links-p0'!D68</f>
        <v>9841.389870055591</v>
      </c>
      <c r="S69" s="1">
        <f>'[1]links-p0'!E68</f>
        <v>527.91043089999994</v>
      </c>
      <c r="T69" s="1">
        <f>'[1]links-p0'!F68</f>
        <v>702.79387792854004</v>
      </c>
    </row>
    <row r="70" spans="1:20">
      <c r="A70" s="1">
        <v>66</v>
      </c>
      <c r="B70" s="1">
        <f t="shared" si="5"/>
        <v>702.79387792854004</v>
      </c>
      <c r="C70" s="1">
        <f t="shared" si="6"/>
        <v>527.91043089999994</v>
      </c>
      <c r="D70" s="15">
        <f t="shared" si="7"/>
        <v>1.6193571499999997E-2</v>
      </c>
      <c r="H70" s="13">
        <v>67</v>
      </c>
      <c r="I70" s="2">
        <v>0</v>
      </c>
      <c r="J70" s="2">
        <v>3.3034015999999999E-2</v>
      </c>
      <c r="K70" s="2">
        <v>0.16793187347931879</v>
      </c>
      <c r="L70" s="2">
        <v>0</v>
      </c>
      <c r="M70" s="2">
        <v>3.3034015999999999E-2</v>
      </c>
      <c r="O70" s="6"/>
      <c r="P70" s="1">
        <v>25140.2664733333</v>
      </c>
      <c r="Q70" s="1">
        <v>0</v>
      </c>
      <c r="R70" s="1">
        <f>'[1]links-p0'!D69</f>
        <v>9393.8006295616924</v>
      </c>
      <c r="S70" s="1">
        <f>'[1]links-p0'!E69</f>
        <v>538.45446079999999</v>
      </c>
      <c r="T70" s="1">
        <f>'[1]links-p0'!F69</f>
        <v>716.8308797164799</v>
      </c>
    </row>
    <row r="71" spans="1:20">
      <c r="A71" s="1">
        <v>67</v>
      </c>
      <c r="B71" s="1">
        <f t="shared" si="5"/>
        <v>716.8308797164799</v>
      </c>
      <c r="C71" s="1">
        <f t="shared" si="6"/>
        <v>538.45446079999999</v>
      </c>
      <c r="D71" s="15">
        <f t="shared" si="7"/>
        <v>1.6517008E-2</v>
      </c>
      <c r="H71" s="13">
        <v>68</v>
      </c>
      <c r="I71" s="2">
        <v>0</v>
      </c>
      <c r="J71" s="2">
        <v>2.1762911999999999E-2</v>
      </c>
      <c r="K71" s="2">
        <v>0.16793187347931879</v>
      </c>
      <c r="L71" s="2">
        <v>0</v>
      </c>
      <c r="M71" s="2">
        <v>2.1762911999999999E-2</v>
      </c>
      <c r="O71" s="6"/>
      <c r="P71" s="1">
        <v>25140.2664733333</v>
      </c>
      <c r="Q71" s="1">
        <v>0</v>
      </c>
      <c r="R71" s="1">
        <f>'[1]links-p0'!D70</f>
        <v>9397.07954873983</v>
      </c>
      <c r="S71" s="1">
        <f>'[1]links-p0'!E70</f>
        <v>354.7354656</v>
      </c>
      <c r="T71" s="1">
        <f>'[1]links-p0'!F70</f>
        <v>472.25040255935988</v>
      </c>
    </row>
    <row r="72" spans="1:20">
      <c r="A72" s="1">
        <v>68</v>
      </c>
      <c r="B72" s="1">
        <f t="shared" si="5"/>
        <v>472.25040255935988</v>
      </c>
      <c r="C72" s="1">
        <f t="shared" si="6"/>
        <v>354.7354656</v>
      </c>
      <c r="D72" s="15">
        <f t="shared" si="7"/>
        <v>1.0881455999999999E-2</v>
      </c>
      <c r="H72" s="13">
        <v>69</v>
      </c>
      <c r="I72" s="2">
        <v>0</v>
      </c>
      <c r="J72" s="2">
        <v>1.7486972E-2</v>
      </c>
      <c r="K72" s="2">
        <v>0.16793187347931879</v>
      </c>
      <c r="L72" s="2">
        <v>0</v>
      </c>
      <c r="M72" s="2">
        <v>1.7486972E-2</v>
      </c>
      <c r="O72" s="6"/>
      <c r="P72" s="1">
        <v>25140.2664733333</v>
      </c>
      <c r="Q72" s="1">
        <v>0</v>
      </c>
      <c r="R72" s="1">
        <f>'[1]links-p0'!D71</f>
        <v>9547.3054119284534</v>
      </c>
      <c r="S72" s="1">
        <f>'[1]links-p0'!E71</f>
        <v>285.03764360000002</v>
      </c>
      <c r="T72" s="1">
        <f>'[1]links-p0'!F71</f>
        <v>379.46344526616002</v>
      </c>
    </row>
    <row r="73" spans="1:20">
      <c r="A73" s="1">
        <v>69</v>
      </c>
      <c r="B73" s="1">
        <f t="shared" si="5"/>
        <v>379.46344526616002</v>
      </c>
      <c r="C73" s="1">
        <f t="shared" si="6"/>
        <v>285.03764360000002</v>
      </c>
      <c r="D73" s="15">
        <f t="shared" si="7"/>
        <v>8.743486E-3</v>
      </c>
      <c r="H73" s="13">
        <v>70</v>
      </c>
      <c r="I73" s="2">
        <v>0</v>
      </c>
      <c r="J73" s="2">
        <v>1.8721867E-2</v>
      </c>
      <c r="K73" s="2">
        <v>0.16793187347931879</v>
      </c>
      <c r="L73" s="2">
        <v>0</v>
      </c>
      <c r="M73" s="2">
        <v>1.8721867E-2</v>
      </c>
      <c r="O73" s="6"/>
      <c r="P73" s="1">
        <v>25140.2664733333</v>
      </c>
      <c r="Q73" s="1">
        <v>0</v>
      </c>
      <c r="R73" s="1">
        <f>'[1]links-p0'!D72</f>
        <v>9551.1925078562836</v>
      </c>
      <c r="S73" s="1">
        <f>'[1]links-p0'!E72</f>
        <v>305.16643210000001</v>
      </c>
      <c r="T73" s="1">
        <f>'[1]links-p0'!F72</f>
        <v>406.26039508925999</v>
      </c>
    </row>
    <row r="74" spans="1:20">
      <c r="A74" s="1">
        <v>70</v>
      </c>
      <c r="B74" s="1">
        <f t="shared" si="5"/>
        <v>406.26039508925999</v>
      </c>
      <c r="C74" s="1">
        <f t="shared" si="6"/>
        <v>305.16643210000001</v>
      </c>
      <c r="D74" s="15">
        <f t="shared" si="7"/>
        <v>9.3609334999999998E-3</v>
      </c>
      <c r="H74" s="13">
        <v>71</v>
      </c>
      <c r="I74" s="2">
        <v>0</v>
      </c>
      <c r="J74" s="2">
        <v>1.9438409E-2</v>
      </c>
      <c r="K74" s="2">
        <v>0.16793187347931879</v>
      </c>
      <c r="L74" s="2">
        <v>0</v>
      </c>
      <c r="M74" s="2">
        <v>1.9438409E-2</v>
      </c>
      <c r="O74" s="6"/>
      <c r="P74" s="1">
        <v>25140.2664733333</v>
      </c>
      <c r="Q74" s="1">
        <v>0</v>
      </c>
      <c r="R74" s="1">
        <f>'[1]links-p0'!D73</f>
        <v>9372.6060741813053</v>
      </c>
      <c r="S74" s="1">
        <f>'[1]links-p0'!E73</f>
        <v>316.84606669999999</v>
      </c>
      <c r="T74" s="1">
        <f>'[1]links-p0'!F73</f>
        <v>421.80919885001998</v>
      </c>
    </row>
    <row r="75" spans="1:20">
      <c r="A75" s="1">
        <v>71</v>
      </c>
      <c r="B75" s="1">
        <f t="shared" si="5"/>
        <v>421.80919885001998</v>
      </c>
      <c r="C75" s="1">
        <f t="shared" si="6"/>
        <v>316.84606669999999</v>
      </c>
      <c r="D75" s="15">
        <f t="shared" si="7"/>
        <v>9.7192045000000001E-3</v>
      </c>
      <c r="H75" s="13">
        <v>72</v>
      </c>
      <c r="I75" s="2">
        <v>0</v>
      </c>
      <c r="J75" s="2">
        <v>2.2797543E-2</v>
      </c>
      <c r="K75" s="2">
        <v>0.1694160583941606</v>
      </c>
      <c r="L75" s="2">
        <v>0</v>
      </c>
      <c r="M75" s="2">
        <v>2.2797543E-2</v>
      </c>
      <c r="O75" s="6"/>
      <c r="P75" s="1">
        <v>25140.2664733333</v>
      </c>
      <c r="Q75" s="1">
        <v>0</v>
      </c>
      <c r="R75" s="1">
        <f>'[1]links-p0'!D74</f>
        <v>9263.4798626008651</v>
      </c>
      <c r="S75" s="1">
        <f>'[1]links-p0'!E74</f>
        <v>371.59995090000001</v>
      </c>
      <c r="T75" s="1">
        <f>'[1]links-p0'!F74</f>
        <v>494.70166764053999</v>
      </c>
    </row>
    <row r="76" spans="1:20">
      <c r="A76" s="1">
        <v>72</v>
      </c>
      <c r="B76" s="1">
        <f t="shared" si="5"/>
        <v>494.70166764053999</v>
      </c>
      <c r="C76" s="1">
        <f t="shared" si="6"/>
        <v>371.59995090000001</v>
      </c>
      <c r="D76" s="15">
        <f t="shared" si="7"/>
        <v>1.13987715E-2</v>
      </c>
      <c r="H76" s="13">
        <v>73</v>
      </c>
      <c r="I76" s="2">
        <v>0</v>
      </c>
      <c r="J76" s="2">
        <v>2.6731528000000001E-2</v>
      </c>
      <c r="K76" s="2">
        <v>0.1694160583941606</v>
      </c>
      <c r="L76" s="2">
        <v>0</v>
      </c>
      <c r="M76" s="2">
        <v>2.6731528000000001E-2</v>
      </c>
      <c r="O76" s="6"/>
      <c r="P76" s="1">
        <v>25140.2664733333</v>
      </c>
      <c r="Q76" s="1">
        <v>0</v>
      </c>
      <c r="R76" s="1">
        <f>'[1]links-p0'!D75</f>
        <v>9301.450395289392</v>
      </c>
      <c r="S76" s="1">
        <f>'[1]links-p0'!E75</f>
        <v>435.72390639999998</v>
      </c>
      <c r="T76" s="1">
        <f>'[1]links-p0'!F75</f>
        <v>580.06827666384004</v>
      </c>
    </row>
    <row r="77" spans="1:20">
      <c r="A77" s="1">
        <v>73</v>
      </c>
      <c r="B77" s="1">
        <f t="shared" si="5"/>
        <v>580.06827666384004</v>
      </c>
      <c r="C77" s="1">
        <f t="shared" si="6"/>
        <v>435.72390639999998</v>
      </c>
      <c r="D77" s="15">
        <f t="shared" si="7"/>
        <v>1.3365763999999999E-2</v>
      </c>
      <c r="H77" s="13">
        <v>74</v>
      </c>
      <c r="I77" s="2">
        <v>0</v>
      </c>
      <c r="J77" s="2">
        <v>3.2651092999999999E-2</v>
      </c>
      <c r="K77" s="2">
        <v>0.1694160583941606</v>
      </c>
      <c r="L77" s="2">
        <v>0</v>
      </c>
      <c r="M77" s="2">
        <v>3.2651092999999999E-2</v>
      </c>
      <c r="O77" s="6"/>
      <c r="P77" s="1">
        <v>25140.2664733333</v>
      </c>
      <c r="Q77" s="1">
        <v>0</v>
      </c>
      <c r="R77" s="1">
        <f>'[1]links-p0'!D76</f>
        <v>9189.5181598272793</v>
      </c>
      <c r="S77" s="1">
        <f>'[1]links-p0'!E76</f>
        <v>532.21281590000001</v>
      </c>
      <c r="T77" s="1">
        <f>'[1]links-p0'!F76</f>
        <v>708.52153485954</v>
      </c>
    </row>
    <row r="78" spans="1:20">
      <c r="A78" s="1">
        <v>74</v>
      </c>
      <c r="B78" s="1">
        <f t="shared" si="5"/>
        <v>708.52153485954</v>
      </c>
      <c r="C78" s="1">
        <f t="shared" si="6"/>
        <v>532.21281590000001</v>
      </c>
      <c r="D78" s="15">
        <f t="shared" si="7"/>
        <v>1.63255465E-2</v>
      </c>
      <c r="H78" s="13">
        <v>75</v>
      </c>
      <c r="I78" s="2">
        <v>0</v>
      </c>
      <c r="J78" s="2">
        <v>4.0581737999999999E-2</v>
      </c>
      <c r="K78" s="2">
        <v>0.1694160583941606</v>
      </c>
      <c r="L78" s="2">
        <v>0</v>
      </c>
      <c r="M78" s="2">
        <v>4.0581737999999999E-2</v>
      </c>
      <c r="O78" s="6"/>
      <c r="P78" s="1">
        <v>25140.2664733333</v>
      </c>
      <c r="Q78" s="1">
        <v>0</v>
      </c>
      <c r="R78" s="1">
        <f>'[1]links-p0'!D77</f>
        <v>8986.3779883810021</v>
      </c>
      <c r="S78" s="1">
        <f>'[1]links-p0'!E77</f>
        <v>661.48232940000003</v>
      </c>
      <c r="T78" s="1">
        <f>'[1]links-p0'!F77</f>
        <v>880.61478661763988</v>
      </c>
    </row>
    <row r="79" spans="1:20">
      <c r="A79" s="1">
        <v>75</v>
      </c>
      <c r="B79" s="1">
        <f t="shared" si="5"/>
        <v>880.61478661763988</v>
      </c>
      <c r="C79" s="1">
        <f t="shared" si="6"/>
        <v>661.48232940000003</v>
      </c>
      <c r="D79" s="15">
        <f t="shared" si="7"/>
        <v>2.0290869E-2</v>
      </c>
      <c r="H79" s="13">
        <v>76</v>
      </c>
      <c r="I79" s="2">
        <v>0</v>
      </c>
      <c r="J79" s="2">
        <v>5.0982284000000003E-2</v>
      </c>
      <c r="K79" s="2">
        <v>0.1694160583941606</v>
      </c>
      <c r="L79" s="2">
        <v>0</v>
      </c>
      <c r="M79" s="2">
        <v>5.0982284000000003E-2</v>
      </c>
      <c r="O79" s="6"/>
      <c r="P79" s="1">
        <v>25140.2664733333</v>
      </c>
      <c r="Q79" s="1">
        <v>0</v>
      </c>
      <c r="R79" s="1">
        <f>'[1]links-p0'!D78</f>
        <v>8904.648466632394</v>
      </c>
      <c r="S79" s="1">
        <f>'[1]links-p0'!E78</f>
        <v>831.0112292</v>
      </c>
      <c r="T79" s="1">
        <f>'[1]links-p0'!F78</f>
        <v>1106.30434669752</v>
      </c>
    </row>
    <row r="80" spans="1:20">
      <c r="A80" s="1">
        <v>76</v>
      </c>
      <c r="B80" s="1">
        <f t="shared" si="5"/>
        <v>1106.30434669752</v>
      </c>
      <c r="C80" s="1">
        <f t="shared" si="6"/>
        <v>831.0112292</v>
      </c>
      <c r="D80" s="15">
        <f t="shared" si="7"/>
        <v>2.5491142000000001E-2</v>
      </c>
      <c r="H80" s="13">
        <v>77</v>
      </c>
      <c r="I80" s="2">
        <v>0</v>
      </c>
      <c r="J80" s="2">
        <v>5.9373763000000003E-2</v>
      </c>
      <c r="K80" s="2">
        <v>0.1694160583941606</v>
      </c>
      <c r="L80" s="2">
        <v>0</v>
      </c>
      <c r="M80" s="2">
        <v>5.9373763000000003E-2</v>
      </c>
      <c r="O80" s="6"/>
      <c r="P80" s="1">
        <v>25140.2664733333</v>
      </c>
      <c r="Q80" s="1">
        <v>0</v>
      </c>
      <c r="R80" s="1">
        <f>'[1]links-p0'!D79</f>
        <v>9018.6342980148092</v>
      </c>
      <c r="S80" s="1">
        <f>'[1]links-p0'!E79</f>
        <v>967.79233690000001</v>
      </c>
      <c r="T80" s="1">
        <f>'[1]links-p0'!F79</f>
        <v>1288.39759487214</v>
      </c>
    </row>
    <row r="81" spans="1:20">
      <c r="A81" s="1">
        <v>77</v>
      </c>
      <c r="B81" s="1">
        <f t="shared" si="5"/>
        <v>1288.39759487214</v>
      </c>
      <c r="C81" s="1">
        <f t="shared" si="6"/>
        <v>967.79233690000001</v>
      </c>
      <c r="D81" s="15">
        <f t="shared" si="7"/>
        <v>2.9686881500000002E-2</v>
      </c>
      <c r="H81" s="13">
        <v>78</v>
      </c>
      <c r="I81" s="2">
        <v>0</v>
      </c>
      <c r="J81" s="2">
        <v>6.6060953000000006E-2</v>
      </c>
      <c r="K81" s="2">
        <v>0.1694160583941606</v>
      </c>
      <c r="L81" s="2">
        <v>0</v>
      </c>
      <c r="M81" s="2">
        <v>6.6060953000000006E-2</v>
      </c>
      <c r="O81" s="6"/>
      <c r="P81" s="1">
        <v>25140.2664733333</v>
      </c>
      <c r="Q81" s="1">
        <v>0</v>
      </c>
      <c r="R81" s="1">
        <f>'[1]links-p0'!D80</f>
        <v>9142.5426322119238</v>
      </c>
      <c r="S81" s="1">
        <f>'[1]links-p0'!E80</f>
        <v>1076.7935339000001</v>
      </c>
      <c r="T81" s="1">
        <f>'[1]links-p0'!F80</f>
        <v>1433.50814669034</v>
      </c>
    </row>
    <row r="82" spans="1:20">
      <c r="A82" s="1">
        <v>78</v>
      </c>
      <c r="B82" s="1">
        <f t="shared" si="5"/>
        <v>1433.50814669034</v>
      </c>
      <c r="C82" s="1">
        <f t="shared" si="6"/>
        <v>1076.7935339000001</v>
      </c>
      <c r="D82" s="15">
        <f t="shared" si="7"/>
        <v>3.3030476500000003E-2</v>
      </c>
      <c r="H82" s="13">
        <v>79</v>
      </c>
      <c r="I82" s="2">
        <v>0</v>
      </c>
      <c r="J82" s="2">
        <v>6.9969826999999998E-2</v>
      </c>
      <c r="K82" s="2">
        <v>0.1694160583941606</v>
      </c>
      <c r="L82" s="2">
        <v>0</v>
      </c>
      <c r="M82" s="2">
        <v>6.9969826999999998E-2</v>
      </c>
      <c r="O82" s="6"/>
      <c r="P82" s="1">
        <v>25140.2664733333</v>
      </c>
      <c r="Q82" s="1">
        <v>0</v>
      </c>
      <c r="R82" s="1">
        <f>'[1]links-p0'!D81</f>
        <v>9386.2169345227194</v>
      </c>
      <c r="S82" s="1">
        <f>'[1]links-p0'!E81</f>
        <v>1140.5081800999999</v>
      </c>
      <c r="T82" s="1">
        <f>'[1]links-p0'!F81</f>
        <v>1518.3298525380601</v>
      </c>
    </row>
    <row r="83" spans="1:20">
      <c r="A83" s="1">
        <v>79</v>
      </c>
      <c r="B83" s="1">
        <f t="shared" si="5"/>
        <v>1518.3298525380601</v>
      </c>
      <c r="C83" s="1">
        <f t="shared" si="6"/>
        <v>1140.5081800999999</v>
      </c>
      <c r="D83" s="15">
        <f t="shared" si="7"/>
        <v>3.4984913499999999E-2</v>
      </c>
      <c r="H83" s="13">
        <v>80</v>
      </c>
      <c r="I83" s="2">
        <v>6.8601549999999997E-3</v>
      </c>
      <c r="J83" s="2">
        <v>7.8754295000000002E-2</v>
      </c>
      <c r="K83" s="2">
        <v>0.1694160583941606</v>
      </c>
      <c r="L83" s="2">
        <v>6.8601549999999997E-3</v>
      </c>
      <c r="M83" s="2">
        <v>7.8754295000000002E-2</v>
      </c>
      <c r="O83" s="6"/>
      <c r="P83" s="1">
        <v>25140.2664733333</v>
      </c>
      <c r="Q83" s="1">
        <v>0</v>
      </c>
      <c r="R83" s="1">
        <f>'[1]links-p0'!D82</f>
        <v>9407.7828829474129</v>
      </c>
      <c r="S83" s="1">
        <f>'[1]links-p0'!E82</f>
        <v>1395.515535</v>
      </c>
      <c r="T83" s="1">
        <f>'[1]links-p0'!F82</f>
        <v>1857.8147298209999</v>
      </c>
    </row>
    <row r="84" spans="1:20">
      <c r="A84" s="1">
        <v>80</v>
      </c>
      <c r="B84" s="1">
        <f t="shared" si="5"/>
        <v>1857.8147298209999</v>
      </c>
      <c r="C84" s="1">
        <f t="shared" si="6"/>
        <v>1395.515535</v>
      </c>
      <c r="D84" s="15">
        <f t="shared" si="7"/>
        <v>4.2807224999999997E-2</v>
      </c>
      <c r="H84" s="13">
        <v>81</v>
      </c>
      <c r="I84" s="2">
        <v>0.14890668700000001</v>
      </c>
      <c r="J84" s="2">
        <v>9.0938508000000001E-2</v>
      </c>
      <c r="K84" s="2">
        <v>0.1694160583941606</v>
      </c>
      <c r="L84" s="2">
        <v>0.14890668700000001</v>
      </c>
      <c r="M84" s="2">
        <v>9.0938508000000001E-2</v>
      </c>
      <c r="O84" s="6"/>
      <c r="P84" s="1">
        <v>15065.552038168151</v>
      </c>
      <c r="Q84" s="1">
        <v>0</v>
      </c>
      <c r="R84" s="1">
        <f>'[1]links-p0'!D83</f>
        <v>9783.2936906362775</v>
      </c>
      <c r="S84" s="1">
        <f>'[1]links-p0'!E83</f>
        <v>3909.4766785000002</v>
      </c>
      <c r="T84" s="1">
        <f>'[1]links-p0'!F83</f>
        <v>5204.5879655570998</v>
      </c>
    </row>
    <row r="85" spans="1:20">
      <c r="A85" s="1">
        <v>81</v>
      </c>
      <c r="B85" s="1">
        <f t="shared" si="5"/>
        <v>5204.5879655570998</v>
      </c>
      <c r="C85" s="1">
        <f t="shared" si="6"/>
        <v>3909.4766785000002</v>
      </c>
      <c r="D85" s="15">
        <f t="shared" si="7"/>
        <v>0.11992259750000001</v>
      </c>
      <c r="H85" s="13">
        <v>82</v>
      </c>
      <c r="I85" s="2">
        <v>0.36346963500000001</v>
      </c>
      <c r="J85" s="2">
        <v>0.100598005</v>
      </c>
      <c r="K85" s="2">
        <v>0.1694160583941606</v>
      </c>
      <c r="L85" s="2">
        <v>0.36346963500000001</v>
      </c>
      <c r="M85" s="2">
        <v>0.100598005</v>
      </c>
      <c r="O85" s="6"/>
      <c r="P85" s="1">
        <v>0</v>
      </c>
      <c r="Q85" s="1">
        <v>13320.750632965201</v>
      </c>
      <c r="R85" s="1">
        <f>'[1]links-p0'!D84</f>
        <v>6431.9941611172453</v>
      </c>
      <c r="S85" s="1">
        <f>'[1]links-p0'!E84</f>
        <v>7564.3025319999997</v>
      </c>
      <c r="T85" s="1">
        <f>'[1]links-p0'!F84</f>
        <v>10070.165693119199</v>
      </c>
    </row>
    <row r="86" spans="1:20">
      <c r="A86" s="1">
        <v>82</v>
      </c>
      <c r="B86" s="1">
        <f t="shared" si="5"/>
        <v>10070.165693119199</v>
      </c>
      <c r="C86" s="1">
        <f t="shared" si="6"/>
        <v>7564.3025319999997</v>
      </c>
      <c r="D86" s="15">
        <f t="shared" si="7"/>
        <v>0.23203382</v>
      </c>
      <c r="H86" s="13">
        <v>83</v>
      </c>
      <c r="I86" s="2">
        <v>0.52272643299999999</v>
      </c>
      <c r="J86" s="2">
        <v>0.11549854399999999</v>
      </c>
      <c r="K86" s="2">
        <v>0.1694160583941606</v>
      </c>
      <c r="L86" s="2">
        <v>0.52272643299999999</v>
      </c>
      <c r="M86" s="2">
        <v>0.11549854399999999</v>
      </c>
      <c r="O86" s="6"/>
      <c r="P86" s="1">
        <v>0</v>
      </c>
      <c r="Q86" s="1">
        <v>13320.750632965201</v>
      </c>
      <c r="R86" s="1">
        <f>'[1]links-p0'!D85</f>
        <v>6698.62727367143</v>
      </c>
      <c r="S86" s="1">
        <f>'[1]links-p0'!E85</f>
        <v>10403.0671251</v>
      </c>
      <c r="T86" s="1">
        <f>'[1]links-p0'!F85</f>
        <v>13849.34159140506</v>
      </c>
    </row>
    <row r="87" spans="1:20">
      <c r="A87" s="1">
        <v>83</v>
      </c>
      <c r="B87" s="1">
        <f t="shared" si="5"/>
        <v>13849.34159140506</v>
      </c>
      <c r="C87" s="1">
        <f t="shared" si="6"/>
        <v>10403.0671251</v>
      </c>
      <c r="D87" s="15">
        <f t="shared" si="7"/>
        <v>0.31911248850000001</v>
      </c>
      <c r="H87" s="13">
        <v>84</v>
      </c>
      <c r="I87" s="2">
        <v>0.62047013699999998</v>
      </c>
      <c r="J87" s="2">
        <v>0.13827719199999999</v>
      </c>
      <c r="K87" s="2">
        <v>0.1694160583941606</v>
      </c>
      <c r="L87" s="2">
        <v>0.62047013699999998</v>
      </c>
      <c r="M87" s="2">
        <v>0.13827719199999999</v>
      </c>
      <c r="O87" s="6"/>
      <c r="P87" s="1">
        <v>0</v>
      </c>
      <c r="Q87" s="1">
        <v>13320.750632965201</v>
      </c>
      <c r="R87" s="1">
        <f>'[1]links-p0'!D86</f>
        <v>2479.6557241571459</v>
      </c>
      <c r="S87" s="1">
        <f>'[1]links-p0'!E86</f>
        <v>12367.5814627</v>
      </c>
      <c r="T87" s="1">
        <f>'[1]links-p0'!F86</f>
        <v>16464.65011488762</v>
      </c>
    </row>
    <row r="88" spans="1:20">
      <c r="A88" s="1">
        <v>84</v>
      </c>
      <c r="B88" s="1">
        <f t="shared" si="5"/>
        <v>16464.65011488762</v>
      </c>
      <c r="C88" s="1">
        <f t="shared" si="6"/>
        <v>12367.5814627</v>
      </c>
      <c r="D88" s="15">
        <f t="shared" si="7"/>
        <v>0.37937366449999999</v>
      </c>
      <c r="H88" s="13">
        <v>85</v>
      </c>
      <c r="I88" s="2">
        <v>0.63995515599999997</v>
      </c>
      <c r="J88" s="2">
        <v>0.16269359799999999</v>
      </c>
      <c r="K88" s="2">
        <v>0.1694160583941606</v>
      </c>
      <c r="L88" s="2">
        <v>0.63995515599999997</v>
      </c>
      <c r="M88" s="2">
        <v>0.16269359799999999</v>
      </c>
      <c r="O88" s="6"/>
      <c r="P88" s="1">
        <v>0</v>
      </c>
      <c r="Q88" s="1">
        <v>13320.750632965201</v>
      </c>
      <c r="R88" s="1">
        <f>'[1]links-p0'!D87</f>
        <v>1764.0624966571499</v>
      </c>
      <c r="S88" s="1">
        <f>'[1]links-p0'!E87</f>
        <v>13083.1746902</v>
      </c>
      <c r="T88" s="1">
        <f>'[1]links-p0'!F87</f>
        <v>17417.301379074121</v>
      </c>
    </row>
    <row r="89" spans="1:20">
      <c r="A89" s="1">
        <v>85</v>
      </c>
      <c r="B89" s="1">
        <f t="shared" si="5"/>
        <v>17417.301379074121</v>
      </c>
      <c r="C89" s="1">
        <f t="shared" si="6"/>
        <v>13083.1746902</v>
      </c>
      <c r="D89" s="15">
        <f t="shared" si="7"/>
        <v>0.40132437700000001</v>
      </c>
      <c r="H89" s="13">
        <v>86</v>
      </c>
      <c r="I89" s="2">
        <v>0.588145633</v>
      </c>
      <c r="J89" s="2">
        <v>0.18848293999999999</v>
      </c>
      <c r="K89" s="2">
        <v>0.1694160583941606</v>
      </c>
      <c r="L89" s="2">
        <v>0.588145633</v>
      </c>
      <c r="M89" s="2">
        <v>0.18848293999999999</v>
      </c>
      <c r="O89" s="6"/>
      <c r="P89" s="1">
        <v>0</v>
      </c>
      <c r="Q89" s="1">
        <v>13320.750632965201</v>
      </c>
      <c r="R89" s="1">
        <f>'[1]links-p0'!D88</f>
        <v>2223.1168131571449</v>
      </c>
      <c r="S89" s="1">
        <f>'[1]links-p0'!E88</f>
        <v>12659.045739900001</v>
      </c>
      <c r="T89" s="1">
        <f>'[1]links-p0'!F88</f>
        <v>16852.669175813939</v>
      </c>
    </row>
    <row r="90" spans="1:20">
      <c r="A90" s="1">
        <v>86</v>
      </c>
      <c r="B90" s="1">
        <f t="shared" si="5"/>
        <v>16852.669175813939</v>
      </c>
      <c r="C90" s="1">
        <f t="shared" si="6"/>
        <v>12659.045739900001</v>
      </c>
      <c r="D90" s="15">
        <f t="shared" si="7"/>
        <v>0.38831428649999999</v>
      </c>
      <c r="H90" s="13">
        <v>87</v>
      </c>
      <c r="I90" s="2">
        <v>0.49928330100000001</v>
      </c>
      <c r="J90" s="2">
        <v>0.20757709799999999</v>
      </c>
      <c r="K90" s="2">
        <v>0.1694160583941606</v>
      </c>
      <c r="L90" s="2">
        <v>0.49928330100000001</v>
      </c>
      <c r="M90" s="2">
        <v>0.20757709799999999</v>
      </c>
      <c r="O90" s="6"/>
      <c r="P90" s="1">
        <v>0</v>
      </c>
      <c r="Q90" s="1">
        <v>13320.750632965201</v>
      </c>
      <c r="R90" s="1">
        <f>'[1]links-p0'!D89</f>
        <v>3395.2634155428632</v>
      </c>
      <c r="S90" s="1">
        <f>'[1]links-p0'!E89</f>
        <v>11521.8245037</v>
      </c>
      <c r="T90" s="1">
        <f>'[1]links-p0'!F89</f>
        <v>15338.71514901222</v>
      </c>
    </row>
    <row r="91" spans="1:20">
      <c r="A91" s="1">
        <v>87</v>
      </c>
      <c r="B91" s="1">
        <f t="shared" si="5"/>
        <v>15338.71514901222</v>
      </c>
      <c r="C91" s="1">
        <f t="shared" si="6"/>
        <v>11521.8245037</v>
      </c>
      <c r="D91" s="15">
        <f t="shared" si="7"/>
        <v>0.35343019949999999</v>
      </c>
      <c r="H91" s="13">
        <v>88</v>
      </c>
      <c r="I91" s="2">
        <v>0.346339126</v>
      </c>
      <c r="J91" s="2">
        <v>0.21244671500000001</v>
      </c>
      <c r="K91" s="2">
        <v>0.1694160583941606</v>
      </c>
      <c r="L91" s="2">
        <v>0.346339126</v>
      </c>
      <c r="M91" s="2">
        <v>0.21244671500000001</v>
      </c>
      <c r="O91" s="6"/>
      <c r="P91" s="1">
        <v>0</v>
      </c>
      <c r="Q91" s="1">
        <v>13320.750632965201</v>
      </c>
      <c r="R91" s="1">
        <f>'[1]links-p0'!D90</f>
        <v>5808.8787109428586</v>
      </c>
      <c r="S91" s="1">
        <f>'[1]links-p0'!E90</f>
        <v>9108.2092083000007</v>
      </c>
      <c r="T91" s="1">
        <f>'[1]links-p0'!F90</f>
        <v>12125.52981681498</v>
      </c>
    </row>
    <row r="92" spans="1:20">
      <c r="A92" s="1">
        <v>88</v>
      </c>
      <c r="B92" s="1">
        <f t="shared" si="5"/>
        <v>12125.52981681498</v>
      </c>
      <c r="C92" s="1">
        <f t="shared" si="6"/>
        <v>9108.2092083000007</v>
      </c>
      <c r="D92" s="15">
        <f t="shared" si="7"/>
        <v>0.27939292050000003</v>
      </c>
      <c r="H92" s="13">
        <v>89</v>
      </c>
      <c r="I92" s="2">
        <v>0.10341510299999999</v>
      </c>
      <c r="J92" s="2">
        <v>0.20457370999999999</v>
      </c>
      <c r="K92" s="2">
        <v>0.1694160583941606</v>
      </c>
      <c r="L92" s="2">
        <v>0.10341510299999999</v>
      </c>
      <c r="M92" s="2">
        <v>0.20457370999999999</v>
      </c>
      <c r="O92" s="6"/>
      <c r="P92" s="1">
        <v>10237.920013637669</v>
      </c>
      <c r="Q92" s="1">
        <v>0</v>
      </c>
      <c r="R92" s="1">
        <f>'[1]links-p0'!D91</f>
        <v>9602.2758026899955</v>
      </c>
      <c r="S92" s="1">
        <f>'[1]links-p0'!E91</f>
        <v>5020.2176519000004</v>
      </c>
      <c r="T92" s="1">
        <f>'[1]links-p0'!F91</f>
        <v>6683.289484561139</v>
      </c>
    </row>
    <row r="93" spans="1:20">
      <c r="A93" s="1">
        <v>89</v>
      </c>
      <c r="B93" s="1">
        <f t="shared" si="5"/>
        <v>6683.289484561139</v>
      </c>
      <c r="C93" s="1">
        <f t="shared" si="6"/>
        <v>5020.2176519000004</v>
      </c>
      <c r="D93" s="15">
        <f t="shared" si="7"/>
        <v>0.15399440650000001</v>
      </c>
      <c r="H93" s="13">
        <v>90</v>
      </c>
      <c r="I93" s="2">
        <v>7.7100000000000004E-5</v>
      </c>
      <c r="J93" s="2">
        <v>0.22267505300000001</v>
      </c>
      <c r="K93" s="2">
        <v>0.1694160583941606</v>
      </c>
      <c r="L93" s="2">
        <v>7.7100000000000004E-5</v>
      </c>
      <c r="M93" s="2">
        <v>0.22267505300000001</v>
      </c>
      <c r="O93" s="6"/>
      <c r="P93" s="1">
        <v>25140.2664733333</v>
      </c>
      <c r="Q93" s="1">
        <v>0</v>
      </c>
      <c r="R93" s="1">
        <f>'[1]links-p0'!D92</f>
        <v>11171.76038566251</v>
      </c>
      <c r="S93" s="1">
        <f>'[1]links-p0'!E92</f>
        <v>3630.8600938999998</v>
      </c>
      <c r="T93" s="1">
        <f>'[1]links-p0'!F92</f>
        <v>4833.6727146263402</v>
      </c>
    </row>
    <row r="94" spans="1:20">
      <c r="A94" s="1">
        <v>90</v>
      </c>
      <c r="B94" s="1">
        <f t="shared" si="5"/>
        <v>4833.6727146263402</v>
      </c>
      <c r="C94" s="1">
        <f t="shared" si="6"/>
        <v>3630.8600938999998</v>
      </c>
      <c r="D94" s="15">
        <f t="shared" si="7"/>
        <v>0.11137607649999999</v>
      </c>
      <c r="H94" s="13">
        <v>91</v>
      </c>
      <c r="I94" s="2">
        <v>0</v>
      </c>
      <c r="J94" s="2">
        <v>0.254737767</v>
      </c>
      <c r="K94" s="2">
        <v>0.1694160583941606</v>
      </c>
      <c r="L94" s="2">
        <v>0</v>
      </c>
      <c r="M94" s="2">
        <v>0.254737767</v>
      </c>
      <c r="O94" s="6"/>
      <c r="P94" s="1">
        <v>2895.618847894948</v>
      </c>
      <c r="Q94" s="1">
        <v>0</v>
      </c>
      <c r="R94" s="1">
        <f>'[1]links-p0'!D93</f>
        <v>10135.87156793909</v>
      </c>
      <c r="S94" s="1">
        <f>'[1]links-p0'!E93</f>
        <v>4152.2256021000003</v>
      </c>
      <c r="T94" s="1">
        <f>'[1]links-p0'!F93</f>
        <v>5527.7535015912599</v>
      </c>
    </row>
    <row r="95" spans="1:20">
      <c r="A95" s="1">
        <v>91</v>
      </c>
      <c r="B95" s="1">
        <f t="shared" si="5"/>
        <v>5527.7535015912599</v>
      </c>
      <c r="C95" s="1">
        <f t="shared" si="6"/>
        <v>4152.2256021000003</v>
      </c>
      <c r="D95" s="15">
        <f t="shared" si="7"/>
        <v>0.1273688835</v>
      </c>
      <c r="H95" s="13">
        <v>92</v>
      </c>
      <c r="I95" s="2">
        <v>0</v>
      </c>
      <c r="J95" s="2">
        <v>0.27501555100000002</v>
      </c>
      <c r="K95" s="2">
        <v>0.1694160583941606</v>
      </c>
      <c r="L95" s="2">
        <v>0</v>
      </c>
      <c r="M95" s="2">
        <v>0.27501555100000002</v>
      </c>
      <c r="O95" s="6"/>
      <c r="P95" s="1">
        <v>16606.57885950377</v>
      </c>
      <c r="Q95" s="1">
        <v>0</v>
      </c>
      <c r="R95" s="1">
        <f>'[1]links-p0'!D94</f>
        <v>9449.6186066628306</v>
      </c>
      <c r="S95" s="1">
        <f>'[1]links-p0'!E94</f>
        <v>4482.7534813000002</v>
      </c>
      <c r="T95" s="1">
        <f>'[1]links-p0'!F94</f>
        <v>5967.7769532787806</v>
      </c>
    </row>
    <row r="96" spans="1:20">
      <c r="A96" s="1">
        <v>92</v>
      </c>
      <c r="B96" s="1">
        <f t="shared" si="5"/>
        <v>5967.7769532787806</v>
      </c>
      <c r="C96" s="1">
        <f t="shared" si="6"/>
        <v>4482.7534813000002</v>
      </c>
      <c r="D96" s="15">
        <f t="shared" si="7"/>
        <v>0.13750777550000001</v>
      </c>
      <c r="H96" s="13">
        <v>93</v>
      </c>
      <c r="I96" s="2">
        <v>0</v>
      </c>
      <c r="J96" s="2">
        <v>0.28818690899999999</v>
      </c>
      <c r="K96" s="2">
        <v>0.1694160583941606</v>
      </c>
      <c r="L96" s="2">
        <v>0</v>
      </c>
      <c r="M96" s="2">
        <v>0.28818690899999999</v>
      </c>
      <c r="O96" s="6"/>
      <c r="P96" s="1">
        <v>11442.62167486167</v>
      </c>
      <c r="Q96" s="1">
        <v>0</v>
      </c>
      <c r="R96" s="1">
        <f>'[1]links-p0'!D95</f>
        <v>9134.2525277773584</v>
      </c>
      <c r="S96" s="1">
        <f>'[1]links-p0'!E95</f>
        <v>4697.4466167</v>
      </c>
      <c r="T96" s="1">
        <f>'[1]links-p0'!F95</f>
        <v>6253.5925241800196</v>
      </c>
    </row>
    <row r="97" spans="1:20">
      <c r="A97" s="1">
        <v>93</v>
      </c>
      <c r="B97" s="1">
        <f t="shared" si="5"/>
        <v>6253.5925241800196</v>
      </c>
      <c r="C97" s="1">
        <f t="shared" si="6"/>
        <v>4697.4466167</v>
      </c>
      <c r="D97" s="15">
        <f t="shared" si="7"/>
        <v>0.1440934545</v>
      </c>
      <c r="H97" s="13">
        <v>94</v>
      </c>
      <c r="I97" s="2">
        <v>0</v>
      </c>
      <c r="J97" s="2">
        <v>0.31947301099999997</v>
      </c>
      <c r="K97" s="2">
        <v>0.1694160583941606</v>
      </c>
      <c r="L97" s="2">
        <v>0</v>
      </c>
      <c r="M97" s="2">
        <v>0.31947301099999997</v>
      </c>
      <c r="O97" s="6"/>
      <c r="P97" s="1">
        <v>3610.9349538360452</v>
      </c>
      <c r="Q97" s="1">
        <v>0</v>
      </c>
      <c r="R97" s="1">
        <f>'[1]links-p0'!D96</f>
        <v>8664.2620784177325</v>
      </c>
      <c r="S97" s="1">
        <f>'[1]links-p0'!E96</f>
        <v>5207.4100792999998</v>
      </c>
      <c r="T97" s="1">
        <f>'[1]links-p0'!F96</f>
        <v>6932.4940546375792</v>
      </c>
    </row>
    <row r="98" spans="1:20">
      <c r="A98" s="1">
        <v>94</v>
      </c>
      <c r="B98" s="1">
        <f t="shared" si="5"/>
        <v>6932.4940546375792</v>
      </c>
      <c r="C98" s="1">
        <f t="shared" si="6"/>
        <v>5207.4100792999998</v>
      </c>
      <c r="D98" s="15">
        <f t="shared" si="7"/>
        <v>0.15973650549999999</v>
      </c>
      <c r="H98" s="13">
        <v>95</v>
      </c>
      <c r="I98" s="2">
        <v>0</v>
      </c>
      <c r="J98" s="2">
        <v>0.353982937</v>
      </c>
      <c r="K98" s="2">
        <v>0.1694160583941606</v>
      </c>
      <c r="L98" s="2">
        <v>0</v>
      </c>
      <c r="M98" s="2">
        <v>0.353982937</v>
      </c>
      <c r="O98" s="6"/>
      <c r="P98" s="1">
        <v>0</v>
      </c>
      <c r="Q98" s="1">
        <v>3344.3370124642502</v>
      </c>
      <c r="R98" s="1">
        <f>'[1]links-p0'!D97</f>
        <v>8664.4722708389345</v>
      </c>
      <c r="S98" s="1">
        <f>'[1]links-p0'!E97</f>
        <v>5769.9218731000001</v>
      </c>
      <c r="T98" s="1">
        <f>'[1]links-p0'!F97</f>
        <v>7681.3518566538596</v>
      </c>
    </row>
    <row r="99" spans="1:20">
      <c r="A99" s="1">
        <v>95</v>
      </c>
      <c r="B99" s="1">
        <f t="shared" si="5"/>
        <v>7681.3518566538596</v>
      </c>
      <c r="C99" s="1">
        <f t="shared" si="6"/>
        <v>5769.9218731000001</v>
      </c>
      <c r="D99" s="15">
        <f t="shared" si="7"/>
        <v>0.1769914685</v>
      </c>
      <c r="H99" s="13">
        <v>96</v>
      </c>
      <c r="I99" s="2">
        <v>0</v>
      </c>
      <c r="J99" s="2">
        <v>0.36701989000000002</v>
      </c>
      <c r="K99" s="2">
        <v>0.1713990267639903</v>
      </c>
      <c r="L99" s="2">
        <v>0</v>
      </c>
      <c r="M99" s="2">
        <v>0.36701989000000002</v>
      </c>
      <c r="O99" s="6"/>
      <c r="P99" s="1">
        <v>0</v>
      </c>
      <c r="Q99" s="1">
        <v>5528.7405300690261</v>
      </c>
      <c r="R99" s="1">
        <f>'[1]links-p0'!D98</f>
        <v>9348.7531044686602</v>
      </c>
      <c r="S99" s="1">
        <f>'[1]links-p0'!E98</f>
        <v>5982.424207</v>
      </c>
      <c r="T99" s="1">
        <f>'[1]links-p0'!F98</f>
        <v>7964.2508686241999</v>
      </c>
    </row>
    <row r="100" spans="1:20">
      <c r="A100" s="1">
        <v>96</v>
      </c>
      <c r="B100" s="1">
        <f t="shared" ref="B100:B131" si="8">T99</f>
        <v>7964.2508686241999</v>
      </c>
      <c r="C100" s="1">
        <f t="shared" ref="C100:C131" si="9">S99</f>
        <v>5982.424207</v>
      </c>
      <c r="D100" s="15">
        <f t="shared" si="7"/>
        <v>0.18350994500000001</v>
      </c>
      <c r="H100" s="13">
        <v>97</v>
      </c>
      <c r="I100" s="2">
        <v>0</v>
      </c>
      <c r="J100" s="2">
        <v>0.342508282</v>
      </c>
      <c r="K100" s="2">
        <v>0.1713990267639903</v>
      </c>
      <c r="L100" s="2">
        <v>0</v>
      </c>
      <c r="M100" s="2">
        <v>0.342508282</v>
      </c>
      <c r="O100" s="6"/>
      <c r="P100" s="1">
        <v>0</v>
      </c>
      <c r="Q100" s="1">
        <v>2268.185165016288</v>
      </c>
      <c r="R100" s="1">
        <f>'[1]links-p0'!D99</f>
        <v>10207.713004955511</v>
      </c>
      <c r="S100" s="1">
        <f>'[1]links-p0'!E99</f>
        <v>5582.8849965999998</v>
      </c>
      <c r="T100" s="1">
        <f>'[1]links-p0'!F99</f>
        <v>7432.3543675779592</v>
      </c>
    </row>
    <row r="101" spans="1:20">
      <c r="A101" s="1">
        <v>97</v>
      </c>
      <c r="B101" s="1">
        <f t="shared" si="8"/>
        <v>7432.3543675779592</v>
      </c>
      <c r="C101" s="1">
        <f t="shared" si="9"/>
        <v>5582.8849965999998</v>
      </c>
      <c r="D101" s="15">
        <f t="shared" si="7"/>
        <v>0.171254141</v>
      </c>
      <c r="H101" s="13">
        <v>98</v>
      </c>
      <c r="I101" s="2">
        <v>0</v>
      </c>
      <c r="J101" s="2">
        <v>0.33470191500000002</v>
      </c>
      <c r="K101" s="2">
        <v>0.1713990267639903</v>
      </c>
      <c r="L101" s="2">
        <v>0</v>
      </c>
      <c r="M101" s="2">
        <v>0.33470191500000002</v>
      </c>
      <c r="O101" s="6"/>
      <c r="P101" s="1">
        <v>0</v>
      </c>
      <c r="Q101" s="1">
        <v>2224.0893737137048</v>
      </c>
      <c r="R101" s="1">
        <f>'[1]links-p0'!D100</f>
        <v>10446.289185705429</v>
      </c>
      <c r="S101" s="1">
        <f>'[1]links-p0'!E100</f>
        <v>5455.6412145000004</v>
      </c>
      <c r="T101" s="1">
        <f>'[1]links-p0'!F100</f>
        <v>7262.9579210786997</v>
      </c>
    </row>
    <row r="102" spans="1:20">
      <c r="A102" s="1">
        <v>98</v>
      </c>
      <c r="B102" s="1">
        <f t="shared" si="8"/>
        <v>7262.9579210786997</v>
      </c>
      <c r="C102" s="1">
        <f t="shared" si="9"/>
        <v>5455.6412145000004</v>
      </c>
      <c r="D102" s="15">
        <f t="shared" si="7"/>
        <v>0.16735095750000001</v>
      </c>
      <c r="H102" s="13">
        <v>99</v>
      </c>
      <c r="I102" s="2">
        <v>0</v>
      </c>
      <c r="J102" s="2">
        <v>0.35738882900000002</v>
      </c>
      <c r="K102" s="2">
        <v>0.1713990267639903</v>
      </c>
      <c r="L102" s="2">
        <v>0</v>
      </c>
      <c r="M102" s="2">
        <v>0.35738882900000002</v>
      </c>
      <c r="O102" s="6"/>
      <c r="P102" s="1">
        <v>0</v>
      </c>
      <c r="Q102" s="1">
        <v>5094.9215352267202</v>
      </c>
      <c r="R102" s="1">
        <f>'[1]links-p0'!D101</f>
        <v>10189.034350030541</v>
      </c>
      <c r="S102" s="1">
        <f>'[1]links-p0'!E101</f>
        <v>5825.4379127000002</v>
      </c>
      <c r="T102" s="1">
        <f>'[1]links-p0'!F101</f>
        <v>7755.2589637576202</v>
      </c>
    </row>
    <row r="103" spans="1:20">
      <c r="A103" s="1">
        <v>99</v>
      </c>
      <c r="B103" s="1">
        <f t="shared" si="8"/>
        <v>7755.2589637576202</v>
      </c>
      <c r="C103" s="1">
        <f t="shared" si="9"/>
        <v>5825.4379127000002</v>
      </c>
      <c r="D103" s="15">
        <f t="shared" si="7"/>
        <v>0.17869441450000001</v>
      </c>
      <c r="H103" s="13">
        <v>100</v>
      </c>
      <c r="I103" s="2">
        <v>0</v>
      </c>
      <c r="J103" s="2">
        <v>0.41485719700000001</v>
      </c>
      <c r="K103" s="2">
        <v>0.1713990267639903</v>
      </c>
      <c r="L103" s="2">
        <v>0</v>
      </c>
      <c r="M103" s="2">
        <v>0.41485719700000001</v>
      </c>
      <c r="O103" s="6"/>
      <c r="P103" s="1">
        <v>0</v>
      </c>
      <c r="Q103" s="1">
        <v>11290.358127784601</v>
      </c>
      <c r="R103" s="1">
        <f>'[1]links-p0'!D102</f>
        <v>9374.1833141663756</v>
      </c>
      <c r="S103" s="1">
        <f>'[1]links-p0'!E102</f>
        <v>6762.1723111000001</v>
      </c>
      <c r="T103" s="1">
        <f>'[1]links-p0'!F102</f>
        <v>9002.3099063166592</v>
      </c>
    </row>
    <row r="104" spans="1:20">
      <c r="A104" s="1">
        <v>100</v>
      </c>
      <c r="B104" s="1">
        <f t="shared" si="8"/>
        <v>9002.3099063166592</v>
      </c>
      <c r="C104" s="1">
        <f t="shared" si="9"/>
        <v>6762.1723111000001</v>
      </c>
      <c r="D104" s="15">
        <f t="shared" si="7"/>
        <v>0.20742859850000001</v>
      </c>
      <c r="H104" s="13">
        <v>101</v>
      </c>
      <c r="I104" s="2">
        <v>0</v>
      </c>
      <c r="J104" s="2">
        <v>0.47076277500000002</v>
      </c>
      <c r="K104" s="2">
        <v>0.1713990267639903</v>
      </c>
      <c r="L104" s="2">
        <v>0</v>
      </c>
      <c r="M104" s="2">
        <v>0.47076277500000002</v>
      </c>
      <c r="O104" s="6"/>
      <c r="P104" s="1">
        <v>0</v>
      </c>
      <c r="Q104" s="1">
        <v>13320.750632965201</v>
      </c>
      <c r="R104" s="1">
        <f>'[1]links-p0'!D103</f>
        <v>8723.6342555504743</v>
      </c>
      <c r="S104" s="1">
        <f>'[1]links-p0'!E103</f>
        <v>7673.4332324999996</v>
      </c>
      <c r="T104" s="1">
        <f>'[1]links-p0'!F103</f>
        <v>10215.448649689501</v>
      </c>
    </row>
    <row r="105" spans="1:20">
      <c r="A105" s="1">
        <v>101</v>
      </c>
      <c r="B105" s="1">
        <f t="shared" si="8"/>
        <v>10215.448649689501</v>
      </c>
      <c r="C105" s="1">
        <f t="shared" si="9"/>
        <v>7673.4332324999996</v>
      </c>
      <c r="D105" s="15">
        <f t="shared" si="7"/>
        <v>0.23538138749999998</v>
      </c>
      <c r="H105" s="13">
        <v>102</v>
      </c>
      <c r="I105" s="2">
        <v>0</v>
      </c>
      <c r="J105" s="2">
        <v>0.49756946400000002</v>
      </c>
      <c r="K105" s="2">
        <v>0.1713990267639903</v>
      </c>
      <c r="L105" s="2">
        <v>0</v>
      </c>
      <c r="M105" s="2">
        <v>0.49756946400000002</v>
      </c>
      <c r="O105" s="6"/>
      <c r="P105" s="1">
        <v>0</v>
      </c>
      <c r="Q105" s="1">
        <v>13320.750632965201</v>
      </c>
      <c r="R105" s="1">
        <f>'[1]links-p0'!D104</f>
        <v>8463.0167031328529</v>
      </c>
      <c r="S105" s="1">
        <f>'[1]links-p0'!E104</f>
        <v>8110.3822632000001</v>
      </c>
      <c r="T105" s="1">
        <f>'[1]links-p0'!F104</f>
        <v>10797.14790351792</v>
      </c>
    </row>
    <row r="106" spans="1:20">
      <c r="A106" s="1">
        <v>102</v>
      </c>
      <c r="B106" s="1">
        <f t="shared" si="8"/>
        <v>10797.14790351792</v>
      </c>
      <c r="C106" s="1">
        <f t="shared" si="9"/>
        <v>8110.3822632000001</v>
      </c>
      <c r="D106" s="15">
        <f t="shared" si="7"/>
        <v>0.24878473200000001</v>
      </c>
      <c r="H106" s="13">
        <v>103</v>
      </c>
      <c r="I106" s="2">
        <v>0</v>
      </c>
      <c r="J106" s="2">
        <v>0.51359013099999995</v>
      </c>
      <c r="K106" s="2">
        <v>0.1713990267639903</v>
      </c>
      <c r="L106" s="2">
        <v>0</v>
      </c>
      <c r="M106" s="2">
        <v>0.51359013099999995</v>
      </c>
      <c r="O106" s="6"/>
      <c r="P106" s="1">
        <v>0</v>
      </c>
      <c r="Q106" s="1">
        <v>13320.750632965201</v>
      </c>
      <c r="R106" s="1">
        <f>'[1]links-p0'!D105</f>
        <v>8377.9584557517337</v>
      </c>
      <c r="S106" s="1">
        <f>'[1]links-p0'!E105</f>
        <v>8371.5191352999991</v>
      </c>
      <c r="T106" s="1">
        <f>'[1]links-p0'!F105</f>
        <v>11144.79285287118</v>
      </c>
    </row>
    <row r="107" spans="1:20">
      <c r="A107" s="1">
        <v>103</v>
      </c>
      <c r="B107" s="1">
        <f t="shared" si="8"/>
        <v>11144.79285287118</v>
      </c>
      <c r="C107" s="1">
        <f t="shared" si="9"/>
        <v>8371.5191352999991</v>
      </c>
      <c r="D107" s="15">
        <f t="shared" si="7"/>
        <v>0.25679506549999997</v>
      </c>
      <c r="H107" s="13">
        <v>104</v>
      </c>
      <c r="I107" s="2">
        <v>5.0014889999999996E-3</v>
      </c>
      <c r="J107" s="2">
        <v>0.54317550699999995</v>
      </c>
      <c r="K107" s="2">
        <v>0.1713990267639903</v>
      </c>
      <c r="L107" s="2">
        <v>5.0014889999999996E-3</v>
      </c>
      <c r="M107" s="2">
        <v>0.54317550699999995</v>
      </c>
      <c r="O107" s="6"/>
      <c r="P107" s="1">
        <v>0</v>
      </c>
      <c r="Q107" s="1">
        <v>13320.750632965201</v>
      </c>
      <c r="R107" s="1">
        <f>'[1]links-p0'!D106</f>
        <v>8013.1828942806878</v>
      </c>
      <c r="S107" s="1">
        <f>'[1]links-p0'!E106</f>
        <v>8935.2850347999993</v>
      </c>
      <c r="T107" s="1">
        <f>'[1]links-p0'!F106</f>
        <v>11895.320214260881</v>
      </c>
    </row>
    <row r="108" spans="1:20">
      <c r="A108" s="1">
        <v>104</v>
      </c>
      <c r="B108" s="1">
        <f t="shared" si="8"/>
        <v>11895.320214260881</v>
      </c>
      <c r="C108" s="1">
        <f t="shared" si="9"/>
        <v>8935.2850347999993</v>
      </c>
      <c r="D108" s="15">
        <f t="shared" si="7"/>
        <v>0.27408849799999996</v>
      </c>
      <c r="H108" s="13">
        <v>105</v>
      </c>
      <c r="I108" s="2">
        <v>0.13470918700000001</v>
      </c>
      <c r="J108" s="2">
        <v>0.57570690099999999</v>
      </c>
      <c r="K108" s="2">
        <v>0.1713990267639903</v>
      </c>
      <c r="L108" s="2">
        <v>0.13470918700000001</v>
      </c>
      <c r="M108" s="2">
        <v>0.57570690099999999</v>
      </c>
      <c r="O108" s="6"/>
      <c r="P108" s="1">
        <v>0</v>
      </c>
      <c r="Q108" s="1">
        <v>13320.750632965201</v>
      </c>
      <c r="R108" s="1">
        <f>'[1]links-p0'!D107</f>
        <v>4809.5402986148083</v>
      </c>
      <c r="S108" s="1">
        <f>'[1]links-p0'!E107</f>
        <v>11579.7822344</v>
      </c>
      <c r="T108" s="1">
        <f>'[1]links-p0'!F107</f>
        <v>15415.872818060639</v>
      </c>
    </row>
    <row r="109" spans="1:20">
      <c r="A109" s="1">
        <v>105</v>
      </c>
      <c r="B109" s="1">
        <f t="shared" si="8"/>
        <v>15415.872818060639</v>
      </c>
      <c r="C109" s="1">
        <f t="shared" si="9"/>
        <v>11579.7822344</v>
      </c>
      <c r="D109" s="15">
        <f t="shared" si="7"/>
        <v>0.355208044</v>
      </c>
      <c r="H109" s="13">
        <v>106</v>
      </c>
      <c r="I109" s="2">
        <v>0.38300015199999998</v>
      </c>
      <c r="J109" s="2">
        <v>0.61551767300000004</v>
      </c>
      <c r="K109" s="2">
        <v>0.1713990267639903</v>
      </c>
      <c r="L109" s="2">
        <v>0.38300015199999998</v>
      </c>
      <c r="M109" s="2">
        <v>0.61551767300000004</v>
      </c>
      <c r="O109" s="6"/>
      <c r="P109" s="1">
        <v>0</v>
      </c>
      <c r="Q109" s="1">
        <v>13320.750632965201</v>
      </c>
      <c r="R109" s="1">
        <f>'[1]links-p0'!D108</f>
        <v>0</v>
      </c>
      <c r="S109" s="1">
        <f>'[1]links-p0'!E108</f>
        <v>16275.8405475</v>
      </c>
      <c r="T109" s="1">
        <f>'[1]links-p0'!F108</f>
        <v>21667.617128578499</v>
      </c>
    </row>
    <row r="110" spans="1:20">
      <c r="A110" s="1">
        <v>106</v>
      </c>
      <c r="B110" s="1">
        <f t="shared" si="8"/>
        <v>21667.617128578499</v>
      </c>
      <c r="C110" s="1">
        <f t="shared" si="9"/>
        <v>16275.8405475</v>
      </c>
      <c r="D110" s="15">
        <f t="shared" si="7"/>
        <v>0.49925891249999999</v>
      </c>
      <c r="H110" s="13">
        <v>107</v>
      </c>
      <c r="I110" s="2">
        <v>0.58491644200000004</v>
      </c>
      <c r="J110" s="2">
        <v>0.64408793200000003</v>
      </c>
      <c r="K110" s="2">
        <v>0.1713990267639903</v>
      </c>
      <c r="L110" s="2">
        <v>0.58491644200000004</v>
      </c>
      <c r="M110" s="2">
        <v>0.64408793200000003</v>
      </c>
      <c r="O110" s="6"/>
      <c r="P110" s="1">
        <v>0</v>
      </c>
      <c r="Q110" s="1">
        <v>13320.750632965201</v>
      </c>
      <c r="R110" s="1">
        <f>'[1]links-p0'!D109</f>
        <v>0</v>
      </c>
      <c r="S110" s="1">
        <f>'[1]links-p0'!E109</f>
        <v>17101.66763454286</v>
      </c>
      <c r="T110" s="1">
        <f>'[1]links-p0'!F109</f>
        <v>26669.12453483772</v>
      </c>
    </row>
    <row r="111" spans="1:20">
      <c r="A111" s="1">
        <v>107</v>
      </c>
      <c r="B111" s="1">
        <f t="shared" si="8"/>
        <v>26669.12453483772</v>
      </c>
      <c r="C111" s="1">
        <f t="shared" si="9"/>
        <v>17101.66763454286</v>
      </c>
      <c r="D111" s="15">
        <f t="shared" si="7"/>
        <v>0.52459103173444355</v>
      </c>
      <c r="H111" s="13">
        <v>108</v>
      </c>
      <c r="I111" s="2">
        <v>0.72836839600000003</v>
      </c>
      <c r="J111" s="2">
        <v>0.67036331400000004</v>
      </c>
      <c r="K111" s="2">
        <v>0.1713990267639903</v>
      </c>
      <c r="L111" s="2">
        <v>0.72836839600000003</v>
      </c>
      <c r="M111" s="2">
        <v>0.67036331400000004</v>
      </c>
      <c r="O111" s="6"/>
      <c r="P111" s="1">
        <v>0</v>
      </c>
      <c r="Q111" s="1">
        <v>13320.750632965201</v>
      </c>
      <c r="R111" s="1">
        <f>'[1]links-p0'!D110</f>
        <v>0</v>
      </c>
      <c r="S111" s="1">
        <f>'[1]links-p0'!E110</f>
        <v>14847.21042264286</v>
      </c>
      <c r="T111" s="1">
        <f>'[1]links-p0'!F110</f>
        <v>30352.170386023801</v>
      </c>
    </row>
    <row r="112" spans="1:20">
      <c r="A112" s="1">
        <v>108</v>
      </c>
      <c r="B112" s="1">
        <f t="shared" si="8"/>
        <v>30352.170386023801</v>
      </c>
      <c r="C112" s="1">
        <f t="shared" si="9"/>
        <v>14847.21042264286</v>
      </c>
      <c r="D112" s="15">
        <f t="shared" si="7"/>
        <v>0.45543590253505706</v>
      </c>
      <c r="H112" s="13">
        <v>109</v>
      </c>
      <c r="I112" s="2">
        <v>0.79454962699999998</v>
      </c>
      <c r="J112" s="2">
        <v>0.68859970000000004</v>
      </c>
      <c r="K112" s="2">
        <v>0.1713990267639903</v>
      </c>
      <c r="L112" s="2">
        <v>0.79454962699999998</v>
      </c>
      <c r="M112" s="2">
        <v>0.68859970000000004</v>
      </c>
      <c r="O112" s="6"/>
      <c r="P112" s="1">
        <v>0</v>
      </c>
      <c r="Q112" s="1">
        <v>13320.750632965201</v>
      </c>
      <c r="R112" s="1">
        <f>'[1]links-p0'!D111</f>
        <v>0</v>
      </c>
      <c r="S112" s="1">
        <f>'[1]links-p0'!E111</f>
        <v>17066.742268357149</v>
      </c>
      <c r="T112" s="1">
        <f>'[1]links-p0'!F111</f>
        <v>32184.014103048059</v>
      </c>
    </row>
    <row r="113" spans="1:20">
      <c r="A113" s="1">
        <v>109</v>
      </c>
      <c r="B113" s="1">
        <f t="shared" si="8"/>
        <v>32184.014103048059</v>
      </c>
      <c r="C113" s="1">
        <f t="shared" si="9"/>
        <v>17066.742268357149</v>
      </c>
      <c r="D113" s="15">
        <f t="shared" si="7"/>
        <v>0.52351970148334814</v>
      </c>
      <c r="H113" s="13">
        <v>110</v>
      </c>
      <c r="I113" s="2">
        <v>0.78169858299999995</v>
      </c>
      <c r="J113" s="2">
        <v>0.69667436500000002</v>
      </c>
      <c r="K113" s="2">
        <v>0.1713990267639903</v>
      </c>
      <c r="L113" s="2">
        <v>0.78169858299999995</v>
      </c>
      <c r="M113" s="2">
        <v>0.69667436500000002</v>
      </c>
      <c r="O113" s="6"/>
      <c r="P113" s="1">
        <v>0</v>
      </c>
      <c r="Q113" s="1">
        <v>13320.750632965201</v>
      </c>
      <c r="R113" s="1">
        <f>'[1]links-p0'!D112</f>
        <v>0</v>
      </c>
      <c r="S113" s="1">
        <f>'[1]links-p0'!E112</f>
        <v>17101.66763454286</v>
      </c>
      <c r="T113" s="1">
        <f>'[1]links-p0'!F112</f>
        <v>32080.367729551439</v>
      </c>
    </row>
    <row r="114" spans="1:20">
      <c r="A114" s="1">
        <v>110</v>
      </c>
      <c r="B114" s="1">
        <f t="shared" si="8"/>
        <v>32080.367729551439</v>
      </c>
      <c r="C114" s="1">
        <f t="shared" si="9"/>
        <v>17101.66763454286</v>
      </c>
      <c r="D114" s="15">
        <f t="shared" si="7"/>
        <v>0.52459103173444355</v>
      </c>
      <c r="H114" s="13">
        <v>111</v>
      </c>
      <c r="I114" s="2">
        <v>0.65610926199999997</v>
      </c>
      <c r="J114" s="2">
        <v>0.68744846599999998</v>
      </c>
      <c r="K114" s="2">
        <v>0.1713990267639903</v>
      </c>
      <c r="L114" s="2">
        <v>0.65610926199999997</v>
      </c>
      <c r="M114" s="2">
        <v>0.68744846599999998</v>
      </c>
      <c r="O114" s="6"/>
      <c r="P114" s="1">
        <v>0</v>
      </c>
      <c r="Q114" s="1">
        <v>13320.750632965201</v>
      </c>
      <c r="R114" s="1">
        <f>'[1]links-p0'!D113</f>
        <v>0</v>
      </c>
      <c r="S114" s="1">
        <f>'[1]links-p0'!E113</f>
        <v>17136.593000742861</v>
      </c>
      <c r="T114" s="1">
        <f>'[1]links-p0'!F113</f>
        <v>29154.907114899841</v>
      </c>
    </row>
    <row r="115" spans="1:20">
      <c r="A115" s="1">
        <v>111</v>
      </c>
      <c r="B115" s="1">
        <f t="shared" si="8"/>
        <v>29154.907114899841</v>
      </c>
      <c r="C115" s="1">
        <f t="shared" si="9"/>
        <v>17136.593000742861</v>
      </c>
      <c r="D115" s="15">
        <f t="shared" si="7"/>
        <v>0.52566236198597738</v>
      </c>
      <c r="H115" s="13">
        <v>112</v>
      </c>
      <c r="I115" s="2">
        <v>0.42836328400000001</v>
      </c>
      <c r="J115" s="2">
        <v>0.67320856200000001</v>
      </c>
      <c r="K115" s="2">
        <v>0.1713990267639903</v>
      </c>
      <c r="L115" s="2">
        <v>0.42836328400000001</v>
      </c>
      <c r="M115" s="2">
        <v>0.67320856200000001</v>
      </c>
      <c r="O115" s="6"/>
      <c r="P115" s="1">
        <v>0</v>
      </c>
      <c r="Q115" s="1">
        <v>13320.750632965201</v>
      </c>
      <c r="R115" s="1">
        <f>'[1]links-p0'!D114</f>
        <v>0</v>
      </c>
      <c r="S115" s="1">
        <f>'[1]links-p0'!E114</f>
        <v>14917.06115502857</v>
      </c>
      <c r="T115" s="1">
        <f>'[1]links-p0'!F114</f>
        <v>23903.866712393879</v>
      </c>
    </row>
    <row r="116" spans="1:20">
      <c r="A116" s="1">
        <v>112</v>
      </c>
      <c r="B116" s="1">
        <f t="shared" si="8"/>
        <v>23903.866712393879</v>
      </c>
      <c r="C116" s="1">
        <f t="shared" si="9"/>
        <v>14917.06115502857</v>
      </c>
      <c r="D116" s="15">
        <f t="shared" si="7"/>
        <v>0.45757856303768618</v>
      </c>
      <c r="H116" s="13">
        <v>113</v>
      </c>
      <c r="I116" s="2">
        <v>0.11466275500000001</v>
      </c>
      <c r="J116" s="2">
        <v>0.61049664199999998</v>
      </c>
      <c r="K116" s="2">
        <v>0.1713990267639903</v>
      </c>
      <c r="L116" s="2">
        <v>0.11466275500000001</v>
      </c>
      <c r="M116" s="2">
        <v>0.61049664199999998</v>
      </c>
      <c r="O116" s="6"/>
      <c r="P116" s="1">
        <v>0</v>
      </c>
      <c r="Q116" s="1">
        <v>13320.750632965201</v>
      </c>
      <c r="R116" s="1">
        <f>'[1]links-p0'!D115</f>
        <v>4091.0673888545998</v>
      </c>
      <c r="S116" s="1">
        <f>'[1]links-p0'!E115</f>
        <v>11820.0981711</v>
      </c>
      <c r="T116" s="1">
        <f>'[1]links-p0'!F115</f>
        <v>15735.799379832661</v>
      </c>
    </row>
    <row r="117" spans="1:20">
      <c r="A117" s="1">
        <v>113</v>
      </c>
      <c r="B117" s="1">
        <f t="shared" si="8"/>
        <v>15735.799379832661</v>
      </c>
      <c r="C117" s="1">
        <f t="shared" si="9"/>
        <v>11820.0981711</v>
      </c>
      <c r="D117" s="15">
        <f t="shared" si="7"/>
        <v>0.36257969849999999</v>
      </c>
      <c r="H117" s="13">
        <v>114</v>
      </c>
      <c r="I117" s="2">
        <v>1.35544E-4</v>
      </c>
      <c r="J117" s="2">
        <v>0.53394372199999995</v>
      </c>
      <c r="K117" s="2">
        <v>0.1713990267639903</v>
      </c>
      <c r="L117" s="2">
        <v>1.35544E-4</v>
      </c>
      <c r="M117" s="2">
        <v>0.53394372199999995</v>
      </c>
      <c r="O117" s="6"/>
      <c r="P117" s="1">
        <v>0</v>
      </c>
      <c r="Q117" s="1">
        <v>7587.6582110913587</v>
      </c>
      <c r="R117" s="1">
        <f>'[1]links-p0'!D116</f>
        <v>8218.1980299814968</v>
      </c>
      <c r="S117" s="1">
        <f>'[1]links-p0'!E116</f>
        <v>8705.4920357999981</v>
      </c>
      <c r="T117" s="1">
        <f>'[1]links-p0'!F116</f>
        <v>11589.40257476148</v>
      </c>
    </row>
    <row r="118" spans="1:20">
      <c r="A118" s="1">
        <v>114</v>
      </c>
      <c r="B118" s="1">
        <f t="shared" si="8"/>
        <v>11589.40257476148</v>
      </c>
      <c r="C118" s="1">
        <f t="shared" si="9"/>
        <v>8705.4920357999981</v>
      </c>
      <c r="D118" s="15">
        <f t="shared" si="7"/>
        <v>0.26703963299999994</v>
      </c>
      <c r="H118" s="13">
        <v>115</v>
      </c>
      <c r="I118" s="2">
        <v>0</v>
      </c>
      <c r="J118" s="2">
        <v>0.48341007800000002</v>
      </c>
      <c r="K118" s="2">
        <v>0.1713990267639903</v>
      </c>
      <c r="L118" s="2">
        <v>0</v>
      </c>
      <c r="M118" s="2">
        <v>0.48341007800000002</v>
      </c>
      <c r="O118" s="6"/>
      <c r="P118" s="1">
        <v>0</v>
      </c>
      <c r="Q118" s="1">
        <v>1713.372875964882</v>
      </c>
      <c r="R118" s="1">
        <f>'[1]links-p0'!D117</f>
        <v>8800.6092574137474</v>
      </c>
      <c r="S118" s="1">
        <f>'[1]links-p0'!E117</f>
        <v>7879.5842714</v>
      </c>
      <c r="T118" s="1">
        <f>'[1]links-p0'!F117</f>
        <v>10489.89234238284</v>
      </c>
    </row>
    <row r="119" spans="1:20">
      <c r="A119" s="1">
        <v>115</v>
      </c>
      <c r="B119" s="1">
        <f t="shared" si="8"/>
        <v>10489.89234238284</v>
      </c>
      <c r="C119" s="1">
        <f t="shared" si="9"/>
        <v>7879.5842714</v>
      </c>
      <c r="D119" s="15">
        <f t="shared" si="7"/>
        <v>0.24170503900000001</v>
      </c>
      <c r="H119" s="13">
        <v>116</v>
      </c>
      <c r="I119" s="2">
        <v>0</v>
      </c>
      <c r="J119" s="2">
        <v>0.46995061100000002</v>
      </c>
      <c r="K119" s="2">
        <v>0.1713990267639903</v>
      </c>
      <c r="L119" s="2">
        <v>0</v>
      </c>
      <c r="M119" s="2">
        <v>0.46995061100000002</v>
      </c>
      <c r="O119" s="6"/>
      <c r="P119" s="1">
        <v>0</v>
      </c>
      <c r="Q119" s="1">
        <v>2166.224095199721</v>
      </c>
      <c r="R119" s="1">
        <f>'[1]links-p0'!D118</f>
        <v>8846.7957176437394</v>
      </c>
      <c r="S119" s="1">
        <f>'[1]links-p0'!E118</f>
        <v>7660.1949592999999</v>
      </c>
      <c r="T119" s="1">
        <f>'[1]links-p0'!F118</f>
        <v>10197.82486956558</v>
      </c>
    </row>
    <row r="120" spans="1:20">
      <c r="A120" s="1">
        <v>116</v>
      </c>
      <c r="B120" s="1">
        <f t="shared" si="8"/>
        <v>10197.82486956558</v>
      </c>
      <c r="C120" s="1">
        <f t="shared" si="9"/>
        <v>7660.1949592999999</v>
      </c>
      <c r="D120" s="15">
        <f t="shared" si="7"/>
        <v>0.23497530550000001</v>
      </c>
      <c r="H120" s="13">
        <v>117</v>
      </c>
      <c r="I120" s="2">
        <v>0</v>
      </c>
      <c r="J120" s="2">
        <v>0.47026385700000001</v>
      </c>
      <c r="K120" s="2">
        <v>0.1713990267639903</v>
      </c>
      <c r="L120" s="2">
        <v>0</v>
      </c>
      <c r="M120" s="2">
        <v>0.47026385700000001</v>
      </c>
      <c r="O120" s="6"/>
      <c r="P120" s="1">
        <v>0</v>
      </c>
      <c r="Q120" s="1">
        <v>5156.26896379965</v>
      </c>
      <c r="R120" s="1">
        <f>'[1]links-p0'!D119</f>
        <v>8703.2862879941458</v>
      </c>
      <c r="S120" s="1">
        <f>'[1]links-p0'!E119</f>
        <v>7665.3008690999995</v>
      </c>
      <c r="T120" s="1">
        <f>'[1]links-p0'!F119</f>
        <v>10204.62223885146</v>
      </c>
    </row>
    <row r="121" spans="1:20">
      <c r="A121" s="1">
        <v>117</v>
      </c>
      <c r="B121" s="1">
        <f t="shared" si="8"/>
        <v>10204.62223885146</v>
      </c>
      <c r="C121" s="1">
        <f t="shared" si="9"/>
        <v>7665.3008690999995</v>
      </c>
      <c r="D121" s="15">
        <f t="shared" si="7"/>
        <v>0.23513192849999998</v>
      </c>
      <c r="H121" s="13">
        <v>118</v>
      </c>
      <c r="I121" s="2">
        <v>0</v>
      </c>
      <c r="J121" s="2">
        <v>0.469347454</v>
      </c>
      <c r="K121" s="2">
        <v>0.1713990267639903</v>
      </c>
      <c r="L121" s="2">
        <v>0</v>
      </c>
      <c r="M121" s="2">
        <v>0.469347454</v>
      </c>
      <c r="O121" s="6"/>
      <c r="P121" s="1">
        <v>0</v>
      </c>
      <c r="Q121" s="1">
        <v>7286.0345964062344</v>
      </c>
      <c r="R121" s="1">
        <f>'[1]links-p0'!D120</f>
        <v>8617.5754002661197</v>
      </c>
      <c r="S121" s="1">
        <f>'[1]links-p0'!E120</f>
        <v>7650.3635002000001</v>
      </c>
      <c r="T121" s="1">
        <f>'[1]links-p0'!F120</f>
        <v>10184.736495360121</v>
      </c>
    </row>
    <row r="122" spans="1:20">
      <c r="A122" s="1">
        <v>118</v>
      </c>
      <c r="B122" s="1">
        <f t="shared" si="8"/>
        <v>10184.736495360121</v>
      </c>
      <c r="C122" s="1">
        <f t="shared" si="9"/>
        <v>7650.3635002000001</v>
      </c>
      <c r="D122" s="15">
        <f t="shared" si="7"/>
        <v>0.234673727</v>
      </c>
      <c r="H122" s="13">
        <v>119</v>
      </c>
      <c r="I122" s="2">
        <v>0</v>
      </c>
      <c r="J122" s="2">
        <v>0.47874165400000002</v>
      </c>
      <c r="K122" s="2">
        <v>0.1713990267639903</v>
      </c>
      <c r="L122" s="2">
        <v>0</v>
      </c>
      <c r="M122" s="2">
        <v>0.47874165400000002</v>
      </c>
      <c r="O122" s="6"/>
      <c r="P122" s="1">
        <v>0</v>
      </c>
      <c r="Q122" s="1">
        <v>11434.70126723437</v>
      </c>
      <c r="R122" s="1">
        <f>'[1]links-p0'!D121</f>
        <v>8450.4829307483069</v>
      </c>
      <c r="S122" s="1">
        <f>'[1]links-p0'!E121</f>
        <v>7803.4889602000003</v>
      </c>
      <c r="T122" s="1">
        <f>'[1]links-p0'!F121</f>
        <v>10388.58856863612</v>
      </c>
    </row>
    <row r="123" spans="1:20">
      <c r="A123" s="1">
        <v>119</v>
      </c>
      <c r="B123" s="1">
        <f t="shared" si="8"/>
        <v>10388.58856863612</v>
      </c>
      <c r="C123" s="1">
        <f t="shared" si="9"/>
        <v>7803.4889602000003</v>
      </c>
      <c r="D123" s="15">
        <f t="shared" si="7"/>
        <v>0.23937082700000001</v>
      </c>
      <c r="H123" s="13">
        <v>120</v>
      </c>
      <c r="I123" s="2">
        <v>0</v>
      </c>
      <c r="J123" s="2">
        <v>0.49302268599999999</v>
      </c>
      <c r="K123" s="2">
        <v>0.17338199513381999</v>
      </c>
      <c r="L123" s="2">
        <v>0</v>
      </c>
      <c r="M123" s="2">
        <v>0.49302268599999999</v>
      </c>
      <c r="O123" s="6"/>
      <c r="P123" s="1">
        <v>0</v>
      </c>
      <c r="Q123" s="1">
        <v>13320.750632965201</v>
      </c>
      <c r="R123" s="1">
        <f>'[1]links-p0'!D122</f>
        <v>8742.8401651434779</v>
      </c>
      <c r="S123" s="1">
        <f>'[1]links-p0'!E122</f>
        <v>8036.2697817999997</v>
      </c>
      <c r="T123" s="1">
        <f>'[1]links-p0'!F122</f>
        <v>10698.48382120908</v>
      </c>
    </row>
    <row r="124" spans="1:20">
      <c r="A124" s="1">
        <v>120</v>
      </c>
      <c r="B124" s="1">
        <f t="shared" si="8"/>
        <v>10698.48382120908</v>
      </c>
      <c r="C124" s="1">
        <f t="shared" si="9"/>
        <v>8036.2697817999997</v>
      </c>
      <c r="D124" s="15">
        <f t="shared" si="7"/>
        <v>0.24651134299999999</v>
      </c>
      <c r="H124" s="13">
        <v>121</v>
      </c>
      <c r="I124" s="2">
        <v>0</v>
      </c>
      <c r="J124" s="2">
        <v>0.493862256</v>
      </c>
      <c r="K124" s="2">
        <v>0.17338199513381999</v>
      </c>
      <c r="L124" s="2">
        <v>0</v>
      </c>
      <c r="M124" s="2">
        <v>0.493862256</v>
      </c>
      <c r="O124" s="6"/>
      <c r="P124" s="1">
        <v>0</v>
      </c>
      <c r="Q124" s="1">
        <v>13320.750632965201</v>
      </c>
      <c r="R124" s="1">
        <f>'[1]links-p0'!D123</f>
        <v>10017.715015073411</v>
      </c>
      <c r="S124" s="1">
        <f>'[1]links-p0'!E123</f>
        <v>8049.9547727999998</v>
      </c>
      <c r="T124" s="1">
        <f>'[1]links-p0'!F123</f>
        <v>10716.702305503681</v>
      </c>
    </row>
    <row r="125" spans="1:20">
      <c r="A125" s="1">
        <v>121</v>
      </c>
      <c r="B125" s="1">
        <f t="shared" si="8"/>
        <v>10716.702305503681</v>
      </c>
      <c r="C125" s="1">
        <f t="shared" si="9"/>
        <v>8049.9547727999998</v>
      </c>
      <c r="D125" s="15">
        <f t="shared" si="7"/>
        <v>0.246931128</v>
      </c>
      <c r="H125" s="13">
        <v>122</v>
      </c>
      <c r="I125" s="2">
        <v>0</v>
      </c>
      <c r="J125" s="2">
        <v>0.48728855799999998</v>
      </c>
      <c r="K125" s="2">
        <v>0.17338199513381999</v>
      </c>
      <c r="L125" s="2">
        <v>0</v>
      </c>
      <c r="M125" s="2">
        <v>0.48728855799999998</v>
      </c>
      <c r="O125" s="6"/>
      <c r="P125" s="1">
        <v>0</v>
      </c>
      <c r="Q125" s="1">
        <v>13320.750632965201</v>
      </c>
      <c r="R125" s="1">
        <f>'[1]links-p0'!D124</f>
        <v>10938.66704294742</v>
      </c>
      <c r="S125" s="1">
        <f>'[1]links-p0'!E124</f>
        <v>7942.8034954000004</v>
      </c>
      <c r="T125" s="1">
        <f>'[1]links-p0'!F124</f>
        <v>10574.054505117239</v>
      </c>
    </row>
    <row r="126" spans="1:20">
      <c r="A126" s="1">
        <v>122</v>
      </c>
      <c r="B126" s="1">
        <f t="shared" si="8"/>
        <v>10574.054505117239</v>
      </c>
      <c r="C126" s="1">
        <f t="shared" si="9"/>
        <v>7942.8034954000004</v>
      </c>
      <c r="D126" s="15">
        <f t="shared" si="7"/>
        <v>0.24364427900000002</v>
      </c>
      <c r="H126" s="13">
        <v>123</v>
      </c>
      <c r="I126" s="2">
        <v>0</v>
      </c>
      <c r="J126" s="2">
        <v>0.486031353</v>
      </c>
      <c r="K126" s="2">
        <v>0.17338199513381999</v>
      </c>
      <c r="L126" s="2">
        <v>0</v>
      </c>
      <c r="M126" s="2">
        <v>0.486031353</v>
      </c>
      <c r="O126" s="6"/>
      <c r="P126" s="1">
        <v>0</v>
      </c>
      <c r="Q126" s="1">
        <v>13320.750632965201</v>
      </c>
      <c r="R126" s="1">
        <f>'[1]links-p0'!D125</f>
        <v>10853.97888361064</v>
      </c>
      <c r="S126" s="1">
        <f>'[1]links-p0'!E125</f>
        <v>7922.3110538999999</v>
      </c>
      <c r="T126" s="1">
        <f>'[1]links-p0'!F125</f>
        <v>10546.773433202339</v>
      </c>
    </row>
    <row r="127" spans="1:20">
      <c r="A127" s="1">
        <v>123</v>
      </c>
      <c r="B127" s="1">
        <f t="shared" si="8"/>
        <v>10546.773433202339</v>
      </c>
      <c r="C127" s="1">
        <f t="shared" si="9"/>
        <v>7922.3110538999999</v>
      </c>
      <c r="D127" s="15">
        <f t="shared" si="7"/>
        <v>0.2430156765</v>
      </c>
      <c r="H127" s="13">
        <v>124</v>
      </c>
      <c r="I127" s="2">
        <v>0</v>
      </c>
      <c r="J127" s="2">
        <v>0.48435212300000002</v>
      </c>
      <c r="K127" s="2">
        <v>0.17338199513381999</v>
      </c>
      <c r="L127" s="2">
        <v>0</v>
      </c>
      <c r="M127" s="2">
        <v>0.48435212300000002</v>
      </c>
      <c r="O127" s="6"/>
      <c r="P127" s="1">
        <v>0</v>
      </c>
      <c r="Q127" s="1">
        <v>13320.750632965201</v>
      </c>
      <c r="R127" s="1">
        <f>'[1]links-p0'!D126</f>
        <v>10807.98139821626</v>
      </c>
      <c r="S127" s="1">
        <f>'[1]links-p0'!E126</f>
        <v>7894.9396049000006</v>
      </c>
      <c r="T127" s="1">
        <f>'[1]links-p0'!F126</f>
        <v>10510.33451163294</v>
      </c>
    </row>
    <row r="128" spans="1:20">
      <c r="A128" s="1">
        <v>124</v>
      </c>
      <c r="B128" s="1">
        <f t="shared" si="8"/>
        <v>10510.33451163294</v>
      </c>
      <c r="C128" s="1">
        <f t="shared" si="9"/>
        <v>7894.9396049000006</v>
      </c>
      <c r="D128" s="15">
        <f t="shared" si="7"/>
        <v>0.24217606150000001</v>
      </c>
      <c r="H128" s="13">
        <v>125</v>
      </c>
      <c r="I128" s="2">
        <v>0</v>
      </c>
      <c r="J128" s="2">
        <v>0.478839827</v>
      </c>
      <c r="K128" s="2">
        <v>0.17338199513381999</v>
      </c>
      <c r="L128" s="2">
        <v>0</v>
      </c>
      <c r="M128" s="2">
        <v>0.478839827</v>
      </c>
      <c r="O128" s="6"/>
      <c r="P128" s="1">
        <v>0</v>
      </c>
      <c r="Q128" s="1">
        <v>13320.750632965201</v>
      </c>
      <c r="R128" s="1">
        <f>'[1]links-p0'!D127</f>
        <v>8632.1605014985871</v>
      </c>
      <c r="S128" s="1">
        <f>'[1]links-p0'!E127</f>
        <v>7805.0891800999998</v>
      </c>
      <c r="T128" s="1">
        <f>'[1]links-p0'!F127</f>
        <v>10390.71890113806</v>
      </c>
    </row>
    <row r="129" spans="1:20">
      <c r="A129" s="1">
        <v>125</v>
      </c>
      <c r="B129" s="1">
        <f t="shared" si="8"/>
        <v>10390.71890113806</v>
      </c>
      <c r="C129" s="1">
        <f t="shared" si="9"/>
        <v>7805.0891800999998</v>
      </c>
      <c r="D129" s="15">
        <f t="shared" si="7"/>
        <v>0.2394199135</v>
      </c>
      <c r="H129" s="13">
        <v>126</v>
      </c>
      <c r="I129" s="2">
        <v>0</v>
      </c>
      <c r="J129" s="2">
        <v>0.47275232099999998</v>
      </c>
      <c r="K129" s="2">
        <v>0.17338199513381999</v>
      </c>
      <c r="L129" s="2">
        <v>0</v>
      </c>
      <c r="M129" s="2">
        <v>0.47275232099999998</v>
      </c>
      <c r="O129" s="6"/>
      <c r="P129" s="1">
        <v>0</v>
      </c>
      <c r="Q129" s="1">
        <v>13320.750632965201</v>
      </c>
      <c r="R129" s="1">
        <f>'[1]links-p0'!D128</f>
        <v>8705.0353863178516</v>
      </c>
      <c r="S129" s="1">
        <f>'[1]links-p0'!E128</f>
        <v>7705.8628322999994</v>
      </c>
      <c r="T129" s="1">
        <f>'[1]links-p0'!F128</f>
        <v>10258.62136018938</v>
      </c>
    </row>
    <row r="130" spans="1:20">
      <c r="A130" s="1">
        <v>126</v>
      </c>
      <c r="B130" s="1">
        <f t="shared" si="8"/>
        <v>10258.62136018938</v>
      </c>
      <c r="C130" s="1">
        <f t="shared" si="9"/>
        <v>7705.8628322999994</v>
      </c>
      <c r="D130" s="15">
        <f t="shared" si="7"/>
        <v>0.23637616049999999</v>
      </c>
      <c r="H130" s="13">
        <v>127</v>
      </c>
      <c r="I130" s="2">
        <v>0</v>
      </c>
      <c r="J130" s="2">
        <v>0.45748428800000002</v>
      </c>
      <c r="K130" s="2">
        <v>0.17338199513381999</v>
      </c>
      <c r="L130" s="2">
        <v>0</v>
      </c>
      <c r="M130" s="2">
        <v>0.45748428800000002</v>
      </c>
      <c r="O130" s="6"/>
      <c r="P130" s="1">
        <v>0</v>
      </c>
      <c r="Q130" s="1">
        <v>13320.750632965201</v>
      </c>
      <c r="R130" s="1">
        <f>'[1]links-p0'!D129</f>
        <v>10379.222414862381</v>
      </c>
      <c r="S130" s="1">
        <f>'[1]links-p0'!E129</f>
        <v>7456.9938943999996</v>
      </c>
      <c r="T130" s="1">
        <f>'[1]links-p0'!F129</f>
        <v>9927.3084030566406</v>
      </c>
    </row>
    <row r="131" spans="1:20">
      <c r="A131" s="1">
        <v>127</v>
      </c>
      <c r="B131" s="1">
        <f t="shared" si="8"/>
        <v>9927.3084030566406</v>
      </c>
      <c r="C131" s="1">
        <f t="shared" si="9"/>
        <v>7456.9938943999996</v>
      </c>
      <c r="D131" s="15">
        <f t="shared" si="7"/>
        <v>0.22874214399999998</v>
      </c>
      <c r="H131" s="13">
        <v>128</v>
      </c>
      <c r="I131" s="2">
        <v>9.2441820000000001E-3</v>
      </c>
      <c r="J131" s="2">
        <v>0.43651181900000002</v>
      </c>
      <c r="K131" s="2">
        <v>0.17338199513381999</v>
      </c>
      <c r="L131" s="2">
        <v>9.2441820000000001E-3</v>
      </c>
      <c r="M131" s="2">
        <v>0.43651181900000002</v>
      </c>
      <c r="O131" s="6"/>
      <c r="P131" s="1">
        <v>0</v>
      </c>
      <c r="Q131" s="1">
        <v>13320.750632965201</v>
      </c>
      <c r="R131" s="1">
        <f>'[1]links-p0'!D130</f>
        <v>9349.1081156305354</v>
      </c>
      <c r="S131" s="1">
        <f>'[1]links-p0'!E130</f>
        <v>7265.8228163000003</v>
      </c>
      <c r="T131" s="1">
        <f>'[1]links-p0'!F130</f>
        <v>9672.8071553797799</v>
      </c>
    </row>
    <row r="132" spans="1:20">
      <c r="A132" s="1">
        <v>128</v>
      </c>
      <c r="B132" s="1">
        <f t="shared" ref="B132:B163" si="10">T131</f>
        <v>9672.8071553797799</v>
      </c>
      <c r="C132" s="1">
        <f t="shared" ref="C132:C163" si="11">S131</f>
        <v>7265.8228163000003</v>
      </c>
      <c r="D132" s="15">
        <f t="shared" si="7"/>
        <v>0.22287800050000001</v>
      </c>
      <c r="H132" s="13">
        <v>129</v>
      </c>
      <c r="I132" s="2">
        <v>0.247212235</v>
      </c>
      <c r="J132" s="2">
        <v>0.43123141399999998</v>
      </c>
      <c r="K132" s="2">
        <v>0.17338199513381999</v>
      </c>
      <c r="L132" s="2">
        <v>0.247212235</v>
      </c>
      <c r="M132" s="2">
        <v>0.43123141399999998</v>
      </c>
      <c r="O132" s="6"/>
      <c r="P132" s="1">
        <v>0</v>
      </c>
      <c r="Q132" s="1">
        <v>13320.750632965201</v>
      </c>
      <c r="R132" s="1">
        <f>'[1]links-p0'!D131</f>
        <v>5218.9351847931284</v>
      </c>
      <c r="S132" s="1">
        <f>'[1]links-p0'!E131</f>
        <v>11058.631478699999</v>
      </c>
      <c r="T132" s="1">
        <f>'[1]links-p0'!F131</f>
        <v>14722.07792569722</v>
      </c>
    </row>
    <row r="133" spans="1:20">
      <c r="A133" s="1">
        <v>129</v>
      </c>
      <c r="B133" s="1">
        <f t="shared" si="10"/>
        <v>14722.07792569722</v>
      </c>
      <c r="C133" s="1">
        <f t="shared" si="11"/>
        <v>11058.631478699999</v>
      </c>
      <c r="D133" s="15">
        <f t="shared" ref="D133:D171" si="12">C133/$B$2</f>
        <v>0.33922182449999999</v>
      </c>
      <c r="H133" s="13">
        <v>130</v>
      </c>
      <c r="I133" s="2">
        <v>0.60302879300000001</v>
      </c>
      <c r="J133" s="2">
        <v>0.43856399200000001</v>
      </c>
      <c r="K133" s="2">
        <v>0.17338199513381999</v>
      </c>
      <c r="L133" s="2">
        <v>0.60302879300000001</v>
      </c>
      <c r="M133" s="2">
        <v>0.43856399200000001</v>
      </c>
      <c r="O133" s="6"/>
      <c r="P133" s="1">
        <v>0</v>
      </c>
      <c r="Q133" s="1">
        <v>13320.750632965201</v>
      </c>
      <c r="R133" s="1">
        <f>'[1]links-p0'!D132</f>
        <v>193.6651326797593</v>
      </c>
      <c r="S133" s="1">
        <f>'[1]links-p0'!E132</f>
        <v>16977.962395499999</v>
      </c>
      <c r="T133" s="1">
        <f>'[1]links-p0'!F132</f>
        <v>22602.334284087301</v>
      </c>
    </row>
    <row r="134" spans="1:20">
      <c r="A134" s="1">
        <v>130</v>
      </c>
      <c r="B134" s="1">
        <f t="shared" si="10"/>
        <v>22602.334284087301</v>
      </c>
      <c r="C134" s="1">
        <f t="shared" si="11"/>
        <v>16977.962395499999</v>
      </c>
      <c r="D134" s="15">
        <f t="shared" si="12"/>
        <v>0.52079639249999998</v>
      </c>
      <c r="H134" s="13">
        <v>131</v>
      </c>
      <c r="I134" s="2">
        <v>0.80467710199999998</v>
      </c>
      <c r="J134" s="2">
        <v>0.450905371</v>
      </c>
      <c r="K134" s="2">
        <v>0.17338199513381999</v>
      </c>
      <c r="L134" s="2">
        <v>0.80467710199999998</v>
      </c>
      <c r="M134" s="2">
        <v>0.450905371</v>
      </c>
      <c r="O134" s="6"/>
      <c r="P134" s="1">
        <v>0</v>
      </c>
      <c r="Q134" s="1">
        <v>13320.750632965201</v>
      </c>
      <c r="R134" s="1">
        <f>'[1]links-p0'!D133</f>
        <v>0</v>
      </c>
      <c r="S134" s="1">
        <f>'[1]links-p0'!E133</f>
        <v>17132.026418414291</v>
      </c>
      <c r="T134" s="1">
        <f>'[1]links-p0'!F133</f>
        <v>27245.86343595594</v>
      </c>
    </row>
    <row r="135" spans="1:20">
      <c r="A135" s="1">
        <v>131</v>
      </c>
      <c r="B135" s="1">
        <f t="shared" si="10"/>
        <v>27245.86343595594</v>
      </c>
      <c r="C135" s="1">
        <f t="shared" si="11"/>
        <v>17132.026418414291</v>
      </c>
      <c r="D135" s="15">
        <f t="shared" si="12"/>
        <v>0.52552228277344448</v>
      </c>
      <c r="H135" s="13">
        <v>132</v>
      </c>
      <c r="I135" s="2">
        <v>0.880454819</v>
      </c>
      <c r="J135" s="2">
        <v>0.47123206899999998</v>
      </c>
      <c r="K135" s="2">
        <v>0.17338199513381999</v>
      </c>
      <c r="L135" s="2">
        <v>0.880454819</v>
      </c>
      <c r="M135" s="2">
        <v>0.47123206899999998</v>
      </c>
      <c r="O135" s="6"/>
      <c r="P135" s="1">
        <v>0</v>
      </c>
      <c r="Q135" s="1">
        <v>13320.750632965201</v>
      </c>
      <c r="R135" s="1">
        <f>'[1]links-p0'!D134</f>
        <v>0</v>
      </c>
      <c r="S135" s="1">
        <f>'[1]links-p0'!E134</f>
        <v>17096.798400971431</v>
      </c>
      <c r="T135" s="1">
        <f>'[1]links-p0'!F134</f>
        <v>29331.308098484638</v>
      </c>
    </row>
    <row r="136" spans="1:20">
      <c r="A136" s="1">
        <v>132</v>
      </c>
      <c r="B136" s="1">
        <f t="shared" si="10"/>
        <v>29331.308098484638</v>
      </c>
      <c r="C136" s="1">
        <f t="shared" si="11"/>
        <v>17096.798400971431</v>
      </c>
      <c r="D136" s="15">
        <f t="shared" si="12"/>
        <v>0.52444166874145492</v>
      </c>
      <c r="H136" s="13">
        <v>133</v>
      </c>
      <c r="I136" s="2">
        <v>0.876464091</v>
      </c>
      <c r="J136" s="2">
        <v>0.47521060700000001</v>
      </c>
      <c r="K136" s="2">
        <v>0.17338199513381999</v>
      </c>
      <c r="L136" s="2">
        <v>0.876464091</v>
      </c>
      <c r="M136" s="2">
        <v>0.47521060700000001</v>
      </c>
      <c r="O136" s="6"/>
      <c r="P136" s="1">
        <v>0</v>
      </c>
      <c r="Q136" s="1">
        <v>13320.750632965201</v>
      </c>
      <c r="R136" s="1">
        <f>'[1]links-p0'!D135</f>
        <v>0</v>
      </c>
      <c r="S136" s="1">
        <f>'[1]links-p0'!E135</f>
        <v>17096.798400971431</v>
      </c>
      <c r="T136" s="1">
        <f>'[1]links-p0'!F135</f>
        <v>29331.043578166438</v>
      </c>
    </row>
    <row r="137" spans="1:20">
      <c r="A137" s="1">
        <v>133</v>
      </c>
      <c r="B137" s="1">
        <f t="shared" si="10"/>
        <v>29331.043578166438</v>
      </c>
      <c r="C137" s="1">
        <f t="shared" si="11"/>
        <v>17096.798400971431</v>
      </c>
      <c r="D137" s="15">
        <f t="shared" si="12"/>
        <v>0.52444166874145492</v>
      </c>
      <c r="H137" s="13">
        <v>134</v>
      </c>
      <c r="I137" s="2">
        <v>0.80679100599999998</v>
      </c>
      <c r="J137" s="2">
        <v>0.46109752100000001</v>
      </c>
      <c r="K137" s="2">
        <v>0.17338199513381999</v>
      </c>
      <c r="L137" s="2">
        <v>0.80679100599999998</v>
      </c>
      <c r="M137" s="2">
        <v>0.46109752100000001</v>
      </c>
      <c r="O137" s="6"/>
      <c r="P137" s="1">
        <v>0</v>
      </c>
      <c r="Q137" s="1">
        <v>13320.750632965201</v>
      </c>
      <c r="R137" s="1">
        <f>'[1]links-p0'!D136</f>
        <v>0</v>
      </c>
      <c r="S137" s="1">
        <f>'[1]links-p0'!E136</f>
        <v>17132.026418414291</v>
      </c>
      <c r="T137" s="1">
        <f>'[1]links-p0'!F136</f>
        <v>27512.90210042406</v>
      </c>
    </row>
    <row r="138" spans="1:20">
      <c r="A138" s="1">
        <v>134</v>
      </c>
      <c r="B138" s="1">
        <f t="shared" si="10"/>
        <v>27512.90210042406</v>
      </c>
      <c r="C138" s="1">
        <f t="shared" si="11"/>
        <v>17132.026418414291</v>
      </c>
      <c r="D138" s="15">
        <f t="shared" si="12"/>
        <v>0.52552228277344448</v>
      </c>
      <c r="H138" s="13">
        <v>135</v>
      </c>
      <c r="I138" s="2">
        <v>0.67316280900000003</v>
      </c>
      <c r="J138" s="2">
        <v>0.43415106799999997</v>
      </c>
      <c r="K138" s="2">
        <v>0.17338199513381999</v>
      </c>
      <c r="L138" s="2">
        <v>0.67316280900000003</v>
      </c>
      <c r="M138" s="2">
        <v>0.43415106799999997</v>
      </c>
      <c r="O138" s="6"/>
      <c r="P138" s="1">
        <v>0</v>
      </c>
      <c r="Q138" s="1">
        <v>13320.750632965201</v>
      </c>
      <c r="R138" s="1">
        <f>'[1]links-p0'!D137</f>
        <v>0</v>
      </c>
      <c r="S138" s="1">
        <f>'[1]links-p0'!E137</f>
        <v>17096.798400971431</v>
      </c>
      <c r="T138" s="1">
        <f>'[1]links-p0'!F137</f>
        <v>24028.467521847058</v>
      </c>
    </row>
    <row r="139" spans="1:20">
      <c r="A139" s="1">
        <v>135</v>
      </c>
      <c r="B139" s="1">
        <f t="shared" si="10"/>
        <v>24028.467521847058</v>
      </c>
      <c r="C139" s="1">
        <f t="shared" si="11"/>
        <v>17096.798400971431</v>
      </c>
      <c r="D139" s="15">
        <f t="shared" si="12"/>
        <v>0.52444166874145492</v>
      </c>
      <c r="H139" s="13">
        <v>136</v>
      </c>
      <c r="I139" s="2">
        <v>0.43637483199999999</v>
      </c>
      <c r="J139" s="2">
        <v>0.412526432</v>
      </c>
      <c r="K139" s="2">
        <v>0.17338199513381999</v>
      </c>
      <c r="L139" s="2">
        <v>0.43637483199999999</v>
      </c>
      <c r="M139" s="2">
        <v>0.412526432</v>
      </c>
      <c r="O139" s="6"/>
      <c r="P139" s="1">
        <v>0</v>
      </c>
      <c r="Q139" s="1">
        <v>13320.750632965201</v>
      </c>
      <c r="R139" s="1">
        <f>'[1]links-p0'!D138</f>
        <v>3531.9259093500968</v>
      </c>
      <c r="S139" s="1">
        <f>'[1]links-p0'!E138</f>
        <v>13837.0906032</v>
      </c>
      <c r="T139" s="1">
        <f>'[1]links-p0'!F138</f>
        <v>18420.970670521921</v>
      </c>
    </row>
    <row r="140" spans="1:20">
      <c r="A140" s="1">
        <v>136</v>
      </c>
      <c r="B140" s="1">
        <f t="shared" si="10"/>
        <v>18420.970670521921</v>
      </c>
      <c r="C140" s="1">
        <f t="shared" si="11"/>
        <v>13837.0906032</v>
      </c>
      <c r="D140" s="15">
        <f t="shared" si="12"/>
        <v>0.42445063199999999</v>
      </c>
      <c r="H140" s="13">
        <v>137</v>
      </c>
      <c r="I140" s="2">
        <v>0.111525429</v>
      </c>
      <c r="J140" s="2">
        <v>0.34461741800000001</v>
      </c>
      <c r="K140" s="2">
        <v>0.17338199513381999</v>
      </c>
      <c r="L140" s="2">
        <v>0.111525429</v>
      </c>
      <c r="M140" s="2">
        <v>0.34461741800000001</v>
      </c>
      <c r="O140" s="6"/>
      <c r="P140" s="1">
        <v>0</v>
      </c>
      <c r="Q140" s="1">
        <v>8905.9821912670122</v>
      </c>
      <c r="R140" s="1">
        <f>'[1]links-p0'!D139</f>
        <v>11426.43306657904</v>
      </c>
      <c r="S140" s="1">
        <f>'[1]links-p0'!E139</f>
        <v>7435.1284061000006</v>
      </c>
      <c r="T140" s="1">
        <f>'[1]links-p0'!F139</f>
        <v>9898.1994284736593</v>
      </c>
    </row>
    <row r="141" spans="1:20">
      <c r="A141" s="1">
        <v>137</v>
      </c>
      <c r="B141" s="1">
        <f t="shared" si="10"/>
        <v>9898.1994284736593</v>
      </c>
      <c r="C141" s="1">
        <f t="shared" si="11"/>
        <v>7435.1284061000006</v>
      </c>
      <c r="D141" s="15">
        <f t="shared" si="12"/>
        <v>0.22807142350000001</v>
      </c>
      <c r="H141" s="13">
        <v>138</v>
      </c>
      <c r="I141" s="2">
        <v>2.3160999999999999E-4</v>
      </c>
      <c r="J141" s="2">
        <v>0.34607711600000002</v>
      </c>
      <c r="K141" s="2">
        <v>0.17338199513381999</v>
      </c>
      <c r="L141" s="2">
        <v>2.3160999999999999E-4</v>
      </c>
      <c r="M141" s="2">
        <v>0.34607711600000002</v>
      </c>
      <c r="O141" s="6"/>
      <c r="P141" s="1">
        <v>17784.210574776611</v>
      </c>
      <c r="Q141" s="1">
        <v>0</v>
      </c>
      <c r="R141" s="1">
        <f>'[1]links-p0'!D140</f>
        <v>13990.84870216647</v>
      </c>
      <c r="S141" s="1">
        <f>'[1]links-p0'!E140</f>
        <v>5644.8322338000007</v>
      </c>
      <c r="T141" s="1">
        <f>'[1]links-p0'!F140</f>
        <v>7514.82316628028</v>
      </c>
    </row>
    <row r="142" spans="1:20">
      <c r="A142" s="1">
        <v>138</v>
      </c>
      <c r="B142" s="1">
        <f t="shared" si="10"/>
        <v>7514.82316628028</v>
      </c>
      <c r="C142" s="1">
        <f t="shared" si="11"/>
        <v>5644.8322338000007</v>
      </c>
      <c r="D142" s="15">
        <f t="shared" si="12"/>
        <v>0.17315436300000003</v>
      </c>
      <c r="H142" s="13">
        <v>139</v>
      </c>
      <c r="I142" s="2">
        <v>0</v>
      </c>
      <c r="J142" s="2">
        <v>0.38436776900000003</v>
      </c>
      <c r="K142" s="2">
        <v>0.17338199513381999</v>
      </c>
      <c r="L142" s="2">
        <v>0</v>
      </c>
      <c r="M142" s="2">
        <v>0.38436776900000003</v>
      </c>
      <c r="O142" s="6"/>
      <c r="P142" s="1">
        <v>8697.815544126639</v>
      </c>
      <c r="Q142" s="1">
        <v>0</v>
      </c>
      <c r="R142" s="1">
        <f>'[1]links-p0'!D141</f>
        <v>12100.131467838721</v>
      </c>
      <c r="S142" s="1">
        <f>'[1]links-p0'!E141</f>
        <v>6265.1946347000003</v>
      </c>
      <c r="T142" s="1">
        <f>'[1]links-p0'!F141</f>
        <v>8340.6960263908204</v>
      </c>
    </row>
    <row r="143" spans="1:20">
      <c r="A143" s="1">
        <v>139</v>
      </c>
      <c r="B143" s="1">
        <f t="shared" si="10"/>
        <v>8340.6960263908204</v>
      </c>
      <c r="C143" s="1">
        <f t="shared" si="11"/>
        <v>6265.1946347000003</v>
      </c>
      <c r="D143" s="15">
        <f t="shared" si="12"/>
        <v>0.19218388450000001</v>
      </c>
      <c r="H143" s="13">
        <v>140</v>
      </c>
      <c r="I143" s="2">
        <v>0</v>
      </c>
      <c r="J143" s="2">
        <v>0.41364261899999999</v>
      </c>
      <c r="K143" s="2">
        <v>0.17338199513381999</v>
      </c>
      <c r="L143" s="2">
        <v>0</v>
      </c>
      <c r="M143" s="2">
        <v>0.41364261899999999</v>
      </c>
      <c r="O143" s="6"/>
      <c r="P143" s="1">
        <v>0</v>
      </c>
      <c r="Q143" s="1">
        <v>0</v>
      </c>
      <c r="R143" s="1">
        <f>'[1]links-p0'!D142</f>
        <v>10433.60349017075</v>
      </c>
      <c r="S143" s="1">
        <f>'[1]links-p0'!E142</f>
        <v>6742.3746897000001</v>
      </c>
      <c r="T143" s="1">
        <f>'[1]links-p0'!F142</f>
        <v>8975.9538309238196</v>
      </c>
    </row>
    <row r="144" spans="1:20">
      <c r="A144" s="1">
        <v>140</v>
      </c>
      <c r="B144" s="1">
        <f t="shared" si="10"/>
        <v>8975.9538309238196</v>
      </c>
      <c r="C144" s="1">
        <f t="shared" si="11"/>
        <v>6742.3746897000001</v>
      </c>
      <c r="D144" s="15">
        <f t="shared" si="12"/>
        <v>0.20682130949999999</v>
      </c>
      <c r="H144" s="13">
        <v>141</v>
      </c>
      <c r="I144" s="2">
        <v>0</v>
      </c>
      <c r="J144" s="2">
        <v>0.43220439799999999</v>
      </c>
      <c r="K144" s="2">
        <v>0.17338199513381999</v>
      </c>
      <c r="L144" s="2">
        <v>0</v>
      </c>
      <c r="M144" s="2">
        <v>0.43220439799999999</v>
      </c>
      <c r="O144" s="6"/>
      <c r="P144" s="1">
        <v>0</v>
      </c>
      <c r="Q144" s="1">
        <v>2637.120416856118</v>
      </c>
      <c r="R144" s="1">
        <f>'[1]links-p0'!D143</f>
        <v>10106.779093785961</v>
      </c>
      <c r="S144" s="1">
        <f>'[1]links-p0'!E143</f>
        <v>7044.9316873999996</v>
      </c>
      <c r="T144" s="1">
        <f>'[1]links-p0'!F143</f>
        <v>9378.7403516324393</v>
      </c>
    </row>
    <row r="145" spans="1:20">
      <c r="A145" s="1">
        <v>141</v>
      </c>
      <c r="B145" s="1">
        <f t="shared" si="10"/>
        <v>9378.7403516324393</v>
      </c>
      <c r="C145" s="1">
        <f t="shared" si="11"/>
        <v>7044.9316873999996</v>
      </c>
      <c r="D145" s="15">
        <f t="shared" si="12"/>
        <v>0.21610219899999999</v>
      </c>
      <c r="H145" s="13">
        <v>142</v>
      </c>
      <c r="I145" s="2">
        <v>0</v>
      </c>
      <c r="J145" s="2">
        <v>0.45847632599999999</v>
      </c>
      <c r="K145" s="2">
        <v>0.17338199513381999</v>
      </c>
      <c r="L145" s="2">
        <v>0</v>
      </c>
      <c r="M145" s="2">
        <v>0.45847632599999999</v>
      </c>
      <c r="O145" s="6"/>
      <c r="P145" s="1">
        <v>0</v>
      </c>
      <c r="Q145" s="1">
        <v>7728.8445935655927</v>
      </c>
      <c r="R145" s="1">
        <f>'[1]links-p0'!D144</f>
        <v>9601.720872647782</v>
      </c>
      <c r="S145" s="1">
        <f>'[1]links-p0'!E144</f>
        <v>7473.1641138000005</v>
      </c>
      <c r="T145" s="1">
        <f>'[1]links-p0'!F144</f>
        <v>9948.8354094082788</v>
      </c>
    </row>
    <row r="146" spans="1:20">
      <c r="A146" s="1">
        <v>142</v>
      </c>
      <c r="B146" s="1">
        <f t="shared" si="10"/>
        <v>9948.8354094082788</v>
      </c>
      <c r="C146" s="1">
        <f t="shared" si="11"/>
        <v>7473.1641138000005</v>
      </c>
      <c r="D146" s="15">
        <f t="shared" si="12"/>
        <v>0.22923816300000002</v>
      </c>
      <c r="H146" s="13">
        <v>143</v>
      </c>
      <c r="I146" s="2">
        <v>0</v>
      </c>
      <c r="J146" s="2">
        <v>0.48614243400000001</v>
      </c>
      <c r="K146" s="2">
        <v>0.17338199513381999</v>
      </c>
      <c r="L146" s="2">
        <v>0</v>
      </c>
      <c r="M146" s="2">
        <v>0.48614243400000001</v>
      </c>
      <c r="O146" s="6"/>
      <c r="P146" s="1">
        <v>0</v>
      </c>
      <c r="Q146" s="1">
        <v>13320.750632965201</v>
      </c>
      <c r="R146" s="1">
        <f>'[1]links-p0'!D145</f>
        <v>9147.5553774089112</v>
      </c>
      <c r="S146" s="1">
        <f>'[1]links-p0'!E145</f>
        <v>7924.1216742000006</v>
      </c>
      <c r="T146" s="1">
        <f>'[1]links-p0'!F145</f>
        <v>10549.18386646452</v>
      </c>
    </row>
    <row r="147" spans="1:20">
      <c r="A147" s="1">
        <v>143</v>
      </c>
      <c r="B147" s="1">
        <f t="shared" si="10"/>
        <v>10549.18386646452</v>
      </c>
      <c r="C147" s="1">
        <f t="shared" si="11"/>
        <v>7924.1216742000006</v>
      </c>
      <c r="D147" s="15">
        <f t="shared" si="12"/>
        <v>0.24307121700000001</v>
      </c>
      <c r="H147" s="13">
        <v>144</v>
      </c>
      <c r="I147" s="2">
        <v>0</v>
      </c>
      <c r="J147" s="2">
        <v>0.52357058199999995</v>
      </c>
      <c r="K147" s="2">
        <v>0.17570559610705591</v>
      </c>
      <c r="L147" s="2">
        <v>0</v>
      </c>
      <c r="M147" s="2">
        <v>0.52357058199999995</v>
      </c>
      <c r="O147" s="6"/>
      <c r="P147" s="1">
        <v>0</v>
      </c>
      <c r="Q147" s="1">
        <v>13320.750632965201</v>
      </c>
      <c r="R147" s="1">
        <f>'[1]links-p0'!D146</f>
        <v>8584.9545765080147</v>
      </c>
      <c r="S147" s="1">
        <f>'[1]links-p0'!E146</f>
        <v>8534.2004865999988</v>
      </c>
      <c r="T147" s="1">
        <f>'[1]links-p0'!F146</f>
        <v>11361.366443871961</v>
      </c>
    </row>
    <row r="148" spans="1:20">
      <c r="A148" s="1">
        <v>144</v>
      </c>
      <c r="B148" s="1">
        <f t="shared" si="10"/>
        <v>11361.366443871961</v>
      </c>
      <c r="C148" s="1">
        <f t="shared" si="11"/>
        <v>8534.2004865999988</v>
      </c>
      <c r="D148" s="15">
        <f t="shared" si="12"/>
        <v>0.26178529099999998</v>
      </c>
      <c r="H148" s="13">
        <v>145</v>
      </c>
      <c r="I148" s="2">
        <v>0</v>
      </c>
      <c r="J148" s="2">
        <v>0.564047148</v>
      </c>
      <c r="K148" s="2">
        <v>0.17570559610705591</v>
      </c>
      <c r="L148" s="2">
        <v>0</v>
      </c>
      <c r="M148" s="2">
        <v>0.564047148</v>
      </c>
      <c r="O148" s="6"/>
      <c r="P148" s="1">
        <v>0</v>
      </c>
      <c r="Q148" s="1">
        <v>13320.750632965201</v>
      </c>
      <c r="R148" s="1">
        <f>'[1]links-p0'!D147</f>
        <v>7921.9489134289706</v>
      </c>
      <c r="S148" s="1">
        <f>'[1]links-p0'!E147</f>
        <v>9193.9685124000007</v>
      </c>
      <c r="T148" s="1">
        <f>'[1]links-p0'!F147</f>
        <v>12239.69902122744</v>
      </c>
    </row>
    <row r="149" spans="1:20">
      <c r="A149" s="1">
        <v>145</v>
      </c>
      <c r="B149" s="1">
        <f t="shared" si="10"/>
        <v>12239.69902122744</v>
      </c>
      <c r="C149" s="1">
        <f t="shared" si="11"/>
        <v>9193.9685124000007</v>
      </c>
      <c r="D149" s="15">
        <f t="shared" si="12"/>
        <v>0.282023574</v>
      </c>
      <c r="H149" s="13">
        <v>146</v>
      </c>
      <c r="I149" s="2">
        <v>0</v>
      </c>
      <c r="J149" s="2">
        <v>0.60432528500000005</v>
      </c>
      <c r="K149" s="2">
        <v>0.17570559610705591</v>
      </c>
      <c r="L149" s="2">
        <v>0</v>
      </c>
      <c r="M149" s="2">
        <v>0.60432528500000005</v>
      </c>
      <c r="O149" s="6"/>
      <c r="P149" s="1">
        <v>0</v>
      </c>
      <c r="Q149" s="1">
        <v>13320.750632965201</v>
      </c>
      <c r="R149" s="1">
        <f>'[1]links-p0'!D148</f>
        <v>9482.3160150880649</v>
      </c>
      <c r="S149" s="1">
        <f>'[1]links-p0'!E148</f>
        <v>9850.5021455000006</v>
      </c>
      <c r="T149" s="1">
        <f>'[1]links-p0'!F148</f>
        <v>13113.725732937301</v>
      </c>
    </row>
    <row r="150" spans="1:20">
      <c r="A150" s="1">
        <v>146</v>
      </c>
      <c r="B150" s="1">
        <f t="shared" si="10"/>
        <v>13113.725732937301</v>
      </c>
      <c r="C150" s="1">
        <f t="shared" si="11"/>
        <v>9850.5021455000006</v>
      </c>
      <c r="D150" s="15">
        <f t="shared" si="12"/>
        <v>0.30216264250000002</v>
      </c>
      <c r="H150" s="13">
        <v>147</v>
      </c>
      <c r="I150" s="2">
        <v>0</v>
      </c>
      <c r="J150" s="2">
        <v>0.64680523499999998</v>
      </c>
      <c r="K150" s="2">
        <v>0.17570559610705591</v>
      </c>
      <c r="L150" s="2">
        <v>0</v>
      </c>
      <c r="M150" s="2">
        <v>0.64680523499999998</v>
      </c>
      <c r="O150" s="6"/>
      <c r="P150" s="1">
        <v>0</v>
      </c>
      <c r="Q150" s="1">
        <v>13320.750632965201</v>
      </c>
      <c r="R150" s="1">
        <f>'[1]links-p0'!D149</f>
        <v>8780.0995630197121</v>
      </c>
      <c r="S150" s="1">
        <f>'[1]links-p0'!E149</f>
        <v>10542.9253305</v>
      </c>
      <c r="T150" s="1">
        <f>'[1]links-p0'!F149</f>
        <v>14035.5313023483</v>
      </c>
    </row>
    <row r="151" spans="1:20">
      <c r="A151" s="1">
        <v>147</v>
      </c>
      <c r="B151" s="1">
        <f t="shared" si="10"/>
        <v>14035.5313023483</v>
      </c>
      <c r="C151" s="1">
        <f t="shared" si="11"/>
        <v>10542.9253305</v>
      </c>
      <c r="D151" s="15">
        <f t="shared" si="12"/>
        <v>0.32340261749999999</v>
      </c>
      <c r="H151" s="13">
        <v>148</v>
      </c>
      <c r="I151" s="2">
        <v>0</v>
      </c>
      <c r="J151" s="2">
        <v>0.68888568299999997</v>
      </c>
      <c r="K151" s="2">
        <v>0.17570559610705591</v>
      </c>
      <c r="L151" s="2">
        <v>0</v>
      </c>
      <c r="M151" s="2">
        <v>0.68888568299999997</v>
      </c>
      <c r="O151" s="6"/>
      <c r="P151" s="1">
        <v>0</v>
      </c>
      <c r="Q151" s="1">
        <v>13320.750632965201</v>
      </c>
      <c r="R151" s="1">
        <f>'[1]links-p0'!D150</f>
        <v>5949.0264316164084</v>
      </c>
      <c r="S151" s="1">
        <f>'[1]links-p0'!E150</f>
        <v>11228.8366329</v>
      </c>
      <c r="T151" s="1">
        <f>'[1]links-p0'!F150</f>
        <v>14948.66776624974</v>
      </c>
    </row>
    <row r="152" spans="1:20">
      <c r="A152" s="1">
        <v>148</v>
      </c>
      <c r="B152" s="1">
        <f t="shared" si="10"/>
        <v>14948.66776624974</v>
      </c>
      <c r="C152" s="1">
        <f t="shared" si="11"/>
        <v>11228.8366329</v>
      </c>
      <c r="D152" s="15">
        <f t="shared" si="12"/>
        <v>0.34444284149999999</v>
      </c>
      <c r="H152" s="13">
        <v>149</v>
      </c>
      <c r="I152" s="2">
        <v>0</v>
      </c>
      <c r="J152" s="2">
        <v>0.70893419700000004</v>
      </c>
      <c r="K152" s="2">
        <v>0.17570559610705591</v>
      </c>
      <c r="L152" s="2">
        <v>0</v>
      </c>
      <c r="M152" s="2">
        <v>0.70893419700000004</v>
      </c>
      <c r="O152" s="6"/>
      <c r="P152" s="1">
        <v>0</v>
      </c>
      <c r="Q152" s="1">
        <v>13320.750632965201</v>
      </c>
      <c r="R152" s="1">
        <f>'[1]links-p0'!D151</f>
        <v>7905.5366656021042</v>
      </c>
      <c r="S152" s="1">
        <f>'[1]links-p0'!E151</f>
        <v>11555.6274111</v>
      </c>
      <c r="T152" s="1">
        <f>'[1]links-p0'!F151</f>
        <v>15383.716109376661</v>
      </c>
    </row>
    <row r="153" spans="1:20">
      <c r="A153" s="1">
        <v>149</v>
      </c>
      <c r="B153" s="1">
        <f t="shared" si="10"/>
        <v>15383.716109376661</v>
      </c>
      <c r="C153" s="1">
        <f t="shared" si="11"/>
        <v>11555.6274111</v>
      </c>
      <c r="D153" s="15">
        <f t="shared" si="12"/>
        <v>0.35446709850000002</v>
      </c>
      <c r="H153" s="13">
        <v>150</v>
      </c>
      <c r="I153" s="2">
        <v>0</v>
      </c>
      <c r="J153" s="2">
        <v>0.69710707999999999</v>
      </c>
      <c r="K153" s="2">
        <v>0.17570559610705591</v>
      </c>
      <c r="L153" s="2">
        <v>0</v>
      </c>
      <c r="M153" s="2">
        <v>0.69710707999999999</v>
      </c>
      <c r="O153" s="6"/>
      <c r="P153" s="1">
        <v>0</v>
      </c>
      <c r="Q153" s="1">
        <v>13320.750632965201</v>
      </c>
      <c r="R153" s="1">
        <f>'[1]links-p0'!D152</f>
        <v>8122.1843214141118</v>
      </c>
      <c r="S153" s="1">
        <f>'[1]links-p0'!E152</f>
        <v>11362.845404</v>
      </c>
      <c r="T153" s="1">
        <f>'[1]links-p0'!F152</f>
        <v>15127.070272442401</v>
      </c>
    </row>
    <row r="154" spans="1:20">
      <c r="A154" s="1">
        <v>150</v>
      </c>
      <c r="B154" s="1">
        <f t="shared" si="10"/>
        <v>15127.070272442401</v>
      </c>
      <c r="C154" s="1">
        <f t="shared" si="11"/>
        <v>11362.845404</v>
      </c>
      <c r="D154" s="15">
        <f t="shared" si="12"/>
        <v>0.34855354</v>
      </c>
      <c r="H154" s="13">
        <v>151</v>
      </c>
      <c r="I154" s="2">
        <v>0</v>
      </c>
      <c r="J154" s="2">
        <v>0.67072794400000002</v>
      </c>
      <c r="K154" s="2">
        <v>0.17570559610705591</v>
      </c>
      <c r="L154" s="2">
        <v>0</v>
      </c>
      <c r="M154" s="2">
        <v>0.67072794400000002</v>
      </c>
      <c r="O154" s="6"/>
      <c r="P154" s="1">
        <v>0</v>
      </c>
      <c r="Q154" s="1">
        <v>13320.750632965201</v>
      </c>
      <c r="R154" s="1">
        <f>'[1]links-p0'!D153</f>
        <v>8465.7166744276401</v>
      </c>
      <c r="S154" s="1">
        <f>'[1]links-p0'!E153</f>
        <v>10932.865487200001</v>
      </c>
      <c r="T154" s="1">
        <f>'[1]links-p0'!F153</f>
        <v>14554.64882465232</v>
      </c>
    </row>
    <row r="155" spans="1:20">
      <c r="A155" s="1">
        <v>151</v>
      </c>
      <c r="B155" s="1">
        <f t="shared" si="10"/>
        <v>14554.64882465232</v>
      </c>
      <c r="C155" s="1">
        <f t="shared" si="11"/>
        <v>10932.865487200001</v>
      </c>
      <c r="D155" s="15">
        <f t="shared" si="12"/>
        <v>0.33536397200000001</v>
      </c>
      <c r="H155" s="13">
        <v>152</v>
      </c>
      <c r="I155" s="2">
        <v>2.4648349999999999E-3</v>
      </c>
      <c r="J155" s="2">
        <v>0.63980309599999996</v>
      </c>
      <c r="K155" s="2">
        <v>0.17570559610705591</v>
      </c>
      <c r="L155" s="2">
        <v>2.4648349999999999E-3</v>
      </c>
      <c r="M155" s="2">
        <v>0.63980309599999996</v>
      </c>
      <c r="O155" s="6"/>
      <c r="P155" s="1">
        <v>0</v>
      </c>
      <c r="Q155" s="1">
        <v>13320.750632965201</v>
      </c>
      <c r="R155" s="1">
        <f>'[1]links-p0'!D154</f>
        <v>7440.9011961686438</v>
      </c>
      <c r="S155" s="1">
        <f>'[1]links-p0'!E154</f>
        <v>10468.9672753</v>
      </c>
      <c r="T155" s="1">
        <f>'[1]links-p0'!F154</f>
        <v>13937.07280375518</v>
      </c>
    </row>
    <row r="156" spans="1:20">
      <c r="A156" s="1">
        <v>152</v>
      </c>
      <c r="B156" s="1">
        <f t="shared" si="10"/>
        <v>13937.07280375518</v>
      </c>
      <c r="C156" s="1">
        <f t="shared" si="11"/>
        <v>10468.9672753</v>
      </c>
      <c r="D156" s="15">
        <f t="shared" si="12"/>
        <v>0.32113396550000001</v>
      </c>
      <c r="H156" s="13">
        <v>153</v>
      </c>
      <c r="I156" s="2">
        <v>6.7018863999999997E-2</v>
      </c>
      <c r="J156" s="2">
        <v>0.60584827900000005</v>
      </c>
      <c r="K156" s="2">
        <v>0.17570559610705591</v>
      </c>
      <c r="L156" s="2">
        <v>6.7018863999999997E-2</v>
      </c>
      <c r="M156" s="2">
        <v>0.60584827900000005</v>
      </c>
      <c r="O156" s="6"/>
      <c r="P156" s="1">
        <v>0</v>
      </c>
      <c r="Q156" s="1">
        <v>13320.750632965201</v>
      </c>
      <c r="R156" s="1">
        <f>'[1]links-p0'!D155</f>
        <v>8242.931202916292</v>
      </c>
      <c r="S156" s="1">
        <f>'[1]links-p0'!E155</f>
        <v>10967.7344309</v>
      </c>
      <c r="T156" s="1">
        <f>'[1]links-p0'!F155</f>
        <v>14601.06897232854</v>
      </c>
    </row>
    <row r="157" spans="1:20">
      <c r="A157" s="1">
        <v>153</v>
      </c>
      <c r="B157" s="1">
        <f t="shared" si="10"/>
        <v>14601.06897232854</v>
      </c>
      <c r="C157" s="1">
        <f t="shared" si="11"/>
        <v>10967.7344309</v>
      </c>
      <c r="D157" s="15">
        <f t="shared" si="12"/>
        <v>0.33643357149999997</v>
      </c>
      <c r="H157" s="13">
        <v>154</v>
      </c>
      <c r="I157" s="2">
        <v>0.18901900099999999</v>
      </c>
      <c r="J157" s="2">
        <v>0.60256063999999998</v>
      </c>
      <c r="K157" s="2">
        <v>0.17570559610705591</v>
      </c>
      <c r="L157" s="2">
        <v>0.18901900099999999</v>
      </c>
      <c r="M157" s="2">
        <v>0.60256063999999998</v>
      </c>
      <c r="O157" s="6"/>
      <c r="P157" s="1">
        <v>0</v>
      </c>
      <c r="Q157" s="1">
        <v>13320.750632965201</v>
      </c>
      <c r="R157" s="1">
        <f>'[1]links-p0'!D156</f>
        <v>8169.4260865953202</v>
      </c>
      <c r="S157" s="1">
        <f>'[1]links-p0'!E156</f>
        <v>12902.748148299999</v>
      </c>
      <c r="T157" s="1">
        <f>'[1]links-p0'!F156</f>
        <v>17177.10406217898</v>
      </c>
    </row>
    <row r="158" spans="1:20">
      <c r="A158" s="1">
        <v>154</v>
      </c>
      <c r="B158" s="1">
        <f t="shared" si="10"/>
        <v>17177.10406217898</v>
      </c>
      <c r="C158" s="1">
        <f t="shared" si="11"/>
        <v>12902.748148299999</v>
      </c>
      <c r="D158" s="15">
        <f t="shared" si="12"/>
        <v>0.3957898205</v>
      </c>
      <c r="H158" s="13">
        <v>155</v>
      </c>
      <c r="I158" s="2">
        <v>0.31501452800000002</v>
      </c>
      <c r="J158" s="2">
        <v>0.61838280300000004</v>
      </c>
      <c r="K158" s="2">
        <v>0.17570559610705591</v>
      </c>
      <c r="L158" s="2">
        <v>0.31501452800000002</v>
      </c>
      <c r="M158" s="2">
        <v>0.61838280300000004</v>
      </c>
      <c r="O158" s="6"/>
      <c r="P158" s="1">
        <v>0</v>
      </c>
      <c r="Q158" s="1">
        <v>13320.750632965201</v>
      </c>
      <c r="R158" s="1">
        <f>'[1]links-p0'!D157</f>
        <v>5163.1607664688327</v>
      </c>
      <c r="S158" s="1">
        <f>'[1]links-p0'!E157</f>
        <v>15214.376495300001</v>
      </c>
      <c r="T158" s="1">
        <f>'[1]links-p0'!F157</f>
        <v>20254.516735287179</v>
      </c>
    </row>
    <row r="159" spans="1:20">
      <c r="A159" s="1">
        <v>155</v>
      </c>
      <c r="B159" s="1">
        <f t="shared" si="10"/>
        <v>20254.516735287179</v>
      </c>
      <c r="C159" s="1">
        <f t="shared" si="11"/>
        <v>15214.376495300001</v>
      </c>
      <c r="D159" s="15">
        <f t="shared" si="12"/>
        <v>0.46669866550000005</v>
      </c>
      <c r="H159" s="13">
        <v>156</v>
      </c>
      <c r="I159" s="2">
        <v>0.42426403499999998</v>
      </c>
      <c r="J159" s="2">
        <v>0.65846688499999995</v>
      </c>
      <c r="K159" s="2">
        <v>0.17570559610705591</v>
      </c>
      <c r="L159" s="2">
        <v>0.42426403499999998</v>
      </c>
      <c r="M159" s="2">
        <v>0.65846688499999995</v>
      </c>
      <c r="O159" s="6"/>
      <c r="P159" s="1">
        <v>0</v>
      </c>
      <c r="Q159" s="1">
        <v>13320.750632965201</v>
      </c>
      <c r="R159" s="1">
        <f>'[1]links-p0'!D158</f>
        <v>0</v>
      </c>
      <c r="S159" s="1">
        <f>'[1]links-p0'!E158</f>
        <v>17648.513996000001</v>
      </c>
      <c r="T159" s="1">
        <f>'[1]links-p0'!F158</f>
        <v>23495.022763197601</v>
      </c>
    </row>
    <row r="160" spans="1:20">
      <c r="A160" s="1">
        <v>156</v>
      </c>
      <c r="B160" s="1">
        <f t="shared" si="10"/>
        <v>23495.022763197601</v>
      </c>
      <c r="C160" s="1">
        <f t="shared" si="11"/>
        <v>17648.513996000001</v>
      </c>
      <c r="D160" s="15">
        <f t="shared" si="12"/>
        <v>0.54136546000000008</v>
      </c>
      <c r="H160" s="13">
        <v>157</v>
      </c>
      <c r="I160" s="2">
        <v>0.48079174000000002</v>
      </c>
      <c r="J160" s="2">
        <v>0.69550253799999995</v>
      </c>
      <c r="K160" s="2">
        <v>0.17570559610705591</v>
      </c>
      <c r="L160" s="2">
        <v>0.48079174000000002</v>
      </c>
      <c r="M160" s="2">
        <v>0.69550253799999995</v>
      </c>
      <c r="O160" s="6"/>
      <c r="P160" s="1">
        <v>0</v>
      </c>
      <c r="Q160" s="1">
        <v>13320.750632965201</v>
      </c>
      <c r="R160" s="1">
        <f>'[1]links-p0'!D159</f>
        <v>512.4985611174842</v>
      </c>
      <c r="S160" s="1">
        <f>'[1]links-p0'!E159</f>
        <v>19173.596731400001</v>
      </c>
      <c r="T160" s="1">
        <f>'[1]links-p0'!F159</f>
        <v>25525.327047858838</v>
      </c>
    </row>
    <row r="161" spans="1:23">
      <c r="A161" s="1">
        <v>157</v>
      </c>
      <c r="B161" s="1">
        <f t="shared" si="10"/>
        <v>25525.327047858838</v>
      </c>
      <c r="C161" s="1">
        <f t="shared" si="11"/>
        <v>19173.596731400001</v>
      </c>
      <c r="D161" s="15">
        <f t="shared" si="12"/>
        <v>0.58814713900000004</v>
      </c>
      <c r="H161" s="13">
        <v>158</v>
      </c>
      <c r="I161" s="2">
        <v>0.473505854</v>
      </c>
      <c r="J161" s="2">
        <v>0.72059707900000003</v>
      </c>
      <c r="K161" s="2">
        <v>0.17570559610705591</v>
      </c>
      <c r="L161" s="2">
        <v>0.473505854</v>
      </c>
      <c r="M161" s="2">
        <v>0.72059707900000003</v>
      </c>
      <c r="O161" s="6"/>
      <c r="P161" s="1">
        <v>0</v>
      </c>
      <c r="Q161" s="1">
        <v>13320.750632965201</v>
      </c>
      <c r="R161" s="1">
        <f>'[1]links-p0'!D160</f>
        <v>0</v>
      </c>
      <c r="S161" s="1">
        <f>'[1]links-p0'!E160</f>
        <v>19463.8778079</v>
      </c>
      <c r="T161" s="1">
        <f>'[1]links-p0'!F160</f>
        <v>25911.77094345474</v>
      </c>
    </row>
    <row r="162" spans="1:23">
      <c r="A162" s="1">
        <v>158</v>
      </c>
      <c r="B162" s="1">
        <f t="shared" si="10"/>
        <v>25911.77094345474</v>
      </c>
      <c r="C162" s="1">
        <f t="shared" si="11"/>
        <v>19463.8778079</v>
      </c>
      <c r="D162" s="15">
        <f t="shared" si="12"/>
        <v>0.59705146649999996</v>
      </c>
      <c r="H162" s="13">
        <v>159</v>
      </c>
      <c r="I162" s="2">
        <v>0.377817921</v>
      </c>
      <c r="J162" s="2">
        <v>0.739312894</v>
      </c>
      <c r="K162" s="2">
        <v>0.17570559610705591</v>
      </c>
      <c r="L162" s="2">
        <v>0.377817921</v>
      </c>
      <c r="M162" s="2">
        <v>0.739312894</v>
      </c>
      <c r="O162" s="6"/>
      <c r="P162" s="1">
        <v>0</v>
      </c>
      <c r="Q162" s="1">
        <v>13320.750632965201</v>
      </c>
      <c r="R162" s="1">
        <f>'[1]links-p0'!D161</f>
        <v>211.60957441428761</v>
      </c>
      <c r="S162" s="1">
        <f>'[1]links-p0'!E161</f>
        <v>18209.232284500002</v>
      </c>
      <c r="T162" s="1">
        <f>'[1]links-p0'!F161</f>
        <v>24241.492916720701</v>
      </c>
    </row>
    <row r="163" spans="1:23">
      <c r="A163" s="1">
        <v>159</v>
      </c>
      <c r="B163" s="1">
        <f t="shared" si="10"/>
        <v>24241.492916720701</v>
      </c>
      <c r="C163" s="1">
        <f t="shared" si="11"/>
        <v>18209.232284500002</v>
      </c>
      <c r="D163" s="15">
        <f t="shared" si="12"/>
        <v>0.55856540750000006</v>
      </c>
      <c r="H163" s="13">
        <v>160</v>
      </c>
      <c r="I163" s="2">
        <v>0.23042142700000001</v>
      </c>
      <c r="J163" s="2">
        <v>0.77701201099999995</v>
      </c>
      <c r="K163" s="2">
        <v>0.17570559610705591</v>
      </c>
      <c r="L163" s="2">
        <v>0.23042142700000001</v>
      </c>
      <c r="M163" s="2">
        <v>0.77701201099999995</v>
      </c>
      <c r="O163" s="6"/>
      <c r="P163" s="1">
        <v>0</v>
      </c>
      <c r="Q163" s="1">
        <v>13320.750632965201</v>
      </c>
      <c r="R163" s="1">
        <f>'[1]links-p0'!D162</f>
        <v>3882.8737874880449</v>
      </c>
      <c r="S163" s="1">
        <f>'[1]links-p0'!E162</f>
        <v>16421.165039399999</v>
      </c>
      <c r="T163" s="1">
        <f>'[1]links-p0'!F162</f>
        <v>21861.083969243638</v>
      </c>
    </row>
    <row r="164" spans="1:23">
      <c r="A164" s="1">
        <v>160</v>
      </c>
      <c r="B164" s="1">
        <f t="shared" ref="B164:B171" si="13">T163</f>
        <v>21861.083969243638</v>
      </c>
      <c r="C164" s="1">
        <f t="shared" ref="C164:C171" si="14">S163</f>
        <v>16421.165039399999</v>
      </c>
      <c r="D164" s="15">
        <f t="shared" si="12"/>
        <v>0.50371671899999992</v>
      </c>
      <c r="H164" s="13">
        <v>161</v>
      </c>
      <c r="I164" s="2">
        <v>5.9599909E-2</v>
      </c>
      <c r="J164" s="2">
        <v>0.76608125500000002</v>
      </c>
      <c r="K164" s="2">
        <v>0.17570559610705591</v>
      </c>
      <c r="L164" s="2">
        <v>5.9599909E-2</v>
      </c>
      <c r="M164" s="2">
        <v>0.76608125500000002</v>
      </c>
      <c r="O164" s="6"/>
      <c r="P164" s="1">
        <v>0</v>
      </c>
      <c r="Q164" s="1">
        <v>13320.750632965201</v>
      </c>
      <c r="R164" s="1">
        <f>'[1]links-p0'!D163</f>
        <v>6135.5716482367779</v>
      </c>
      <c r="S164" s="1">
        <f>'[1]links-p0'!E163</f>
        <v>13458.602973200001</v>
      </c>
      <c r="T164" s="1">
        <f>'[1]links-p0'!F163</f>
        <v>17917.099608943921</v>
      </c>
    </row>
    <row r="165" spans="1:23">
      <c r="A165" s="1">
        <v>161</v>
      </c>
      <c r="B165" s="1">
        <f t="shared" si="13"/>
        <v>17917.099608943921</v>
      </c>
      <c r="C165" s="1">
        <f t="shared" si="14"/>
        <v>13458.602973200001</v>
      </c>
      <c r="D165" s="15">
        <f t="shared" si="12"/>
        <v>0.41284058200000001</v>
      </c>
      <c r="H165" s="13">
        <v>162</v>
      </c>
      <c r="I165" s="2">
        <v>1.69822E-4</v>
      </c>
      <c r="J165" s="2">
        <v>0.71677553000000005</v>
      </c>
      <c r="K165" s="2">
        <v>0.17570559610705591</v>
      </c>
      <c r="L165" s="2">
        <v>1.69822E-4</v>
      </c>
      <c r="M165" s="2">
        <v>0.71677553000000005</v>
      </c>
      <c r="O165" s="6"/>
      <c r="P165" s="1">
        <v>0</v>
      </c>
      <c r="Q165" s="1">
        <v>13320.750632965201</v>
      </c>
      <c r="R165" s="1">
        <f>'[1]links-p0'!D164</f>
        <v>8891.3033610405218</v>
      </c>
      <c r="S165" s="1">
        <f>'[1]links-p0'!E164</f>
        <v>11686.2092376</v>
      </c>
      <c r="T165" s="1">
        <f>'[1]links-p0'!F164</f>
        <v>15557.55641042256</v>
      </c>
    </row>
    <row r="166" spans="1:23">
      <c r="A166" s="1">
        <v>162</v>
      </c>
      <c r="B166" s="1">
        <f t="shared" si="13"/>
        <v>15557.55641042256</v>
      </c>
      <c r="C166" s="1">
        <f t="shared" si="14"/>
        <v>11686.2092376</v>
      </c>
      <c r="D166" s="15">
        <f t="shared" si="12"/>
        <v>0.35847267599999999</v>
      </c>
      <c r="H166" s="13">
        <v>163</v>
      </c>
      <c r="I166" s="2">
        <v>0</v>
      </c>
      <c r="J166" s="2">
        <v>0.69716506300000003</v>
      </c>
      <c r="K166" s="2">
        <v>0.17570559610705591</v>
      </c>
      <c r="L166" s="2">
        <v>0</v>
      </c>
      <c r="M166" s="2">
        <v>0.69716506300000003</v>
      </c>
      <c r="O166" s="6"/>
      <c r="P166" s="1">
        <v>0</v>
      </c>
      <c r="Q166" s="1">
        <v>13320.750632965201</v>
      </c>
      <c r="R166" s="1">
        <f>'[1]links-p0'!D165</f>
        <v>9230.3481350648872</v>
      </c>
      <c r="S166" s="1">
        <f>'[1]links-p0'!E165</f>
        <v>11363.7905269</v>
      </c>
      <c r="T166" s="1">
        <f>'[1]links-p0'!F165</f>
        <v>15128.32849078614</v>
      </c>
    </row>
    <row r="167" spans="1:23">
      <c r="A167" s="1">
        <v>163</v>
      </c>
      <c r="B167" s="1">
        <f t="shared" si="13"/>
        <v>15128.32849078614</v>
      </c>
      <c r="C167" s="1">
        <f t="shared" si="14"/>
        <v>11363.7905269</v>
      </c>
      <c r="D167" s="15">
        <f t="shared" si="12"/>
        <v>0.34858253150000001</v>
      </c>
      <c r="H167" s="13">
        <v>164</v>
      </c>
      <c r="I167" s="2">
        <v>0</v>
      </c>
      <c r="J167" s="2">
        <v>0.702644457</v>
      </c>
      <c r="K167" s="2">
        <v>0.17570559610705591</v>
      </c>
      <c r="L167" s="2">
        <v>0</v>
      </c>
      <c r="M167" s="2">
        <v>0.702644457</v>
      </c>
      <c r="O167" s="6"/>
      <c r="P167" s="1">
        <v>0</v>
      </c>
      <c r="Q167" s="1">
        <v>13320.750632965201</v>
      </c>
      <c r="R167" s="1">
        <f>'[1]links-p0'!D166</f>
        <v>9085.3378458277348</v>
      </c>
      <c r="S167" s="1">
        <f>'[1]links-p0'!E166</f>
        <v>11453.1046491</v>
      </c>
      <c r="T167" s="1">
        <f>'[1]links-p0'!F166</f>
        <v>15247.23013511946</v>
      </c>
    </row>
    <row r="168" spans="1:23">
      <c r="A168" s="1">
        <v>164</v>
      </c>
      <c r="B168" s="1">
        <f t="shared" si="13"/>
        <v>15247.23013511946</v>
      </c>
      <c r="C168" s="1">
        <f t="shared" si="14"/>
        <v>11453.1046491</v>
      </c>
      <c r="D168" s="15">
        <f t="shared" si="12"/>
        <v>0.3513222285</v>
      </c>
      <c r="H168" s="13">
        <v>165</v>
      </c>
      <c r="I168" s="2">
        <v>0</v>
      </c>
      <c r="J168" s="2">
        <v>0.71687946599999997</v>
      </c>
      <c r="K168" s="2">
        <v>0.17570559610705591</v>
      </c>
      <c r="L168" s="2">
        <v>0</v>
      </c>
      <c r="M168" s="2">
        <v>0.71687946599999997</v>
      </c>
      <c r="O168" s="6"/>
      <c r="P168" s="1">
        <v>0</v>
      </c>
      <c r="Q168" s="1">
        <v>13320.750632965201</v>
      </c>
      <c r="R168" s="1">
        <f>'[1]links-p0'!D167</f>
        <v>8857.7512721589937</v>
      </c>
      <c r="S168" s="1">
        <f>'[1]links-p0'!E167</f>
        <v>11685.135295800001</v>
      </c>
      <c r="T168" s="1">
        <f>'[1]links-p0'!F167</f>
        <v>15556.12669871748</v>
      </c>
    </row>
    <row r="169" spans="1:23">
      <c r="A169" s="1">
        <v>165</v>
      </c>
      <c r="B169" s="1">
        <f t="shared" si="13"/>
        <v>15556.12669871748</v>
      </c>
      <c r="C169" s="1">
        <f t="shared" si="14"/>
        <v>11685.135295800001</v>
      </c>
      <c r="D169" s="15">
        <f t="shared" si="12"/>
        <v>0.35843973300000004</v>
      </c>
      <c r="H169" s="13">
        <v>166</v>
      </c>
      <c r="I169" s="2">
        <v>0</v>
      </c>
      <c r="J169" s="2">
        <v>0.73354011799999996</v>
      </c>
      <c r="K169" s="2">
        <v>0.17570559610705591</v>
      </c>
      <c r="L169" s="2">
        <v>0</v>
      </c>
      <c r="M169" s="2">
        <v>0.73354011799999996</v>
      </c>
      <c r="O169" s="6"/>
      <c r="P169" s="1">
        <v>0</v>
      </c>
      <c r="Q169" s="1">
        <v>13320.750632965201</v>
      </c>
      <c r="R169" s="1">
        <f>'[1]links-p0'!D168</f>
        <v>8508.2212571425898</v>
      </c>
      <c r="S169" s="1">
        <f>'[1]links-p0'!E168</f>
        <v>11956.7039234</v>
      </c>
      <c r="T169" s="1">
        <f>'[1]links-p0'!F168</f>
        <v>15917.659181774039</v>
      </c>
    </row>
    <row r="170" spans="1:23">
      <c r="A170" s="1">
        <v>166</v>
      </c>
      <c r="B170" s="1">
        <f t="shared" si="13"/>
        <v>15917.659181774039</v>
      </c>
      <c r="C170" s="1">
        <f t="shared" si="14"/>
        <v>11956.7039234</v>
      </c>
      <c r="D170" s="15">
        <f t="shared" si="12"/>
        <v>0.36677005900000004</v>
      </c>
      <c r="H170" s="13">
        <v>167</v>
      </c>
      <c r="I170" s="2">
        <v>0</v>
      </c>
      <c r="J170" s="2">
        <v>0.75291925000000004</v>
      </c>
      <c r="K170" s="2">
        <v>0.17570559610705591</v>
      </c>
      <c r="L170" s="2">
        <v>0</v>
      </c>
      <c r="M170" s="2">
        <v>0.75291925000000004</v>
      </c>
      <c r="O170" s="6"/>
      <c r="P170" s="1">
        <v>0</v>
      </c>
      <c r="Q170" s="1">
        <v>13320.750632965201</v>
      </c>
      <c r="R170" s="1">
        <f>'[1]links-p0'!D169</f>
        <v>6793.7196279215023</v>
      </c>
      <c r="S170" s="1">
        <f>'[1]links-p0'!E169</f>
        <v>12272.583774999999</v>
      </c>
      <c r="T170" s="1">
        <f>'[1]links-p0'!F169</f>
        <v>16338.182082765001</v>
      </c>
    </row>
    <row r="171" spans="1:23">
      <c r="A171" s="1">
        <v>167</v>
      </c>
      <c r="B171" s="1">
        <f t="shared" si="13"/>
        <v>16338.182082765001</v>
      </c>
      <c r="C171" s="1">
        <f t="shared" si="14"/>
        <v>12272.583774999999</v>
      </c>
      <c r="D171" s="15">
        <f t="shared" si="12"/>
        <v>0.37645962499999996</v>
      </c>
    </row>
    <row r="172" spans="1:23">
      <c r="V172" s="7"/>
      <c r="W172" s="7"/>
    </row>
    <row r="342" spans="22:23">
      <c r="V342" s="7"/>
      <c r="W342" s="7"/>
    </row>
    <row r="512" spans="22:23">
      <c r="V512" s="7"/>
      <c r="W512" s="7"/>
    </row>
    <row r="682" spans="22:23">
      <c r="V682" s="7"/>
      <c r="W682" s="7"/>
    </row>
    <row r="852" spans="22:23">
      <c r="V852" s="7"/>
      <c r="W852" s="7"/>
    </row>
    <row r="1022" spans="22:23">
      <c r="V1022" s="7"/>
      <c r="W1022" s="7"/>
    </row>
    <row r="1192" spans="22:23">
      <c r="V1192" s="7"/>
      <c r="W1192" s="7"/>
    </row>
    <row r="1362" spans="22:23">
      <c r="V1362" s="7"/>
      <c r="W1362" s="7"/>
    </row>
    <row r="1532" spans="22:23">
      <c r="V1532" s="7"/>
      <c r="W1532" s="7"/>
    </row>
    <row r="1702" spans="22:23">
      <c r="V1702" s="7"/>
      <c r="W1702" s="7"/>
    </row>
    <row r="1872" spans="22:23">
      <c r="V1872" s="7"/>
      <c r="W1872" s="7"/>
    </row>
    <row r="2042" spans="22:23">
      <c r="V2042" s="7"/>
      <c r="W2042" s="7"/>
    </row>
    <row r="2212" spans="22:23">
      <c r="V2212" s="7"/>
      <c r="W2212" s="7"/>
    </row>
    <row r="2382" spans="22:23">
      <c r="V2382" s="7"/>
      <c r="W2382" s="7"/>
    </row>
    <row r="2552" spans="22:23">
      <c r="V2552" s="7"/>
      <c r="W2552" s="7"/>
    </row>
    <row r="2722" spans="22:23">
      <c r="V2722" s="7"/>
      <c r="W2722" s="7"/>
    </row>
    <row r="2892" spans="22:23">
      <c r="V2892" s="7"/>
      <c r="W2892" s="7"/>
    </row>
    <row r="3062" spans="22:23">
      <c r="V3062" s="7"/>
      <c r="W3062" s="7"/>
    </row>
    <row r="3232" spans="22:23">
      <c r="V3232" s="7"/>
      <c r="W3232" s="7"/>
    </row>
    <row r="3402" spans="22:23">
      <c r="V3402" s="7"/>
      <c r="W3402" s="7"/>
    </row>
    <row r="3572" spans="22:23">
      <c r="V3572" s="7"/>
      <c r="W3572" s="7"/>
    </row>
    <row r="3742" spans="22:23">
      <c r="V3742" s="7"/>
      <c r="W3742" s="7"/>
    </row>
    <row r="3912" spans="22:23">
      <c r="V3912" s="7"/>
      <c r="W3912" s="7"/>
    </row>
    <row r="4082" spans="22:23">
      <c r="V4082" s="7"/>
      <c r="W4082" s="7"/>
    </row>
    <row r="4252" spans="22:23">
      <c r="V4252" s="7"/>
      <c r="W4252" s="7"/>
    </row>
    <row r="4422" spans="22:23">
      <c r="V4422" s="7"/>
      <c r="W4422" s="7"/>
    </row>
    <row r="4592" spans="22:23">
      <c r="V4592" s="7"/>
      <c r="W4592" s="7"/>
    </row>
    <row r="4762" spans="22:23">
      <c r="V4762" s="7"/>
      <c r="W4762" s="7"/>
    </row>
    <row r="4932" spans="22:23">
      <c r="V4932" s="7"/>
      <c r="W4932" s="7"/>
    </row>
    <row r="5102" spans="22:23">
      <c r="V5102" s="7"/>
      <c r="W5102" s="7"/>
    </row>
    <row r="5272" spans="22:23">
      <c r="V5272" s="7"/>
      <c r="W5272" s="7"/>
    </row>
    <row r="5442" spans="22:23">
      <c r="V5442" s="7"/>
      <c r="W5442" s="7"/>
    </row>
    <row r="5612" spans="22:23">
      <c r="V5612" s="7"/>
      <c r="W5612" s="7"/>
    </row>
    <row r="5782" spans="22:23">
      <c r="V5782" s="7"/>
      <c r="W5782" s="7"/>
    </row>
    <row r="5952" spans="22:23">
      <c r="V5952" s="7"/>
      <c r="W5952" s="7"/>
    </row>
    <row r="6122" spans="22:23">
      <c r="V6122" s="7"/>
      <c r="W6122" s="7"/>
    </row>
    <row r="6292" spans="22:23">
      <c r="V6292" s="7"/>
      <c r="W6292" s="7"/>
    </row>
    <row r="6462" spans="22:23">
      <c r="V6462" s="7"/>
      <c r="W6462" s="7"/>
    </row>
    <row r="6632" spans="22:23">
      <c r="V6632" s="7"/>
      <c r="W6632" s="7"/>
    </row>
    <row r="6802" spans="22:23">
      <c r="V6802" s="7"/>
      <c r="W6802" s="7"/>
    </row>
    <row r="6972" spans="22:23">
      <c r="V6972" s="7"/>
      <c r="W6972" s="7"/>
    </row>
    <row r="7142" spans="22:23">
      <c r="V7142" s="7"/>
      <c r="W7142" s="7"/>
    </row>
    <row r="7312" spans="22:23">
      <c r="V7312" s="7"/>
      <c r="W7312" s="7"/>
    </row>
    <row r="7482" spans="22:23">
      <c r="V7482" s="7"/>
      <c r="W7482" s="7"/>
    </row>
    <row r="7652" spans="22:23">
      <c r="V7652" s="7"/>
      <c r="W7652" s="7"/>
    </row>
    <row r="7822" spans="22:23">
      <c r="V7822" s="7"/>
      <c r="W7822" s="7"/>
    </row>
    <row r="7992" spans="22:23">
      <c r="V7992" s="7"/>
      <c r="W7992" s="7"/>
    </row>
    <row r="8162" spans="22:23">
      <c r="V8162" s="7"/>
      <c r="W8162" s="7"/>
    </row>
    <row r="8332" spans="22:23">
      <c r="V8332" s="7"/>
      <c r="W8332" s="7"/>
    </row>
    <row r="8502" spans="22:23">
      <c r="V8502" s="7"/>
      <c r="W8502" s="7"/>
    </row>
    <row r="8672" spans="22:23">
      <c r="V8672" s="7"/>
      <c r="W8672" s="7"/>
    </row>
    <row r="8842" spans="22:23">
      <c r="V8842" s="7"/>
      <c r="W8842" s="7"/>
    </row>
    <row r="9012" spans="22:23">
      <c r="V9012" s="7"/>
      <c r="W9012" s="7"/>
    </row>
    <row r="9182" spans="22:23">
      <c r="V9182" s="7"/>
      <c r="W9182" s="7"/>
    </row>
    <row r="9352" spans="22:23">
      <c r="V9352" s="7"/>
      <c r="W9352" s="7"/>
    </row>
    <row r="9522" spans="22:23">
      <c r="V9522" s="7"/>
      <c r="W9522" s="7"/>
    </row>
    <row r="9692" spans="22:23">
      <c r="V9692" s="7"/>
      <c r="W9692" s="7"/>
    </row>
    <row r="9862" spans="22:23">
      <c r="V9862" s="7"/>
      <c r="W9862" s="7"/>
    </row>
    <row r="10032" spans="22:23">
      <c r="V10032" s="7"/>
      <c r="W10032" s="7"/>
    </row>
    <row r="10202" spans="22:23">
      <c r="V10202" s="7"/>
      <c r="W10202" s="7"/>
    </row>
    <row r="10372" spans="22:23">
      <c r="V10372" s="7"/>
      <c r="W10372" s="7"/>
    </row>
    <row r="10542" spans="22:23">
      <c r="V10542" s="7"/>
      <c r="W10542" s="7"/>
    </row>
    <row r="10712" spans="22:23">
      <c r="V10712" s="7"/>
      <c r="W10712" s="7"/>
    </row>
    <row r="10882" spans="22:23">
      <c r="V10882" s="7"/>
      <c r="W10882" s="7"/>
    </row>
    <row r="11052" spans="22:23">
      <c r="V11052" s="7"/>
      <c r="W11052" s="7"/>
    </row>
    <row r="11222" spans="22:23">
      <c r="V11222" s="7"/>
      <c r="W11222" s="7"/>
    </row>
    <row r="11392" spans="22:23">
      <c r="V11392" s="7"/>
      <c r="W11392" s="7"/>
    </row>
    <row r="11562" spans="22:23">
      <c r="V11562" s="7"/>
      <c r="W11562" s="7"/>
    </row>
    <row r="11732" spans="22:23">
      <c r="V11732" s="7"/>
      <c r="W11732" s="7"/>
    </row>
    <row r="11902" spans="22:23">
      <c r="V11902" s="7"/>
      <c r="W11902" s="7"/>
    </row>
    <row r="12072" spans="22:23">
      <c r="V12072" s="7"/>
      <c r="W12072" s="7"/>
    </row>
    <row r="12242" spans="22:23">
      <c r="V12242" s="7"/>
      <c r="W12242" s="7"/>
    </row>
    <row r="12412" spans="22:23">
      <c r="V12412" s="7"/>
      <c r="W12412" s="7"/>
    </row>
    <row r="12582" spans="22:23">
      <c r="V12582" s="7"/>
      <c r="W12582" s="7"/>
    </row>
    <row r="12752" spans="22:23">
      <c r="V12752" s="7"/>
      <c r="W12752" s="7"/>
    </row>
    <row r="12922" spans="22:23">
      <c r="V12922" s="7"/>
      <c r="W12922" s="7"/>
    </row>
    <row r="13092" spans="22:23">
      <c r="V13092" s="7"/>
      <c r="W13092" s="7"/>
    </row>
    <row r="13262" spans="22:23">
      <c r="V13262" s="7"/>
      <c r="W13262" s="7"/>
    </row>
    <row r="13432" spans="22:23">
      <c r="V13432" s="7"/>
      <c r="W13432" s="7"/>
    </row>
    <row r="13602" spans="22:23">
      <c r="V13602" s="7"/>
      <c r="W13602" s="7"/>
    </row>
    <row r="13772" spans="22:23">
      <c r="V13772" s="7"/>
      <c r="W13772" s="7"/>
    </row>
    <row r="13942" spans="22:23">
      <c r="V13942" s="7"/>
      <c r="W13942" s="7"/>
    </row>
    <row r="14112" spans="22:23">
      <c r="V14112" s="7"/>
      <c r="W14112" s="7"/>
    </row>
    <row r="14282" spans="22:23">
      <c r="V14282" s="7"/>
      <c r="W14282" s="7"/>
    </row>
    <row r="14452" spans="22:23">
      <c r="V14452" s="7"/>
      <c r="W14452" s="7"/>
    </row>
    <row r="14622" spans="22:23">
      <c r="V14622" s="7"/>
      <c r="W14622" s="7"/>
    </row>
    <row r="14792" spans="22:23">
      <c r="V14792" s="7"/>
      <c r="W14792" s="7"/>
    </row>
    <row r="14962" spans="22:23">
      <c r="V14962" s="7"/>
      <c r="W14962" s="7"/>
    </row>
    <row r="15132" spans="22:23">
      <c r="V15132" s="7"/>
      <c r="W15132" s="7"/>
    </row>
    <row r="15302" spans="22:23">
      <c r="V15302" s="7"/>
      <c r="W15302" s="7"/>
    </row>
    <row r="15472" spans="22:23">
      <c r="V15472" s="7"/>
      <c r="W15472" s="7"/>
    </row>
    <row r="15642" spans="22:23">
      <c r="V15642" s="7"/>
      <c r="W15642" s="7"/>
    </row>
    <row r="15812" spans="22:23">
      <c r="V15812" s="7"/>
      <c r="W15812" s="7"/>
    </row>
    <row r="15982" spans="22:23">
      <c r="V15982" s="7"/>
      <c r="W15982" s="7"/>
    </row>
    <row r="16152" spans="22:23">
      <c r="V16152" s="7"/>
      <c r="W16152" s="7"/>
    </row>
    <row r="16322" spans="22:23">
      <c r="V16322" s="7"/>
      <c r="W16322" s="7"/>
    </row>
    <row r="16492" spans="22:23">
      <c r="V16492" s="7"/>
      <c r="W16492" s="7"/>
    </row>
    <row r="16662" spans="22:23">
      <c r="V16662" s="7"/>
      <c r="W16662" s="7"/>
    </row>
    <row r="16832" spans="22:23">
      <c r="V16832" s="7"/>
      <c r="W16832" s="7"/>
    </row>
    <row r="17002" spans="22:23">
      <c r="V17002" s="7"/>
      <c r="W17002" s="7"/>
    </row>
    <row r="17172" spans="22:23">
      <c r="V17172" s="7"/>
      <c r="W17172" s="7"/>
    </row>
    <row r="17342" spans="22:23">
      <c r="V17342" s="7"/>
      <c r="W17342" s="7"/>
    </row>
    <row r="17512" spans="22:23">
      <c r="V17512" s="7"/>
      <c r="W17512" s="7"/>
    </row>
    <row r="17682" spans="22:23">
      <c r="V17682" s="7"/>
      <c r="W17682" s="7"/>
    </row>
    <row r="17852" spans="22:23">
      <c r="V17852" s="7"/>
      <c r="W17852" s="7"/>
    </row>
    <row r="18022" spans="22:23">
      <c r="V18022" s="7"/>
      <c r="W18022" s="7"/>
    </row>
    <row r="18192" spans="22:23">
      <c r="V18192" s="7"/>
      <c r="W18192" s="7"/>
    </row>
    <row r="18362" spans="22:23">
      <c r="V18362" s="7"/>
      <c r="W18362" s="7"/>
    </row>
    <row r="18532" spans="22:23">
      <c r="V18532" s="7"/>
      <c r="W18532" s="7"/>
    </row>
    <row r="18702" spans="22:23">
      <c r="V18702" s="7"/>
      <c r="W18702" s="7"/>
    </row>
    <row r="18872" spans="22:23">
      <c r="V18872" s="7"/>
      <c r="W18872" s="7"/>
    </row>
    <row r="19042" spans="22:23">
      <c r="V19042" s="7"/>
      <c r="W19042" s="7"/>
    </row>
    <row r="19212" spans="22:23">
      <c r="V19212" s="7"/>
      <c r="W19212" s="7"/>
    </row>
    <row r="19382" spans="22:23">
      <c r="V19382" s="7"/>
      <c r="W19382" s="7"/>
    </row>
    <row r="19552" spans="22:23">
      <c r="V19552" s="7"/>
      <c r="W19552" s="7"/>
    </row>
    <row r="19722" spans="22:23">
      <c r="V19722" s="7"/>
      <c r="W19722" s="7"/>
    </row>
    <row r="19892" spans="22:23">
      <c r="V19892" s="7"/>
      <c r="W19892" s="7"/>
    </row>
    <row r="20062" spans="22:23">
      <c r="V20062" s="7"/>
      <c r="W20062" s="7"/>
    </row>
    <row r="20232" spans="22:23">
      <c r="V20232" s="7"/>
      <c r="W20232" s="7"/>
    </row>
    <row r="20402" spans="22:23">
      <c r="V20402" s="7"/>
      <c r="W20402" s="7"/>
    </row>
    <row r="20572" spans="22:23">
      <c r="V20572" s="7"/>
      <c r="W20572" s="7"/>
    </row>
    <row r="20742" spans="22:23">
      <c r="V20742" s="7"/>
      <c r="W20742" s="7"/>
    </row>
    <row r="20912" spans="22:23">
      <c r="V20912" s="7"/>
      <c r="W20912" s="7"/>
    </row>
    <row r="21082" spans="22:23">
      <c r="V21082" s="7"/>
      <c r="W21082" s="7"/>
    </row>
    <row r="21252" spans="22:23">
      <c r="V21252" s="7"/>
      <c r="W21252" s="7"/>
    </row>
    <row r="21422" spans="22:23">
      <c r="V21422" s="7"/>
      <c r="W21422" s="7"/>
    </row>
    <row r="21592" spans="22:23">
      <c r="V21592" s="7"/>
      <c r="W21592" s="7"/>
    </row>
    <row r="21762" spans="22:23">
      <c r="V21762" s="7"/>
      <c r="W21762" s="7"/>
    </row>
    <row r="21932" spans="22:23">
      <c r="V21932" s="7"/>
      <c r="W21932" s="7"/>
    </row>
    <row r="22102" spans="22:23">
      <c r="V22102" s="7"/>
      <c r="W22102" s="7"/>
    </row>
    <row r="22272" spans="22:23">
      <c r="V22272" s="7"/>
      <c r="W22272" s="7"/>
    </row>
    <row r="22442" spans="22:23">
      <c r="V22442" s="7"/>
      <c r="W22442" s="7"/>
    </row>
    <row r="22612" spans="22:23">
      <c r="V22612" s="7"/>
      <c r="W22612" s="7"/>
    </row>
    <row r="22782" spans="22:23">
      <c r="V22782" s="7"/>
      <c r="W22782" s="7"/>
    </row>
    <row r="22952" spans="22:23">
      <c r="V22952" s="7"/>
      <c r="W22952" s="7"/>
    </row>
    <row r="23122" spans="22:23">
      <c r="V23122" s="7"/>
      <c r="W23122" s="7"/>
    </row>
    <row r="23292" spans="22:23">
      <c r="V23292" s="7"/>
      <c r="W23292" s="7"/>
    </row>
    <row r="23462" spans="22:23">
      <c r="V23462" s="7"/>
      <c r="W23462" s="7"/>
    </row>
    <row r="23632" spans="22:23">
      <c r="V23632" s="7"/>
      <c r="W23632" s="7"/>
    </row>
    <row r="23802" spans="22:23">
      <c r="V23802" s="7"/>
      <c r="W23802" s="7"/>
    </row>
    <row r="23972" spans="22:23">
      <c r="V23972" s="7"/>
      <c r="W23972" s="7"/>
    </row>
    <row r="24142" spans="22:23">
      <c r="V24142" s="7"/>
      <c r="W24142" s="7"/>
    </row>
    <row r="24312" spans="22:23">
      <c r="V24312" s="7"/>
      <c r="W24312" s="7"/>
    </row>
    <row r="24482" spans="22:23">
      <c r="V24482" s="7"/>
      <c r="W24482" s="7"/>
    </row>
    <row r="24652" spans="22:23">
      <c r="V24652" s="7"/>
      <c r="W24652" s="7"/>
    </row>
    <row r="24822" spans="22:23">
      <c r="V24822" s="7"/>
      <c r="W24822" s="7"/>
    </row>
    <row r="24992" spans="22:23">
      <c r="V24992" s="7"/>
      <c r="W24992" s="7"/>
    </row>
    <row r="25162" spans="22:23">
      <c r="V25162" s="7"/>
      <c r="W25162" s="7"/>
    </row>
    <row r="25332" spans="22:23">
      <c r="V25332" s="7"/>
      <c r="W25332" s="7"/>
    </row>
    <row r="25502" spans="22:23">
      <c r="V25502" s="7"/>
      <c r="W25502" s="7"/>
    </row>
    <row r="25672" spans="22:23">
      <c r="V25672" s="7"/>
      <c r="W25672" s="7"/>
    </row>
    <row r="25842" spans="22:23">
      <c r="V25842" s="7"/>
      <c r="W25842" s="7"/>
    </row>
    <row r="26012" spans="22:23">
      <c r="V26012" s="7"/>
      <c r="W26012" s="7"/>
    </row>
    <row r="26182" spans="22:23">
      <c r="V26182" s="7"/>
      <c r="W26182" s="7"/>
    </row>
    <row r="26352" spans="22:23">
      <c r="V26352" s="7"/>
      <c r="W26352" s="7"/>
    </row>
    <row r="26522" spans="22:23">
      <c r="V26522" s="7"/>
      <c r="W26522" s="7"/>
    </row>
    <row r="26692" spans="22:23">
      <c r="V26692" s="7"/>
      <c r="W26692" s="7"/>
    </row>
    <row r="26862" spans="22:23">
      <c r="V26862" s="7"/>
      <c r="W26862" s="7"/>
    </row>
    <row r="27032" spans="22:23">
      <c r="V27032" s="7"/>
      <c r="W27032" s="7"/>
    </row>
    <row r="27202" spans="22:23">
      <c r="V27202" s="7"/>
      <c r="W27202" s="7"/>
    </row>
    <row r="27372" spans="22:23">
      <c r="V27372" s="7"/>
      <c r="W27372" s="7"/>
    </row>
    <row r="27542" spans="22:23">
      <c r="V27542" s="7"/>
      <c r="W27542" s="7"/>
    </row>
    <row r="27712" spans="22:23">
      <c r="V27712" s="7"/>
      <c r="W27712" s="7"/>
    </row>
    <row r="27882" spans="22:23">
      <c r="V27882" s="7"/>
      <c r="W27882" s="7"/>
    </row>
    <row r="28052" spans="22:23">
      <c r="V28052" s="7"/>
      <c r="W28052" s="7"/>
    </row>
    <row r="28222" spans="22:23">
      <c r="V28222" s="7"/>
      <c r="W28222" s="7"/>
    </row>
    <row r="28392" spans="22:23">
      <c r="V28392" s="7"/>
      <c r="W28392" s="7"/>
    </row>
    <row r="28562" spans="22:23">
      <c r="V28562" s="7"/>
      <c r="W28562" s="7"/>
    </row>
    <row r="28732" spans="22:23">
      <c r="V28732" s="7"/>
      <c r="W28732" s="7"/>
    </row>
    <row r="28902" spans="22:23">
      <c r="V28902" s="7"/>
      <c r="W28902" s="7"/>
    </row>
    <row r="29072" spans="22:23">
      <c r="V29072" s="7"/>
      <c r="W29072" s="7"/>
    </row>
    <row r="29242" spans="22:23">
      <c r="V29242" s="7"/>
      <c r="W29242" s="7"/>
    </row>
    <row r="29412" spans="22:23">
      <c r="V29412" s="7"/>
      <c r="W29412" s="7"/>
    </row>
    <row r="29582" spans="22:23">
      <c r="V29582" s="7"/>
      <c r="W29582" s="7"/>
    </row>
    <row r="29752" spans="22:23">
      <c r="V29752" s="7"/>
      <c r="W29752" s="7"/>
    </row>
    <row r="29922" spans="22:23">
      <c r="V29922" s="7"/>
      <c r="W29922" s="7"/>
    </row>
    <row r="30092" spans="22:23">
      <c r="V30092" s="7"/>
      <c r="W30092" s="7"/>
    </row>
    <row r="30262" spans="22:23">
      <c r="V30262" s="7"/>
      <c r="W30262" s="7"/>
    </row>
    <row r="30432" spans="22:23">
      <c r="V30432" s="7"/>
      <c r="W30432" s="7"/>
    </row>
    <row r="30602" spans="22:23">
      <c r="V30602" s="7"/>
      <c r="W30602" s="7"/>
    </row>
    <row r="30772" spans="22:23">
      <c r="V30772" s="7"/>
      <c r="W30772" s="7"/>
    </row>
    <row r="30942" spans="22:23">
      <c r="V30942" s="7"/>
      <c r="W30942" s="7"/>
    </row>
    <row r="31112" spans="22:23">
      <c r="V31112" s="7"/>
      <c r="W31112" s="7"/>
    </row>
    <row r="31282" spans="22:23">
      <c r="V31282" s="7"/>
      <c r="W31282" s="7"/>
    </row>
    <row r="31452" spans="22:23">
      <c r="V31452" s="7"/>
      <c r="W31452" s="7"/>
    </row>
    <row r="31622" spans="22:23">
      <c r="V31622" s="7"/>
      <c r="W31622" s="7"/>
    </row>
    <row r="31792" spans="22:23">
      <c r="V31792" s="7"/>
      <c r="W31792" s="7"/>
    </row>
    <row r="31962" spans="22:23">
      <c r="V31962" s="7"/>
      <c r="W31962" s="7"/>
    </row>
    <row r="32132" spans="22:23">
      <c r="V32132" s="7"/>
      <c r="W32132" s="7"/>
    </row>
    <row r="32302" spans="22:23">
      <c r="V32302" s="7"/>
      <c r="W32302" s="7"/>
    </row>
    <row r="32472" spans="22:23">
      <c r="V32472" s="7"/>
      <c r="W32472" s="7"/>
    </row>
    <row r="32642" spans="22:23">
      <c r="V32642" s="7"/>
      <c r="W32642" s="7"/>
    </row>
    <row r="32812" spans="22:23">
      <c r="V32812" s="7"/>
      <c r="W32812" s="7"/>
    </row>
    <row r="32982" spans="22:23">
      <c r="V32982" s="7"/>
      <c r="W32982" s="7"/>
    </row>
    <row r="33152" spans="22:23">
      <c r="V33152" s="7"/>
      <c r="W33152" s="7"/>
    </row>
    <row r="33322" spans="22:23">
      <c r="V33322" s="7"/>
      <c r="W33322" s="7"/>
    </row>
    <row r="33492" spans="22:23">
      <c r="V33492" s="7"/>
      <c r="W33492" s="7"/>
    </row>
    <row r="33662" spans="22:23">
      <c r="V33662" s="7"/>
      <c r="W33662" s="7"/>
    </row>
    <row r="33832" spans="22:23">
      <c r="V33832" s="7"/>
      <c r="W33832" s="7"/>
    </row>
    <row r="34002" spans="22:23">
      <c r="V34002" s="7"/>
      <c r="W34002" s="7"/>
    </row>
    <row r="34172" spans="22:23">
      <c r="V34172" s="7"/>
      <c r="W34172" s="7"/>
    </row>
    <row r="34342" spans="22:23">
      <c r="V34342" s="7"/>
      <c r="W34342" s="7"/>
    </row>
    <row r="34512" spans="22:23">
      <c r="V34512" s="7"/>
      <c r="W34512" s="7"/>
    </row>
    <row r="34682" spans="22:23">
      <c r="V34682" s="7"/>
      <c r="W34682" s="7"/>
    </row>
    <row r="34852" spans="22:23">
      <c r="V34852" s="7"/>
      <c r="W34852" s="7"/>
    </row>
    <row r="35022" spans="22:23">
      <c r="V35022" s="7"/>
      <c r="W35022" s="7"/>
    </row>
    <row r="35192" spans="22:23">
      <c r="V35192" s="7"/>
      <c r="W35192" s="7"/>
    </row>
    <row r="35362" spans="22:23">
      <c r="V35362" s="7"/>
      <c r="W35362" s="7"/>
    </row>
    <row r="35532" spans="22:23">
      <c r="V35532" s="7"/>
      <c r="W35532" s="7"/>
    </row>
    <row r="35702" spans="22:23">
      <c r="V35702" s="7"/>
      <c r="W35702" s="7"/>
    </row>
    <row r="35872" spans="22:23">
      <c r="V35872" s="7"/>
      <c r="W35872" s="7"/>
    </row>
    <row r="36042" spans="22:23">
      <c r="V36042" s="7"/>
      <c r="W36042" s="7"/>
    </row>
    <row r="36212" spans="22:23">
      <c r="V36212" s="7"/>
      <c r="W36212" s="7"/>
    </row>
    <row r="36382" spans="22:23">
      <c r="V36382" s="7"/>
      <c r="W36382" s="7"/>
    </row>
    <row r="36552" spans="22:23">
      <c r="V36552" s="7"/>
      <c r="W36552" s="7"/>
    </row>
    <row r="36722" spans="22:23">
      <c r="V36722" s="7"/>
      <c r="W36722" s="7"/>
    </row>
    <row r="36892" spans="22:23">
      <c r="V36892" s="7"/>
      <c r="W36892" s="7"/>
    </row>
    <row r="37062" spans="22:23">
      <c r="V37062" s="7"/>
      <c r="W37062" s="7"/>
    </row>
    <row r="37232" spans="22:23">
      <c r="V37232" s="7"/>
      <c r="W37232" s="7"/>
    </row>
    <row r="37402" spans="22:23">
      <c r="V37402" s="7"/>
      <c r="W37402" s="7"/>
    </row>
    <row r="37572" spans="22:23">
      <c r="V37572" s="7"/>
      <c r="W37572" s="7"/>
    </row>
    <row r="37742" spans="22:23">
      <c r="V37742" s="7"/>
      <c r="W37742" s="7"/>
    </row>
    <row r="37912" spans="22:23">
      <c r="V37912" s="7"/>
      <c r="W37912" s="7"/>
    </row>
    <row r="38082" spans="22:23">
      <c r="V38082" s="7"/>
      <c r="W38082" s="7"/>
    </row>
    <row r="38252" spans="22:23">
      <c r="V38252" s="7"/>
      <c r="W38252" s="7"/>
    </row>
    <row r="38422" spans="22:23">
      <c r="V38422" s="7"/>
      <c r="W38422" s="7"/>
    </row>
    <row r="38592" spans="22:23">
      <c r="V38592" s="7"/>
      <c r="W38592" s="7"/>
    </row>
    <row r="38762" spans="22:23">
      <c r="V38762" s="7"/>
      <c r="W38762" s="7"/>
    </row>
    <row r="38932" spans="22:23">
      <c r="V38932" s="7"/>
      <c r="W38932" s="7"/>
    </row>
    <row r="39102" spans="22:23">
      <c r="V39102" s="7"/>
      <c r="W39102" s="7"/>
    </row>
    <row r="39272" spans="22:23">
      <c r="V39272" s="7"/>
      <c r="W39272" s="7"/>
    </row>
    <row r="39442" spans="22:23">
      <c r="V39442" s="7"/>
      <c r="W39442" s="7"/>
    </row>
    <row r="39612" spans="22:23">
      <c r="V39612" s="7"/>
      <c r="W39612" s="7"/>
    </row>
    <row r="39782" spans="22:23">
      <c r="V39782" s="7"/>
      <c r="W39782" s="7"/>
    </row>
    <row r="39952" spans="22:23">
      <c r="V39952" s="7"/>
      <c r="W39952" s="7"/>
    </row>
    <row r="40122" spans="22:23">
      <c r="V40122" s="7"/>
      <c r="W40122" s="7"/>
    </row>
    <row r="40292" spans="22:23">
      <c r="V40292" s="7"/>
      <c r="W40292" s="7"/>
    </row>
    <row r="40462" spans="22:23">
      <c r="V40462" s="7"/>
      <c r="W40462" s="7"/>
    </row>
    <row r="40632" spans="22:23">
      <c r="V40632" s="7"/>
      <c r="W40632" s="7"/>
    </row>
    <row r="40802" spans="22:23">
      <c r="V40802" s="7"/>
      <c r="W40802" s="7"/>
    </row>
    <row r="40972" spans="22:23">
      <c r="V40972" s="7"/>
      <c r="W40972" s="7"/>
    </row>
    <row r="41142" spans="22:23">
      <c r="V41142" s="7"/>
      <c r="W41142" s="7"/>
    </row>
    <row r="41312" spans="22:23">
      <c r="V41312" s="7"/>
      <c r="W41312" s="7"/>
    </row>
    <row r="41482" spans="22:23">
      <c r="V41482" s="7"/>
      <c r="W41482" s="7"/>
    </row>
    <row r="41652" spans="22:23">
      <c r="V41652" s="7"/>
      <c r="W41652" s="7"/>
    </row>
    <row r="41822" spans="22:23">
      <c r="V41822" s="7"/>
      <c r="W41822" s="7"/>
    </row>
    <row r="41992" spans="22:23">
      <c r="V41992" s="7"/>
      <c r="W41992" s="7"/>
    </row>
    <row r="42162" spans="22:23">
      <c r="V42162" s="7"/>
      <c r="W42162" s="7"/>
    </row>
    <row r="42332" spans="22:23">
      <c r="V42332" s="7"/>
      <c r="W42332" s="7"/>
    </row>
    <row r="42502" spans="22:23">
      <c r="V42502" s="7"/>
      <c r="W42502" s="7"/>
    </row>
    <row r="42672" spans="22:23">
      <c r="V42672" s="7"/>
      <c r="W42672" s="7"/>
    </row>
    <row r="42842" spans="22:23">
      <c r="V42842" s="7"/>
      <c r="W42842" s="7"/>
    </row>
    <row r="43012" spans="22:23">
      <c r="V43012" s="7"/>
      <c r="W43012" s="7"/>
    </row>
    <row r="43182" spans="22:23">
      <c r="V43182" s="7"/>
      <c r="W43182" s="7"/>
    </row>
    <row r="43352" spans="22:23">
      <c r="V43352" s="7"/>
      <c r="W43352" s="7"/>
    </row>
    <row r="43522" spans="22:23">
      <c r="V43522" s="7"/>
      <c r="W43522" s="7"/>
    </row>
    <row r="43692" spans="22:23">
      <c r="V43692" s="7"/>
      <c r="W43692" s="7"/>
    </row>
    <row r="43862" spans="22:23">
      <c r="V43862" s="7"/>
      <c r="W43862" s="7"/>
    </row>
    <row r="44032" spans="22:23">
      <c r="V44032" s="7"/>
      <c r="W44032" s="7"/>
    </row>
    <row r="44202" spans="22:23">
      <c r="V44202" s="7"/>
      <c r="W44202" s="7"/>
    </row>
    <row r="44372" spans="22:23">
      <c r="V44372" s="7"/>
      <c r="W44372" s="7"/>
    </row>
    <row r="44542" spans="22:23">
      <c r="V44542" s="7"/>
      <c r="W44542" s="7"/>
    </row>
    <row r="44712" spans="22:23">
      <c r="V44712" s="7"/>
      <c r="W44712" s="7"/>
    </row>
    <row r="44882" spans="22:23">
      <c r="V44882" s="7"/>
      <c r="W44882" s="7"/>
    </row>
    <row r="45052" spans="22:23">
      <c r="V45052" s="7"/>
      <c r="W45052" s="7"/>
    </row>
    <row r="45222" spans="22:23">
      <c r="V45222" s="7"/>
      <c r="W45222" s="7"/>
    </row>
    <row r="45392" spans="22:23">
      <c r="V45392" s="7"/>
      <c r="W45392" s="7"/>
    </row>
    <row r="45562" spans="22:23">
      <c r="V45562" s="7"/>
      <c r="W45562" s="7"/>
    </row>
    <row r="45732" spans="22:23">
      <c r="V45732" s="7"/>
      <c r="W45732" s="7"/>
    </row>
    <row r="45902" spans="22:23">
      <c r="V45902" s="7"/>
      <c r="W45902" s="7"/>
    </row>
    <row r="46072" spans="22:23">
      <c r="V46072" s="7"/>
      <c r="W46072" s="7"/>
    </row>
    <row r="46242" spans="22:23">
      <c r="V46242" s="7"/>
      <c r="W46242" s="7"/>
    </row>
    <row r="46412" spans="22:23">
      <c r="V46412" s="7"/>
      <c r="W46412" s="7"/>
    </row>
    <row r="46582" spans="22:23">
      <c r="V46582" s="7"/>
      <c r="W46582" s="7"/>
    </row>
    <row r="46752" spans="22:23">
      <c r="V46752" s="7"/>
      <c r="W46752" s="7"/>
    </row>
    <row r="46922" spans="22:23">
      <c r="V46922" s="7"/>
      <c r="W46922" s="7"/>
    </row>
    <row r="47092" spans="22:23">
      <c r="V47092" s="7"/>
      <c r="W47092" s="7"/>
    </row>
    <row r="47262" spans="22:23">
      <c r="V47262" s="7"/>
      <c r="W47262" s="7"/>
    </row>
    <row r="47432" spans="22:23">
      <c r="V47432" s="7"/>
      <c r="W47432" s="7"/>
    </row>
    <row r="47602" spans="22:23">
      <c r="V47602" s="7"/>
      <c r="W47602" s="7"/>
    </row>
    <row r="47772" spans="22:23">
      <c r="V47772" s="7"/>
      <c r="W47772" s="7"/>
    </row>
    <row r="47942" spans="22:23">
      <c r="V47942" s="7"/>
      <c r="W47942" s="7"/>
    </row>
    <row r="48112" spans="22:23">
      <c r="V48112" s="7"/>
      <c r="W48112" s="7"/>
    </row>
    <row r="48282" spans="22:23">
      <c r="V48282" s="7"/>
      <c r="W48282" s="7"/>
    </row>
    <row r="48452" spans="22:23">
      <c r="V48452" s="7"/>
      <c r="W48452" s="7"/>
    </row>
    <row r="48622" spans="22:23">
      <c r="V48622" s="7"/>
      <c r="W48622" s="7"/>
    </row>
    <row r="48792" spans="22:23">
      <c r="V48792" s="7"/>
      <c r="W48792" s="7"/>
    </row>
    <row r="48962" spans="22:23">
      <c r="V48962" s="7"/>
      <c r="W48962" s="7"/>
    </row>
    <row r="49132" spans="22:23">
      <c r="V49132" s="7"/>
      <c r="W49132" s="7"/>
    </row>
    <row r="49302" spans="22:23">
      <c r="V49302" s="7"/>
      <c r="W49302" s="7"/>
    </row>
    <row r="49472" spans="22:23">
      <c r="V49472" s="7"/>
      <c r="W49472" s="7"/>
    </row>
    <row r="49642" spans="22:23">
      <c r="V49642" s="7"/>
      <c r="W49642" s="7"/>
    </row>
    <row r="49812" spans="22:23">
      <c r="V49812" s="7"/>
      <c r="W49812" s="7"/>
    </row>
    <row r="49982" spans="22:23">
      <c r="V49982" s="7"/>
      <c r="W49982" s="7"/>
    </row>
    <row r="50152" spans="22:23">
      <c r="V50152" s="7"/>
      <c r="W50152" s="7"/>
    </row>
    <row r="50322" spans="22:23">
      <c r="V50322" s="7"/>
      <c r="W50322" s="7"/>
    </row>
    <row r="50492" spans="22:23">
      <c r="V50492" s="7"/>
      <c r="W50492" s="7"/>
    </row>
    <row r="50662" spans="22:23">
      <c r="V50662" s="7"/>
      <c r="W50662" s="7"/>
    </row>
    <row r="50832" spans="22:23">
      <c r="V50832" s="7"/>
      <c r="W50832" s="7"/>
    </row>
    <row r="51002" spans="22:23">
      <c r="V51002" s="7"/>
      <c r="W51002" s="7"/>
    </row>
    <row r="51172" spans="22:23">
      <c r="V51172" s="7"/>
      <c r="W51172" s="7"/>
    </row>
    <row r="51342" spans="22:23">
      <c r="V51342" s="7"/>
      <c r="W51342" s="7"/>
    </row>
    <row r="51512" spans="22:23">
      <c r="V51512" s="7"/>
      <c r="W51512" s="7"/>
    </row>
    <row r="51682" spans="22:23">
      <c r="V51682" s="7"/>
      <c r="W51682" s="7"/>
    </row>
    <row r="51852" spans="22:23">
      <c r="V51852" s="7"/>
      <c r="W51852" s="7"/>
    </row>
    <row r="52022" spans="22:23">
      <c r="V52022" s="7"/>
      <c r="W52022" s="7"/>
    </row>
    <row r="52192" spans="22:23">
      <c r="V52192" s="7"/>
      <c r="W52192" s="7"/>
    </row>
    <row r="52362" spans="22:23">
      <c r="V52362" s="7"/>
      <c r="W52362" s="7"/>
    </row>
    <row r="52532" spans="22:23">
      <c r="V52532" s="7"/>
      <c r="W52532" s="7"/>
    </row>
    <row r="52702" spans="22:23">
      <c r="V52702" s="7"/>
      <c r="W52702" s="7"/>
    </row>
    <row r="52872" spans="22:23">
      <c r="V52872" s="7"/>
      <c r="W52872" s="7"/>
    </row>
    <row r="53042" spans="22:23">
      <c r="V53042" s="7"/>
      <c r="W53042" s="7"/>
    </row>
    <row r="53212" spans="22:23">
      <c r="V53212" s="7"/>
      <c r="W53212" s="7"/>
    </row>
    <row r="53382" spans="22:23">
      <c r="V53382" s="7"/>
      <c r="W53382" s="7"/>
    </row>
    <row r="53552" spans="22:23">
      <c r="V53552" s="7"/>
      <c r="W53552" s="7"/>
    </row>
    <row r="53722" spans="22:23">
      <c r="V53722" s="7"/>
      <c r="W53722" s="7"/>
    </row>
    <row r="53892" spans="22:23">
      <c r="V53892" s="7"/>
      <c r="W53892" s="7"/>
    </row>
    <row r="54062" spans="22:23">
      <c r="V54062" s="7"/>
      <c r="W54062" s="7"/>
    </row>
    <row r="54232" spans="22:23">
      <c r="V54232" s="7"/>
      <c r="W54232" s="7"/>
    </row>
    <row r="54402" spans="22:23">
      <c r="V54402" s="7"/>
      <c r="W54402" s="7"/>
    </row>
    <row r="54572" spans="22:23">
      <c r="V54572" s="7"/>
      <c r="W54572" s="7"/>
    </row>
    <row r="54742" spans="22:23">
      <c r="V54742" s="7"/>
      <c r="W54742" s="7"/>
    </row>
    <row r="54912" spans="22:23">
      <c r="V54912" s="7"/>
      <c r="W54912" s="7"/>
    </row>
    <row r="55082" spans="22:23">
      <c r="V55082" s="7"/>
      <c r="W55082" s="7"/>
    </row>
    <row r="55252" spans="22:23">
      <c r="V55252" s="7"/>
      <c r="W55252" s="7"/>
    </row>
    <row r="55422" spans="22:23">
      <c r="V55422" s="7"/>
      <c r="W55422" s="7"/>
    </row>
    <row r="55592" spans="22:23">
      <c r="V55592" s="7"/>
      <c r="W55592" s="7"/>
    </row>
    <row r="55762" spans="22:23">
      <c r="V55762" s="7"/>
      <c r="W55762" s="7"/>
    </row>
    <row r="55932" spans="22:23">
      <c r="V55932" s="7"/>
      <c r="W55932" s="7"/>
    </row>
    <row r="56102" spans="22:23">
      <c r="V56102" s="7"/>
      <c r="W56102" s="7"/>
    </row>
    <row r="56272" spans="22:23">
      <c r="V56272" s="7"/>
      <c r="W56272" s="7"/>
    </row>
    <row r="56442" spans="22:23">
      <c r="V56442" s="7"/>
      <c r="W56442" s="7"/>
    </row>
    <row r="56612" spans="22:23">
      <c r="V56612" s="7"/>
      <c r="W56612" s="7"/>
    </row>
    <row r="56782" spans="22:23">
      <c r="V56782" s="7"/>
      <c r="W56782" s="7"/>
    </row>
    <row r="56952" spans="22:23">
      <c r="V56952" s="7"/>
      <c r="W56952" s="7"/>
    </row>
    <row r="57122" spans="22:23">
      <c r="V57122" s="7"/>
      <c r="W57122" s="7"/>
    </row>
    <row r="57292" spans="22:23">
      <c r="V57292" s="7"/>
      <c r="W57292" s="7"/>
    </row>
    <row r="57462" spans="22:23">
      <c r="V57462" s="7"/>
      <c r="W57462" s="7"/>
    </row>
    <row r="57632" spans="22:23">
      <c r="V57632" s="7"/>
      <c r="W57632" s="7"/>
    </row>
    <row r="57802" spans="22:23">
      <c r="V57802" s="7"/>
      <c r="W57802" s="7"/>
    </row>
    <row r="57972" spans="22:23">
      <c r="V57972" s="7"/>
      <c r="W57972" s="7"/>
    </row>
    <row r="58142" spans="22:23">
      <c r="V58142" s="7"/>
      <c r="W58142" s="7"/>
    </row>
    <row r="58312" spans="22:23">
      <c r="V58312" s="7"/>
      <c r="W58312" s="7"/>
    </row>
    <row r="58482" spans="22:23">
      <c r="V58482" s="7"/>
      <c r="W58482" s="7"/>
    </row>
    <row r="58652" spans="22:23">
      <c r="V58652" s="7"/>
      <c r="W58652" s="7"/>
    </row>
    <row r="58822" spans="22:23">
      <c r="V58822" s="7"/>
      <c r="W58822" s="7"/>
    </row>
    <row r="58992" spans="22:23">
      <c r="V58992" s="7"/>
      <c r="W58992" s="7"/>
    </row>
    <row r="59162" spans="22:23">
      <c r="V59162" s="7"/>
      <c r="W59162" s="7"/>
    </row>
    <row r="59332" spans="22:23">
      <c r="V59332" s="7"/>
      <c r="W59332" s="7"/>
    </row>
    <row r="59502" spans="22:23">
      <c r="V59502" s="7"/>
      <c r="W59502" s="7"/>
    </row>
    <row r="59672" spans="22:23">
      <c r="V59672" s="7"/>
      <c r="W59672" s="7"/>
    </row>
    <row r="59842" spans="22:23">
      <c r="V59842" s="7"/>
      <c r="W59842" s="7"/>
    </row>
    <row r="60012" spans="22:23">
      <c r="V60012" s="7"/>
      <c r="W60012" s="7"/>
    </row>
    <row r="60182" spans="22:23">
      <c r="V60182" s="7"/>
      <c r="W60182" s="7"/>
    </row>
    <row r="60352" spans="22:23">
      <c r="V60352" s="7"/>
      <c r="W60352" s="7"/>
    </row>
    <row r="60522" spans="22:23">
      <c r="V60522" s="7"/>
      <c r="W60522" s="7"/>
    </row>
    <row r="60692" spans="22:23">
      <c r="V60692" s="7"/>
      <c r="W60692" s="7"/>
    </row>
    <row r="60862" spans="22:23">
      <c r="V60862" s="7"/>
      <c r="W60862" s="7"/>
    </row>
    <row r="61032" spans="22:23">
      <c r="V61032" s="7"/>
      <c r="W61032" s="7"/>
    </row>
    <row r="61202" spans="22:23">
      <c r="V61202" s="7"/>
      <c r="W61202" s="7"/>
    </row>
    <row r="61372" spans="22:23">
      <c r="V61372" s="7"/>
      <c r="W61372" s="7"/>
    </row>
    <row r="61542" spans="22:23">
      <c r="V61542" s="7"/>
      <c r="W61542" s="7"/>
    </row>
    <row r="61712" spans="22:23">
      <c r="V61712" s="7"/>
      <c r="W61712" s="7"/>
    </row>
    <row r="61882" spans="22:23">
      <c r="V61882" s="7"/>
      <c r="W61882" s="7"/>
    </row>
    <row r="62052" spans="22:23">
      <c r="V62052" s="7"/>
      <c r="W62052" s="7"/>
    </row>
    <row r="62222" spans="22:23">
      <c r="V62222" s="7"/>
      <c r="W62222" s="7"/>
    </row>
    <row r="62392" spans="22:23">
      <c r="V62392" s="7"/>
      <c r="W62392" s="7"/>
    </row>
    <row r="62562" spans="22:23">
      <c r="V62562" s="7"/>
      <c r="W62562" s="7"/>
    </row>
    <row r="62732" spans="22:23">
      <c r="V62732" s="7"/>
      <c r="W62732" s="7"/>
    </row>
    <row r="62902" spans="22:23">
      <c r="V62902" s="7"/>
      <c r="W62902" s="7"/>
    </row>
    <row r="63072" spans="22:23">
      <c r="V63072" s="7"/>
      <c r="W63072" s="7"/>
    </row>
    <row r="63242" spans="22:23">
      <c r="V63242" s="7"/>
      <c r="W63242" s="7"/>
    </row>
    <row r="63412" spans="22:23">
      <c r="V63412" s="7"/>
      <c r="W63412" s="7"/>
    </row>
    <row r="63582" spans="22:23">
      <c r="V63582" s="7"/>
      <c r="W63582" s="7"/>
    </row>
    <row r="63752" spans="22:23">
      <c r="V63752" s="7"/>
      <c r="W63752" s="7"/>
    </row>
    <row r="63922" spans="22:23">
      <c r="V63922" s="7"/>
      <c r="W63922" s="7"/>
    </row>
    <row r="64092" spans="22:23">
      <c r="V64092" s="7"/>
      <c r="W64092" s="7"/>
    </row>
    <row r="64262" spans="22:23">
      <c r="V64262" s="7"/>
      <c r="W64262" s="7"/>
    </row>
    <row r="64432" spans="22:23">
      <c r="V64432" s="7"/>
      <c r="W64432" s="7"/>
    </row>
    <row r="64602" spans="22:23">
      <c r="V64602" s="7"/>
      <c r="W64602" s="7"/>
    </row>
    <row r="64772" spans="22:23">
      <c r="V64772" s="7"/>
      <c r="W64772" s="7"/>
    </row>
    <row r="64942" spans="22:23">
      <c r="V64942" s="7"/>
      <c r="W64942" s="7"/>
    </row>
    <row r="65112" spans="22:23">
      <c r="V65112" s="7"/>
      <c r="W65112" s="7"/>
    </row>
    <row r="65282" spans="22:23">
      <c r="V65282" s="7"/>
      <c r="W65282" s="7"/>
    </row>
    <row r="65452" spans="22:23">
      <c r="V65452" s="7"/>
      <c r="W65452" s="7"/>
    </row>
    <row r="65622" spans="22:23">
      <c r="V65622" s="7"/>
      <c r="W65622" s="7"/>
    </row>
    <row r="65792" spans="22:23">
      <c r="V65792" s="7"/>
      <c r="W65792" s="7"/>
    </row>
    <row r="65962" spans="22:23">
      <c r="V65962" s="7"/>
      <c r="W65962" s="7"/>
    </row>
    <row r="66132" spans="22:23">
      <c r="V66132" s="7"/>
      <c r="W66132" s="7"/>
    </row>
    <row r="66302" spans="22:23">
      <c r="V66302" s="7"/>
      <c r="W66302" s="7"/>
    </row>
    <row r="66472" spans="22:23">
      <c r="V66472" s="7"/>
      <c r="W66472" s="7"/>
    </row>
    <row r="66642" spans="22:23">
      <c r="V66642" s="7"/>
      <c r="W66642" s="7"/>
    </row>
    <row r="66812" spans="22:23">
      <c r="V66812" s="7"/>
      <c r="W66812" s="7"/>
    </row>
    <row r="66982" spans="22:23">
      <c r="V66982" s="7"/>
      <c r="W66982" s="7"/>
    </row>
    <row r="67152" spans="22:23">
      <c r="V67152" s="7"/>
      <c r="W67152" s="7"/>
    </row>
    <row r="67322" spans="22:23">
      <c r="V67322" s="7"/>
      <c r="W67322" s="7"/>
    </row>
    <row r="67492" spans="22:23">
      <c r="V67492" s="7"/>
      <c r="W67492" s="7"/>
    </row>
    <row r="67662" spans="22:23">
      <c r="V67662" s="7"/>
      <c r="W67662" s="7"/>
    </row>
    <row r="67832" spans="22:23">
      <c r="V67832" s="7"/>
      <c r="W67832" s="7"/>
    </row>
    <row r="68002" spans="22:23">
      <c r="V68002" s="7"/>
      <c r="W68002" s="7"/>
    </row>
    <row r="68172" spans="22:23">
      <c r="V68172" s="7"/>
      <c r="W68172" s="7"/>
    </row>
    <row r="68342" spans="22:23">
      <c r="V68342" s="7"/>
      <c r="W68342" s="7"/>
    </row>
    <row r="68512" spans="22:23">
      <c r="V68512" s="7"/>
      <c r="W68512" s="7"/>
    </row>
    <row r="68682" spans="22:23">
      <c r="V68682" s="7"/>
      <c r="W68682" s="7"/>
    </row>
    <row r="68852" spans="22:23">
      <c r="V68852" s="7"/>
      <c r="W68852" s="7"/>
    </row>
    <row r="69022" spans="22:23">
      <c r="V69022" s="7"/>
      <c r="W69022" s="7"/>
    </row>
    <row r="69192" spans="22:23">
      <c r="V69192" s="7"/>
      <c r="W69192" s="7"/>
    </row>
    <row r="69362" spans="22:23">
      <c r="V69362" s="7"/>
      <c r="W69362" s="7"/>
    </row>
    <row r="69532" spans="22:23">
      <c r="V69532" s="7"/>
      <c r="W69532" s="7"/>
    </row>
    <row r="69702" spans="22:23">
      <c r="V69702" s="7"/>
      <c r="W69702" s="7"/>
    </row>
    <row r="69872" spans="22:23">
      <c r="V69872" s="7"/>
      <c r="W69872" s="7"/>
    </row>
    <row r="70042" spans="22:23">
      <c r="V70042" s="7"/>
      <c r="W70042" s="7"/>
    </row>
    <row r="70212" spans="22:23">
      <c r="V70212" s="7"/>
      <c r="W70212" s="7"/>
    </row>
    <row r="70382" spans="22:23">
      <c r="V70382" s="7"/>
      <c r="W70382" s="7"/>
    </row>
    <row r="70552" spans="22:23">
      <c r="V70552" s="7"/>
      <c r="W70552" s="7"/>
    </row>
    <row r="70722" spans="22:23">
      <c r="V70722" s="7"/>
      <c r="W70722" s="7"/>
    </row>
    <row r="70892" spans="22:23">
      <c r="V70892" s="7"/>
      <c r="W70892" s="7"/>
    </row>
    <row r="71062" spans="22:23">
      <c r="V71062" s="7"/>
      <c r="W71062" s="7"/>
    </row>
    <row r="71232" spans="22:23">
      <c r="V71232" s="7"/>
      <c r="W71232" s="7"/>
    </row>
    <row r="71402" spans="22:23">
      <c r="V71402" s="7"/>
      <c r="W71402" s="7"/>
    </row>
    <row r="71572" spans="22:23">
      <c r="V71572" s="7"/>
      <c r="W71572" s="7"/>
    </row>
    <row r="71742" spans="22:23">
      <c r="V71742" s="7"/>
      <c r="W71742" s="7"/>
    </row>
    <row r="71912" spans="22:23">
      <c r="V71912" s="7"/>
      <c r="W71912" s="7"/>
    </row>
    <row r="72082" spans="22:23">
      <c r="V72082" s="7"/>
      <c r="W72082" s="7"/>
    </row>
    <row r="72252" spans="22:23">
      <c r="V72252" s="7"/>
      <c r="W72252" s="7"/>
    </row>
    <row r="72422" spans="22:23">
      <c r="V72422" s="7"/>
      <c r="W72422" s="7"/>
    </row>
    <row r="72592" spans="22:23">
      <c r="V72592" s="7"/>
      <c r="W72592" s="7"/>
    </row>
    <row r="72762" spans="22:23">
      <c r="V72762" s="7"/>
      <c r="W72762" s="7"/>
    </row>
    <row r="72932" spans="22:23">
      <c r="V72932" s="7"/>
      <c r="W72932" s="7"/>
    </row>
    <row r="73102" spans="22:23">
      <c r="V73102" s="7"/>
      <c r="W73102" s="7"/>
    </row>
    <row r="73272" spans="22:23">
      <c r="V73272" s="7"/>
      <c r="W73272" s="7"/>
    </row>
    <row r="73442" spans="22:23">
      <c r="V73442" s="7"/>
      <c r="W73442" s="7"/>
    </row>
    <row r="73612" spans="22:23">
      <c r="V73612" s="7"/>
      <c r="W73612" s="7"/>
    </row>
    <row r="73782" spans="22:23">
      <c r="V73782" s="7"/>
      <c r="W73782" s="7"/>
    </row>
    <row r="73952" spans="22:23">
      <c r="V73952" s="7"/>
      <c r="W73952" s="7"/>
    </row>
    <row r="74122" spans="22:23">
      <c r="V74122" s="7"/>
      <c r="W74122" s="7"/>
    </row>
    <row r="74292" spans="22:23">
      <c r="V74292" s="7"/>
      <c r="W74292" s="7"/>
    </row>
    <row r="74462" spans="22:23">
      <c r="V74462" s="7"/>
      <c r="W74462" s="7"/>
    </row>
    <row r="74632" spans="22:23">
      <c r="V74632" s="7"/>
      <c r="W74632" s="7"/>
    </row>
    <row r="74802" spans="22:23">
      <c r="V74802" s="7"/>
      <c r="W74802" s="7"/>
    </row>
    <row r="74972" spans="22:23">
      <c r="V74972" s="7"/>
      <c r="W74972" s="7"/>
    </row>
    <row r="75142" spans="22:23">
      <c r="V75142" s="7"/>
      <c r="W75142" s="7"/>
    </row>
    <row r="75312" spans="22:23">
      <c r="V75312" s="7"/>
      <c r="W75312" s="7"/>
    </row>
    <row r="75482" spans="22:23">
      <c r="V75482" s="7"/>
      <c r="W75482" s="7"/>
    </row>
    <row r="75652" spans="22:23">
      <c r="V75652" s="7"/>
      <c r="W75652" s="7"/>
    </row>
    <row r="75822" spans="22:23">
      <c r="V75822" s="7"/>
      <c r="W75822" s="7"/>
    </row>
    <row r="75992" spans="22:23">
      <c r="V75992" s="7"/>
      <c r="W75992" s="7"/>
    </row>
    <row r="76162" spans="22:23">
      <c r="V76162" s="7"/>
      <c r="W76162" s="7"/>
    </row>
    <row r="76332" spans="22:23">
      <c r="V76332" s="7"/>
      <c r="W76332" s="7"/>
    </row>
    <row r="76502" spans="22:23">
      <c r="V76502" s="7"/>
      <c r="W76502" s="7"/>
    </row>
    <row r="76672" spans="22:23">
      <c r="V76672" s="7"/>
      <c r="W76672" s="7"/>
    </row>
    <row r="76842" spans="22:23">
      <c r="V76842" s="7"/>
      <c r="W76842" s="7"/>
    </row>
    <row r="77012" spans="22:23">
      <c r="V77012" s="7"/>
      <c r="W77012" s="7"/>
    </row>
    <row r="77182" spans="22:23">
      <c r="V77182" s="7"/>
      <c r="W77182" s="7"/>
    </row>
    <row r="77352" spans="22:23">
      <c r="V77352" s="7"/>
      <c r="W77352" s="7"/>
    </row>
    <row r="77522" spans="22:23">
      <c r="V77522" s="7"/>
      <c r="W77522" s="7"/>
    </row>
    <row r="77692" spans="22:23">
      <c r="V77692" s="7"/>
      <c r="W77692" s="7"/>
    </row>
    <row r="77862" spans="22:23">
      <c r="V77862" s="7"/>
      <c r="W77862" s="7"/>
    </row>
    <row r="78032" spans="22:23">
      <c r="V78032" s="7"/>
      <c r="W78032" s="7"/>
    </row>
    <row r="78202" spans="22:23">
      <c r="V78202" s="7"/>
      <c r="W78202" s="7"/>
    </row>
    <row r="78372" spans="22:23">
      <c r="V78372" s="7"/>
      <c r="W78372" s="7"/>
    </row>
    <row r="78542" spans="22:23">
      <c r="V78542" s="7"/>
      <c r="W78542" s="7"/>
    </row>
    <row r="78712" spans="22:23">
      <c r="V78712" s="7"/>
      <c r="W78712" s="7"/>
    </row>
    <row r="78882" spans="22:23">
      <c r="V78882" s="7"/>
      <c r="W78882" s="7"/>
    </row>
    <row r="79052" spans="22:23">
      <c r="V79052" s="7"/>
      <c r="W79052" s="7"/>
    </row>
    <row r="79222" spans="22:23">
      <c r="V79222" s="7"/>
      <c r="W79222" s="7"/>
    </row>
    <row r="79392" spans="22:23">
      <c r="V79392" s="7"/>
      <c r="W79392" s="7"/>
    </row>
    <row r="79562" spans="22:23">
      <c r="V79562" s="7"/>
      <c r="W79562" s="7"/>
    </row>
    <row r="79732" spans="22:23">
      <c r="V79732" s="7"/>
      <c r="W79732" s="7"/>
    </row>
    <row r="79902" spans="22:23">
      <c r="V79902" s="7"/>
      <c r="W79902" s="7"/>
    </row>
    <row r="80072" spans="22:23">
      <c r="V80072" s="7"/>
      <c r="W80072" s="7"/>
    </row>
    <row r="80242" spans="22:23">
      <c r="V80242" s="7"/>
      <c r="W80242" s="7"/>
    </row>
    <row r="80412" spans="22:23">
      <c r="V80412" s="7"/>
      <c r="W80412" s="7"/>
    </row>
    <row r="80582" spans="22:23">
      <c r="V80582" s="7"/>
      <c r="W80582" s="7"/>
    </row>
    <row r="80752" spans="22:23">
      <c r="V80752" s="7"/>
      <c r="W80752" s="7"/>
    </row>
    <row r="80922" spans="22:23">
      <c r="V80922" s="7"/>
      <c r="W80922" s="7"/>
    </row>
    <row r="81092" spans="22:23">
      <c r="V81092" s="7"/>
      <c r="W81092" s="7"/>
    </row>
    <row r="81262" spans="22:23">
      <c r="V81262" s="7"/>
      <c r="W81262" s="7"/>
    </row>
    <row r="81432" spans="22:23">
      <c r="V81432" s="7"/>
      <c r="W81432" s="7"/>
    </row>
    <row r="81602" spans="22:23">
      <c r="V81602" s="7"/>
      <c r="W81602" s="7"/>
    </row>
    <row r="81772" spans="22:23">
      <c r="V81772" s="7"/>
      <c r="W81772" s="7"/>
    </row>
    <row r="81942" spans="22:23">
      <c r="V81942" s="7"/>
      <c r="W81942" s="7"/>
    </row>
    <row r="82112" spans="22:23">
      <c r="V82112" s="7"/>
      <c r="W82112" s="7"/>
    </row>
    <row r="82282" spans="22:23">
      <c r="V82282" s="7"/>
      <c r="W82282" s="7"/>
    </row>
    <row r="82452" spans="22:23">
      <c r="V82452" s="7"/>
      <c r="W82452" s="7"/>
    </row>
    <row r="82622" spans="22:23">
      <c r="V82622" s="7"/>
      <c r="W82622" s="7"/>
    </row>
    <row r="82792" spans="22:23">
      <c r="V82792" s="7"/>
      <c r="W82792" s="7"/>
    </row>
    <row r="82962" spans="22:23">
      <c r="V82962" s="7"/>
      <c r="W82962" s="7"/>
    </row>
    <row r="83132" spans="22:23">
      <c r="V83132" s="7"/>
      <c r="W83132" s="7"/>
    </row>
    <row r="83302" spans="22:23">
      <c r="V83302" s="7"/>
      <c r="W83302" s="7"/>
    </row>
    <row r="83472" spans="22:23">
      <c r="V83472" s="7"/>
      <c r="W83472" s="7"/>
    </row>
    <row r="83642" spans="22:23">
      <c r="V83642" s="7"/>
      <c r="W83642" s="7"/>
    </row>
    <row r="83812" spans="22:23">
      <c r="V83812" s="7"/>
      <c r="W83812" s="7"/>
    </row>
    <row r="83982" spans="22:23">
      <c r="V83982" s="7"/>
      <c r="W83982" s="7"/>
    </row>
    <row r="84152" spans="22:23">
      <c r="V84152" s="7"/>
      <c r="W84152" s="7"/>
    </row>
    <row r="84322" spans="22:23">
      <c r="V84322" s="7"/>
      <c r="W84322" s="7"/>
    </row>
    <row r="84492" spans="22:23">
      <c r="V84492" s="7"/>
      <c r="W84492" s="7"/>
    </row>
    <row r="84662" spans="22:23">
      <c r="V84662" s="7"/>
      <c r="W84662" s="7"/>
    </row>
    <row r="84832" spans="22:23">
      <c r="V84832" s="7"/>
      <c r="W84832" s="7"/>
    </row>
    <row r="85002" spans="22:23">
      <c r="V85002" s="7"/>
      <c r="W85002" s="7"/>
    </row>
    <row r="85172" spans="22:23">
      <c r="V85172" s="7"/>
      <c r="W85172" s="7"/>
    </row>
    <row r="85342" spans="22:23">
      <c r="V85342" s="7"/>
      <c r="W85342" s="7"/>
    </row>
    <row r="85512" spans="22:23">
      <c r="V85512" s="7"/>
      <c r="W85512" s="7"/>
    </row>
    <row r="85682" spans="22:23">
      <c r="V85682" s="7"/>
      <c r="W85682" s="7"/>
    </row>
    <row r="85852" spans="22:23">
      <c r="V85852" s="7"/>
      <c r="W85852" s="7"/>
    </row>
    <row r="86022" spans="22:23">
      <c r="V86022" s="7"/>
      <c r="W86022" s="7"/>
    </row>
    <row r="86192" spans="22:23">
      <c r="V86192" s="7"/>
      <c r="W86192" s="7"/>
    </row>
    <row r="86362" spans="22:23">
      <c r="V86362" s="7"/>
      <c r="W86362" s="7"/>
    </row>
    <row r="86532" spans="22:23">
      <c r="V86532" s="7"/>
      <c r="W86532" s="7"/>
    </row>
    <row r="86702" spans="22:23">
      <c r="V86702" s="7"/>
      <c r="W86702" s="7"/>
    </row>
    <row r="86872" spans="22:23">
      <c r="V86872" s="7"/>
      <c r="W86872" s="7"/>
    </row>
    <row r="87042" spans="22:23">
      <c r="V87042" s="7"/>
      <c r="W87042" s="7"/>
    </row>
    <row r="87212" spans="22:23">
      <c r="V87212" s="7"/>
      <c r="W87212" s="7"/>
    </row>
    <row r="87382" spans="22:23">
      <c r="V87382" s="7"/>
      <c r="W87382" s="7"/>
    </row>
    <row r="87552" spans="22:23">
      <c r="V87552" s="7"/>
      <c r="W87552" s="7"/>
    </row>
    <row r="87722" spans="22:23">
      <c r="V87722" s="7"/>
      <c r="W87722" s="7"/>
    </row>
    <row r="87892" spans="22:23">
      <c r="V87892" s="7"/>
      <c r="W87892" s="7"/>
    </row>
    <row r="88062" spans="22:23">
      <c r="V88062" s="7"/>
      <c r="W88062" s="7"/>
    </row>
    <row r="88232" spans="22:23">
      <c r="V88232" s="7"/>
      <c r="W88232" s="7"/>
    </row>
    <row r="88402" spans="22:23">
      <c r="V88402" s="7"/>
      <c r="W88402" s="7"/>
    </row>
    <row r="88572" spans="22:23">
      <c r="V88572" s="7"/>
      <c r="W88572" s="7"/>
    </row>
    <row r="88742" spans="22:23">
      <c r="V88742" s="7"/>
      <c r="W88742" s="7"/>
    </row>
    <row r="88912" spans="22:23">
      <c r="V88912" s="7"/>
      <c r="W88912" s="7"/>
    </row>
    <row r="89082" spans="22:23">
      <c r="V89082" s="7"/>
      <c r="W89082" s="7"/>
    </row>
    <row r="89252" spans="22:23">
      <c r="V89252" s="7"/>
      <c r="W89252" s="7"/>
    </row>
    <row r="89422" spans="22:23">
      <c r="V89422" s="7"/>
      <c r="W89422" s="7"/>
    </row>
    <row r="89592" spans="22:23">
      <c r="V89592" s="7"/>
      <c r="W89592" s="7"/>
    </row>
    <row r="89762" spans="22:23">
      <c r="V89762" s="7"/>
      <c r="W89762" s="7"/>
    </row>
    <row r="89932" spans="22:23">
      <c r="V89932" s="7"/>
      <c r="W89932" s="7"/>
    </row>
    <row r="90102" spans="22:23">
      <c r="V90102" s="7"/>
      <c r="W90102" s="7"/>
    </row>
    <row r="90272" spans="22:23">
      <c r="V90272" s="7"/>
      <c r="W90272" s="7"/>
    </row>
    <row r="90442" spans="22:23">
      <c r="V90442" s="7"/>
      <c r="W90442" s="7"/>
    </row>
    <row r="90612" spans="22:23">
      <c r="V90612" s="7"/>
      <c r="W90612" s="7"/>
    </row>
    <row r="90782" spans="22:23">
      <c r="V90782" s="7"/>
      <c r="W90782" s="7"/>
    </row>
    <row r="90952" spans="22:23">
      <c r="V90952" s="7"/>
      <c r="W90952" s="7"/>
    </row>
    <row r="91122" spans="22:23">
      <c r="V91122" s="7"/>
      <c r="W91122" s="7"/>
    </row>
    <row r="91292" spans="22:23">
      <c r="V91292" s="7"/>
      <c r="W91292" s="7"/>
    </row>
    <row r="91462" spans="22:23">
      <c r="V91462" s="7"/>
      <c r="W91462" s="7"/>
    </row>
    <row r="91632" spans="22:23">
      <c r="V91632" s="7"/>
      <c r="W91632" s="7"/>
    </row>
    <row r="91802" spans="22:23">
      <c r="V91802" s="7"/>
      <c r="W91802" s="7"/>
    </row>
    <row r="91972" spans="22:23">
      <c r="V91972" s="7"/>
      <c r="W91972" s="7"/>
    </row>
    <row r="92142" spans="22:23">
      <c r="V92142" s="7"/>
      <c r="W92142" s="7"/>
    </row>
    <row r="92312" spans="22:23">
      <c r="V92312" s="7"/>
      <c r="W92312" s="7"/>
    </row>
    <row r="92482" spans="22:23">
      <c r="V92482" s="7"/>
      <c r="W92482" s="7"/>
    </row>
    <row r="92652" spans="22:23">
      <c r="V92652" s="7"/>
      <c r="W92652" s="7"/>
    </row>
    <row r="92822" spans="22:23">
      <c r="V92822" s="7"/>
      <c r="W92822" s="7"/>
    </row>
    <row r="92992" spans="22:23">
      <c r="V92992" s="7"/>
      <c r="W92992" s="7"/>
    </row>
    <row r="93162" spans="22:23">
      <c r="V93162" s="7"/>
      <c r="W93162" s="7"/>
    </row>
    <row r="93332" spans="22:23">
      <c r="V93332" s="7"/>
      <c r="W93332" s="7"/>
    </row>
    <row r="93502" spans="22:23">
      <c r="V93502" s="7"/>
      <c r="W93502" s="7"/>
    </row>
    <row r="93672" spans="22:23">
      <c r="V93672" s="7"/>
      <c r="W93672" s="7"/>
    </row>
    <row r="93842" spans="22:23">
      <c r="V93842" s="7"/>
      <c r="W93842" s="7"/>
    </row>
    <row r="94012" spans="22:23">
      <c r="V94012" s="7"/>
      <c r="W94012" s="7"/>
    </row>
    <row r="94182" spans="22:23">
      <c r="V94182" s="7"/>
      <c r="W94182" s="7"/>
    </row>
    <row r="94352" spans="22:23">
      <c r="V94352" s="7"/>
      <c r="W94352" s="7"/>
    </row>
    <row r="94522" spans="22:23">
      <c r="V94522" s="7"/>
      <c r="W94522" s="7"/>
    </row>
    <row r="94692" spans="22:23">
      <c r="V94692" s="7"/>
      <c r="W94692" s="7"/>
    </row>
    <row r="94862" spans="22:23">
      <c r="V94862" s="7"/>
      <c r="W94862" s="7"/>
    </row>
    <row r="95032" spans="22:23">
      <c r="V95032" s="7"/>
      <c r="W95032" s="7"/>
    </row>
    <row r="95202" spans="22:23">
      <c r="V95202" s="7"/>
      <c r="W95202" s="7"/>
    </row>
    <row r="95372" spans="22:23">
      <c r="V95372" s="7"/>
      <c r="W95372" s="7"/>
    </row>
    <row r="95542" spans="22:23">
      <c r="V95542" s="7"/>
      <c r="W95542" s="7"/>
    </row>
    <row r="95712" spans="22:23">
      <c r="V95712" s="7"/>
      <c r="W95712" s="7"/>
    </row>
    <row r="95882" spans="22:23">
      <c r="V95882" s="7"/>
      <c r="W95882" s="7"/>
    </row>
    <row r="96052" spans="22:23">
      <c r="V96052" s="7"/>
      <c r="W96052" s="7"/>
    </row>
    <row r="96222" spans="22:23">
      <c r="V96222" s="7"/>
      <c r="W96222" s="7"/>
    </row>
    <row r="96392" spans="22:23">
      <c r="V96392" s="7"/>
      <c r="W96392" s="7"/>
    </row>
    <row r="96562" spans="22:23">
      <c r="V96562" s="7"/>
      <c r="W96562" s="7"/>
    </row>
    <row r="96732" spans="22:23">
      <c r="V96732" s="7"/>
      <c r="W96732" s="7"/>
    </row>
    <row r="96902" spans="22:23">
      <c r="V96902" s="7"/>
      <c r="W96902" s="7"/>
    </row>
    <row r="97072" spans="22:23">
      <c r="V97072" s="7"/>
      <c r="W97072" s="7"/>
    </row>
    <row r="97242" spans="22:23">
      <c r="V97242" s="7"/>
      <c r="W97242" s="7"/>
    </row>
    <row r="97412" spans="22:23">
      <c r="V97412" s="7"/>
      <c r="W97412" s="7"/>
    </row>
    <row r="97582" spans="22:23">
      <c r="V97582" s="7"/>
      <c r="W97582" s="7"/>
    </row>
    <row r="97752" spans="22:23">
      <c r="V97752" s="7"/>
      <c r="W97752" s="7"/>
    </row>
    <row r="97922" spans="22:23">
      <c r="V97922" s="7"/>
      <c r="W97922" s="7"/>
    </row>
    <row r="98092" spans="22:23">
      <c r="V98092" s="7"/>
      <c r="W98092" s="7"/>
    </row>
    <row r="98262" spans="22:23">
      <c r="V98262" s="7"/>
      <c r="W98262" s="7"/>
    </row>
    <row r="98432" spans="22:23">
      <c r="V98432" s="7"/>
      <c r="W98432" s="7"/>
    </row>
    <row r="98602" spans="22:23">
      <c r="V98602" s="7"/>
      <c r="W98602" s="7"/>
    </row>
    <row r="98772" spans="22:23">
      <c r="V98772" s="7"/>
      <c r="W98772" s="7"/>
    </row>
    <row r="98942" spans="22:23">
      <c r="V98942" s="7"/>
      <c r="W98942" s="7"/>
    </row>
    <row r="99112" spans="22:23">
      <c r="V99112" s="7"/>
      <c r="W99112" s="7"/>
    </row>
    <row r="99282" spans="22:23">
      <c r="V99282" s="7"/>
      <c r="W99282" s="7"/>
    </row>
    <row r="99452" spans="22:23">
      <c r="V99452" s="7"/>
      <c r="W99452" s="7"/>
    </row>
    <row r="99622" spans="22:23">
      <c r="V99622" s="7"/>
      <c r="W99622" s="7"/>
    </row>
    <row r="99792" spans="22:23">
      <c r="V99792" s="7"/>
      <c r="W99792" s="7"/>
    </row>
    <row r="99962" spans="22:23">
      <c r="V99962" s="7"/>
      <c r="W99962" s="7"/>
    </row>
    <row r="100132" spans="22:23">
      <c r="V100132" s="7"/>
      <c r="W100132" s="7"/>
    </row>
    <row r="100302" spans="22:23">
      <c r="V100302" s="7"/>
      <c r="W100302" s="7"/>
    </row>
    <row r="100472" spans="22:23">
      <c r="V100472" s="7"/>
      <c r="W100472" s="7"/>
    </row>
    <row r="100642" spans="22:23">
      <c r="V100642" s="7"/>
      <c r="W100642" s="7"/>
    </row>
    <row r="100812" spans="22:23">
      <c r="V100812" s="7"/>
      <c r="W100812" s="7"/>
    </row>
    <row r="100982" spans="22:23">
      <c r="V100982" s="7"/>
      <c r="W100982" s="7"/>
    </row>
    <row r="101152" spans="22:23">
      <c r="V101152" s="7"/>
      <c r="W101152" s="7"/>
    </row>
    <row r="101322" spans="22:23">
      <c r="V101322" s="7"/>
      <c r="W101322" s="7"/>
    </row>
    <row r="101492" spans="22:23">
      <c r="V101492" s="7"/>
      <c r="W101492" s="7"/>
    </row>
    <row r="101662" spans="22:23">
      <c r="V101662" s="7"/>
      <c r="W101662" s="7"/>
    </row>
    <row r="101832" spans="22:23">
      <c r="V101832" s="7"/>
      <c r="W101832" s="7"/>
    </row>
    <row r="102002" spans="22:23">
      <c r="V102002" s="7"/>
      <c r="W102002" s="7"/>
    </row>
    <row r="102172" spans="22:23">
      <c r="V102172" s="7"/>
      <c r="W102172" s="7"/>
    </row>
    <row r="102342" spans="22:23">
      <c r="V102342" s="7"/>
      <c r="W102342" s="7"/>
    </row>
    <row r="102512" spans="22:23">
      <c r="V102512" s="7"/>
      <c r="W102512" s="7"/>
    </row>
    <row r="102682" spans="22:23">
      <c r="V102682" s="7"/>
      <c r="W102682" s="7"/>
    </row>
    <row r="102852" spans="22:23">
      <c r="V102852" s="7"/>
      <c r="W102852" s="7"/>
    </row>
    <row r="103022" spans="22:23">
      <c r="V103022" s="7"/>
      <c r="W103022" s="7"/>
    </row>
    <row r="103192" spans="22:23">
      <c r="V103192" s="7"/>
      <c r="W103192" s="7"/>
    </row>
    <row r="103362" spans="22:23">
      <c r="V103362" s="7"/>
      <c r="W103362" s="7"/>
    </row>
    <row r="103532" spans="22:23">
      <c r="V103532" s="7"/>
      <c r="W103532" s="7"/>
    </row>
    <row r="103702" spans="22:23">
      <c r="V103702" s="7"/>
      <c r="W103702" s="7"/>
    </row>
    <row r="103872" spans="22:23">
      <c r="V103872" s="7"/>
      <c r="W103872" s="7"/>
    </row>
    <row r="104042" spans="22:23">
      <c r="V104042" s="7"/>
      <c r="W104042" s="7"/>
    </row>
    <row r="104212" spans="22:23">
      <c r="V104212" s="7"/>
      <c r="W104212" s="7"/>
    </row>
    <row r="104382" spans="22:23">
      <c r="V104382" s="7"/>
      <c r="W104382" s="7"/>
    </row>
    <row r="104552" spans="22:23">
      <c r="V104552" s="7"/>
      <c r="W104552" s="7"/>
    </row>
    <row r="104722" spans="22:23">
      <c r="V104722" s="7"/>
      <c r="W104722" s="7"/>
    </row>
    <row r="104892" spans="22:23">
      <c r="V104892" s="7"/>
      <c r="W104892" s="7"/>
    </row>
    <row r="105062" spans="22:23">
      <c r="V105062" s="7"/>
      <c r="W105062" s="7"/>
    </row>
    <row r="105232" spans="22:23">
      <c r="V105232" s="7"/>
      <c r="W105232" s="7"/>
    </row>
    <row r="105402" spans="22:23">
      <c r="V105402" s="7"/>
      <c r="W105402" s="7"/>
    </row>
    <row r="105572" spans="22:23">
      <c r="V105572" s="7"/>
      <c r="W105572" s="7"/>
    </row>
    <row r="105742" spans="22:23">
      <c r="V105742" s="7"/>
      <c r="W105742" s="7"/>
    </row>
    <row r="105912" spans="22:23">
      <c r="V105912" s="7"/>
      <c r="W105912" s="7"/>
    </row>
    <row r="106082" spans="22:23">
      <c r="V106082" s="7"/>
      <c r="W106082" s="7"/>
    </row>
    <row r="106252" spans="22:23">
      <c r="V106252" s="7"/>
      <c r="W106252" s="7"/>
    </row>
    <row r="106422" spans="22:23">
      <c r="V106422" s="7"/>
      <c r="W106422" s="7"/>
    </row>
    <row r="106592" spans="22:23">
      <c r="V106592" s="7"/>
      <c r="W106592" s="7"/>
    </row>
    <row r="106762" spans="22:23">
      <c r="V106762" s="7"/>
      <c r="W106762" s="7"/>
    </row>
    <row r="106932" spans="22:23">
      <c r="V106932" s="7"/>
      <c r="W106932" s="7"/>
    </row>
    <row r="107102" spans="22:23">
      <c r="V107102" s="7"/>
      <c r="W107102" s="7"/>
    </row>
    <row r="107272" spans="22:23">
      <c r="V107272" s="7"/>
      <c r="W107272" s="7"/>
    </row>
    <row r="107442" spans="22:23">
      <c r="V107442" s="7"/>
      <c r="W107442" s="7"/>
    </row>
    <row r="107612" spans="22:23">
      <c r="V107612" s="7"/>
      <c r="W107612" s="7"/>
    </row>
    <row r="107782" spans="22:23">
      <c r="V107782" s="7"/>
      <c r="W107782" s="7"/>
    </row>
    <row r="107952" spans="22:23">
      <c r="V107952" s="7"/>
      <c r="W107952" s="7"/>
    </row>
    <row r="108122" spans="22:23">
      <c r="V108122" s="7"/>
      <c r="W108122" s="7"/>
    </row>
    <row r="108292" spans="22:23">
      <c r="V108292" s="7"/>
      <c r="W108292" s="7"/>
    </row>
    <row r="108462" spans="22:23">
      <c r="V108462" s="7"/>
      <c r="W108462" s="7"/>
    </row>
    <row r="108632" spans="22:23">
      <c r="V108632" s="7"/>
      <c r="W108632" s="7"/>
    </row>
    <row r="108802" spans="22:23">
      <c r="V108802" s="7"/>
      <c r="W108802" s="7"/>
    </row>
    <row r="108972" spans="22:23">
      <c r="V108972" s="7"/>
      <c r="W108972" s="7"/>
    </row>
    <row r="109142" spans="22:23">
      <c r="V109142" s="7"/>
      <c r="W109142" s="7"/>
    </row>
    <row r="109312" spans="22:23">
      <c r="V109312" s="7"/>
      <c r="W109312" s="7"/>
    </row>
    <row r="109482" spans="22:23">
      <c r="V109482" s="7"/>
      <c r="W109482" s="7"/>
    </row>
    <row r="109652" spans="22:23">
      <c r="V109652" s="7"/>
      <c r="W109652" s="7"/>
    </row>
    <row r="109822" spans="22:23">
      <c r="V109822" s="7"/>
      <c r="W109822" s="7"/>
    </row>
    <row r="109992" spans="22:23">
      <c r="V109992" s="7"/>
      <c r="W109992" s="7"/>
    </row>
    <row r="110162" spans="22:23">
      <c r="V110162" s="7"/>
      <c r="W110162" s="7"/>
    </row>
    <row r="110332" spans="22:23">
      <c r="V110332" s="7"/>
      <c r="W110332" s="7"/>
    </row>
    <row r="110502" spans="22:23">
      <c r="V110502" s="7"/>
      <c r="W110502" s="7"/>
    </row>
    <row r="110672" spans="22:23">
      <c r="V110672" s="7"/>
      <c r="W110672" s="7"/>
    </row>
    <row r="110842" spans="22:23">
      <c r="V110842" s="7"/>
      <c r="W110842" s="7"/>
    </row>
    <row r="111012" spans="22:23">
      <c r="V111012" s="7"/>
      <c r="W111012" s="7"/>
    </row>
    <row r="111182" spans="22:23">
      <c r="V111182" s="7"/>
      <c r="W111182" s="7"/>
    </row>
    <row r="111352" spans="22:23">
      <c r="V111352" s="7"/>
      <c r="W111352" s="7"/>
    </row>
    <row r="111522" spans="22:23">
      <c r="V111522" s="7"/>
      <c r="W111522" s="7"/>
    </row>
    <row r="111692" spans="22:23">
      <c r="V111692" s="7"/>
      <c r="W111692" s="7"/>
    </row>
    <row r="111862" spans="22:23">
      <c r="V111862" s="7"/>
      <c r="W111862" s="7"/>
    </row>
    <row r="112032" spans="22:23">
      <c r="V112032" s="7"/>
      <c r="W112032" s="7"/>
    </row>
    <row r="112202" spans="22:23">
      <c r="V112202" s="7"/>
      <c r="W112202" s="7"/>
    </row>
    <row r="112372" spans="22:23">
      <c r="V112372" s="7"/>
      <c r="W112372" s="7"/>
    </row>
    <row r="112542" spans="22:23">
      <c r="V112542" s="7"/>
      <c r="W112542" s="7"/>
    </row>
    <row r="112712" spans="22:23">
      <c r="V112712" s="7"/>
      <c r="W112712" s="7"/>
    </row>
    <row r="112882" spans="22:23">
      <c r="V112882" s="7"/>
      <c r="W112882" s="7"/>
    </row>
    <row r="113052" spans="22:23">
      <c r="V113052" s="7"/>
      <c r="W113052" s="7"/>
    </row>
    <row r="113222" spans="22:23">
      <c r="V113222" s="7"/>
      <c r="W113222" s="7"/>
    </row>
    <row r="113392" spans="22:23">
      <c r="V113392" s="7"/>
      <c r="W113392" s="7"/>
    </row>
    <row r="113562" spans="22:23">
      <c r="V113562" s="7"/>
      <c r="W113562" s="7"/>
    </row>
    <row r="113732" spans="22:23">
      <c r="V113732" s="7"/>
      <c r="W113732" s="7"/>
    </row>
    <row r="113902" spans="22:23">
      <c r="V113902" s="7"/>
      <c r="W113902" s="7"/>
    </row>
    <row r="114072" spans="22:23">
      <c r="V114072" s="7"/>
      <c r="W114072" s="7"/>
    </row>
    <row r="114242" spans="22:23">
      <c r="V114242" s="7"/>
      <c r="W114242" s="7"/>
    </row>
    <row r="114412" spans="22:23">
      <c r="V114412" s="7"/>
      <c r="W114412" s="7"/>
    </row>
    <row r="114582" spans="22:23">
      <c r="V114582" s="7"/>
      <c r="W114582" s="7"/>
    </row>
    <row r="114752" spans="22:23">
      <c r="V114752" s="7"/>
      <c r="W114752" s="7"/>
    </row>
    <row r="114922" spans="22:23">
      <c r="V114922" s="7"/>
      <c r="W114922" s="7"/>
    </row>
    <row r="115092" spans="22:23">
      <c r="V115092" s="7"/>
      <c r="W115092" s="7"/>
    </row>
    <row r="115262" spans="22:23">
      <c r="V115262" s="7"/>
      <c r="W115262" s="7"/>
    </row>
    <row r="115432" spans="22:23">
      <c r="V115432" s="7"/>
      <c r="W115432" s="7"/>
    </row>
    <row r="115602" spans="22:23">
      <c r="V115602" s="7"/>
      <c r="W115602" s="7"/>
    </row>
    <row r="115772" spans="22:23">
      <c r="V115772" s="7"/>
      <c r="W115772" s="7"/>
    </row>
    <row r="115942" spans="22:23">
      <c r="V115942" s="7"/>
      <c r="W115942" s="7"/>
    </row>
    <row r="116112" spans="22:23">
      <c r="V116112" s="7"/>
      <c r="W116112" s="7"/>
    </row>
    <row r="116282" spans="22:23">
      <c r="V116282" s="7"/>
      <c r="W116282" s="7"/>
    </row>
    <row r="116452" spans="22:23">
      <c r="V116452" s="7"/>
      <c r="W116452" s="7"/>
    </row>
    <row r="116622" spans="22:23">
      <c r="V116622" s="7"/>
      <c r="W116622" s="7"/>
    </row>
    <row r="116792" spans="22:23">
      <c r="V116792" s="7"/>
      <c r="W116792" s="7"/>
    </row>
    <row r="116962" spans="22:23">
      <c r="V116962" s="7"/>
      <c r="W116962" s="7"/>
    </row>
    <row r="117132" spans="22:23">
      <c r="V117132" s="7"/>
      <c r="W117132" s="7"/>
    </row>
    <row r="117302" spans="22:23">
      <c r="V117302" s="7"/>
      <c r="W117302" s="7"/>
    </row>
    <row r="117472" spans="22:23">
      <c r="V117472" s="7"/>
      <c r="W117472" s="7"/>
    </row>
    <row r="117642" spans="22:23">
      <c r="V117642" s="7"/>
      <c r="W117642" s="7"/>
    </row>
    <row r="117812" spans="22:23">
      <c r="V117812" s="7"/>
      <c r="W117812" s="7"/>
    </row>
    <row r="117982" spans="22:23">
      <c r="V117982" s="7"/>
      <c r="W117982" s="7"/>
    </row>
    <row r="118152" spans="22:23">
      <c r="V118152" s="7"/>
      <c r="W118152" s="7"/>
    </row>
    <row r="118322" spans="22:23">
      <c r="V118322" s="7"/>
      <c r="W118322" s="7"/>
    </row>
    <row r="118492" spans="22:23">
      <c r="V118492" s="7"/>
      <c r="W118492" s="7"/>
    </row>
    <row r="118662" spans="22:23">
      <c r="V118662" s="7"/>
      <c r="W118662" s="7"/>
    </row>
    <row r="118832" spans="22:23">
      <c r="V118832" s="7"/>
      <c r="W118832" s="7"/>
    </row>
    <row r="119002" spans="22:23">
      <c r="V119002" s="7"/>
      <c r="W119002" s="7"/>
    </row>
    <row r="119172" spans="22:23">
      <c r="V119172" s="7"/>
      <c r="W119172" s="7"/>
    </row>
    <row r="119342" spans="22:23">
      <c r="V119342" s="7"/>
      <c r="W119342" s="7"/>
    </row>
    <row r="119512" spans="22:23">
      <c r="V119512" s="7"/>
      <c r="W119512" s="7"/>
    </row>
    <row r="119682" spans="22:23">
      <c r="V119682" s="7"/>
      <c r="W119682" s="7"/>
    </row>
    <row r="119852" spans="22:23">
      <c r="V119852" s="7"/>
      <c r="W119852" s="7"/>
    </row>
    <row r="120022" spans="22:23">
      <c r="V120022" s="7"/>
      <c r="W120022" s="7"/>
    </row>
    <row r="120192" spans="22:23">
      <c r="V120192" s="7"/>
      <c r="W120192" s="7"/>
    </row>
    <row r="120362" spans="22:23">
      <c r="V120362" s="7"/>
      <c r="W120362" s="7"/>
    </row>
    <row r="120532" spans="22:23">
      <c r="V120532" s="7"/>
      <c r="W120532" s="7"/>
    </row>
    <row r="120702" spans="22:23">
      <c r="V120702" s="7"/>
      <c r="W120702" s="7"/>
    </row>
    <row r="120872" spans="22:23">
      <c r="V120872" s="7"/>
      <c r="W120872" s="7"/>
    </row>
    <row r="121042" spans="22:23">
      <c r="V121042" s="7"/>
      <c r="W121042" s="7"/>
    </row>
    <row r="121212" spans="22:23">
      <c r="V121212" s="7"/>
      <c r="W121212" s="7"/>
    </row>
    <row r="121382" spans="22:23">
      <c r="V121382" s="7"/>
      <c r="W121382" s="7"/>
    </row>
    <row r="121552" spans="22:23">
      <c r="V121552" s="7"/>
      <c r="W121552" s="7"/>
    </row>
    <row r="121722" spans="22:23">
      <c r="V121722" s="7"/>
      <c r="W121722" s="7"/>
    </row>
    <row r="121892" spans="22:23">
      <c r="V121892" s="7"/>
      <c r="W121892" s="7"/>
    </row>
    <row r="122062" spans="22:23">
      <c r="V122062" s="7"/>
      <c r="W122062" s="7"/>
    </row>
    <row r="122232" spans="22:23">
      <c r="V122232" s="7"/>
      <c r="W122232" s="7"/>
    </row>
    <row r="122402" spans="22:23">
      <c r="V122402" s="7"/>
      <c r="W122402" s="7"/>
    </row>
    <row r="122572" spans="22:23">
      <c r="V122572" s="7"/>
      <c r="W122572" s="7"/>
    </row>
    <row r="122742" spans="22:23">
      <c r="V122742" s="7"/>
      <c r="W122742" s="7"/>
    </row>
    <row r="122912" spans="22:23">
      <c r="V122912" s="7"/>
      <c r="W122912" s="7"/>
    </row>
    <row r="123082" spans="22:23">
      <c r="V123082" s="7"/>
      <c r="W123082" s="7"/>
    </row>
    <row r="123252" spans="22:23">
      <c r="V123252" s="7"/>
      <c r="W123252" s="7"/>
    </row>
    <row r="123422" spans="22:23">
      <c r="V123422" s="7"/>
      <c r="W123422" s="7"/>
    </row>
    <row r="123592" spans="22:23">
      <c r="V123592" s="7"/>
      <c r="W123592" s="7"/>
    </row>
    <row r="123762" spans="22:23">
      <c r="V123762" s="7"/>
      <c r="W123762" s="7"/>
    </row>
    <row r="123932" spans="22:23">
      <c r="V123932" s="7"/>
      <c r="W123932" s="7"/>
    </row>
    <row r="124102" spans="22:23">
      <c r="V124102" s="7"/>
      <c r="W124102" s="7"/>
    </row>
    <row r="124272" spans="22:23">
      <c r="V124272" s="7"/>
      <c r="W124272" s="7"/>
    </row>
    <row r="124442" spans="22:23">
      <c r="V124442" s="7"/>
      <c r="W124442" s="7"/>
    </row>
    <row r="124612" spans="22:23">
      <c r="V124612" s="7"/>
      <c r="W124612" s="7"/>
    </row>
    <row r="124782" spans="22:23">
      <c r="V124782" s="7"/>
      <c r="W124782" s="7"/>
    </row>
    <row r="124952" spans="22:23">
      <c r="V124952" s="7"/>
      <c r="W124952" s="7"/>
    </row>
    <row r="125122" spans="22:23">
      <c r="V125122" s="7"/>
      <c r="W125122" s="7"/>
    </row>
    <row r="125292" spans="22:23">
      <c r="V125292" s="7"/>
      <c r="W125292" s="7"/>
    </row>
    <row r="125462" spans="22:23">
      <c r="V125462" s="7"/>
      <c r="W125462" s="7"/>
    </row>
    <row r="125632" spans="22:23">
      <c r="V125632" s="7"/>
      <c r="W125632" s="7"/>
    </row>
    <row r="125802" spans="22:23">
      <c r="V125802" s="7"/>
      <c r="W125802" s="7"/>
    </row>
    <row r="125972" spans="22:23">
      <c r="V125972" s="7"/>
      <c r="W125972" s="7"/>
    </row>
    <row r="126142" spans="22:23">
      <c r="V126142" s="7"/>
      <c r="W126142" s="7"/>
    </row>
    <row r="126312" spans="22:23">
      <c r="V126312" s="7"/>
      <c r="W126312" s="7"/>
    </row>
    <row r="126482" spans="22:23">
      <c r="V126482" s="7"/>
      <c r="W126482" s="7"/>
    </row>
    <row r="126652" spans="22:23">
      <c r="V126652" s="7"/>
      <c r="W126652" s="7"/>
    </row>
    <row r="126822" spans="22:23">
      <c r="V126822" s="7"/>
      <c r="W126822" s="7"/>
    </row>
    <row r="126992" spans="22:23">
      <c r="V126992" s="7"/>
      <c r="W126992" s="7"/>
    </row>
    <row r="127162" spans="22:23">
      <c r="V127162" s="7"/>
      <c r="W127162" s="7"/>
    </row>
    <row r="127332" spans="22:23">
      <c r="V127332" s="7"/>
      <c r="W127332" s="7"/>
    </row>
    <row r="127502" spans="22:23">
      <c r="V127502" s="7"/>
      <c r="W127502" s="7"/>
    </row>
    <row r="127672" spans="22:23">
      <c r="V127672" s="7"/>
      <c r="W127672" s="7"/>
    </row>
    <row r="127842" spans="22:23">
      <c r="V127842" s="7"/>
      <c r="W127842" s="7"/>
    </row>
    <row r="128012" spans="22:23">
      <c r="V128012" s="7"/>
      <c r="W128012" s="7"/>
    </row>
    <row r="128182" spans="22:23">
      <c r="V128182" s="7"/>
      <c r="W128182" s="7"/>
    </row>
    <row r="128352" spans="22:23">
      <c r="V128352" s="7"/>
      <c r="W128352" s="7"/>
    </row>
    <row r="128522" spans="22:23">
      <c r="V128522" s="7"/>
      <c r="W128522" s="7"/>
    </row>
    <row r="128692" spans="22:23">
      <c r="V128692" s="7"/>
      <c r="W128692" s="7"/>
    </row>
    <row r="128862" spans="22:23">
      <c r="V128862" s="7"/>
      <c r="W128862" s="7"/>
    </row>
    <row r="129032" spans="22:23">
      <c r="V129032" s="7"/>
      <c r="W129032" s="7"/>
    </row>
    <row r="129202" spans="22:23">
      <c r="V129202" s="7"/>
      <c r="W129202" s="7"/>
    </row>
    <row r="129372" spans="22:23">
      <c r="V129372" s="7"/>
      <c r="W129372" s="7"/>
    </row>
    <row r="129542" spans="22:23">
      <c r="V129542" s="7"/>
      <c r="W129542" s="7"/>
    </row>
    <row r="129712" spans="22:23">
      <c r="V129712" s="7"/>
      <c r="W129712" s="7"/>
    </row>
    <row r="129882" spans="22:23">
      <c r="V129882" s="7"/>
      <c r="W129882" s="7"/>
    </row>
    <row r="130052" spans="22:23">
      <c r="V130052" s="7"/>
      <c r="W130052" s="7"/>
    </row>
    <row r="130222" spans="22:23">
      <c r="V130222" s="7"/>
      <c r="W130222" s="7"/>
    </row>
    <row r="130392" spans="22:23">
      <c r="V130392" s="7"/>
      <c r="W130392" s="7"/>
    </row>
    <row r="130562" spans="22:23">
      <c r="V130562" s="7"/>
      <c r="W130562" s="7"/>
    </row>
    <row r="130732" spans="22:23">
      <c r="V130732" s="7"/>
      <c r="W130732" s="7"/>
    </row>
    <row r="130902" spans="22:23">
      <c r="V130902" s="7"/>
      <c r="W130902" s="7"/>
    </row>
    <row r="131072" spans="22:23">
      <c r="V131072" s="7"/>
      <c r="W131072" s="7"/>
    </row>
    <row r="131242" spans="22:23">
      <c r="V131242" s="7"/>
      <c r="W131242" s="7"/>
    </row>
    <row r="131412" spans="22:23">
      <c r="V131412" s="7"/>
      <c r="W131412" s="7"/>
    </row>
    <row r="131582" spans="22:23">
      <c r="V131582" s="7"/>
      <c r="W131582" s="7"/>
    </row>
    <row r="131752" spans="22:23">
      <c r="V131752" s="7"/>
      <c r="W131752" s="7"/>
    </row>
    <row r="131922" spans="22:23">
      <c r="V131922" s="7"/>
      <c r="W131922" s="7"/>
    </row>
    <row r="132092" spans="22:23">
      <c r="V132092" s="7"/>
      <c r="W132092" s="7"/>
    </row>
    <row r="132262" spans="22:23">
      <c r="V132262" s="7"/>
      <c r="W132262" s="7"/>
    </row>
    <row r="132432" spans="22:23">
      <c r="V132432" s="7"/>
      <c r="W132432" s="7"/>
    </row>
    <row r="132602" spans="22:23">
      <c r="V132602" s="7"/>
      <c r="W132602" s="7"/>
    </row>
    <row r="132772" spans="22:23">
      <c r="V132772" s="7"/>
      <c r="W132772" s="7"/>
    </row>
    <row r="132942" spans="22:23">
      <c r="V132942" s="7"/>
      <c r="W132942" s="7"/>
    </row>
    <row r="133112" spans="22:23">
      <c r="V133112" s="7"/>
      <c r="W133112" s="7"/>
    </row>
    <row r="133282" spans="22:23">
      <c r="V133282" s="7"/>
      <c r="W133282" s="7"/>
    </row>
    <row r="133452" spans="22:23">
      <c r="V133452" s="7"/>
      <c r="W133452" s="7"/>
    </row>
    <row r="133622" spans="22:23">
      <c r="V133622" s="7"/>
      <c r="W133622" s="7"/>
    </row>
    <row r="133792" spans="22:23">
      <c r="V133792" s="7"/>
      <c r="W133792" s="7"/>
    </row>
    <row r="133962" spans="22:23">
      <c r="V133962" s="7"/>
      <c r="W133962" s="7"/>
    </row>
    <row r="134132" spans="22:23">
      <c r="V134132" s="7"/>
      <c r="W134132" s="7"/>
    </row>
    <row r="134302" spans="22:23">
      <c r="V134302" s="7"/>
      <c r="W134302" s="7"/>
    </row>
    <row r="134472" spans="22:23">
      <c r="V134472" s="7"/>
      <c r="W134472" s="7"/>
    </row>
    <row r="134642" spans="22:23">
      <c r="V134642" s="7"/>
      <c r="W134642" s="7"/>
    </row>
    <row r="134812" spans="22:23">
      <c r="V134812" s="7"/>
      <c r="W134812" s="7"/>
    </row>
    <row r="134982" spans="22:23">
      <c r="V134982" s="7"/>
      <c r="W134982" s="7"/>
    </row>
    <row r="135152" spans="22:23">
      <c r="V135152" s="7"/>
      <c r="W135152" s="7"/>
    </row>
    <row r="135322" spans="22:23">
      <c r="V135322" s="7"/>
      <c r="W135322" s="7"/>
    </row>
    <row r="135492" spans="22:23">
      <c r="V135492" s="7"/>
      <c r="W135492" s="7"/>
    </row>
    <row r="135662" spans="22:23">
      <c r="V135662" s="7"/>
      <c r="W135662" s="7"/>
    </row>
    <row r="135832" spans="22:23">
      <c r="V135832" s="7"/>
      <c r="W135832" s="7"/>
    </row>
    <row r="136002" spans="22:23">
      <c r="V136002" s="7"/>
      <c r="W136002" s="7"/>
    </row>
    <row r="136172" spans="22:23">
      <c r="V136172" s="7"/>
      <c r="W136172" s="7"/>
    </row>
    <row r="136342" spans="22:23">
      <c r="V136342" s="7"/>
      <c r="W136342" s="7"/>
    </row>
    <row r="136512" spans="22:23">
      <c r="V136512" s="7"/>
      <c r="W136512" s="7"/>
    </row>
    <row r="136682" spans="22:23">
      <c r="V136682" s="7"/>
      <c r="W136682" s="7"/>
    </row>
    <row r="136852" spans="22:23">
      <c r="V136852" s="7"/>
      <c r="W136852" s="7"/>
    </row>
    <row r="137022" spans="22:23">
      <c r="V137022" s="7"/>
      <c r="W137022" s="7"/>
    </row>
    <row r="137192" spans="22:23">
      <c r="V137192" s="7"/>
      <c r="W137192" s="7"/>
    </row>
    <row r="137362" spans="22:23">
      <c r="V137362" s="7"/>
      <c r="W137362" s="7"/>
    </row>
    <row r="137532" spans="22:23">
      <c r="V137532" s="7"/>
      <c r="W137532" s="7"/>
    </row>
    <row r="137702" spans="22:23">
      <c r="V137702" s="7"/>
      <c r="W137702" s="7"/>
    </row>
    <row r="137872" spans="22:23">
      <c r="V137872" s="7"/>
      <c r="W137872" s="7"/>
    </row>
    <row r="138042" spans="22:23">
      <c r="V138042" s="7"/>
      <c r="W138042" s="7"/>
    </row>
    <row r="138212" spans="22:23">
      <c r="V138212" s="7"/>
      <c r="W138212" s="7"/>
    </row>
    <row r="138382" spans="22:23">
      <c r="V138382" s="7"/>
      <c r="W138382" s="7"/>
    </row>
    <row r="138552" spans="22:23">
      <c r="V138552" s="7"/>
      <c r="W138552" s="7"/>
    </row>
    <row r="138722" spans="22:23">
      <c r="V138722" s="7"/>
      <c r="W138722" s="7"/>
    </row>
    <row r="138892" spans="22:23">
      <c r="V138892" s="7"/>
      <c r="W138892" s="7"/>
    </row>
    <row r="139062" spans="22:23">
      <c r="V139062" s="7"/>
      <c r="W139062" s="7"/>
    </row>
    <row r="139232" spans="22:23">
      <c r="V139232" s="7"/>
      <c r="W139232" s="7"/>
    </row>
    <row r="139402" spans="22:23">
      <c r="V139402" s="7"/>
      <c r="W139402" s="7"/>
    </row>
    <row r="139572" spans="22:23">
      <c r="V139572" s="7"/>
      <c r="W139572" s="7"/>
    </row>
    <row r="139742" spans="22:23">
      <c r="V139742" s="7"/>
      <c r="W139742" s="7"/>
    </row>
    <row r="139912" spans="22:23">
      <c r="V139912" s="7"/>
      <c r="W139912" s="7"/>
    </row>
    <row r="140082" spans="22:23">
      <c r="V140082" s="7"/>
      <c r="W140082" s="7"/>
    </row>
    <row r="140252" spans="22:23">
      <c r="V140252" s="7"/>
      <c r="W140252" s="7"/>
    </row>
    <row r="140422" spans="22:23">
      <c r="V140422" s="7"/>
      <c r="W140422" s="7"/>
    </row>
    <row r="140592" spans="22:23">
      <c r="V140592" s="7"/>
      <c r="W140592" s="7"/>
    </row>
    <row r="140762" spans="22:23">
      <c r="V140762" s="7"/>
      <c r="W140762" s="7"/>
    </row>
    <row r="140932" spans="22:23">
      <c r="V140932" s="7"/>
      <c r="W140932" s="7"/>
    </row>
    <row r="141102" spans="22:23">
      <c r="V141102" s="7"/>
      <c r="W141102" s="7"/>
    </row>
    <row r="141272" spans="22:23">
      <c r="V141272" s="7"/>
      <c r="W141272" s="7"/>
    </row>
    <row r="141442" spans="22:23">
      <c r="V141442" s="7"/>
      <c r="W141442" s="7"/>
    </row>
    <row r="141612" spans="22:23">
      <c r="V141612" s="7"/>
      <c r="W141612" s="7"/>
    </row>
    <row r="141782" spans="22:23">
      <c r="V141782" s="7"/>
      <c r="W141782" s="7"/>
    </row>
    <row r="141952" spans="22:23">
      <c r="V141952" s="7"/>
      <c r="W141952" s="7"/>
    </row>
    <row r="142122" spans="22:23">
      <c r="V142122" s="7"/>
      <c r="W142122" s="7"/>
    </row>
    <row r="142292" spans="22:23">
      <c r="V142292" s="7"/>
      <c r="W142292" s="7"/>
    </row>
    <row r="142462" spans="22:23">
      <c r="V142462" s="7"/>
      <c r="W142462" s="7"/>
    </row>
    <row r="142632" spans="22:23">
      <c r="V142632" s="7"/>
      <c r="W142632" s="7"/>
    </row>
    <row r="142802" spans="22:23">
      <c r="V142802" s="7"/>
      <c r="W142802" s="7"/>
    </row>
    <row r="142972" spans="22:23">
      <c r="V142972" s="7"/>
      <c r="W142972" s="7"/>
    </row>
    <row r="143142" spans="22:23">
      <c r="V143142" s="7"/>
      <c r="W143142" s="7"/>
    </row>
    <row r="143312" spans="22:23">
      <c r="V143312" s="7"/>
      <c r="W143312" s="7"/>
    </row>
    <row r="143482" spans="22:23">
      <c r="V143482" s="7"/>
      <c r="W143482" s="7"/>
    </row>
    <row r="143652" spans="22:23">
      <c r="V143652" s="7"/>
      <c r="W143652" s="7"/>
    </row>
    <row r="143822" spans="22:23">
      <c r="V143822" s="7"/>
      <c r="W143822" s="7"/>
    </row>
    <row r="143992" spans="22:23">
      <c r="V143992" s="7"/>
      <c r="W143992" s="7"/>
    </row>
    <row r="144162" spans="22:23">
      <c r="V144162" s="7"/>
      <c r="W144162" s="7"/>
    </row>
    <row r="144332" spans="22:23">
      <c r="V144332" s="7"/>
      <c r="W144332" s="7"/>
    </row>
    <row r="144502" spans="22:23">
      <c r="V144502" s="7"/>
      <c r="W144502" s="7"/>
    </row>
    <row r="144672" spans="22:23">
      <c r="V144672" s="7"/>
      <c r="W144672" s="7"/>
    </row>
    <row r="144842" spans="22:23">
      <c r="V144842" s="7"/>
      <c r="W144842" s="7"/>
    </row>
    <row r="145012" spans="22:23">
      <c r="V145012" s="7"/>
      <c r="W145012" s="7"/>
    </row>
    <row r="145182" spans="22:23">
      <c r="V145182" s="7"/>
      <c r="W145182" s="7"/>
    </row>
    <row r="145352" spans="22:23">
      <c r="V145352" s="7"/>
      <c r="W145352" s="7"/>
    </row>
    <row r="145522" spans="22:23">
      <c r="V145522" s="7"/>
      <c r="W145522" s="7"/>
    </row>
    <row r="145692" spans="22:23">
      <c r="V145692" s="7"/>
      <c r="W145692" s="7"/>
    </row>
    <row r="145862" spans="22:23">
      <c r="V145862" s="7"/>
      <c r="W145862" s="7"/>
    </row>
    <row r="146032" spans="22:23">
      <c r="V146032" s="7"/>
      <c r="W146032" s="7"/>
    </row>
    <row r="146202" spans="22:23">
      <c r="V146202" s="7"/>
      <c r="W146202" s="7"/>
    </row>
    <row r="146372" spans="22:23">
      <c r="V146372" s="7"/>
      <c r="W146372" s="7"/>
    </row>
    <row r="146542" spans="22:23">
      <c r="V146542" s="7"/>
      <c r="W146542" s="7"/>
    </row>
    <row r="146712" spans="22:23">
      <c r="V146712" s="7"/>
      <c r="W146712" s="7"/>
    </row>
    <row r="146882" spans="22:23">
      <c r="V146882" s="7"/>
      <c r="W146882" s="7"/>
    </row>
    <row r="147052" spans="22:23">
      <c r="V147052" s="7"/>
      <c r="W147052" s="7"/>
    </row>
    <row r="147222" spans="22:23">
      <c r="V147222" s="7"/>
      <c r="W147222" s="7"/>
    </row>
    <row r="147392" spans="22:23">
      <c r="V147392" s="7"/>
      <c r="W147392" s="7"/>
    </row>
    <row r="147562" spans="22:23">
      <c r="V147562" s="7"/>
      <c r="W147562" s="7"/>
    </row>
    <row r="147732" spans="22:23">
      <c r="V147732" s="7"/>
      <c r="W147732" s="7"/>
    </row>
    <row r="147902" spans="22:23">
      <c r="V147902" s="7"/>
      <c r="W147902" s="7"/>
    </row>
    <row r="148072" spans="22:23">
      <c r="V148072" s="7"/>
      <c r="W148072" s="7"/>
    </row>
    <row r="148242" spans="22:23">
      <c r="V148242" s="7"/>
      <c r="W148242" s="7"/>
    </row>
    <row r="148412" spans="22:23">
      <c r="V148412" s="7"/>
      <c r="W148412" s="7"/>
    </row>
    <row r="148582" spans="22:23">
      <c r="V148582" s="7"/>
      <c r="W148582" s="7"/>
    </row>
    <row r="148752" spans="22:23">
      <c r="V148752" s="7"/>
      <c r="W148752" s="7"/>
    </row>
    <row r="148922" spans="22:23">
      <c r="V148922" s="7"/>
      <c r="W148922" s="7"/>
    </row>
    <row r="149092" spans="22:23">
      <c r="V149092" s="7"/>
      <c r="W149092" s="7"/>
    </row>
    <row r="149262" spans="22:23">
      <c r="V149262" s="7"/>
      <c r="W149262" s="7"/>
    </row>
    <row r="149432" spans="22:23">
      <c r="V149432" s="7"/>
      <c r="W149432" s="7"/>
    </row>
    <row r="149602" spans="22:23">
      <c r="V149602" s="7"/>
      <c r="W149602" s="7"/>
    </row>
    <row r="149772" spans="22:23">
      <c r="V149772" s="7"/>
      <c r="W149772" s="7"/>
    </row>
    <row r="149942" spans="22:23">
      <c r="V149942" s="7"/>
      <c r="W149942" s="7"/>
    </row>
    <row r="150112" spans="22:23">
      <c r="V150112" s="7"/>
      <c r="W150112" s="7"/>
    </row>
    <row r="150282" spans="22:23">
      <c r="V150282" s="7"/>
      <c r="W150282" s="7"/>
    </row>
    <row r="150452" spans="22:23">
      <c r="V150452" s="7"/>
      <c r="W150452" s="7"/>
    </row>
    <row r="150622" spans="22:23">
      <c r="V150622" s="7"/>
      <c r="W150622" s="7"/>
    </row>
    <row r="150792" spans="22:23">
      <c r="V150792" s="7"/>
      <c r="W150792" s="7"/>
    </row>
    <row r="150962" spans="22:23">
      <c r="V150962" s="7"/>
      <c r="W150962" s="7"/>
    </row>
    <row r="151132" spans="22:23">
      <c r="V151132" s="7"/>
      <c r="W151132" s="7"/>
    </row>
    <row r="151302" spans="22:23">
      <c r="V151302" s="7"/>
      <c r="W151302" s="7"/>
    </row>
    <row r="151472" spans="22:23">
      <c r="V151472" s="7"/>
      <c r="W151472" s="7"/>
    </row>
    <row r="151642" spans="22:23">
      <c r="V151642" s="7"/>
      <c r="W151642" s="7"/>
    </row>
    <row r="151812" spans="22:23">
      <c r="V151812" s="7"/>
      <c r="W151812" s="7"/>
    </row>
    <row r="151982" spans="22:23">
      <c r="V151982" s="7"/>
      <c r="W151982" s="7"/>
    </row>
    <row r="152152" spans="22:23">
      <c r="V152152" s="7"/>
      <c r="W152152" s="7"/>
    </row>
    <row r="152322" spans="22:23">
      <c r="V152322" s="7"/>
      <c r="W152322" s="7"/>
    </row>
    <row r="152492" spans="22:23">
      <c r="V152492" s="7"/>
      <c r="W152492" s="7"/>
    </row>
    <row r="152662" spans="22:23">
      <c r="V152662" s="7"/>
      <c r="W152662" s="7"/>
    </row>
    <row r="152832" spans="22:23">
      <c r="V152832" s="7"/>
      <c r="W152832" s="7"/>
    </row>
    <row r="153002" spans="22:23">
      <c r="V153002" s="7"/>
      <c r="W153002" s="7"/>
    </row>
    <row r="153172" spans="22:23">
      <c r="V153172" s="7"/>
      <c r="W153172" s="7"/>
    </row>
    <row r="153342" spans="22:23">
      <c r="V153342" s="7"/>
      <c r="W153342" s="7"/>
    </row>
    <row r="153512" spans="22:23">
      <c r="V153512" s="7"/>
      <c r="W153512" s="7"/>
    </row>
    <row r="153682" spans="22:23">
      <c r="V153682" s="7"/>
      <c r="W153682" s="7"/>
    </row>
    <row r="153852" spans="22:23">
      <c r="V153852" s="7"/>
      <c r="W153852" s="7"/>
    </row>
    <row r="154022" spans="22:23">
      <c r="V154022" s="7"/>
      <c r="W154022" s="7"/>
    </row>
    <row r="154192" spans="22:23">
      <c r="V154192" s="7"/>
      <c r="W154192" s="7"/>
    </row>
    <row r="154362" spans="22:23">
      <c r="V154362" s="7"/>
      <c r="W154362" s="7"/>
    </row>
    <row r="154532" spans="22:23">
      <c r="V154532" s="7"/>
      <c r="W154532" s="7"/>
    </row>
    <row r="154702" spans="22:23">
      <c r="V154702" s="7"/>
      <c r="W154702" s="7"/>
    </row>
    <row r="154872" spans="22:23">
      <c r="V154872" s="7"/>
      <c r="W154872" s="7"/>
    </row>
    <row r="155042" spans="22:23">
      <c r="V155042" s="7"/>
      <c r="W155042" s="7"/>
    </row>
    <row r="155212" spans="22:23">
      <c r="V155212" s="7"/>
      <c r="W155212" s="7"/>
    </row>
    <row r="155382" spans="22:23">
      <c r="V155382" s="7"/>
      <c r="W155382" s="7"/>
    </row>
    <row r="155552" spans="22:23">
      <c r="V155552" s="7"/>
      <c r="W155552" s="7"/>
    </row>
    <row r="155722" spans="22:23">
      <c r="V155722" s="7"/>
      <c r="W155722" s="7"/>
    </row>
    <row r="155892" spans="22:23">
      <c r="V155892" s="7"/>
      <c r="W155892" s="7"/>
    </row>
    <row r="156062" spans="22:23">
      <c r="V156062" s="7"/>
      <c r="W156062" s="7"/>
    </row>
    <row r="156232" spans="22:23">
      <c r="V156232" s="7"/>
      <c r="W156232" s="7"/>
    </row>
    <row r="156402" spans="22:23">
      <c r="V156402" s="7"/>
      <c r="W156402" s="7"/>
    </row>
    <row r="156572" spans="22:23">
      <c r="V156572" s="7"/>
      <c r="W156572" s="7"/>
    </row>
    <row r="156742" spans="22:23">
      <c r="V156742" s="7"/>
      <c r="W156742" s="7"/>
    </row>
    <row r="156912" spans="22:23">
      <c r="V156912" s="7"/>
      <c r="W156912" s="7"/>
    </row>
    <row r="157082" spans="22:23">
      <c r="V157082" s="7"/>
      <c r="W157082" s="7"/>
    </row>
    <row r="157252" spans="22:23">
      <c r="V157252" s="7"/>
      <c r="W157252" s="7"/>
    </row>
    <row r="157422" spans="22:23">
      <c r="V157422" s="7"/>
      <c r="W157422" s="7"/>
    </row>
    <row r="157592" spans="22:23">
      <c r="V157592" s="7"/>
      <c r="W157592" s="7"/>
    </row>
    <row r="157762" spans="22:23">
      <c r="V157762" s="7"/>
      <c r="W157762" s="7"/>
    </row>
    <row r="157932" spans="22:23">
      <c r="V157932" s="7"/>
      <c r="W157932" s="7"/>
    </row>
    <row r="158102" spans="22:23">
      <c r="V158102" s="7"/>
      <c r="W158102" s="7"/>
    </row>
    <row r="158272" spans="22:23">
      <c r="V158272" s="7"/>
      <c r="W158272" s="7"/>
    </row>
    <row r="158442" spans="22:23">
      <c r="V158442" s="7"/>
      <c r="W158442" s="7"/>
    </row>
    <row r="158612" spans="22:23">
      <c r="V158612" s="7"/>
      <c r="W158612" s="7"/>
    </row>
    <row r="158782" spans="22:23">
      <c r="V158782" s="7"/>
      <c r="W158782" s="7"/>
    </row>
    <row r="158952" spans="22:23">
      <c r="V158952" s="7"/>
      <c r="W158952" s="7"/>
    </row>
    <row r="159122" spans="22:23">
      <c r="V159122" s="7"/>
      <c r="W159122" s="7"/>
    </row>
    <row r="159292" spans="22:23">
      <c r="V159292" s="7"/>
      <c r="W159292" s="7"/>
    </row>
    <row r="159462" spans="22:23">
      <c r="V159462" s="7"/>
      <c r="W159462" s="7"/>
    </row>
    <row r="159632" spans="22:23">
      <c r="V159632" s="7"/>
      <c r="W159632" s="7"/>
    </row>
    <row r="159802" spans="22:23">
      <c r="V159802" s="7"/>
      <c r="W159802" s="7"/>
    </row>
    <row r="159972" spans="22:23">
      <c r="V159972" s="7"/>
      <c r="W159972" s="7"/>
    </row>
    <row r="160142" spans="22:23">
      <c r="V160142" s="7"/>
      <c r="W160142" s="7"/>
    </row>
    <row r="160312" spans="22:23">
      <c r="V160312" s="7"/>
      <c r="W160312" s="7"/>
    </row>
    <row r="160482" spans="22:23">
      <c r="V160482" s="7"/>
      <c r="W160482" s="7"/>
    </row>
    <row r="160652" spans="22:23">
      <c r="V160652" s="7"/>
      <c r="W160652" s="7"/>
    </row>
    <row r="160822" spans="22:23">
      <c r="V160822" s="7"/>
      <c r="W160822" s="7"/>
    </row>
    <row r="160992" spans="22:23">
      <c r="V160992" s="7"/>
      <c r="W160992" s="7"/>
    </row>
    <row r="161162" spans="22:23">
      <c r="V161162" s="7"/>
      <c r="W161162" s="7"/>
    </row>
    <row r="161332" spans="22:23">
      <c r="V161332" s="7"/>
      <c r="W161332" s="7"/>
    </row>
    <row r="161502" spans="22:23">
      <c r="V161502" s="7"/>
      <c r="W161502" s="7"/>
    </row>
    <row r="161672" spans="22:23">
      <c r="V161672" s="7"/>
      <c r="W161672" s="7"/>
    </row>
    <row r="161842" spans="22:23">
      <c r="V161842" s="7"/>
      <c r="W161842" s="7"/>
    </row>
    <row r="162012" spans="22:23">
      <c r="V162012" s="7"/>
      <c r="W162012" s="7"/>
    </row>
    <row r="162182" spans="22:23">
      <c r="V162182" s="7"/>
      <c r="W162182" s="7"/>
    </row>
    <row r="162352" spans="22:23">
      <c r="V162352" s="7"/>
      <c r="W162352" s="7"/>
    </row>
    <row r="162522" spans="22:23">
      <c r="V162522" s="7"/>
      <c r="W162522" s="7"/>
    </row>
    <row r="162692" spans="22:23">
      <c r="V162692" s="7"/>
      <c r="W162692" s="7"/>
    </row>
    <row r="162862" spans="22:23">
      <c r="V162862" s="7"/>
      <c r="W162862" s="7"/>
    </row>
    <row r="163032" spans="22:23">
      <c r="V163032" s="7"/>
      <c r="W163032" s="7"/>
    </row>
    <row r="163202" spans="22:23">
      <c r="V163202" s="7"/>
      <c r="W163202" s="7"/>
    </row>
    <row r="163372" spans="22:23">
      <c r="V163372" s="7"/>
      <c r="W163372" s="7"/>
    </row>
    <row r="163542" spans="22:23">
      <c r="V163542" s="7"/>
      <c r="W163542" s="7"/>
    </row>
    <row r="163712" spans="22:23">
      <c r="V163712" s="7"/>
      <c r="W163712" s="7"/>
    </row>
    <row r="163882" spans="22:23">
      <c r="V163882" s="7"/>
      <c r="W163882" s="7"/>
    </row>
    <row r="164052" spans="22:23">
      <c r="V164052" s="7"/>
      <c r="W164052" s="7"/>
    </row>
    <row r="164222" spans="22:23">
      <c r="V164222" s="7"/>
      <c r="W164222" s="7"/>
    </row>
    <row r="164392" spans="22:23">
      <c r="V164392" s="7"/>
      <c r="W164392" s="7"/>
    </row>
    <row r="164562" spans="22:23">
      <c r="V164562" s="7"/>
      <c r="W164562" s="7"/>
    </row>
    <row r="164732" spans="22:23">
      <c r="V164732" s="7"/>
      <c r="W164732" s="7"/>
    </row>
    <row r="164902" spans="22:23">
      <c r="V164902" s="7"/>
      <c r="W164902" s="7"/>
    </row>
    <row r="165072" spans="22:23">
      <c r="V165072" s="7"/>
      <c r="W165072" s="7"/>
    </row>
    <row r="165242" spans="22:23">
      <c r="V165242" s="7"/>
      <c r="W165242" s="7"/>
    </row>
    <row r="165412" spans="22:23">
      <c r="V165412" s="7"/>
      <c r="W165412" s="7"/>
    </row>
    <row r="165582" spans="22:23">
      <c r="V165582" s="7"/>
      <c r="W165582" s="7"/>
    </row>
    <row r="165752" spans="22:23">
      <c r="V165752" s="7"/>
      <c r="W165752" s="7"/>
    </row>
    <row r="165922" spans="22:23">
      <c r="V165922" s="7"/>
      <c r="W165922" s="7"/>
    </row>
    <row r="166092" spans="22:23">
      <c r="V166092" s="7"/>
      <c r="W166092" s="7"/>
    </row>
    <row r="166262" spans="22:23">
      <c r="V166262" s="7"/>
      <c r="W166262" s="7"/>
    </row>
    <row r="166432" spans="22:23">
      <c r="V166432" s="7"/>
      <c r="W166432" s="7"/>
    </row>
    <row r="166602" spans="22:23">
      <c r="V166602" s="7"/>
      <c r="W166602" s="7"/>
    </row>
    <row r="166772" spans="22:23">
      <c r="V166772" s="7"/>
      <c r="W166772" s="7"/>
    </row>
    <row r="166942" spans="22:23">
      <c r="V166942" s="7"/>
      <c r="W166942" s="7"/>
    </row>
    <row r="167112" spans="22:23">
      <c r="V167112" s="7"/>
      <c r="W167112" s="7"/>
    </row>
    <row r="167282" spans="22:23">
      <c r="V167282" s="7"/>
      <c r="W167282" s="7"/>
    </row>
    <row r="167452" spans="22:23">
      <c r="V167452" s="7"/>
      <c r="W167452" s="7"/>
    </row>
    <row r="167622" spans="22:23">
      <c r="V167622" s="7"/>
      <c r="W167622" s="7"/>
    </row>
    <row r="167792" spans="22:23">
      <c r="V167792" s="7"/>
      <c r="W167792" s="7"/>
    </row>
    <row r="167962" spans="22:23">
      <c r="V167962" s="7"/>
      <c r="W167962" s="7"/>
    </row>
    <row r="168132" spans="22:23">
      <c r="V168132" s="7"/>
      <c r="W168132" s="7"/>
    </row>
    <row r="168302" spans="22:23">
      <c r="V168302" s="7"/>
      <c r="W168302" s="7"/>
    </row>
    <row r="168472" spans="22:23">
      <c r="V168472" s="7"/>
      <c r="W168472" s="7"/>
    </row>
    <row r="168642" spans="22:23">
      <c r="V168642" s="7"/>
      <c r="W168642" s="7"/>
    </row>
    <row r="168812" spans="22:23">
      <c r="V168812" s="7"/>
      <c r="W168812" s="7"/>
    </row>
    <row r="168982" spans="22:23">
      <c r="V168982" s="7"/>
      <c r="W168982" s="7"/>
    </row>
    <row r="169152" spans="22:23">
      <c r="V169152" s="7"/>
      <c r="W169152" s="7"/>
    </row>
    <row r="169322" spans="22:23">
      <c r="V169322" s="7"/>
      <c r="W169322" s="7"/>
    </row>
    <row r="169492" spans="22:23">
      <c r="V169492" s="7"/>
      <c r="W169492" s="7"/>
    </row>
    <row r="169662" spans="22:23">
      <c r="V169662" s="7"/>
      <c r="W169662" s="7"/>
    </row>
    <row r="169832" spans="22:23">
      <c r="V169832" s="7"/>
      <c r="W169832" s="7"/>
    </row>
    <row r="170002" spans="22:23">
      <c r="V170002" s="7"/>
      <c r="W170002" s="7"/>
    </row>
    <row r="170172" spans="22:23">
      <c r="V170172" s="7"/>
      <c r="W170172" s="7"/>
    </row>
    <row r="170342" spans="22:23">
      <c r="V170342" s="7"/>
      <c r="W170342" s="7"/>
    </row>
    <row r="170512" spans="22:23">
      <c r="V170512" s="7"/>
      <c r="W170512" s="7"/>
    </row>
    <row r="170682" spans="22:23">
      <c r="V170682" s="7"/>
      <c r="W170682" s="7"/>
    </row>
    <row r="170852" spans="22:23">
      <c r="V170852" s="7"/>
      <c r="W170852" s="7"/>
    </row>
    <row r="171022" spans="22:23">
      <c r="V171022" s="7"/>
      <c r="W171022" s="7"/>
    </row>
    <row r="171192" spans="22:23">
      <c r="V171192" s="7"/>
      <c r="W171192" s="7"/>
    </row>
    <row r="171362" spans="22:23">
      <c r="V171362" s="7"/>
      <c r="W171362" s="7"/>
    </row>
    <row r="171532" spans="22:23">
      <c r="V171532" s="7"/>
      <c r="W171532" s="7"/>
    </row>
    <row r="171702" spans="22:23">
      <c r="V171702" s="7"/>
      <c r="W171702" s="7"/>
    </row>
    <row r="171872" spans="22:23">
      <c r="V171872" s="7"/>
      <c r="W171872" s="7"/>
    </row>
    <row r="172042" spans="22:23">
      <c r="V172042" s="7"/>
      <c r="W172042" s="7"/>
    </row>
    <row r="172212" spans="22:23">
      <c r="V172212" s="7"/>
      <c r="W172212" s="7"/>
    </row>
    <row r="172382" spans="22:23">
      <c r="V172382" s="7"/>
      <c r="W172382" s="7"/>
    </row>
    <row r="172552" spans="22:23">
      <c r="V172552" s="7"/>
      <c r="W172552" s="7"/>
    </row>
    <row r="172722" spans="22:23">
      <c r="V172722" s="7"/>
      <c r="W172722" s="7"/>
    </row>
    <row r="172892" spans="22:23">
      <c r="V172892" s="7"/>
      <c r="W172892" s="7"/>
    </row>
    <row r="173062" spans="22:23">
      <c r="V173062" s="7"/>
      <c r="W173062" s="7"/>
    </row>
    <row r="173232" spans="22:23">
      <c r="V173232" s="7"/>
      <c r="W173232" s="7"/>
    </row>
    <row r="173402" spans="22:23">
      <c r="V173402" s="7"/>
      <c r="W173402" s="7"/>
    </row>
    <row r="173572" spans="22:23">
      <c r="V173572" s="7"/>
      <c r="W173572" s="7"/>
    </row>
    <row r="173742" spans="22:23">
      <c r="V173742" s="7"/>
      <c r="W173742" s="7"/>
    </row>
    <row r="173912" spans="22:23">
      <c r="V173912" s="7"/>
      <c r="W173912" s="7"/>
    </row>
    <row r="174082" spans="22:23">
      <c r="V174082" s="7"/>
      <c r="W174082" s="7"/>
    </row>
    <row r="174252" spans="22:23">
      <c r="V174252" s="7"/>
      <c r="W174252" s="7"/>
    </row>
    <row r="174422" spans="22:23">
      <c r="V174422" s="7"/>
      <c r="W174422" s="7"/>
    </row>
    <row r="174592" spans="22:23">
      <c r="V174592" s="7"/>
      <c r="W174592" s="7"/>
    </row>
    <row r="174762" spans="22:23">
      <c r="V174762" s="7"/>
      <c r="W174762" s="7"/>
    </row>
    <row r="174932" spans="22:23">
      <c r="V174932" s="7"/>
      <c r="W174932" s="7"/>
    </row>
    <row r="175102" spans="22:23">
      <c r="V175102" s="7"/>
      <c r="W175102" s="7"/>
    </row>
    <row r="175272" spans="22:23">
      <c r="V175272" s="7"/>
      <c r="W175272" s="7"/>
    </row>
    <row r="175442" spans="22:23">
      <c r="V175442" s="7"/>
      <c r="W175442" s="7"/>
    </row>
    <row r="175612" spans="22:23">
      <c r="V175612" s="7"/>
      <c r="W175612" s="7"/>
    </row>
    <row r="175782" spans="22:23">
      <c r="V175782" s="7"/>
      <c r="W175782" s="7"/>
    </row>
    <row r="175952" spans="22:23">
      <c r="V175952" s="7"/>
      <c r="W175952" s="7"/>
    </row>
    <row r="176122" spans="22:23">
      <c r="V176122" s="7"/>
      <c r="W176122" s="7"/>
    </row>
    <row r="176292" spans="22:23">
      <c r="V176292" s="7"/>
      <c r="W176292" s="7"/>
    </row>
    <row r="176462" spans="22:23">
      <c r="V176462" s="7"/>
      <c r="W176462" s="7"/>
    </row>
    <row r="176632" spans="22:23">
      <c r="V176632" s="7"/>
      <c r="W176632" s="7"/>
    </row>
    <row r="176802" spans="22:23">
      <c r="V176802" s="7"/>
      <c r="W176802" s="7"/>
    </row>
    <row r="176972" spans="22:23">
      <c r="V176972" s="7"/>
      <c r="W176972" s="7"/>
    </row>
    <row r="177142" spans="22:23">
      <c r="V177142" s="7"/>
      <c r="W177142" s="7"/>
    </row>
    <row r="177312" spans="22:23">
      <c r="V177312" s="7"/>
      <c r="W177312" s="7"/>
    </row>
    <row r="177482" spans="22:23">
      <c r="V177482" s="7"/>
      <c r="W177482" s="7"/>
    </row>
    <row r="177652" spans="22:23">
      <c r="V177652" s="7"/>
      <c r="W177652" s="7"/>
    </row>
    <row r="177822" spans="22:23">
      <c r="V177822" s="7"/>
      <c r="W177822" s="7"/>
    </row>
    <row r="177992" spans="22:23">
      <c r="V177992" s="7"/>
      <c r="W177992" s="7"/>
    </row>
    <row r="178162" spans="22:23">
      <c r="V178162" s="7"/>
      <c r="W178162" s="7"/>
    </row>
    <row r="178332" spans="22:23">
      <c r="V178332" s="7"/>
      <c r="W178332" s="7"/>
    </row>
    <row r="178502" spans="22:23">
      <c r="V178502" s="7"/>
      <c r="W178502" s="7"/>
    </row>
    <row r="178672" spans="22:23">
      <c r="V178672" s="7"/>
      <c r="W178672" s="7"/>
    </row>
    <row r="178842" spans="22:23">
      <c r="V178842" s="7"/>
      <c r="W178842" s="7"/>
    </row>
    <row r="179012" spans="22:23">
      <c r="V179012" s="7"/>
      <c r="W179012" s="7"/>
    </row>
    <row r="179182" spans="22:23">
      <c r="V179182" s="7"/>
      <c r="W179182" s="7"/>
    </row>
    <row r="179352" spans="22:23">
      <c r="V179352" s="7"/>
      <c r="W179352" s="7"/>
    </row>
    <row r="179522" spans="22:23">
      <c r="V179522" s="7"/>
      <c r="W179522" s="7"/>
    </row>
    <row r="179692" spans="22:23">
      <c r="V179692" s="7"/>
      <c r="W179692" s="7"/>
    </row>
    <row r="179862" spans="22:23">
      <c r="V179862" s="7"/>
      <c r="W179862" s="7"/>
    </row>
    <row r="180032" spans="22:23">
      <c r="V180032" s="7"/>
      <c r="W180032" s="7"/>
    </row>
    <row r="180202" spans="22:23">
      <c r="V180202" s="7"/>
      <c r="W180202" s="7"/>
    </row>
    <row r="180372" spans="22:23">
      <c r="V180372" s="7"/>
      <c r="W180372" s="7"/>
    </row>
    <row r="180542" spans="22:23">
      <c r="V180542" s="7"/>
      <c r="W180542" s="7"/>
    </row>
    <row r="180712" spans="22:23">
      <c r="V180712" s="7"/>
      <c r="W180712" s="7"/>
    </row>
    <row r="180882" spans="22:23">
      <c r="V180882" s="7"/>
      <c r="W180882" s="7"/>
    </row>
    <row r="181052" spans="22:23">
      <c r="V181052" s="7"/>
      <c r="W181052" s="7"/>
    </row>
    <row r="181222" spans="22:23">
      <c r="V181222" s="7"/>
      <c r="W181222" s="7"/>
    </row>
    <row r="181392" spans="22:23">
      <c r="V181392" s="7"/>
      <c r="W181392" s="7"/>
    </row>
    <row r="181562" spans="22:23">
      <c r="V181562" s="7"/>
      <c r="W181562" s="7"/>
    </row>
    <row r="181732" spans="22:23">
      <c r="V181732" s="7"/>
      <c r="W181732" s="7"/>
    </row>
    <row r="181902" spans="22:23">
      <c r="V181902" s="7"/>
      <c r="W181902" s="7"/>
    </row>
    <row r="182072" spans="22:23">
      <c r="V182072" s="7"/>
      <c r="W182072" s="7"/>
    </row>
    <row r="182242" spans="22:23">
      <c r="V182242" s="7"/>
      <c r="W182242" s="7"/>
    </row>
    <row r="182412" spans="22:23">
      <c r="V182412" s="7"/>
      <c r="W182412" s="7"/>
    </row>
    <row r="182582" spans="22:23">
      <c r="V182582" s="7"/>
      <c r="W182582" s="7"/>
    </row>
    <row r="182752" spans="22:23">
      <c r="V182752" s="7"/>
      <c r="W182752" s="7"/>
    </row>
    <row r="182922" spans="22:23">
      <c r="V182922" s="7"/>
      <c r="W182922" s="7"/>
    </row>
    <row r="183092" spans="22:23">
      <c r="V183092" s="7"/>
      <c r="W183092" s="7"/>
    </row>
    <row r="183262" spans="22:23">
      <c r="V183262" s="7"/>
      <c r="W183262" s="7"/>
    </row>
    <row r="183432" spans="22:23">
      <c r="V183432" s="7"/>
      <c r="W183432" s="7"/>
    </row>
    <row r="183602" spans="22:23">
      <c r="V183602" s="7"/>
      <c r="W183602" s="7"/>
    </row>
    <row r="183772" spans="22:23">
      <c r="V183772" s="7"/>
      <c r="W183772" s="7"/>
    </row>
    <row r="183942" spans="22:23">
      <c r="V183942" s="7"/>
      <c r="W183942" s="7"/>
    </row>
    <row r="184112" spans="22:23">
      <c r="V184112" s="7"/>
      <c r="W184112" s="7"/>
    </row>
    <row r="184282" spans="22:23">
      <c r="V184282" s="7"/>
      <c r="W184282" s="7"/>
    </row>
    <row r="184452" spans="22:23">
      <c r="V184452" s="7"/>
      <c r="W184452" s="7"/>
    </row>
    <row r="184622" spans="22:23">
      <c r="V184622" s="7"/>
      <c r="W184622" s="7"/>
    </row>
    <row r="184792" spans="22:23">
      <c r="V184792" s="7"/>
      <c r="W184792" s="7"/>
    </row>
    <row r="184962" spans="22:23">
      <c r="V184962" s="7"/>
      <c r="W184962" s="7"/>
    </row>
    <row r="185132" spans="22:23">
      <c r="V185132" s="7"/>
      <c r="W185132" s="7"/>
    </row>
    <row r="185302" spans="22:23">
      <c r="V185302" s="7"/>
      <c r="W185302" s="7"/>
    </row>
    <row r="185472" spans="22:23">
      <c r="V185472" s="7"/>
      <c r="W185472" s="7"/>
    </row>
    <row r="185642" spans="22:23">
      <c r="V185642" s="7"/>
      <c r="W185642" s="7"/>
    </row>
    <row r="185812" spans="22:23">
      <c r="V185812" s="7"/>
      <c r="W185812" s="7"/>
    </row>
    <row r="185982" spans="22:23">
      <c r="V185982" s="7"/>
      <c r="W185982" s="7"/>
    </row>
    <row r="186152" spans="22:23">
      <c r="V186152" s="7"/>
      <c r="W186152" s="7"/>
    </row>
    <row r="186322" spans="22:23">
      <c r="V186322" s="7"/>
      <c r="W186322" s="7"/>
    </row>
    <row r="186492" spans="22:23">
      <c r="V186492" s="7"/>
      <c r="W186492" s="7"/>
    </row>
    <row r="186662" spans="22:23">
      <c r="V186662" s="7"/>
      <c r="W186662" s="7"/>
    </row>
    <row r="186832" spans="22:23">
      <c r="V186832" s="7"/>
      <c r="W186832" s="7"/>
    </row>
    <row r="187002" spans="22:23">
      <c r="V187002" s="7"/>
      <c r="W187002" s="7"/>
    </row>
    <row r="187172" spans="22:23">
      <c r="V187172" s="7"/>
      <c r="W187172" s="7"/>
    </row>
    <row r="187342" spans="22:23">
      <c r="V187342" s="7"/>
      <c r="W187342" s="7"/>
    </row>
    <row r="187512" spans="22:23">
      <c r="V187512" s="7"/>
      <c r="W187512" s="7"/>
    </row>
    <row r="187682" spans="22:23">
      <c r="V187682" s="7"/>
      <c r="W187682" s="7"/>
    </row>
    <row r="187852" spans="22:23">
      <c r="V187852" s="7"/>
      <c r="W187852" s="7"/>
    </row>
    <row r="188022" spans="22:23">
      <c r="V188022" s="7"/>
      <c r="W188022" s="7"/>
    </row>
    <row r="188192" spans="22:23">
      <c r="V188192" s="7"/>
      <c r="W188192" s="7"/>
    </row>
    <row r="188362" spans="22:23">
      <c r="V188362" s="7"/>
      <c r="W188362" s="7"/>
    </row>
    <row r="188532" spans="22:23">
      <c r="V188532" s="7"/>
      <c r="W188532" s="7"/>
    </row>
    <row r="188702" spans="22:23">
      <c r="V188702" s="7"/>
      <c r="W188702" s="7"/>
    </row>
    <row r="188872" spans="22:23">
      <c r="V188872" s="7"/>
      <c r="W188872" s="7"/>
    </row>
    <row r="189042" spans="22:23">
      <c r="V189042" s="7"/>
      <c r="W189042" s="7"/>
    </row>
    <row r="189212" spans="22:23">
      <c r="V189212" s="7"/>
      <c r="W189212" s="7"/>
    </row>
    <row r="189382" spans="22:23">
      <c r="V189382" s="7"/>
      <c r="W189382" s="7"/>
    </row>
    <row r="189552" spans="22:23">
      <c r="V189552" s="7"/>
      <c r="W189552" s="7"/>
    </row>
    <row r="189722" spans="22:23">
      <c r="V189722" s="7"/>
      <c r="W189722" s="7"/>
    </row>
    <row r="189892" spans="22:23">
      <c r="V189892" s="7"/>
      <c r="W189892" s="7"/>
    </row>
    <row r="190062" spans="22:23">
      <c r="V190062" s="7"/>
      <c r="W190062" s="7"/>
    </row>
    <row r="190232" spans="22:23">
      <c r="V190232" s="7"/>
      <c r="W190232" s="7"/>
    </row>
    <row r="190402" spans="22:23">
      <c r="V190402" s="7"/>
      <c r="W190402" s="7"/>
    </row>
    <row r="190572" spans="22:23">
      <c r="V190572" s="7"/>
      <c r="W190572" s="7"/>
    </row>
    <row r="190742" spans="22:23">
      <c r="V190742" s="7"/>
      <c r="W190742" s="7"/>
    </row>
    <row r="190912" spans="22:23">
      <c r="V190912" s="7"/>
      <c r="W190912" s="7"/>
    </row>
    <row r="191082" spans="22:23">
      <c r="V191082" s="7"/>
      <c r="W191082" s="7"/>
    </row>
    <row r="191252" spans="22:23">
      <c r="V191252" s="7"/>
      <c r="W191252" s="7"/>
    </row>
    <row r="191422" spans="22:23">
      <c r="V191422" s="7"/>
      <c r="W191422" s="7"/>
    </row>
    <row r="191592" spans="22:23">
      <c r="V191592" s="7"/>
      <c r="W191592" s="7"/>
    </row>
    <row r="191762" spans="22:23">
      <c r="V191762" s="7"/>
      <c r="W191762" s="7"/>
    </row>
    <row r="191932" spans="22:23">
      <c r="V191932" s="7"/>
      <c r="W191932" s="7"/>
    </row>
    <row r="192102" spans="22:23">
      <c r="V192102" s="7"/>
      <c r="W192102" s="7"/>
    </row>
    <row r="192272" spans="22:23">
      <c r="V192272" s="7"/>
      <c r="W192272" s="7"/>
    </row>
    <row r="192442" spans="22:23">
      <c r="V192442" s="7"/>
      <c r="W192442" s="7"/>
    </row>
    <row r="192612" spans="22:23">
      <c r="V192612" s="7"/>
      <c r="W192612" s="7"/>
    </row>
    <row r="192782" spans="22:23">
      <c r="V192782" s="7"/>
      <c r="W192782" s="7"/>
    </row>
    <row r="192952" spans="22:23">
      <c r="V192952" s="7"/>
      <c r="W192952" s="7"/>
    </row>
    <row r="193122" spans="22:23">
      <c r="V193122" s="7"/>
      <c r="W193122" s="7"/>
    </row>
    <row r="193292" spans="22:23">
      <c r="V193292" s="7"/>
      <c r="W193292" s="7"/>
    </row>
    <row r="193462" spans="22:23">
      <c r="V193462" s="7"/>
      <c r="W193462" s="7"/>
    </row>
    <row r="193632" spans="22:23">
      <c r="V193632" s="7"/>
      <c r="W193632" s="7"/>
    </row>
    <row r="193802" spans="22:23">
      <c r="V193802" s="7"/>
      <c r="W193802" s="7"/>
    </row>
    <row r="193972" spans="22:23">
      <c r="V193972" s="7"/>
      <c r="W193972" s="7"/>
    </row>
    <row r="194142" spans="22:23">
      <c r="V194142" s="7"/>
      <c r="W194142" s="7"/>
    </row>
    <row r="194312" spans="22:23">
      <c r="V194312" s="7"/>
      <c r="W194312" s="7"/>
    </row>
    <row r="194482" spans="22:23">
      <c r="V194482" s="7"/>
      <c r="W194482" s="7"/>
    </row>
    <row r="194652" spans="22:23">
      <c r="V194652" s="7"/>
      <c r="W194652" s="7"/>
    </row>
    <row r="194822" spans="22:23">
      <c r="V194822" s="7"/>
      <c r="W194822" s="7"/>
    </row>
    <row r="194992" spans="22:23">
      <c r="V194992" s="7"/>
      <c r="W194992" s="7"/>
    </row>
    <row r="195162" spans="22:23">
      <c r="V195162" s="7"/>
      <c r="W195162" s="7"/>
    </row>
    <row r="195332" spans="22:23">
      <c r="V195332" s="7"/>
      <c r="W195332" s="7"/>
    </row>
    <row r="195502" spans="22:23">
      <c r="V195502" s="7"/>
      <c r="W195502" s="7"/>
    </row>
    <row r="195672" spans="22:23">
      <c r="V195672" s="7"/>
      <c r="W195672" s="7"/>
    </row>
    <row r="195842" spans="22:23">
      <c r="V195842" s="7"/>
      <c r="W195842" s="7"/>
    </row>
    <row r="196012" spans="22:23">
      <c r="V196012" s="7"/>
      <c r="W196012" s="7"/>
    </row>
    <row r="196182" spans="22:23">
      <c r="V196182" s="7"/>
      <c r="W196182" s="7"/>
    </row>
    <row r="196352" spans="22:23">
      <c r="V196352" s="7"/>
      <c r="W196352" s="7"/>
    </row>
    <row r="196522" spans="22:23">
      <c r="V196522" s="7"/>
      <c r="W196522" s="7"/>
    </row>
    <row r="196692" spans="22:23">
      <c r="V196692" s="7"/>
      <c r="W196692" s="7"/>
    </row>
    <row r="196862" spans="22:23">
      <c r="V196862" s="7"/>
      <c r="W196862" s="7"/>
    </row>
    <row r="197032" spans="22:23">
      <c r="V197032" s="7"/>
      <c r="W197032" s="7"/>
    </row>
    <row r="197202" spans="22:23">
      <c r="V197202" s="7"/>
      <c r="W197202" s="7"/>
    </row>
    <row r="197372" spans="22:23">
      <c r="V197372" s="7"/>
      <c r="W197372" s="7"/>
    </row>
    <row r="197542" spans="22:23">
      <c r="V197542" s="7"/>
      <c r="W197542" s="7"/>
    </row>
    <row r="197712" spans="22:23">
      <c r="V197712" s="7"/>
      <c r="W197712" s="7"/>
    </row>
    <row r="197882" spans="22:23">
      <c r="V197882" s="7"/>
      <c r="W197882" s="7"/>
    </row>
    <row r="198052" spans="22:23">
      <c r="V198052" s="7"/>
      <c r="W198052" s="7"/>
    </row>
    <row r="198222" spans="22:23">
      <c r="V198222" s="7"/>
      <c r="W198222" s="7"/>
    </row>
    <row r="198392" spans="22:23">
      <c r="V198392" s="7"/>
      <c r="W198392" s="7"/>
    </row>
    <row r="198562" spans="22:23">
      <c r="V198562" s="7"/>
      <c r="W198562" s="7"/>
    </row>
    <row r="198732" spans="22:23">
      <c r="V198732" s="7"/>
      <c r="W198732" s="7"/>
    </row>
    <row r="198902" spans="22:23">
      <c r="V198902" s="7"/>
      <c r="W198902" s="7"/>
    </row>
    <row r="199072" spans="22:23">
      <c r="V199072" s="7"/>
      <c r="W199072" s="7"/>
    </row>
    <row r="199242" spans="22:23">
      <c r="V199242" s="7"/>
      <c r="W199242" s="7"/>
    </row>
    <row r="199412" spans="22:23">
      <c r="V199412" s="7"/>
      <c r="W199412" s="7"/>
    </row>
    <row r="199582" spans="22:23">
      <c r="V199582" s="7"/>
      <c r="W199582" s="7"/>
    </row>
    <row r="199752" spans="22:23">
      <c r="V199752" s="7"/>
      <c r="W199752" s="7"/>
    </row>
    <row r="199922" spans="22:23">
      <c r="V199922" s="7"/>
      <c r="W199922" s="7"/>
    </row>
    <row r="200092" spans="22:23">
      <c r="V200092" s="7"/>
      <c r="W200092" s="7"/>
    </row>
    <row r="200262" spans="22:23">
      <c r="V200262" s="7"/>
      <c r="W200262" s="7"/>
    </row>
    <row r="200432" spans="22:23">
      <c r="V200432" s="7"/>
      <c r="W200432" s="7"/>
    </row>
    <row r="200602" spans="22:23">
      <c r="V200602" s="7"/>
      <c r="W200602" s="7"/>
    </row>
    <row r="200772" spans="22:23">
      <c r="V200772" s="7"/>
      <c r="W200772" s="7"/>
    </row>
    <row r="200942" spans="22:23">
      <c r="V200942" s="7"/>
      <c r="W200942" s="7"/>
    </row>
    <row r="201112" spans="22:23">
      <c r="V201112" s="7"/>
      <c r="W201112" s="7"/>
    </row>
    <row r="201282" spans="22:23">
      <c r="V201282" s="7"/>
      <c r="W201282" s="7"/>
    </row>
    <row r="201452" spans="22:23">
      <c r="V201452" s="7"/>
      <c r="W201452" s="7"/>
    </row>
    <row r="201622" spans="22:23">
      <c r="V201622" s="7"/>
      <c r="W201622" s="7"/>
    </row>
    <row r="201792" spans="22:23">
      <c r="V201792" s="7"/>
      <c r="W201792" s="7"/>
    </row>
    <row r="201962" spans="22:23">
      <c r="V201962" s="7"/>
      <c r="W201962" s="7"/>
    </row>
    <row r="202132" spans="22:23">
      <c r="V202132" s="7"/>
      <c r="W202132" s="7"/>
    </row>
    <row r="202302" spans="22:23">
      <c r="V202302" s="7"/>
      <c r="W202302" s="7"/>
    </row>
    <row r="202472" spans="22:23">
      <c r="V202472" s="7"/>
      <c r="W202472" s="7"/>
    </row>
    <row r="202642" spans="22:23">
      <c r="V202642" s="7"/>
      <c r="W202642" s="7"/>
    </row>
    <row r="202812" spans="22:23">
      <c r="V202812" s="7"/>
      <c r="W202812" s="7"/>
    </row>
    <row r="202982" spans="22:23">
      <c r="V202982" s="7"/>
      <c r="W202982" s="7"/>
    </row>
    <row r="203152" spans="22:23">
      <c r="V203152" s="7"/>
      <c r="W203152" s="7"/>
    </row>
    <row r="203322" spans="22:23">
      <c r="V203322" s="7"/>
      <c r="W203322" s="7"/>
    </row>
    <row r="203492" spans="22:23">
      <c r="V203492" s="7"/>
      <c r="W203492" s="7"/>
    </row>
    <row r="203662" spans="22:23">
      <c r="V203662" s="7"/>
      <c r="W203662" s="7"/>
    </row>
    <row r="203832" spans="22:23">
      <c r="V203832" s="7"/>
      <c r="W203832" s="7"/>
    </row>
    <row r="204002" spans="22:23">
      <c r="V204002" s="7"/>
      <c r="W204002" s="7"/>
    </row>
    <row r="204172" spans="22:23">
      <c r="V204172" s="7"/>
      <c r="W204172" s="7"/>
    </row>
    <row r="204342" spans="22:23">
      <c r="V204342" s="7"/>
      <c r="W204342" s="7"/>
    </row>
    <row r="204512" spans="22:23">
      <c r="V204512" s="7"/>
      <c r="W204512" s="7"/>
    </row>
    <row r="204682" spans="22:23">
      <c r="V204682" s="7"/>
      <c r="W204682" s="7"/>
    </row>
    <row r="204852" spans="22:23">
      <c r="V204852" s="7"/>
      <c r="W204852" s="7"/>
    </row>
    <row r="205022" spans="22:23">
      <c r="V205022" s="7"/>
      <c r="W205022" s="7"/>
    </row>
    <row r="205192" spans="22:23">
      <c r="V205192" s="7"/>
      <c r="W205192" s="7"/>
    </row>
    <row r="205362" spans="22:23">
      <c r="V205362" s="7"/>
      <c r="W205362" s="7"/>
    </row>
    <row r="205532" spans="22:23">
      <c r="V205532" s="7"/>
      <c r="W205532" s="7"/>
    </row>
    <row r="205702" spans="22:23">
      <c r="V205702" s="7"/>
      <c r="W205702" s="7"/>
    </row>
    <row r="205872" spans="22:23">
      <c r="V205872" s="7"/>
      <c r="W205872" s="7"/>
    </row>
    <row r="206042" spans="22:23">
      <c r="V206042" s="7"/>
      <c r="W206042" s="7"/>
    </row>
    <row r="206212" spans="22:23">
      <c r="V206212" s="7"/>
      <c r="W206212" s="7"/>
    </row>
    <row r="206382" spans="22:23">
      <c r="V206382" s="7"/>
      <c r="W206382" s="7"/>
    </row>
    <row r="206552" spans="22:23">
      <c r="V206552" s="7"/>
      <c r="W206552" s="7"/>
    </row>
    <row r="206722" spans="22:23">
      <c r="V206722" s="7"/>
      <c r="W206722" s="7"/>
    </row>
    <row r="206892" spans="22:23">
      <c r="V206892" s="7"/>
      <c r="W206892" s="7"/>
    </row>
    <row r="207062" spans="22:23">
      <c r="V207062" s="7"/>
      <c r="W207062" s="7"/>
    </row>
    <row r="207232" spans="22:23">
      <c r="V207232" s="7"/>
      <c r="W207232" s="7"/>
    </row>
    <row r="207402" spans="22:23">
      <c r="V207402" s="7"/>
      <c r="W207402" s="7"/>
    </row>
    <row r="207572" spans="22:23">
      <c r="V207572" s="7"/>
      <c r="W207572" s="7"/>
    </row>
    <row r="207742" spans="22:23">
      <c r="V207742" s="7"/>
      <c r="W207742" s="7"/>
    </row>
    <row r="207912" spans="22:23">
      <c r="V207912" s="7"/>
      <c r="W207912" s="7"/>
    </row>
    <row r="208082" spans="22:23">
      <c r="V208082" s="7"/>
      <c r="W208082" s="7"/>
    </row>
    <row r="208252" spans="22:23">
      <c r="V208252" s="7"/>
      <c r="W208252" s="7"/>
    </row>
    <row r="208422" spans="22:23">
      <c r="V208422" s="7"/>
      <c r="W208422" s="7"/>
    </row>
    <row r="208592" spans="22:23">
      <c r="V208592" s="7"/>
      <c r="W208592" s="7"/>
    </row>
    <row r="208762" spans="22:23">
      <c r="V208762" s="7"/>
      <c r="W208762" s="7"/>
    </row>
    <row r="208932" spans="22:23">
      <c r="V208932" s="7"/>
      <c r="W208932" s="7"/>
    </row>
    <row r="209102" spans="22:23">
      <c r="V209102" s="7"/>
      <c r="W209102" s="7"/>
    </row>
    <row r="209272" spans="22:23">
      <c r="V209272" s="7"/>
      <c r="W209272" s="7"/>
    </row>
    <row r="209442" spans="22:23">
      <c r="V209442" s="7"/>
      <c r="W209442" s="7"/>
    </row>
    <row r="209612" spans="22:23">
      <c r="V209612" s="7"/>
      <c r="W209612" s="7"/>
    </row>
    <row r="209782" spans="22:23">
      <c r="V209782" s="7"/>
      <c r="W209782" s="7"/>
    </row>
    <row r="209952" spans="22:23">
      <c r="V209952" s="7"/>
      <c r="W209952" s="7"/>
    </row>
    <row r="210122" spans="22:23">
      <c r="V210122" s="7"/>
      <c r="W210122" s="7"/>
    </row>
    <row r="210292" spans="22:23">
      <c r="V210292" s="7"/>
      <c r="W210292" s="7"/>
    </row>
    <row r="210462" spans="22:23">
      <c r="V210462" s="7"/>
      <c r="W210462" s="7"/>
    </row>
    <row r="210632" spans="22:23">
      <c r="V210632" s="7"/>
      <c r="W210632" s="7"/>
    </row>
    <row r="210802" spans="22:23">
      <c r="V210802" s="7"/>
      <c r="W210802" s="7"/>
    </row>
    <row r="210972" spans="22:23">
      <c r="V210972" s="7"/>
      <c r="W210972" s="7"/>
    </row>
    <row r="211142" spans="22:23">
      <c r="V211142" s="7"/>
      <c r="W211142" s="7"/>
    </row>
    <row r="211312" spans="22:23">
      <c r="V211312" s="7"/>
      <c r="W211312" s="7"/>
    </row>
    <row r="211482" spans="22:23">
      <c r="V211482" s="7"/>
      <c r="W211482" s="7"/>
    </row>
    <row r="211652" spans="22:23">
      <c r="V211652" s="7"/>
      <c r="W211652" s="7"/>
    </row>
    <row r="211822" spans="22:23">
      <c r="V211822" s="7"/>
      <c r="W211822" s="7"/>
    </row>
    <row r="211992" spans="22:23">
      <c r="V211992" s="7"/>
      <c r="W211992" s="7"/>
    </row>
    <row r="212162" spans="22:23">
      <c r="V212162" s="7"/>
      <c r="W212162" s="7"/>
    </row>
    <row r="212332" spans="22:23">
      <c r="V212332" s="7"/>
      <c r="W212332" s="7"/>
    </row>
    <row r="212502" spans="22:23">
      <c r="V212502" s="7"/>
      <c r="W212502" s="7"/>
    </row>
    <row r="212672" spans="22:23">
      <c r="V212672" s="7"/>
      <c r="W212672" s="7"/>
    </row>
    <row r="212842" spans="22:23">
      <c r="V212842" s="7"/>
      <c r="W212842" s="7"/>
    </row>
    <row r="213012" spans="22:23">
      <c r="V213012" s="7"/>
      <c r="W213012" s="7"/>
    </row>
    <row r="213182" spans="22:23">
      <c r="V213182" s="7"/>
      <c r="W213182" s="7"/>
    </row>
    <row r="213352" spans="22:23">
      <c r="V213352" s="7"/>
      <c r="W213352" s="7"/>
    </row>
    <row r="213522" spans="22:23">
      <c r="V213522" s="7"/>
      <c r="W213522" s="7"/>
    </row>
    <row r="213692" spans="22:23">
      <c r="V213692" s="7"/>
      <c r="W213692" s="7"/>
    </row>
    <row r="213862" spans="22:23">
      <c r="V213862" s="7"/>
      <c r="W213862" s="7"/>
    </row>
    <row r="214032" spans="22:23">
      <c r="V214032" s="7"/>
      <c r="W214032" s="7"/>
    </row>
    <row r="214202" spans="22:23">
      <c r="V214202" s="7"/>
      <c r="W214202" s="7"/>
    </row>
    <row r="214372" spans="22:23">
      <c r="V214372" s="7"/>
      <c r="W214372" s="7"/>
    </row>
    <row r="214542" spans="22:23">
      <c r="V214542" s="7"/>
      <c r="W214542" s="7"/>
    </row>
    <row r="214712" spans="22:23">
      <c r="V214712" s="7"/>
      <c r="W214712" s="7"/>
    </row>
    <row r="214882" spans="22:23">
      <c r="V214882" s="7"/>
      <c r="W214882" s="7"/>
    </row>
    <row r="215052" spans="22:23">
      <c r="V215052" s="7"/>
      <c r="W215052" s="7"/>
    </row>
    <row r="215222" spans="22:23">
      <c r="V215222" s="7"/>
      <c r="W215222" s="7"/>
    </row>
    <row r="215392" spans="22:23">
      <c r="V215392" s="7"/>
      <c r="W215392" s="7"/>
    </row>
    <row r="215562" spans="22:23">
      <c r="V215562" s="7"/>
      <c r="W215562" s="7"/>
    </row>
    <row r="215732" spans="22:23">
      <c r="V215732" s="7"/>
      <c r="W215732" s="7"/>
    </row>
    <row r="215902" spans="22:23">
      <c r="V215902" s="7"/>
      <c r="W215902" s="7"/>
    </row>
    <row r="216072" spans="22:23">
      <c r="V216072" s="7"/>
      <c r="W216072" s="7"/>
    </row>
    <row r="216242" spans="22:23">
      <c r="V216242" s="7"/>
      <c r="W216242" s="7"/>
    </row>
    <row r="216412" spans="22:23">
      <c r="V216412" s="7"/>
      <c r="W216412" s="7"/>
    </row>
    <row r="216582" spans="22:23">
      <c r="V216582" s="7"/>
      <c r="W216582" s="7"/>
    </row>
    <row r="216752" spans="22:23">
      <c r="V216752" s="7"/>
      <c r="W216752" s="7"/>
    </row>
    <row r="216922" spans="22:23">
      <c r="V216922" s="7"/>
      <c r="W216922" s="7"/>
    </row>
    <row r="217092" spans="22:23">
      <c r="V217092" s="7"/>
      <c r="W217092" s="7"/>
    </row>
    <row r="217262" spans="22:23">
      <c r="V217262" s="7"/>
      <c r="W217262" s="7"/>
    </row>
    <row r="217432" spans="22:23">
      <c r="V217432" s="7"/>
      <c r="W217432" s="7"/>
    </row>
    <row r="217602" spans="22:23">
      <c r="V217602" s="7"/>
      <c r="W217602" s="7"/>
    </row>
    <row r="217772" spans="22:23">
      <c r="V217772" s="7"/>
      <c r="W217772" s="7"/>
    </row>
    <row r="217942" spans="22:23">
      <c r="V217942" s="7"/>
      <c r="W217942" s="7"/>
    </row>
    <row r="218112" spans="22:23">
      <c r="V218112" s="7"/>
      <c r="W218112" s="7"/>
    </row>
    <row r="218282" spans="22:23">
      <c r="V218282" s="7"/>
      <c r="W218282" s="7"/>
    </row>
    <row r="218452" spans="22:23">
      <c r="V218452" s="7"/>
      <c r="W218452" s="7"/>
    </row>
    <row r="218622" spans="22:23">
      <c r="V218622" s="7"/>
      <c r="W218622" s="7"/>
    </row>
    <row r="218792" spans="22:23">
      <c r="V218792" s="7"/>
      <c r="W218792" s="7"/>
    </row>
    <row r="218962" spans="22:23">
      <c r="V218962" s="7"/>
      <c r="W218962" s="7"/>
    </row>
    <row r="219132" spans="22:23">
      <c r="V219132" s="7"/>
      <c r="W219132" s="7"/>
    </row>
    <row r="219302" spans="22:23">
      <c r="V219302" s="7"/>
      <c r="W219302" s="7"/>
    </row>
    <row r="219472" spans="22:23">
      <c r="V219472" s="7"/>
      <c r="W219472" s="7"/>
    </row>
    <row r="219642" spans="22:23">
      <c r="V219642" s="7"/>
      <c r="W219642" s="7"/>
    </row>
    <row r="219812" spans="22:23">
      <c r="V219812" s="7"/>
      <c r="W219812" s="7"/>
    </row>
    <row r="219982" spans="22:23">
      <c r="V219982" s="7"/>
      <c r="W219982" s="7"/>
    </row>
    <row r="220152" spans="22:23">
      <c r="V220152" s="7"/>
      <c r="W220152" s="7"/>
    </row>
    <row r="220322" spans="22:23">
      <c r="V220322" s="7"/>
      <c r="W220322" s="7"/>
    </row>
    <row r="220492" spans="22:23">
      <c r="V220492" s="7"/>
      <c r="W220492" s="7"/>
    </row>
    <row r="220662" spans="22:23">
      <c r="V220662" s="7"/>
      <c r="W220662" s="7"/>
    </row>
    <row r="220832" spans="22:23">
      <c r="V220832" s="7"/>
      <c r="W220832" s="7"/>
    </row>
    <row r="221002" spans="22:23">
      <c r="V221002" s="7"/>
      <c r="W221002" s="7"/>
    </row>
    <row r="221172" spans="22:23">
      <c r="V221172" s="7"/>
      <c r="W221172" s="7"/>
    </row>
    <row r="221342" spans="22:23">
      <c r="V221342" s="7"/>
      <c r="W221342" s="7"/>
    </row>
    <row r="221512" spans="22:23">
      <c r="V221512" s="7"/>
      <c r="W221512" s="7"/>
    </row>
    <row r="221682" spans="22:23">
      <c r="V221682" s="7"/>
      <c r="W221682" s="7"/>
    </row>
    <row r="221852" spans="22:23">
      <c r="V221852" s="7"/>
      <c r="W221852" s="7"/>
    </row>
    <row r="222022" spans="22:23">
      <c r="V222022" s="7"/>
      <c r="W222022" s="7"/>
    </row>
    <row r="222192" spans="22:23">
      <c r="V222192" s="7"/>
      <c r="W222192" s="7"/>
    </row>
    <row r="222362" spans="22:23">
      <c r="V222362" s="7"/>
      <c r="W222362" s="7"/>
    </row>
    <row r="222532" spans="22:23">
      <c r="V222532" s="7"/>
      <c r="W222532" s="7"/>
    </row>
    <row r="222702" spans="22:23">
      <c r="V222702" s="7"/>
      <c r="W222702" s="7"/>
    </row>
    <row r="222872" spans="22:23">
      <c r="V222872" s="7"/>
      <c r="W222872" s="7"/>
    </row>
    <row r="223042" spans="22:23">
      <c r="V223042" s="7"/>
      <c r="W223042" s="7"/>
    </row>
    <row r="223212" spans="22:23">
      <c r="V223212" s="7"/>
      <c r="W223212" s="7"/>
    </row>
    <row r="223382" spans="22:23">
      <c r="V223382" s="7"/>
      <c r="W223382" s="7"/>
    </row>
    <row r="223552" spans="22:23">
      <c r="V223552" s="7"/>
      <c r="W223552" s="7"/>
    </row>
    <row r="223722" spans="22:23">
      <c r="V223722" s="7"/>
      <c r="W223722" s="7"/>
    </row>
    <row r="223892" spans="22:23">
      <c r="V223892" s="7"/>
      <c r="W223892" s="7"/>
    </row>
    <row r="224062" spans="22:23">
      <c r="V224062" s="7"/>
      <c r="W224062" s="7"/>
    </row>
    <row r="224232" spans="22:23">
      <c r="V224232" s="7"/>
      <c r="W224232" s="7"/>
    </row>
    <row r="224402" spans="22:23">
      <c r="V224402" s="7"/>
      <c r="W224402" s="7"/>
    </row>
    <row r="224572" spans="22:23">
      <c r="V224572" s="7"/>
      <c r="W224572" s="7"/>
    </row>
    <row r="224742" spans="22:23">
      <c r="V224742" s="7"/>
      <c r="W224742" s="7"/>
    </row>
    <row r="224912" spans="22:23">
      <c r="V224912" s="7"/>
      <c r="W224912" s="7"/>
    </row>
    <row r="225082" spans="22:23">
      <c r="V225082" s="7"/>
      <c r="W225082" s="7"/>
    </row>
    <row r="225252" spans="22:23">
      <c r="V225252" s="7"/>
      <c r="W225252" s="7"/>
    </row>
    <row r="225422" spans="22:23">
      <c r="V225422" s="7"/>
      <c r="W225422" s="7"/>
    </row>
    <row r="225592" spans="22:23">
      <c r="V225592" s="7"/>
      <c r="W225592" s="7"/>
    </row>
    <row r="225762" spans="22:23">
      <c r="V225762" s="7"/>
      <c r="W225762" s="7"/>
    </row>
    <row r="225932" spans="22:23">
      <c r="V225932" s="7"/>
      <c r="W225932" s="7"/>
    </row>
    <row r="226102" spans="22:23">
      <c r="V226102" s="7"/>
      <c r="W226102" s="7"/>
    </row>
    <row r="226272" spans="22:23">
      <c r="V226272" s="7"/>
      <c r="W226272" s="7"/>
    </row>
    <row r="226442" spans="22:23">
      <c r="V226442" s="7"/>
      <c r="W226442" s="7"/>
    </row>
    <row r="226612" spans="22:23">
      <c r="V226612" s="7"/>
      <c r="W226612" s="7"/>
    </row>
    <row r="226782" spans="22:23">
      <c r="V226782" s="7"/>
      <c r="W226782" s="7"/>
    </row>
    <row r="226952" spans="22:23">
      <c r="V226952" s="7"/>
      <c r="W226952" s="7"/>
    </row>
    <row r="227122" spans="22:23">
      <c r="V227122" s="7"/>
      <c r="W227122" s="7"/>
    </row>
    <row r="227292" spans="22:23">
      <c r="V227292" s="7"/>
      <c r="W227292" s="7"/>
    </row>
    <row r="227462" spans="22:23">
      <c r="V227462" s="7"/>
      <c r="W227462" s="7"/>
    </row>
    <row r="227632" spans="22:23">
      <c r="V227632" s="7"/>
      <c r="W227632" s="7"/>
    </row>
    <row r="227802" spans="22:23">
      <c r="V227802" s="7"/>
      <c r="W227802" s="7"/>
    </row>
    <row r="227972" spans="22:23">
      <c r="V227972" s="7"/>
      <c r="W227972" s="7"/>
    </row>
    <row r="228142" spans="22:23">
      <c r="V228142" s="7"/>
      <c r="W228142" s="7"/>
    </row>
    <row r="228312" spans="22:23">
      <c r="V228312" s="7"/>
      <c r="W228312" s="7"/>
    </row>
    <row r="228482" spans="22:23">
      <c r="V228482" s="7"/>
      <c r="W228482" s="7"/>
    </row>
    <row r="228652" spans="22:23">
      <c r="V228652" s="7"/>
      <c r="W228652" s="7"/>
    </row>
    <row r="228822" spans="22:23">
      <c r="V228822" s="7"/>
      <c r="W228822" s="7"/>
    </row>
    <row r="228992" spans="22:23">
      <c r="V228992" s="7"/>
      <c r="W228992" s="7"/>
    </row>
    <row r="229162" spans="22:23">
      <c r="V229162" s="7"/>
      <c r="W229162" s="7"/>
    </row>
    <row r="229332" spans="22:23">
      <c r="V229332" s="7"/>
      <c r="W229332" s="7"/>
    </row>
    <row r="229502" spans="22:23">
      <c r="V229502" s="7"/>
      <c r="W229502" s="7"/>
    </row>
    <row r="229672" spans="22:23">
      <c r="V229672" s="7"/>
      <c r="W229672" s="7"/>
    </row>
    <row r="229842" spans="22:23">
      <c r="V229842" s="7"/>
      <c r="W229842" s="7"/>
    </row>
    <row r="230012" spans="22:23">
      <c r="V230012" s="7"/>
      <c r="W230012" s="7"/>
    </row>
    <row r="230182" spans="22:23">
      <c r="V230182" s="7"/>
      <c r="W230182" s="7"/>
    </row>
    <row r="230352" spans="22:23">
      <c r="V230352" s="7"/>
      <c r="W230352" s="7"/>
    </row>
    <row r="230522" spans="22:23">
      <c r="V230522" s="7"/>
      <c r="W230522" s="7"/>
    </row>
    <row r="230692" spans="22:23">
      <c r="V230692" s="7"/>
      <c r="W230692" s="7"/>
    </row>
    <row r="230862" spans="22:23">
      <c r="V230862" s="7"/>
      <c r="W230862" s="7"/>
    </row>
    <row r="231032" spans="22:23">
      <c r="V231032" s="7"/>
      <c r="W231032" s="7"/>
    </row>
    <row r="231202" spans="22:23">
      <c r="V231202" s="7"/>
      <c r="W231202" s="7"/>
    </row>
    <row r="231372" spans="22:23">
      <c r="V231372" s="7"/>
      <c r="W231372" s="7"/>
    </row>
    <row r="231542" spans="22:23">
      <c r="V231542" s="7"/>
      <c r="W231542" s="7"/>
    </row>
    <row r="231712" spans="22:23">
      <c r="V231712" s="7"/>
      <c r="W231712" s="7"/>
    </row>
    <row r="231882" spans="22:23">
      <c r="V231882" s="7"/>
      <c r="W231882" s="7"/>
    </row>
    <row r="232052" spans="22:23">
      <c r="V232052" s="7"/>
      <c r="W232052" s="7"/>
    </row>
    <row r="232222" spans="22:23">
      <c r="V232222" s="7"/>
      <c r="W232222" s="7"/>
    </row>
    <row r="232392" spans="22:23">
      <c r="V232392" s="7"/>
      <c r="W232392" s="7"/>
    </row>
    <row r="232562" spans="22:23">
      <c r="V232562" s="7"/>
      <c r="W232562" s="7"/>
    </row>
    <row r="232732" spans="22:23">
      <c r="V232732" s="7"/>
      <c r="W232732" s="7"/>
    </row>
    <row r="232902" spans="22:23">
      <c r="V232902" s="7"/>
      <c r="W232902" s="7"/>
    </row>
    <row r="233072" spans="22:23">
      <c r="V233072" s="7"/>
      <c r="W233072" s="7"/>
    </row>
    <row r="233242" spans="22:23">
      <c r="V233242" s="7"/>
      <c r="W233242" s="7"/>
    </row>
    <row r="233412" spans="22:23">
      <c r="V233412" s="7"/>
      <c r="W233412" s="7"/>
    </row>
    <row r="233582" spans="22:23">
      <c r="V233582" s="7"/>
      <c r="W233582" s="7"/>
    </row>
    <row r="233752" spans="22:23">
      <c r="V233752" s="7"/>
      <c r="W233752" s="7"/>
    </row>
    <row r="233922" spans="22:23">
      <c r="V233922" s="7"/>
      <c r="W233922" s="7"/>
    </row>
    <row r="234092" spans="22:23">
      <c r="V234092" s="7"/>
      <c r="W234092" s="7"/>
    </row>
    <row r="234262" spans="22:23">
      <c r="V234262" s="7"/>
      <c r="W234262" s="7"/>
    </row>
    <row r="234432" spans="22:23">
      <c r="V234432" s="7"/>
      <c r="W234432" s="7"/>
    </row>
    <row r="234602" spans="22:23">
      <c r="V234602" s="7"/>
      <c r="W234602" s="7"/>
    </row>
    <row r="234772" spans="22:23">
      <c r="V234772" s="7"/>
      <c r="W234772" s="7"/>
    </row>
    <row r="234942" spans="22:23">
      <c r="V234942" s="7"/>
      <c r="W234942" s="7"/>
    </row>
    <row r="235112" spans="22:23">
      <c r="V235112" s="7"/>
      <c r="W235112" s="7"/>
    </row>
    <row r="235282" spans="22:23">
      <c r="V235282" s="7"/>
      <c r="W235282" s="7"/>
    </row>
    <row r="235452" spans="22:23">
      <c r="V235452" s="7"/>
      <c r="W235452" s="7"/>
    </row>
    <row r="235622" spans="22:23">
      <c r="V235622" s="7"/>
      <c r="W235622" s="7"/>
    </row>
    <row r="235792" spans="22:23">
      <c r="V235792" s="7"/>
      <c r="W235792" s="7"/>
    </row>
    <row r="235962" spans="22:23">
      <c r="V235962" s="7"/>
      <c r="W235962" s="7"/>
    </row>
    <row r="236132" spans="22:23">
      <c r="V236132" s="7"/>
      <c r="W236132" s="7"/>
    </row>
    <row r="236302" spans="22:23">
      <c r="V236302" s="7"/>
      <c r="W236302" s="7"/>
    </row>
    <row r="236472" spans="22:23">
      <c r="V236472" s="7"/>
      <c r="W236472" s="7"/>
    </row>
    <row r="236642" spans="22:23">
      <c r="V236642" s="7"/>
      <c r="W236642" s="7"/>
    </row>
    <row r="236812" spans="22:23">
      <c r="V236812" s="7"/>
      <c r="W236812" s="7"/>
    </row>
    <row r="236982" spans="22:23">
      <c r="V236982" s="7"/>
      <c r="W236982" s="7"/>
    </row>
    <row r="237152" spans="22:23">
      <c r="V237152" s="7"/>
      <c r="W237152" s="7"/>
    </row>
    <row r="237322" spans="22:23">
      <c r="V237322" s="7"/>
      <c r="W237322" s="7"/>
    </row>
    <row r="237492" spans="22:23">
      <c r="V237492" s="7"/>
      <c r="W237492" s="7"/>
    </row>
    <row r="237662" spans="22:23">
      <c r="V237662" s="7"/>
      <c r="W237662" s="7"/>
    </row>
    <row r="237832" spans="22:23">
      <c r="V237832" s="7"/>
      <c r="W237832" s="7"/>
    </row>
    <row r="238002" spans="22:23">
      <c r="V238002" s="7"/>
      <c r="W238002" s="7"/>
    </row>
    <row r="238172" spans="22:23">
      <c r="V238172" s="7"/>
      <c r="W238172" s="7"/>
    </row>
    <row r="238342" spans="22:23">
      <c r="V238342" s="7"/>
      <c r="W238342" s="7"/>
    </row>
    <row r="238512" spans="22:23">
      <c r="V238512" s="7"/>
      <c r="W238512" s="7"/>
    </row>
    <row r="238682" spans="22:23">
      <c r="V238682" s="7"/>
      <c r="W238682" s="7"/>
    </row>
    <row r="238852" spans="22:23">
      <c r="V238852" s="7"/>
      <c r="W238852" s="7"/>
    </row>
    <row r="239022" spans="22:23">
      <c r="V239022" s="7"/>
      <c r="W239022" s="7"/>
    </row>
    <row r="239192" spans="22:23">
      <c r="V239192" s="7"/>
      <c r="W239192" s="7"/>
    </row>
    <row r="239362" spans="22:23">
      <c r="V239362" s="7"/>
      <c r="W239362" s="7"/>
    </row>
    <row r="239532" spans="22:23">
      <c r="V239532" s="7"/>
      <c r="W239532" s="7"/>
    </row>
    <row r="239702" spans="22:23">
      <c r="V239702" s="7"/>
      <c r="W239702" s="7"/>
    </row>
    <row r="239872" spans="22:23">
      <c r="V239872" s="7"/>
      <c r="W239872" s="7"/>
    </row>
    <row r="240042" spans="22:23">
      <c r="V240042" s="7"/>
      <c r="W240042" s="7"/>
    </row>
    <row r="240212" spans="22:23">
      <c r="V240212" s="7"/>
      <c r="W240212" s="7"/>
    </row>
    <row r="240382" spans="22:23">
      <c r="V240382" s="7"/>
      <c r="W240382" s="7"/>
    </row>
    <row r="240552" spans="22:23">
      <c r="V240552" s="7"/>
      <c r="W240552" s="7"/>
    </row>
    <row r="240722" spans="22:23">
      <c r="V240722" s="7"/>
      <c r="W240722" s="7"/>
    </row>
    <row r="240892" spans="22:23">
      <c r="V240892" s="7"/>
      <c r="W240892" s="7"/>
    </row>
    <row r="241062" spans="22:23">
      <c r="V241062" s="7"/>
      <c r="W241062" s="7"/>
    </row>
    <row r="241232" spans="22:23">
      <c r="V241232" s="7"/>
      <c r="W241232" s="7"/>
    </row>
    <row r="241402" spans="22:23">
      <c r="V241402" s="7"/>
      <c r="W241402" s="7"/>
    </row>
    <row r="241572" spans="22:23">
      <c r="V241572" s="7"/>
      <c r="W241572" s="7"/>
    </row>
    <row r="241742" spans="22:23">
      <c r="V241742" s="7"/>
      <c r="W241742" s="7"/>
    </row>
    <row r="241912" spans="22:23">
      <c r="V241912" s="7"/>
      <c r="W241912" s="7"/>
    </row>
    <row r="242082" spans="22:23">
      <c r="V242082" s="7"/>
      <c r="W242082" s="7"/>
    </row>
    <row r="242252" spans="22:23">
      <c r="V242252" s="7"/>
      <c r="W242252" s="7"/>
    </row>
    <row r="242422" spans="22:23">
      <c r="V242422" s="7"/>
      <c r="W242422" s="7"/>
    </row>
    <row r="242592" spans="22:23">
      <c r="V242592" s="7"/>
      <c r="W242592" s="7"/>
    </row>
    <row r="242762" spans="22:23">
      <c r="V242762" s="7"/>
      <c r="W242762" s="7"/>
    </row>
    <row r="242932" spans="22:23">
      <c r="V242932" s="7"/>
      <c r="W242932" s="7"/>
    </row>
    <row r="243102" spans="22:23">
      <c r="V243102" s="7"/>
      <c r="W243102" s="7"/>
    </row>
    <row r="243272" spans="22:23">
      <c r="V243272" s="7"/>
      <c r="W243272" s="7"/>
    </row>
    <row r="243442" spans="22:23">
      <c r="V243442" s="7"/>
      <c r="W243442" s="7"/>
    </row>
    <row r="243612" spans="22:23">
      <c r="V243612" s="7"/>
      <c r="W243612" s="7"/>
    </row>
    <row r="243782" spans="22:23">
      <c r="V243782" s="7"/>
      <c r="W243782" s="7"/>
    </row>
    <row r="243952" spans="22:23">
      <c r="V243952" s="7"/>
      <c r="W243952" s="7"/>
    </row>
    <row r="244122" spans="22:23">
      <c r="V244122" s="7"/>
      <c r="W244122" s="7"/>
    </row>
    <row r="244292" spans="22:23">
      <c r="V244292" s="7"/>
      <c r="W244292" s="7"/>
    </row>
    <row r="244462" spans="22:23">
      <c r="V244462" s="7"/>
      <c r="W244462" s="7"/>
    </row>
    <row r="244632" spans="22:23">
      <c r="V244632" s="7"/>
      <c r="W244632" s="7"/>
    </row>
    <row r="244802" spans="22:23">
      <c r="V244802" s="7"/>
      <c r="W244802" s="7"/>
    </row>
    <row r="244972" spans="22:23">
      <c r="V244972" s="7"/>
      <c r="W244972" s="7"/>
    </row>
    <row r="245142" spans="22:23">
      <c r="V245142" s="7"/>
      <c r="W245142" s="7"/>
    </row>
    <row r="245312" spans="22:23">
      <c r="V245312" s="7"/>
      <c r="W245312" s="7"/>
    </row>
    <row r="245482" spans="22:23">
      <c r="V245482" s="7"/>
      <c r="W245482" s="7"/>
    </row>
    <row r="245652" spans="22:23">
      <c r="V245652" s="7"/>
      <c r="W245652" s="7"/>
    </row>
    <row r="245822" spans="22:23">
      <c r="V245822" s="7"/>
      <c r="W245822" s="7"/>
    </row>
    <row r="245992" spans="22:23">
      <c r="V245992" s="7"/>
      <c r="W245992" s="7"/>
    </row>
    <row r="246162" spans="22:23">
      <c r="V246162" s="7"/>
      <c r="W246162" s="7"/>
    </row>
    <row r="246332" spans="22:23">
      <c r="V246332" s="7"/>
      <c r="W246332" s="7"/>
    </row>
    <row r="246502" spans="22:23">
      <c r="V246502" s="7"/>
      <c r="W246502" s="7"/>
    </row>
    <row r="246672" spans="22:23">
      <c r="V246672" s="7"/>
      <c r="W246672" s="7"/>
    </row>
    <row r="246842" spans="22:23">
      <c r="V246842" s="7"/>
      <c r="W246842" s="7"/>
    </row>
    <row r="247012" spans="22:23">
      <c r="V247012" s="7"/>
      <c r="W247012" s="7"/>
    </row>
    <row r="247182" spans="22:23">
      <c r="V247182" s="7"/>
      <c r="W247182" s="7"/>
    </row>
    <row r="247352" spans="22:23">
      <c r="V247352" s="7"/>
      <c r="W247352" s="7"/>
    </row>
    <row r="247522" spans="22:23">
      <c r="V247522" s="7"/>
      <c r="W247522" s="7"/>
    </row>
    <row r="247692" spans="22:23">
      <c r="V247692" s="7"/>
      <c r="W247692" s="7"/>
    </row>
    <row r="247862" spans="22:23">
      <c r="V247862" s="7"/>
      <c r="W247862" s="7"/>
    </row>
    <row r="248032" spans="22:23">
      <c r="V248032" s="7"/>
      <c r="W248032" s="7"/>
    </row>
    <row r="248202" spans="22:23">
      <c r="V248202" s="7"/>
      <c r="W248202" s="7"/>
    </row>
    <row r="248372" spans="22:23">
      <c r="V248372" s="7"/>
      <c r="W248372" s="7"/>
    </row>
    <row r="248542" spans="22:23">
      <c r="V248542" s="7"/>
      <c r="W248542" s="7"/>
    </row>
    <row r="248712" spans="22:23">
      <c r="V248712" s="7"/>
      <c r="W248712" s="7"/>
    </row>
    <row r="248882" spans="22:23">
      <c r="V248882" s="7"/>
      <c r="W248882" s="7"/>
    </row>
    <row r="249052" spans="22:23">
      <c r="V249052" s="7"/>
      <c r="W249052" s="7"/>
    </row>
    <row r="249222" spans="22:23">
      <c r="V249222" s="7"/>
      <c r="W249222" s="7"/>
    </row>
    <row r="249392" spans="22:23">
      <c r="V249392" s="7"/>
      <c r="W249392" s="7"/>
    </row>
    <row r="249562" spans="22:23">
      <c r="V249562" s="7"/>
      <c r="W249562" s="7"/>
    </row>
    <row r="249732" spans="22:23">
      <c r="V249732" s="7"/>
      <c r="W249732" s="7"/>
    </row>
    <row r="249902" spans="22:23">
      <c r="V249902" s="7"/>
      <c r="W249902" s="7"/>
    </row>
    <row r="250072" spans="22:23">
      <c r="V250072" s="7"/>
      <c r="W250072" s="7"/>
    </row>
    <row r="250242" spans="22:23">
      <c r="V250242" s="7"/>
      <c r="W250242" s="7"/>
    </row>
    <row r="250412" spans="22:23">
      <c r="V250412" s="7"/>
      <c r="W250412" s="7"/>
    </row>
    <row r="250582" spans="22:23">
      <c r="V250582" s="7"/>
      <c r="W250582" s="7"/>
    </row>
    <row r="250752" spans="22:23">
      <c r="V250752" s="7"/>
      <c r="W250752" s="7"/>
    </row>
    <row r="250922" spans="22:23">
      <c r="V250922" s="7"/>
      <c r="W250922" s="7"/>
    </row>
    <row r="251092" spans="22:23">
      <c r="V251092" s="7"/>
      <c r="W251092" s="7"/>
    </row>
    <row r="251262" spans="22:23">
      <c r="V251262" s="7"/>
      <c r="W251262" s="7"/>
    </row>
    <row r="251432" spans="22:23">
      <c r="V251432" s="7"/>
      <c r="W251432" s="7"/>
    </row>
    <row r="251602" spans="22:23">
      <c r="V251602" s="7"/>
      <c r="W251602" s="7"/>
    </row>
    <row r="251772" spans="22:23">
      <c r="V251772" s="7"/>
      <c r="W251772" s="7"/>
    </row>
    <row r="251942" spans="22:23">
      <c r="V251942" s="7"/>
      <c r="W251942" s="7"/>
    </row>
    <row r="252112" spans="22:23">
      <c r="V252112" s="7"/>
      <c r="W252112" s="7"/>
    </row>
    <row r="252282" spans="22:23">
      <c r="V252282" s="7"/>
      <c r="W252282" s="7"/>
    </row>
    <row r="252452" spans="22:23">
      <c r="V252452" s="7"/>
      <c r="W252452" s="7"/>
    </row>
    <row r="252622" spans="22:23">
      <c r="V252622" s="7"/>
      <c r="W252622" s="7"/>
    </row>
    <row r="252792" spans="22:23">
      <c r="V252792" s="7"/>
      <c r="W252792" s="7"/>
    </row>
    <row r="252962" spans="22:23">
      <c r="V252962" s="7"/>
      <c r="W252962" s="7"/>
    </row>
    <row r="253132" spans="22:23">
      <c r="V253132" s="7"/>
      <c r="W253132" s="7"/>
    </row>
    <row r="253302" spans="22:23">
      <c r="V253302" s="7"/>
      <c r="W253302" s="7"/>
    </row>
    <row r="253472" spans="22:23">
      <c r="V253472" s="7"/>
      <c r="W253472" s="7"/>
    </row>
    <row r="253642" spans="22:23">
      <c r="V253642" s="7"/>
      <c r="W253642" s="7"/>
    </row>
    <row r="253812" spans="22:23">
      <c r="V253812" s="7"/>
      <c r="W253812" s="7"/>
    </row>
    <row r="253982" spans="22:23">
      <c r="V253982" s="7"/>
      <c r="W253982" s="7"/>
    </row>
    <row r="254152" spans="22:23">
      <c r="V254152" s="7"/>
      <c r="W254152" s="7"/>
    </row>
    <row r="254322" spans="22:23">
      <c r="V254322" s="7"/>
      <c r="W254322" s="7"/>
    </row>
    <row r="254492" spans="22:23">
      <c r="V254492" s="7"/>
      <c r="W254492" s="7"/>
    </row>
    <row r="254662" spans="22:23">
      <c r="V254662" s="7"/>
      <c r="W254662" s="7"/>
    </row>
    <row r="254832" spans="22:23">
      <c r="V254832" s="7"/>
      <c r="W254832" s="7"/>
    </row>
    <row r="255002" spans="22:23">
      <c r="V255002" s="7"/>
      <c r="W255002" s="7"/>
    </row>
    <row r="255172" spans="22:23">
      <c r="V255172" s="7"/>
      <c r="W255172" s="7"/>
    </row>
    <row r="255342" spans="22:23">
      <c r="V255342" s="7"/>
      <c r="W255342" s="7"/>
    </row>
    <row r="255512" spans="22:23">
      <c r="V255512" s="7"/>
      <c r="W255512" s="7"/>
    </row>
    <row r="255682" spans="22:23">
      <c r="V255682" s="7"/>
      <c r="W255682" s="7"/>
    </row>
    <row r="255852" spans="22:23">
      <c r="V255852" s="7"/>
      <c r="W255852" s="7"/>
    </row>
    <row r="256022" spans="22:23">
      <c r="V256022" s="7"/>
      <c r="W256022" s="7"/>
    </row>
    <row r="256192" spans="22:23">
      <c r="V256192" s="7"/>
      <c r="W256192" s="7"/>
    </row>
    <row r="256362" spans="22:23">
      <c r="V256362" s="7"/>
      <c r="W256362" s="7"/>
    </row>
    <row r="256532" spans="22:23">
      <c r="V256532" s="7"/>
      <c r="W256532" s="7"/>
    </row>
    <row r="256702" spans="22:23">
      <c r="V256702" s="7"/>
      <c r="W256702" s="7"/>
    </row>
    <row r="256872" spans="22:23">
      <c r="V256872" s="7"/>
      <c r="W256872" s="7"/>
    </row>
    <row r="257042" spans="22:23">
      <c r="V257042" s="7"/>
      <c r="W257042" s="7"/>
    </row>
    <row r="257212" spans="22:23">
      <c r="V257212" s="7"/>
      <c r="W257212" s="7"/>
    </row>
    <row r="257382" spans="22:23">
      <c r="V257382" s="7"/>
      <c r="W257382" s="7"/>
    </row>
    <row r="257552" spans="22:23">
      <c r="V257552" s="7"/>
      <c r="W257552" s="7"/>
    </row>
    <row r="257722" spans="22:23">
      <c r="V257722" s="7"/>
      <c r="W257722" s="7"/>
    </row>
    <row r="257892" spans="22:23">
      <c r="V257892" s="7"/>
      <c r="W257892" s="7"/>
    </row>
    <row r="258062" spans="22:23">
      <c r="V258062" s="7"/>
      <c r="W258062" s="7"/>
    </row>
    <row r="258232" spans="22:23">
      <c r="V258232" s="7"/>
      <c r="W258232" s="7"/>
    </row>
    <row r="258402" spans="22:23">
      <c r="V258402" s="7"/>
      <c r="W258402" s="7"/>
    </row>
    <row r="258572" spans="22:23">
      <c r="V258572" s="7"/>
      <c r="W258572" s="7"/>
    </row>
    <row r="258742" spans="22:23">
      <c r="V258742" s="7"/>
      <c r="W258742" s="7"/>
    </row>
    <row r="258912" spans="22:23">
      <c r="V258912" s="7"/>
      <c r="W258912" s="7"/>
    </row>
    <row r="259082" spans="22:23">
      <c r="V259082" s="7"/>
      <c r="W259082" s="7"/>
    </row>
    <row r="259252" spans="22:23">
      <c r="V259252" s="7"/>
      <c r="W259252" s="7"/>
    </row>
    <row r="259422" spans="22:23">
      <c r="V259422" s="7"/>
      <c r="W259422" s="7"/>
    </row>
    <row r="259592" spans="22:23">
      <c r="V259592" s="7"/>
      <c r="W259592" s="7"/>
    </row>
    <row r="259762" spans="22:23">
      <c r="V259762" s="7"/>
      <c r="W259762" s="7"/>
    </row>
    <row r="259932" spans="22:23">
      <c r="V259932" s="7"/>
      <c r="W259932" s="7"/>
    </row>
    <row r="260102" spans="22:23">
      <c r="V260102" s="7"/>
      <c r="W260102" s="7"/>
    </row>
    <row r="260272" spans="22:23">
      <c r="V260272" s="7"/>
      <c r="W260272" s="7"/>
    </row>
    <row r="260442" spans="22:23">
      <c r="V260442" s="7"/>
      <c r="W260442" s="7"/>
    </row>
    <row r="260612" spans="22:23">
      <c r="V260612" s="7"/>
      <c r="W260612" s="7"/>
    </row>
    <row r="260782" spans="22:23">
      <c r="V260782" s="7"/>
      <c r="W260782" s="7"/>
    </row>
    <row r="260952" spans="22:23">
      <c r="V260952" s="7"/>
      <c r="W260952" s="7"/>
    </row>
    <row r="261122" spans="22:23">
      <c r="V261122" s="7"/>
      <c r="W261122" s="7"/>
    </row>
    <row r="261292" spans="22:23">
      <c r="V261292" s="7"/>
      <c r="W261292" s="7"/>
    </row>
    <row r="261462" spans="22:23">
      <c r="V261462" s="7"/>
      <c r="W261462" s="7"/>
    </row>
    <row r="261632" spans="22:23">
      <c r="V261632" s="7"/>
      <c r="W261632" s="7"/>
    </row>
    <row r="261802" spans="22:23">
      <c r="V261802" s="7"/>
      <c r="W261802" s="7"/>
    </row>
    <row r="261972" spans="22:23">
      <c r="V261972" s="7"/>
      <c r="W261972" s="7"/>
    </row>
    <row r="262142" spans="22:23">
      <c r="V262142" s="7"/>
      <c r="W262142" s="7"/>
    </row>
    <row r="262312" spans="22:23">
      <c r="V262312" s="7"/>
      <c r="W262312" s="7"/>
    </row>
    <row r="262482" spans="22:23">
      <c r="V262482" s="7"/>
      <c r="W262482" s="7"/>
    </row>
    <row r="262652" spans="22:23">
      <c r="V262652" s="7"/>
      <c r="W262652" s="7"/>
    </row>
    <row r="262822" spans="22:23">
      <c r="V262822" s="7"/>
      <c r="W262822" s="7"/>
    </row>
    <row r="262992" spans="22:23">
      <c r="V262992" s="7"/>
      <c r="W262992" s="7"/>
    </row>
    <row r="263162" spans="22:23">
      <c r="V263162" s="7"/>
      <c r="W263162" s="7"/>
    </row>
    <row r="263332" spans="22:23">
      <c r="V263332" s="7"/>
      <c r="W263332" s="7"/>
    </row>
    <row r="263502" spans="22:23">
      <c r="V263502" s="7"/>
      <c r="W263502" s="7"/>
    </row>
    <row r="263672" spans="22:23">
      <c r="V263672" s="7"/>
      <c r="W263672" s="7"/>
    </row>
    <row r="263842" spans="22:23">
      <c r="V263842" s="7"/>
      <c r="W263842" s="7"/>
    </row>
    <row r="264012" spans="22:23">
      <c r="V264012" s="7"/>
      <c r="W264012" s="7"/>
    </row>
    <row r="264182" spans="22:23">
      <c r="V264182" s="7"/>
      <c r="W264182" s="7"/>
    </row>
    <row r="264352" spans="22:23">
      <c r="V264352" s="7"/>
      <c r="W264352" s="7"/>
    </row>
    <row r="264522" spans="22:23">
      <c r="V264522" s="7"/>
      <c r="W264522" s="7"/>
    </row>
    <row r="264692" spans="22:23">
      <c r="V264692" s="7"/>
      <c r="W264692" s="7"/>
    </row>
    <row r="264862" spans="22:23">
      <c r="V264862" s="7"/>
      <c r="W264862" s="7"/>
    </row>
    <row r="265032" spans="22:23">
      <c r="V265032" s="7"/>
      <c r="W265032" s="7"/>
    </row>
    <row r="265202" spans="22:23">
      <c r="V265202" s="7"/>
      <c r="W265202" s="7"/>
    </row>
    <row r="265372" spans="22:23">
      <c r="V265372" s="7"/>
      <c r="W265372" s="7"/>
    </row>
    <row r="265542" spans="22:23">
      <c r="V265542" s="7"/>
      <c r="W265542" s="7"/>
    </row>
    <row r="265712" spans="22:23">
      <c r="V265712" s="7"/>
      <c r="W265712" s="7"/>
    </row>
    <row r="265882" spans="22:23">
      <c r="V265882" s="7"/>
      <c r="W265882" s="7"/>
    </row>
    <row r="266052" spans="22:23">
      <c r="V266052" s="7"/>
      <c r="W266052" s="7"/>
    </row>
    <row r="266222" spans="22:23">
      <c r="V266222" s="7"/>
      <c r="W266222" s="7"/>
    </row>
    <row r="266392" spans="22:23">
      <c r="V266392" s="7"/>
      <c r="W266392" s="7"/>
    </row>
    <row r="266562" spans="22:23">
      <c r="V266562" s="7"/>
      <c r="W266562" s="7"/>
    </row>
    <row r="266732" spans="22:23">
      <c r="V266732" s="7"/>
      <c r="W266732" s="7"/>
    </row>
    <row r="266902" spans="22:23">
      <c r="V266902" s="7"/>
      <c r="W266902" s="7"/>
    </row>
    <row r="267072" spans="22:23">
      <c r="V267072" s="7"/>
      <c r="W267072" s="7"/>
    </row>
    <row r="267242" spans="22:23">
      <c r="V267242" s="7"/>
      <c r="W267242" s="7"/>
    </row>
    <row r="267412" spans="22:23">
      <c r="V267412" s="7"/>
      <c r="W267412" s="7"/>
    </row>
    <row r="267582" spans="22:23">
      <c r="V267582" s="7"/>
      <c r="W267582" s="7"/>
    </row>
    <row r="267752" spans="22:23">
      <c r="V267752" s="7"/>
      <c r="W267752" s="7"/>
    </row>
    <row r="267922" spans="22:23">
      <c r="V267922" s="7"/>
      <c r="W267922" s="7"/>
    </row>
    <row r="268092" spans="22:23">
      <c r="V268092" s="7"/>
      <c r="W268092" s="7"/>
    </row>
    <row r="268262" spans="22:23">
      <c r="V268262" s="7"/>
      <c r="W268262" s="7"/>
    </row>
    <row r="268432" spans="22:23">
      <c r="V268432" s="7"/>
      <c r="W268432" s="7"/>
    </row>
    <row r="268602" spans="22:23">
      <c r="V268602" s="7"/>
      <c r="W268602" s="7"/>
    </row>
    <row r="268772" spans="22:23">
      <c r="V268772" s="7"/>
      <c r="W268772" s="7"/>
    </row>
    <row r="268942" spans="22:23">
      <c r="V268942" s="7"/>
      <c r="W268942" s="7"/>
    </row>
    <row r="269112" spans="22:23">
      <c r="V269112" s="7"/>
      <c r="W269112" s="7"/>
    </row>
    <row r="269282" spans="22:23">
      <c r="V269282" s="7"/>
      <c r="W269282" s="7"/>
    </row>
    <row r="269452" spans="22:23">
      <c r="V269452" s="7"/>
      <c r="W269452" s="7"/>
    </row>
    <row r="269622" spans="22:23">
      <c r="V269622" s="7"/>
      <c r="W269622" s="7"/>
    </row>
    <row r="269792" spans="22:23">
      <c r="V269792" s="7"/>
      <c r="W269792" s="7"/>
    </row>
    <row r="269962" spans="22:23">
      <c r="V269962" s="7"/>
      <c r="W269962" s="7"/>
    </row>
    <row r="270132" spans="22:23">
      <c r="V270132" s="7"/>
      <c r="W270132" s="7"/>
    </row>
    <row r="270302" spans="22:23">
      <c r="V270302" s="7"/>
      <c r="W270302" s="7"/>
    </row>
    <row r="270472" spans="22:23">
      <c r="V270472" s="7"/>
      <c r="W270472" s="7"/>
    </row>
    <row r="270642" spans="22:23">
      <c r="V270642" s="7"/>
      <c r="W270642" s="7"/>
    </row>
    <row r="270812" spans="22:23">
      <c r="V270812" s="7"/>
      <c r="W270812" s="7"/>
    </row>
    <row r="270982" spans="22:23">
      <c r="V270982" s="7"/>
      <c r="W270982" s="7"/>
    </row>
    <row r="271152" spans="22:23">
      <c r="V271152" s="7"/>
      <c r="W271152" s="7"/>
    </row>
    <row r="271322" spans="22:23">
      <c r="V271322" s="7"/>
      <c r="W271322" s="7"/>
    </row>
    <row r="271492" spans="22:23">
      <c r="V271492" s="7"/>
      <c r="W271492" s="7"/>
    </row>
    <row r="271662" spans="22:23">
      <c r="V271662" s="7"/>
      <c r="W271662" s="7"/>
    </row>
    <row r="271832" spans="22:23">
      <c r="V271832" s="7"/>
      <c r="W271832" s="7"/>
    </row>
    <row r="272002" spans="22:23">
      <c r="V272002" s="7"/>
      <c r="W272002" s="7"/>
    </row>
    <row r="272172" spans="22:23">
      <c r="V272172" s="7"/>
      <c r="W272172" s="7"/>
    </row>
    <row r="272342" spans="22:23">
      <c r="V272342" s="7"/>
      <c r="W272342" s="7"/>
    </row>
    <row r="272512" spans="22:23">
      <c r="V272512" s="7"/>
      <c r="W272512" s="7"/>
    </row>
    <row r="272682" spans="22:23">
      <c r="V272682" s="7"/>
      <c r="W272682" s="7"/>
    </row>
    <row r="272852" spans="22:23">
      <c r="V272852" s="7"/>
      <c r="W272852" s="7"/>
    </row>
    <row r="273022" spans="22:23">
      <c r="V273022" s="7"/>
      <c r="W273022" s="7"/>
    </row>
    <row r="273192" spans="22:23">
      <c r="V273192" s="7"/>
      <c r="W273192" s="7"/>
    </row>
    <row r="273362" spans="22:23">
      <c r="V273362" s="7"/>
      <c r="W273362" s="7"/>
    </row>
    <row r="273532" spans="22:23">
      <c r="V273532" s="7"/>
      <c r="W273532" s="7"/>
    </row>
    <row r="273702" spans="22:23">
      <c r="V273702" s="7"/>
      <c r="W273702" s="7"/>
    </row>
    <row r="273872" spans="22:23">
      <c r="V273872" s="7"/>
      <c r="W273872" s="7"/>
    </row>
    <row r="274042" spans="22:23">
      <c r="V274042" s="7"/>
      <c r="W274042" s="7"/>
    </row>
    <row r="274212" spans="22:23">
      <c r="V274212" s="7"/>
      <c r="W274212" s="7"/>
    </row>
    <row r="274382" spans="22:23">
      <c r="V274382" s="7"/>
      <c r="W274382" s="7"/>
    </row>
    <row r="274552" spans="22:23">
      <c r="V274552" s="7"/>
      <c r="W274552" s="7"/>
    </row>
    <row r="274722" spans="22:23">
      <c r="V274722" s="7"/>
      <c r="W274722" s="7"/>
    </row>
    <row r="274892" spans="22:23">
      <c r="V274892" s="7"/>
      <c r="W274892" s="7"/>
    </row>
    <row r="275062" spans="22:23">
      <c r="V275062" s="7"/>
      <c r="W275062" s="7"/>
    </row>
    <row r="275232" spans="22:23">
      <c r="V275232" s="7"/>
      <c r="W275232" s="7"/>
    </row>
    <row r="275402" spans="22:23">
      <c r="V275402" s="7"/>
      <c r="W275402" s="7"/>
    </row>
    <row r="275572" spans="22:23">
      <c r="V275572" s="7"/>
      <c r="W275572" s="7"/>
    </row>
    <row r="275742" spans="22:23">
      <c r="V275742" s="7"/>
      <c r="W275742" s="7"/>
    </row>
    <row r="275912" spans="22:23">
      <c r="V275912" s="7"/>
      <c r="W275912" s="7"/>
    </row>
    <row r="276082" spans="22:23">
      <c r="V276082" s="7"/>
      <c r="W276082" s="7"/>
    </row>
    <row r="276252" spans="22:23">
      <c r="V276252" s="7"/>
      <c r="W276252" s="7"/>
    </row>
    <row r="276422" spans="22:23">
      <c r="V276422" s="7"/>
      <c r="W276422" s="7"/>
    </row>
    <row r="276592" spans="22:23">
      <c r="V276592" s="7"/>
      <c r="W276592" s="7"/>
    </row>
    <row r="276762" spans="22:23">
      <c r="V276762" s="7"/>
      <c r="W276762" s="7"/>
    </row>
    <row r="276932" spans="22:23">
      <c r="V276932" s="7"/>
      <c r="W276932" s="7"/>
    </row>
    <row r="277102" spans="22:23">
      <c r="V277102" s="7"/>
      <c r="W277102" s="7"/>
    </row>
    <row r="277272" spans="22:23">
      <c r="V277272" s="7"/>
      <c r="W277272" s="7"/>
    </row>
    <row r="277442" spans="22:23">
      <c r="V277442" s="7"/>
      <c r="W277442" s="7"/>
    </row>
    <row r="277612" spans="22:23">
      <c r="V277612" s="7"/>
      <c r="W277612" s="7"/>
    </row>
    <row r="277782" spans="22:23">
      <c r="V277782" s="7"/>
      <c r="W277782" s="7"/>
    </row>
    <row r="277952" spans="22:23">
      <c r="V277952" s="7"/>
      <c r="W277952" s="7"/>
    </row>
    <row r="278122" spans="22:23">
      <c r="V278122" s="7"/>
      <c r="W278122" s="7"/>
    </row>
    <row r="278292" spans="22:23">
      <c r="V278292" s="7"/>
      <c r="W278292" s="7"/>
    </row>
    <row r="278462" spans="22:23">
      <c r="V278462" s="7"/>
      <c r="W278462" s="7"/>
    </row>
    <row r="278632" spans="22:23">
      <c r="V278632" s="7"/>
      <c r="W278632" s="7"/>
    </row>
    <row r="278802" spans="22:23">
      <c r="V278802" s="7"/>
      <c r="W278802" s="7"/>
    </row>
    <row r="278972" spans="22:23">
      <c r="V278972" s="7"/>
      <c r="W278972" s="7"/>
    </row>
    <row r="279142" spans="22:23">
      <c r="V279142" s="7"/>
      <c r="W279142" s="7"/>
    </row>
    <row r="279312" spans="22:23">
      <c r="V279312" s="7"/>
      <c r="W279312" s="7"/>
    </row>
    <row r="279482" spans="22:23">
      <c r="V279482" s="7"/>
      <c r="W279482" s="7"/>
    </row>
    <row r="279652" spans="22:23">
      <c r="V279652" s="7"/>
      <c r="W279652" s="7"/>
    </row>
    <row r="279822" spans="22:23">
      <c r="V279822" s="7"/>
      <c r="W279822" s="7"/>
    </row>
    <row r="279992" spans="22:23">
      <c r="V279992" s="7"/>
      <c r="W279992" s="7"/>
    </row>
    <row r="280162" spans="22:23">
      <c r="V280162" s="7"/>
      <c r="W280162" s="7"/>
    </row>
    <row r="280332" spans="22:23">
      <c r="V280332" s="7"/>
      <c r="W280332" s="7"/>
    </row>
    <row r="280502" spans="22:23">
      <c r="V280502" s="7"/>
      <c r="W280502" s="7"/>
    </row>
    <row r="280672" spans="22:23">
      <c r="V280672" s="7"/>
      <c r="W280672" s="7"/>
    </row>
    <row r="280842" spans="22:23">
      <c r="V280842" s="7"/>
      <c r="W280842" s="7"/>
    </row>
    <row r="281012" spans="22:23">
      <c r="V281012" s="7"/>
      <c r="W281012" s="7"/>
    </row>
    <row r="281182" spans="22:23">
      <c r="V281182" s="7"/>
      <c r="W281182" s="7"/>
    </row>
    <row r="281352" spans="22:23">
      <c r="V281352" s="7"/>
      <c r="W281352" s="7"/>
    </row>
    <row r="281522" spans="22:23">
      <c r="V281522" s="7"/>
      <c r="W281522" s="7"/>
    </row>
    <row r="281692" spans="22:23">
      <c r="V281692" s="7"/>
      <c r="W281692" s="7"/>
    </row>
    <row r="281862" spans="22:23">
      <c r="V281862" s="7"/>
      <c r="W281862" s="7"/>
    </row>
    <row r="282032" spans="22:23">
      <c r="V282032" s="7"/>
      <c r="W282032" s="7"/>
    </row>
    <row r="282202" spans="22:23">
      <c r="V282202" s="7"/>
      <c r="W282202" s="7"/>
    </row>
    <row r="282372" spans="22:23">
      <c r="V282372" s="7"/>
      <c r="W282372" s="7"/>
    </row>
    <row r="282542" spans="22:23">
      <c r="V282542" s="7"/>
      <c r="W282542" s="7"/>
    </row>
    <row r="282712" spans="22:23">
      <c r="V282712" s="7"/>
      <c r="W282712" s="7"/>
    </row>
    <row r="282882" spans="22:23">
      <c r="V282882" s="7"/>
      <c r="W282882" s="7"/>
    </row>
    <row r="283052" spans="22:23">
      <c r="V283052" s="7"/>
      <c r="W283052" s="7"/>
    </row>
    <row r="283222" spans="22:23">
      <c r="V283222" s="7"/>
      <c r="W283222" s="7"/>
    </row>
    <row r="283392" spans="22:23">
      <c r="V283392" s="7"/>
      <c r="W283392" s="7"/>
    </row>
    <row r="283562" spans="22:23">
      <c r="V283562" s="7"/>
      <c r="W283562" s="7"/>
    </row>
    <row r="283732" spans="22:23">
      <c r="V283732" s="7"/>
      <c r="W283732" s="7"/>
    </row>
    <row r="283902" spans="22:23">
      <c r="V283902" s="7"/>
      <c r="W283902" s="7"/>
    </row>
    <row r="284072" spans="22:23">
      <c r="V284072" s="7"/>
      <c r="W284072" s="7"/>
    </row>
    <row r="284242" spans="22:23">
      <c r="V284242" s="7"/>
      <c r="W284242" s="7"/>
    </row>
    <row r="284412" spans="22:23">
      <c r="V284412" s="7"/>
      <c r="W284412" s="7"/>
    </row>
    <row r="284582" spans="22:23">
      <c r="V284582" s="7"/>
      <c r="W284582" s="7"/>
    </row>
    <row r="284752" spans="22:23">
      <c r="V284752" s="7"/>
      <c r="W284752" s="7"/>
    </row>
    <row r="284922" spans="22:23">
      <c r="V284922" s="7"/>
      <c r="W284922" s="7"/>
    </row>
    <row r="285092" spans="22:23">
      <c r="V285092" s="7"/>
      <c r="W285092" s="7"/>
    </row>
    <row r="285262" spans="22:23">
      <c r="V285262" s="7"/>
      <c r="W285262" s="7"/>
    </row>
    <row r="285432" spans="22:23">
      <c r="V285432" s="7"/>
      <c r="W285432" s="7"/>
    </row>
    <row r="285602" spans="22:23">
      <c r="V285602" s="7"/>
      <c r="W285602" s="7"/>
    </row>
    <row r="285772" spans="22:23">
      <c r="V285772" s="7"/>
      <c r="W285772" s="7"/>
    </row>
    <row r="285942" spans="22:23">
      <c r="V285942" s="7"/>
      <c r="W285942" s="7"/>
    </row>
    <row r="286112" spans="22:23">
      <c r="V286112" s="7"/>
      <c r="W286112" s="7"/>
    </row>
    <row r="286282" spans="22:23">
      <c r="V286282" s="7"/>
      <c r="W286282" s="7"/>
    </row>
    <row r="286452" spans="22:23">
      <c r="V286452" s="7"/>
      <c r="W286452" s="7"/>
    </row>
    <row r="286622" spans="22:23">
      <c r="V286622" s="7"/>
      <c r="W286622" s="7"/>
    </row>
    <row r="286792" spans="22:23">
      <c r="V286792" s="7"/>
      <c r="W286792" s="7"/>
    </row>
    <row r="286962" spans="22:23">
      <c r="V286962" s="7"/>
      <c r="W286962" s="7"/>
    </row>
    <row r="287132" spans="22:23">
      <c r="V287132" s="7"/>
      <c r="W287132" s="7"/>
    </row>
    <row r="287302" spans="22:23">
      <c r="V287302" s="7"/>
      <c r="W287302" s="7"/>
    </row>
    <row r="287472" spans="22:23">
      <c r="V287472" s="7"/>
      <c r="W287472" s="7"/>
    </row>
    <row r="287642" spans="22:23">
      <c r="V287642" s="7"/>
      <c r="W287642" s="7"/>
    </row>
    <row r="287812" spans="22:23">
      <c r="V287812" s="7"/>
      <c r="W287812" s="7"/>
    </row>
    <row r="287982" spans="22:23">
      <c r="V287982" s="7"/>
      <c r="W287982" s="7"/>
    </row>
    <row r="288152" spans="22:23">
      <c r="V288152" s="7"/>
      <c r="W288152" s="7"/>
    </row>
    <row r="288322" spans="22:23">
      <c r="V288322" s="7"/>
      <c r="W288322" s="7"/>
    </row>
    <row r="288492" spans="22:23">
      <c r="V288492" s="7"/>
      <c r="W288492" s="7"/>
    </row>
    <row r="288662" spans="22:23">
      <c r="V288662" s="7"/>
      <c r="W288662" s="7"/>
    </row>
    <row r="288832" spans="22:23">
      <c r="V288832" s="7"/>
      <c r="W288832" s="7"/>
    </row>
    <row r="289002" spans="22:23">
      <c r="V289002" s="7"/>
      <c r="W289002" s="7"/>
    </row>
    <row r="289172" spans="22:23">
      <c r="V289172" s="7"/>
      <c r="W289172" s="7"/>
    </row>
    <row r="289342" spans="22:23">
      <c r="V289342" s="7"/>
      <c r="W289342" s="7"/>
    </row>
    <row r="289512" spans="22:23">
      <c r="V289512" s="7"/>
      <c r="W289512" s="7"/>
    </row>
    <row r="289682" spans="22:23">
      <c r="V289682" s="7"/>
      <c r="W289682" s="7"/>
    </row>
    <row r="289852" spans="22:23">
      <c r="V289852" s="7"/>
      <c r="W289852" s="7"/>
    </row>
    <row r="290022" spans="22:23">
      <c r="V290022" s="7"/>
      <c r="W290022" s="7"/>
    </row>
    <row r="290192" spans="22:23">
      <c r="V290192" s="7"/>
      <c r="W290192" s="7"/>
    </row>
    <row r="290362" spans="22:23">
      <c r="V290362" s="7"/>
      <c r="W290362" s="7"/>
    </row>
    <row r="290532" spans="22:23">
      <c r="V290532" s="7"/>
      <c r="W290532" s="7"/>
    </row>
    <row r="290702" spans="22:23">
      <c r="V290702" s="7"/>
      <c r="W290702" s="7"/>
    </row>
    <row r="290872" spans="22:23">
      <c r="V290872" s="7"/>
      <c r="W290872" s="7"/>
    </row>
    <row r="291042" spans="22:23">
      <c r="V291042" s="7"/>
      <c r="W291042" s="7"/>
    </row>
    <row r="291212" spans="22:23">
      <c r="V291212" s="7"/>
      <c r="W291212" s="7"/>
    </row>
    <row r="291382" spans="22:23">
      <c r="V291382" s="7"/>
      <c r="W291382" s="7"/>
    </row>
    <row r="291552" spans="22:23">
      <c r="V291552" s="7"/>
      <c r="W291552" s="7"/>
    </row>
    <row r="291722" spans="22:23">
      <c r="V291722" s="7"/>
      <c r="W291722" s="7"/>
    </row>
    <row r="291892" spans="22:23">
      <c r="V291892" s="7"/>
      <c r="W291892" s="7"/>
    </row>
    <row r="292062" spans="22:23">
      <c r="V292062" s="7"/>
      <c r="W292062" s="7"/>
    </row>
    <row r="292232" spans="22:23">
      <c r="V292232" s="7"/>
      <c r="W292232" s="7"/>
    </row>
    <row r="292402" spans="22:23">
      <c r="V292402" s="7"/>
      <c r="W292402" s="7"/>
    </row>
    <row r="292572" spans="22:23">
      <c r="V292572" s="7"/>
      <c r="W292572" s="7"/>
    </row>
    <row r="292742" spans="22:23">
      <c r="V292742" s="7"/>
      <c r="W292742" s="7"/>
    </row>
    <row r="292912" spans="22:23">
      <c r="V292912" s="7"/>
      <c r="W292912" s="7"/>
    </row>
    <row r="293082" spans="22:23">
      <c r="V293082" s="7"/>
      <c r="W293082" s="7"/>
    </row>
    <row r="293252" spans="22:23">
      <c r="V293252" s="7"/>
      <c r="W293252" s="7"/>
    </row>
    <row r="293422" spans="22:23">
      <c r="V293422" s="7"/>
      <c r="W293422" s="7"/>
    </row>
    <row r="293592" spans="22:23">
      <c r="V293592" s="7"/>
      <c r="W293592" s="7"/>
    </row>
    <row r="293762" spans="22:23">
      <c r="V293762" s="7"/>
      <c r="W293762" s="7"/>
    </row>
    <row r="293932" spans="22:23">
      <c r="V293932" s="7"/>
      <c r="W293932" s="7"/>
    </row>
    <row r="294102" spans="22:23">
      <c r="V294102" s="7"/>
      <c r="W294102" s="7"/>
    </row>
    <row r="294272" spans="22:23">
      <c r="V294272" s="7"/>
      <c r="W294272" s="7"/>
    </row>
    <row r="294442" spans="22:23">
      <c r="V294442" s="7"/>
      <c r="W294442" s="7"/>
    </row>
    <row r="294612" spans="22:23">
      <c r="V294612" s="7"/>
      <c r="W294612" s="7"/>
    </row>
    <row r="294782" spans="22:23">
      <c r="V294782" s="7"/>
      <c r="W294782" s="7"/>
    </row>
    <row r="294952" spans="22:23">
      <c r="V294952" s="7"/>
      <c r="W294952" s="7"/>
    </row>
    <row r="295122" spans="22:23">
      <c r="V295122" s="7"/>
      <c r="W295122" s="7"/>
    </row>
    <row r="295292" spans="22:23">
      <c r="V295292" s="7"/>
      <c r="W295292" s="7"/>
    </row>
    <row r="295462" spans="22:23">
      <c r="V295462" s="7"/>
      <c r="W295462" s="7"/>
    </row>
    <row r="295632" spans="22:23">
      <c r="V295632" s="7"/>
      <c r="W295632" s="7"/>
    </row>
    <row r="295802" spans="22:23">
      <c r="V295802" s="7"/>
      <c r="W295802" s="7"/>
    </row>
    <row r="295972" spans="22:23">
      <c r="V295972" s="7"/>
      <c r="W295972" s="7"/>
    </row>
    <row r="296142" spans="22:23">
      <c r="V296142" s="7"/>
      <c r="W296142" s="7"/>
    </row>
    <row r="296312" spans="22:23">
      <c r="V296312" s="7"/>
      <c r="W296312" s="7"/>
    </row>
    <row r="296482" spans="22:23">
      <c r="V296482" s="7"/>
      <c r="W296482" s="7"/>
    </row>
    <row r="296652" spans="22:23">
      <c r="V296652" s="7"/>
      <c r="W296652" s="7"/>
    </row>
    <row r="296822" spans="22:23">
      <c r="V296822" s="7"/>
      <c r="W296822" s="7"/>
    </row>
    <row r="296992" spans="22:23">
      <c r="V296992" s="7"/>
      <c r="W296992" s="7"/>
    </row>
    <row r="297162" spans="22:23">
      <c r="V297162" s="7"/>
      <c r="W297162" s="7"/>
    </row>
    <row r="297332" spans="22:23">
      <c r="V297332" s="7"/>
      <c r="W297332" s="7"/>
    </row>
    <row r="297502" spans="22:23">
      <c r="V297502" s="7"/>
      <c r="W297502" s="7"/>
    </row>
    <row r="297672" spans="22:23">
      <c r="V297672" s="7"/>
      <c r="W297672" s="7"/>
    </row>
    <row r="297842" spans="22:23">
      <c r="V297842" s="7"/>
      <c r="W297842" s="7"/>
    </row>
    <row r="298012" spans="22:23">
      <c r="V298012" s="7"/>
      <c r="W298012" s="7"/>
    </row>
    <row r="298182" spans="22:23">
      <c r="V298182" s="7"/>
      <c r="W298182" s="7"/>
    </row>
    <row r="298352" spans="22:23">
      <c r="V298352" s="7"/>
      <c r="W298352" s="7"/>
    </row>
    <row r="298522" spans="22:23">
      <c r="V298522" s="7"/>
      <c r="W298522" s="7"/>
    </row>
    <row r="298692" spans="22:23">
      <c r="V298692" s="7"/>
      <c r="W298692" s="7"/>
    </row>
    <row r="298862" spans="22:23">
      <c r="V298862" s="7"/>
      <c r="W298862" s="7"/>
    </row>
    <row r="299032" spans="22:23">
      <c r="V299032" s="7"/>
      <c r="W299032" s="7"/>
    </row>
    <row r="299202" spans="22:23">
      <c r="V299202" s="7"/>
      <c r="W299202" s="7"/>
    </row>
    <row r="299372" spans="22:23">
      <c r="V299372" s="7"/>
      <c r="W299372" s="7"/>
    </row>
    <row r="299542" spans="22:23">
      <c r="V299542" s="7"/>
      <c r="W299542" s="7"/>
    </row>
    <row r="299712" spans="22:23">
      <c r="V299712" s="7"/>
      <c r="W299712" s="7"/>
    </row>
    <row r="299882" spans="22:23">
      <c r="V299882" s="7"/>
      <c r="W299882" s="7"/>
    </row>
    <row r="300052" spans="22:23">
      <c r="V300052" s="7"/>
      <c r="W300052" s="7"/>
    </row>
    <row r="300222" spans="22:23">
      <c r="V300222" s="7"/>
      <c r="W300222" s="7"/>
    </row>
    <row r="300392" spans="22:23">
      <c r="V300392" s="7"/>
      <c r="W300392" s="7"/>
    </row>
    <row r="300562" spans="22:23">
      <c r="V300562" s="7"/>
      <c r="W300562" s="7"/>
    </row>
    <row r="300732" spans="22:23">
      <c r="V300732" s="7"/>
      <c r="W300732" s="7"/>
    </row>
    <row r="300902" spans="22:23">
      <c r="V300902" s="7"/>
      <c r="W300902" s="7"/>
    </row>
    <row r="301072" spans="22:23">
      <c r="V301072" s="7"/>
      <c r="W301072" s="7"/>
    </row>
    <row r="301242" spans="22:23">
      <c r="V301242" s="7"/>
      <c r="W301242" s="7"/>
    </row>
    <row r="301412" spans="22:23">
      <c r="V301412" s="7"/>
      <c r="W301412" s="7"/>
    </row>
    <row r="301582" spans="22:23">
      <c r="V301582" s="7"/>
      <c r="W301582" s="7"/>
    </row>
    <row r="301752" spans="22:23">
      <c r="V301752" s="7"/>
      <c r="W301752" s="7"/>
    </row>
    <row r="301922" spans="22:23">
      <c r="V301922" s="7"/>
      <c r="W301922" s="7"/>
    </row>
    <row r="302092" spans="22:23">
      <c r="V302092" s="7"/>
      <c r="W302092" s="7"/>
    </row>
    <row r="302262" spans="22:23">
      <c r="V302262" s="7"/>
      <c r="W302262" s="7"/>
    </row>
    <row r="302432" spans="22:23">
      <c r="V302432" s="7"/>
      <c r="W302432" s="7"/>
    </row>
    <row r="302602" spans="22:23">
      <c r="V302602" s="7"/>
      <c r="W302602" s="7"/>
    </row>
    <row r="302772" spans="22:23">
      <c r="V302772" s="7"/>
      <c r="W302772" s="7"/>
    </row>
    <row r="302942" spans="22:23">
      <c r="V302942" s="7"/>
      <c r="W302942" s="7"/>
    </row>
    <row r="303112" spans="22:23">
      <c r="V303112" s="7"/>
      <c r="W303112" s="7"/>
    </row>
    <row r="303282" spans="22:23">
      <c r="V303282" s="7"/>
      <c r="W303282" s="7"/>
    </row>
    <row r="303452" spans="22:23">
      <c r="V303452" s="7"/>
      <c r="W303452" s="7"/>
    </row>
    <row r="303622" spans="22:23">
      <c r="V303622" s="7"/>
      <c r="W303622" s="7"/>
    </row>
    <row r="303792" spans="22:23">
      <c r="V303792" s="7"/>
      <c r="W303792" s="7"/>
    </row>
    <row r="303962" spans="22:23">
      <c r="V303962" s="7"/>
      <c r="W303962" s="7"/>
    </row>
    <row r="304132" spans="22:23">
      <c r="V304132" s="7"/>
      <c r="W304132" s="7"/>
    </row>
    <row r="304302" spans="22:23">
      <c r="V304302" s="7"/>
      <c r="W304302" s="7"/>
    </row>
    <row r="304472" spans="22:23">
      <c r="V304472" s="7"/>
      <c r="W304472" s="7"/>
    </row>
    <row r="304642" spans="22:23">
      <c r="V304642" s="7"/>
      <c r="W304642" s="7"/>
    </row>
    <row r="304812" spans="22:23">
      <c r="V304812" s="7"/>
      <c r="W304812" s="7"/>
    </row>
    <row r="304982" spans="22:23">
      <c r="V304982" s="7"/>
      <c r="W304982" s="7"/>
    </row>
    <row r="305152" spans="22:23">
      <c r="V305152" s="7"/>
      <c r="W305152" s="7"/>
    </row>
    <row r="305322" spans="22:23">
      <c r="V305322" s="7"/>
      <c r="W305322" s="7"/>
    </row>
    <row r="305492" spans="22:23">
      <c r="V305492" s="7"/>
      <c r="W305492" s="7"/>
    </row>
    <row r="305662" spans="22:23">
      <c r="V305662" s="7"/>
      <c r="W305662" s="7"/>
    </row>
    <row r="305832" spans="22:23">
      <c r="V305832" s="7"/>
      <c r="W305832" s="7"/>
    </row>
    <row r="306002" spans="22:23">
      <c r="V306002" s="7"/>
      <c r="W306002" s="7"/>
    </row>
    <row r="306172" spans="22:23">
      <c r="V306172" s="7"/>
      <c r="W306172" s="7"/>
    </row>
    <row r="306342" spans="22:23">
      <c r="V306342" s="7"/>
      <c r="W306342" s="7"/>
    </row>
    <row r="306512" spans="22:23">
      <c r="V306512" s="7"/>
      <c r="W306512" s="7"/>
    </row>
    <row r="306682" spans="22:23">
      <c r="V306682" s="7"/>
      <c r="W306682" s="7"/>
    </row>
    <row r="306852" spans="22:23">
      <c r="V306852" s="7"/>
      <c r="W306852" s="7"/>
    </row>
    <row r="307022" spans="22:23">
      <c r="V307022" s="7"/>
      <c r="W307022" s="7"/>
    </row>
    <row r="307192" spans="22:23">
      <c r="V307192" s="7"/>
      <c r="W307192" s="7"/>
    </row>
    <row r="307362" spans="22:23">
      <c r="V307362" s="7"/>
      <c r="W307362" s="7"/>
    </row>
    <row r="307532" spans="22:23">
      <c r="V307532" s="7"/>
      <c r="W307532" s="7"/>
    </row>
    <row r="307702" spans="22:23">
      <c r="V307702" s="7"/>
      <c r="W307702" s="7"/>
    </row>
    <row r="307872" spans="22:23">
      <c r="V307872" s="7"/>
      <c r="W307872" s="7"/>
    </row>
    <row r="308042" spans="22:23">
      <c r="V308042" s="7"/>
      <c r="W308042" s="7"/>
    </row>
    <row r="308212" spans="22:23">
      <c r="V308212" s="7"/>
      <c r="W308212" s="7"/>
    </row>
    <row r="308382" spans="22:23">
      <c r="V308382" s="7"/>
      <c r="W308382" s="7"/>
    </row>
    <row r="308552" spans="22:23">
      <c r="V308552" s="7"/>
      <c r="W308552" s="7"/>
    </row>
    <row r="308722" spans="22:23">
      <c r="V308722" s="7"/>
      <c r="W308722" s="7"/>
    </row>
    <row r="308892" spans="22:23">
      <c r="V308892" s="7"/>
      <c r="W308892" s="7"/>
    </row>
    <row r="309062" spans="22:23">
      <c r="V309062" s="7"/>
      <c r="W309062" s="7"/>
    </row>
    <row r="309232" spans="22:23">
      <c r="V309232" s="7"/>
      <c r="W309232" s="7"/>
    </row>
    <row r="309402" spans="22:23">
      <c r="V309402" s="7"/>
      <c r="W309402" s="7"/>
    </row>
    <row r="309572" spans="22:23">
      <c r="V309572" s="7"/>
      <c r="W309572" s="7"/>
    </row>
    <row r="309742" spans="22:23">
      <c r="V309742" s="7"/>
      <c r="W309742" s="7"/>
    </row>
    <row r="309912" spans="22:23">
      <c r="V309912" s="7"/>
      <c r="W309912" s="7"/>
    </row>
    <row r="310082" spans="22:23">
      <c r="V310082" s="7"/>
      <c r="W310082" s="7"/>
    </row>
    <row r="310252" spans="22:23">
      <c r="V310252" s="7"/>
      <c r="W310252" s="7"/>
    </row>
    <row r="310422" spans="22:23">
      <c r="V310422" s="7"/>
      <c r="W310422" s="7"/>
    </row>
    <row r="310592" spans="22:23">
      <c r="V310592" s="7"/>
      <c r="W310592" s="7"/>
    </row>
    <row r="310762" spans="22:23">
      <c r="V310762" s="7"/>
      <c r="W310762" s="7"/>
    </row>
    <row r="310932" spans="22:23">
      <c r="V310932" s="7"/>
      <c r="W310932" s="7"/>
    </row>
    <row r="311102" spans="22:23">
      <c r="V311102" s="7"/>
      <c r="W311102" s="7"/>
    </row>
    <row r="311272" spans="22:23">
      <c r="V311272" s="7"/>
      <c r="W311272" s="7"/>
    </row>
    <row r="311442" spans="22:23">
      <c r="V311442" s="7"/>
      <c r="W311442" s="7"/>
    </row>
    <row r="311612" spans="22:23">
      <c r="V311612" s="7"/>
      <c r="W311612" s="7"/>
    </row>
    <row r="311782" spans="22:23">
      <c r="V311782" s="7"/>
      <c r="W311782" s="7"/>
    </row>
    <row r="311952" spans="22:23">
      <c r="V311952" s="7"/>
      <c r="W311952" s="7"/>
    </row>
    <row r="312122" spans="22:23">
      <c r="V312122" s="7"/>
      <c r="W312122" s="7"/>
    </row>
    <row r="312292" spans="22:23">
      <c r="V312292" s="7"/>
      <c r="W312292" s="7"/>
    </row>
    <row r="312462" spans="22:23">
      <c r="V312462" s="7"/>
      <c r="W312462" s="7"/>
    </row>
    <row r="312632" spans="22:23">
      <c r="V312632" s="7"/>
      <c r="W312632" s="7"/>
    </row>
    <row r="312802" spans="22:23">
      <c r="V312802" s="7"/>
      <c r="W312802" s="7"/>
    </row>
    <row r="312972" spans="22:23">
      <c r="V312972" s="7"/>
      <c r="W312972" s="7"/>
    </row>
    <row r="313142" spans="22:23">
      <c r="V313142" s="7"/>
      <c r="W313142" s="7"/>
    </row>
    <row r="313312" spans="22:23">
      <c r="V313312" s="7"/>
      <c r="W313312" s="7"/>
    </row>
    <row r="313482" spans="22:23">
      <c r="V313482" s="7"/>
      <c r="W313482" s="7"/>
    </row>
    <row r="313652" spans="22:23">
      <c r="V313652" s="7"/>
      <c r="W313652" s="7"/>
    </row>
    <row r="313822" spans="22:23">
      <c r="V313822" s="7"/>
      <c r="W313822" s="7"/>
    </row>
    <row r="313992" spans="22:23">
      <c r="V313992" s="7"/>
      <c r="W313992" s="7"/>
    </row>
    <row r="314162" spans="22:23">
      <c r="V314162" s="7"/>
      <c r="W314162" s="7"/>
    </row>
    <row r="314332" spans="22:23">
      <c r="V314332" s="7"/>
      <c r="W314332" s="7"/>
    </row>
    <row r="314502" spans="22:23">
      <c r="V314502" s="7"/>
      <c r="W314502" s="7"/>
    </row>
    <row r="314672" spans="22:23">
      <c r="V314672" s="7"/>
      <c r="W314672" s="7"/>
    </row>
    <row r="314842" spans="22:23">
      <c r="V314842" s="7"/>
      <c r="W314842" s="7"/>
    </row>
    <row r="315012" spans="22:23">
      <c r="V315012" s="7"/>
      <c r="W315012" s="7"/>
    </row>
    <row r="315182" spans="22:23">
      <c r="V315182" s="7"/>
      <c r="W315182" s="7"/>
    </row>
    <row r="315352" spans="22:23">
      <c r="V315352" s="7"/>
      <c r="W315352" s="7"/>
    </row>
    <row r="315522" spans="22:23">
      <c r="V315522" s="7"/>
      <c r="W315522" s="7"/>
    </row>
    <row r="315692" spans="22:23">
      <c r="V315692" s="7"/>
      <c r="W315692" s="7"/>
    </row>
    <row r="315862" spans="22:23">
      <c r="V315862" s="7"/>
      <c r="W315862" s="7"/>
    </row>
    <row r="316032" spans="22:23">
      <c r="V316032" s="7"/>
      <c r="W316032" s="7"/>
    </row>
    <row r="316202" spans="22:23">
      <c r="V316202" s="7"/>
      <c r="W316202" s="7"/>
    </row>
    <row r="316372" spans="22:23">
      <c r="V316372" s="7"/>
      <c r="W316372" s="7"/>
    </row>
    <row r="316542" spans="22:23">
      <c r="V316542" s="7"/>
      <c r="W316542" s="7"/>
    </row>
    <row r="316712" spans="22:23">
      <c r="V316712" s="7"/>
      <c r="W316712" s="7"/>
    </row>
    <row r="316882" spans="22:23">
      <c r="V316882" s="7"/>
      <c r="W316882" s="7"/>
    </row>
    <row r="317052" spans="22:23">
      <c r="V317052" s="7"/>
      <c r="W317052" s="7"/>
    </row>
    <row r="317222" spans="22:23">
      <c r="V317222" s="7"/>
      <c r="W317222" s="7"/>
    </row>
    <row r="317392" spans="22:23">
      <c r="V317392" s="7"/>
      <c r="W317392" s="7"/>
    </row>
    <row r="317562" spans="22:23">
      <c r="V317562" s="7"/>
      <c r="W317562" s="7"/>
    </row>
    <row r="317732" spans="22:23">
      <c r="V317732" s="7"/>
      <c r="W317732" s="7"/>
    </row>
    <row r="317902" spans="22:23">
      <c r="V317902" s="7"/>
      <c r="W317902" s="7"/>
    </row>
    <row r="318072" spans="22:23">
      <c r="V318072" s="7"/>
      <c r="W318072" s="7"/>
    </row>
    <row r="318242" spans="22:23">
      <c r="V318242" s="7"/>
      <c r="W318242" s="7"/>
    </row>
    <row r="318412" spans="22:23">
      <c r="V318412" s="7"/>
      <c r="W318412" s="7"/>
    </row>
    <row r="318582" spans="22:23">
      <c r="V318582" s="7"/>
      <c r="W318582" s="7"/>
    </row>
    <row r="318752" spans="22:23">
      <c r="V318752" s="7"/>
      <c r="W318752" s="7"/>
    </row>
    <row r="318922" spans="22:23">
      <c r="V318922" s="7"/>
      <c r="W318922" s="7"/>
    </row>
    <row r="319092" spans="22:23">
      <c r="V319092" s="7"/>
      <c r="W319092" s="7"/>
    </row>
    <row r="319262" spans="22:23">
      <c r="V319262" s="7"/>
      <c r="W319262" s="7"/>
    </row>
    <row r="319432" spans="22:23">
      <c r="V319432" s="7"/>
      <c r="W319432" s="7"/>
    </row>
    <row r="319602" spans="22:23">
      <c r="V319602" s="7"/>
      <c r="W319602" s="7"/>
    </row>
    <row r="319772" spans="22:23">
      <c r="V319772" s="7"/>
      <c r="W319772" s="7"/>
    </row>
    <row r="319942" spans="22:23">
      <c r="V319942" s="7"/>
      <c r="W319942" s="7"/>
    </row>
    <row r="320112" spans="22:23">
      <c r="V320112" s="7"/>
      <c r="W320112" s="7"/>
    </row>
    <row r="320282" spans="22:23">
      <c r="V320282" s="7"/>
      <c r="W320282" s="7"/>
    </row>
    <row r="320452" spans="22:23">
      <c r="V320452" s="7"/>
      <c r="W320452" s="7"/>
    </row>
    <row r="320622" spans="22:23">
      <c r="V320622" s="7"/>
      <c r="W320622" s="7"/>
    </row>
    <row r="320792" spans="22:23">
      <c r="V320792" s="7"/>
      <c r="W320792" s="7"/>
    </row>
    <row r="320962" spans="22:23">
      <c r="V320962" s="7"/>
      <c r="W320962" s="7"/>
    </row>
    <row r="321132" spans="22:23">
      <c r="V321132" s="7"/>
      <c r="W321132" s="7"/>
    </row>
    <row r="321302" spans="22:23">
      <c r="V321302" s="7"/>
      <c r="W321302" s="7"/>
    </row>
    <row r="321472" spans="22:23">
      <c r="V321472" s="7"/>
      <c r="W321472" s="7"/>
    </row>
    <row r="321642" spans="22:23">
      <c r="V321642" s="7"/>
      <c r="W321642" s="7"/>
    </row>
    <row r="321812" spans="22:23">
      <c r="V321812" s="7"/>
      <c r="W321812" s="7"/>
    </row>
    <row r="321982" spans="22:23">
      <c r="V321982" s="7"/>
      <c r="W321982" s="7"/>
    </row>
    <row r="322152" spans="22:23">
      <c r="V322152" s="7"/>
      <c r="W322152" s="7"/>
    </row>
    <row r="322322" spans="22:23">
      <c r="V322322" s="7"/>
      <c r="W322322" s="7"/>
    </row>
    <row r="322492" spans="22:23">
      <c r="V322492" s="7"/>
      <c r="W322492" s="7"/>
    </row>
    <row r="322662" spans="22:23">
      <c r="V322662" s="7"/>
      <c r="W322662" s="7"/>
    </row>
    <row r="322832" spans="22:23">
      <c r="V322832" s="7"/>
      <c r="W322832" s="7"/>
    </row>
    <row r="323002" spans="22:23">
      <c r="V323002" s="7"/>
      <c r="W323002" s="7"/>
    </row>
    <row r="323172" spans="22:23">
      <c r="V323172" s="7"/>
      <c r="W323172" s="7"/>
    </row>
    <row r="323342" spans="22:23">
      <c r="V323342" s="7"/>
      <c r="W323342" s="7"/>
    </row>
    <row r="323512" spans="22:23">
      <c r="V323512" s="7"/>
      <c r="W323512" s="7"/>
    </row>
    <row r="323682" spans="22:23">
      <c r="V323682" s="7"/>
      <c r="W323682" s="7"/>
    </row>
    <row r="323852" spans="22:23">
      <c r="V323852" s="7"/>
      <c r="W323852" s="7"/>
    </row>
    <row r="324022" spans="22:23">
      <c r="V324022" s="7"/>
      <c r="W324022" s="7"/>
    </row>
    <row r="324192" spans="22:23">
      <c r="V324192" s="7"/>
      <c r="W324192" s="7"/>
    </row>
    <row r="324362" spans="22:23">
      <c r="V324362" s="7"/>
      <c r="W324362" s="7"/>
    </row>
    <row r="324532" spans="22:23">
      <c r="V324532" s="7"/>
      <c r="W324532" s="7"/>
    </row>
    <row r="324702" spans="22:23">
      <c r="V324702" s="7"/>
      <c r="W324702" s="7"/>
    </row>
    <row r="324872" spans="22:23">
      <c r="V324872" s="7"/>
      <c r="W324872" s="7"/>
    </row>
    <row r="325042" spans="22:23">
      <c r="V325042" s="7"/>
      <c r="W325042" s="7"/>
    </row>
    <row r="325212" spans="22:23">
      <c r="V325212" s="7"/>
      <c r="W325212" s="7"/>
    </row>
    <row r="325382" spans="22:23">
      <c r="V325382" s="7"/>
      <c r="W325382" s="7"/>
    </row>
    <row r="325552" spans="22:23">
      <c r="V325552" s="7"/>
      <c r="W325552" s="7"/>
    </row>
    <row r="325722" spans="22:23">
      <c r="V325722" s="7"/>
      <c r="W325722" s="7"/>
    </row>
    <row r="325892" spans="22:23">
      <c r="V325892" s="7"/>
      <c r="W325892" s="7"/>
    </row>
    <row r="326062" spans="22:23">
      <c r="V326062" s="7"/>
      <c r="W326062" s="7"/>
    </row>
    <row r="326232" spans="22:23">
      <c r="V326232" s="7"/>
      <c r="W326232" s="7"/>
    </row>
    <row r="326402" spans="22:23">
      <c r="V326402" s="7"/>
      <c r="W326402" s="7"/>
    </row>
    <row r="326572" spans="22:23">
      <c r="V326572" s="7"/>
      <c r="W326572" s="7"/>
    </row>
    <row r="326742" spans="22:23">
      <c r="V326742" s="7"/>
      <c r="W326742" s="7"/>
    </row>
    <row r="326912" spans="22:23">
      <c r="V326912" s="7"/>
      <c r="W326912" s="7"/>
    </row>
    <row r="327082" spans="22:23">
      <c r="V327082" s="7"/>
      <c r="W327082" s="7"/>
    </row>
    <row r="327252" spans="22:23">
      <c r="V327252" s="7"/>
      <c r="W327252" s="7"/>
    </row>
    <row r="327422" spans="22:23">
      <c r="V327422" s="7"/>
      <c r="W327422" s="7"/>
    </row>
    <row r="327592" spans="22:23">
      <c r="V327592" s="7"/>
      <c r="W327592" s="7"/>
    </row>
    <row r="327762" spans="22:23">
      <c r="V327762" s="7"/>
      <c r="W327762" s="7"/>
    </row>
    <row r="327932" spans="22:23">
      <c r="V327932" s="7"/>
      <c r="W327932" s="7"/>
    </row>
    <row r="328102" spans="22:23">
      <c r="V328102" s="7"/>
      <c r="W328102" s="7"/>
    </row>
    <row r="328272" spans="22:23">
      <c r="V328272" s="7"/>
      <c r="W328272" s="7"/>
    </row>
    <row r="328442" spans="22:23">
      <c r="V328442" s="7"/>
      <c r="W328442" s="7"/>
    </row>
    <row r="328612" spans="22:23">
      <c r="V328612" s="7"/>
      <c r="W328612" s="7"/>
    </row>
    <row r="328782" spans="22:23">
      <c r="V328782" s="7"/>
      <c r="W328782" s="7"/>
    </row>
    <row r="328952" spans="22:23">
      <c r="V328952" s="7"/>
      <c r="W328952" s="7"/>
    </row>
    <row r="329122" spans="22:23">
      <c r="V329122" s="7"/>
      <c r="W329122" s="7"/>
    </row>
    <row r="329292" spans="22:23">
      <c r="V329292" s="7"/>
      <c r="W329292" s="7"/>
    </row>
    <row r="329462" spans="22:23">
      <c r="V329462" s="7"/>
      <c r="W329462" s="7"/>
    </row>
    <row r="329632" spans="22:23">
      <c r="V329632" s="7"/>
      <c r="W329632" s="7"/>
    </row>
    <row r="329802" spans="22:23">
      <c r="V329802" s="7"/>
      <c r="W329802" s="7"/>
    </row>
    <row r="329972" spans="22:23">
      <c r="V329972" s="7"/>
      <c r="W329972" s="7"/>
    </row>
    <row r="330142" spans="22:23">
      <c r="V330142" s="7"/>
      <c r="W330142" s="7"/>
    </row>
    <row r="330312" spans="22:23">
      <c r="V330312" s="7"/>
      <c r="W330312" s="7"/>
    </row>
    <row r="330482" spans="22:23">
      <c r="V330482" s="7"/>
      <c r="W330482" s="7"/>
    </row>
    <row r="330652" spans="22:23">
      <c r="V330652" s="7"/>
      <c r="W330652" s="7"/>
    </row>
    <row r="330822" spans="22:23">
      <c r="V330822" s="7"/>
      <c r="W330822" s="7"/>
    </row>
    <row r="330992" spans="22:23">
      <c r="V330992" s="7"/>
      <c r="W330992" s="7"/>
    </row>
    <row r="331162" spans="22:23">
      <c r="V331162" s="7"/>
      <c r="W331162" s="7"/>
    </row>
    <row r="331332" spans="22:23">
      <c r="V331332" s="7"/>
      <c r="W331332" s="7"/>
    </row>
    <row r="331502" spans="22:23">
      <c r="V331502" s="7"/>
      <c r="W331502" s="7"/>
    </row>
    <row r="331672" spans="22:23">
      <c r="V331672" s="7"/>
      <c r="W331672" s="7"/>
    </row>
    <row r="331842" spans="22:23">
      <c r="V331842" s="7"/>
      <c r="W331842" s="7"/>
    </row>
    <row r="332012" spans="22:23">
      <c r="V332012" s="7"/>
      <c r="W332012" s="7"/>
    </row>
    <row r="332182" spans="22:23">
      <c r="V332182" s="7"/>
      <c r="W332182" s="7"/>
    </row>
    <row r="332352" spans="22:23">
      <c r="V332352" s="7"/>
      <c r="W332352" s="7"/>
    </row>
    <row r="332522" spans="22:23">
      <c r="V332522" s="7"/>
      <c r="W332522" s="7"/>
    </row>
    <row r="332692" spans="22:23">
      <c r="V332692" s="7"/>
      <c r="W332692" s="7"/>
    </row>
    <row r="332862" spans="22:23">
      <c r="V332862" s="7"/>
      <c r="W332862" s="7"/>
    </row>
    <row r="333032" spans="22:23">
      <c r="V333032" s="7"/>
      <c r="W333032" s="7"/>
    </row>
    <row r="333202" spans="22:23">
      <c r="V333202" s="7"/>
      <c r="W333202" s="7"/>
    </row>
    <row r="333372" spans="22:23">
      <c r="V333372" s="7"/>
      <c r="W333372" s="7"/>
    </row>
    <row r="333542" spans="22:23">
      <c r="V333542" s="7"/>
      <c r="W333542" s="7"/>
    </row>
    <row r="333712" spans="22:23">
      <c r="V333712" s="7"/>
      <c r="W333712" s="7"/>
    </row>
    <row r="333882" spans="22:23">
      <c r="V333882" s="7"/>
      <c r="W333882" s="7"/>
    </row>
    <row r="334052" spans="22:23">
      <c r="V334052" s="7"/>
      <c r="W334052" s="7"/>
    </row>
    <row r="334222" spans="22:23">
      <c r="V334222" s="7"/>
      <c r="W334222" s="7"/>
    </row>
    <row r="334392" spans="22:23">
      <c r="V334392" s="7"/>
      <c r="W334392" s="7"/>
    </row>
    <row r="334562" spans="22:23">
      <c r="V334562" s="7"/>
      <c r="W334562" s="7"/>
    </row>
    <row r="334732" spans="22:23">
      <c r="V334732" s="7"/>
      <c r="W334732" s="7"/>
    </row>
    <row r="334902" spans="22:23">
      <c r="V334902" s="7"/>
      <c r="W334902" s="7"/>
    </row>
    <row r="335072" spans="22:23">
      <c r="V335072" s="7"/>
      <c r="W335072" s="7"/>
    </row>
    <row r="335242" spans="22:23">
      <c r="V335242" s="7"/>
      <c r="W335242" s="7"/>
    </row>
    <row r="335412" spans="22:23">
      <c r="V335412" s="7"/>
      <c r="W335412" s="7"/>
    </row>
    <row r="335582" spans="22:23">
      <c r="V335582" s="7"/>
      <c r="W335582" s="7"/>
    </row>
    <row r="335752" spans="22:23">
      <c r="V335752" s="7"/>
      <c r="W335752" s="7"/>
    </row>
    <row r="335922" spans="22:23">
      <c r="V335922" s="7"/>
      <c r="W335922" s="7"/>
    </row>
    <row r="336092" spans="22:23">
      <c r="V336092" s="7"/>
      <c r="W336092" s="7"/>
    </row>
    <row r="336262" spans="22:23">
      <c r="V336262" s="7"/>
      <c r="W336262" s="7"/>
    </row>
    <row r="336432" spans="22:23">
      <c r="V336432" s="7"/>
      <c r="W336432" s="7"/>
    </row>
    <row r="336602" spans="22:23">
      <c r="V336602" s="7"/>
      <c r="W336602" s="7"/>
    </row>
    <row r="336772" spans="22:23">
      <c r="V336772" s="7"/>
      <c r="W336772" s="7"/>
    </row>
    <row r="336942" spans="22:23">
      <c r="V336942" s="7"/>
      <c r="W336942" s="7"/>
    </row>
    <row r="337112" spans="22:23">
      <c r="V337112" s="7"/>
      <c r="W337112" s="7"/>
    </row>
    <row r="337282" spans="22:23">
      <c r="V337282" s="7"/>
      <c r="W337282" s="7"/>
    </row>
    <row r="337452" spans="22:23">
      <c r="V337452" s="7"/>
      <c r="W337452" s="7"/>
    </row>
    <row r="337622" spans="22:23">
      <c r="V337622" s="7"/>
      <c r="W337622" s="7"/>
    </row>
    <row r="337792" spans="22:23">
      <c r="V337792" s="7"/>
      <c r="W337792" s="7"/>
    </row>
    <row r="337962" spans="22:23">
      <c r="V337962" s="7"/>
      <c r="W337962" s="7"/>
    </row>
    <row r="338132" spans="22:23">
      <c r="V338132" s="7"/>
      <c r="W338132" s="7"/>
    </row>
    <row r="338302" spans="22:23">
      <c r="V338302" s="7"/>
      <c r="W338302" s="7"/>
    </row>
    <row r="338472" spans="22:23">
      <c r="V338472" s="7"/>
      <c r="W338472" s="7"/>
    </row>
    <row r="338642" spans="22:23">
      <c r="V338642" s="7"/>
      <c r="W338642" s="7"/>
    </row>
    <row r="338812" spans="22:23">
      <c r="V338812" s="7"/>
      <c r="W338812" s="7"/>
    </row>
    <row r="338982" spans="22:23">
      <c r="V338982" s="7"/>
      <c r="W338982" s="7"/>
    </row>
    <row r="339152" spans="22:23">
      <c r="V339152" s="7"/>
      <c r="W339152" s="7"/>
    </row>
    <row r="339322" spans="22:23">
      <c r="V339322" s="7"/>
      <c r="W339322" s="7"/>
    </row>
    <row r="339492" spans="22:23">
      <c r="V339492" s="7"/>
      <c r="W339492" s="7"/>
    </row>
    <row r="339662" spans="22:23">
      <c r="V339662" s="7"/>
      <c r="W339662" s="7"/>
    </row>
    <row r="339832" spans="22:23">
      <c r="V339832" s="7"/>
      <c r="W339832" s="7"/>
    </row>
    <row r="340002" spans="22:23">
      <c r="V340002" s="7"/>
      <c r="W340002" s="7"/>
    </row>
    <row r="340172" spans="22:23">
      <c r="V340172" s="7"/>
      <c r="W340172" s="7"/>
    </row>
    <row r="340342" spans="22:23">
      <c r="V340342" s="7"/>
      <c r="W340342" s="7"/>
    </row>
    <row r="340512" spans="22:23">
      <c r="V340512" s="7"/>
      <c r="W340512" s="7"/>
    </row>
    <row r="340682" spans="22:23">
      <c r="V340682" s="7"/>
      <c r="W340682" s="7"/>
    </row>
    <row r="340852" spans="22:23">
      <c r="V340852" s="7"/>
      <c r="W340852" s="7"/>
    </row>
    <row r="341022" spans="22:23">
      <c r="V341022" s="7"/>
      <c r="W341022" s="7"/>
    </row>
    <row r="341192" spans="22:23">
      <c r="V341192" s="7"/>
      <c r="W341192" s="7"/>
    </row>
    <row r="341362" spans="22:23">
      <c r="V341362" s="7"/>
      <c r="W341362" s="7"/>
    </row>
    <row r="341532" spans="22:23">
      <c r="V341532" s="7"/>
      <c r="W341532" s="7"/>
    </row>
    <row r="341702" spans="22:23">
      <c r="V341702" s="7"/>
      <c r="W341702" s="7"/>
    </row>
    <row r="341872" spans="22:23">
      <c r="V341872" s="7"/>
      <c r="W341872" s="7"/>
    </row>
    <row r="342042" spans="22:23">
      <c r="V342042" s="7"/>
      <c r="W342042" s="7"/>
    </row>
    <row r="342212" spans="22:23">
      <c r="V342212" s="7"/>
      <c r="W342212" s="7"/>
    </row>
    <row r="342382" spans="22:23">
      <c r="V342382" s="7"/>
      <c r="W342382" s="7"/>
    </row>
    <row r="342552" spans="22:23">
      <c r="V342552" s="7"/>
      <c r="W342552" s="7"/>
    </row>
    <row r="342722" spans="22:23">
      <c r="V342722" s="7"/>
      <c r="W342722" s="7"/>
    </row>
    <row r="342892" spans="22:23">
      <c r="V342892" s="7"/>
      <c r="W342892" s="7"/>
    </row>
    <row r="343062" spans="22:23">
      <c r="V343062" s="7"/>
      <c r="W343062" s="7"/>
    </row>
    <row r="343232" spans="22:23">
      <c r="V343232" s="7"/>
      <c r="W343232" s="7"/>
    </row>
    <row r="343402" spans="22:23">
      <c r="V343402" s="7"/>
      <c r="W343402" s="7"/>
    </row>
    <row r="343572" spans="22:23">
      <c r="V343572" s="7"/>
      <c r="W343572" s="7"/>
    </row>
    <row r="343742" spans="22:23">
      <c r="V343742" s="7"/>
      <c r="W343742" s="7"/>
    </row>
    <row r="343912" spans="22:23">
      <c r="V343912" s="7"/>
      <c r="W343912" s="7"/>
    </row>
    <row r="344082" spans="22:23">
      <c r="V344082" s="7"/>
      <c r="W344082" s="7"/>
    </row>
    <row r="344252" spans="22:23">
      <c r="V344252" s="7"/>
      <c r="W344252" s="7"/>
    </row>
    <row r="344422" spans="22:23">
      <c r="V344422" s="7"/>
      <c r="W344422" s="7"/>
    </row>
    <row r="344592" spans="22:23">
      <c r="V344592" s="7"/>
      <c r="W344592" s="7"/>
    </row>
    <row r="344762" spans="22:23">
      <c r="V344762" s="7"/>
      <c r="W344762" s="7"/>
    </row>
    <row r="344932" spans="22:23">
      <c r="V344932" s="7"/>
      <c r="W344932" s="7"/>
    </row>
    <row r="345102" spans="22:23">
      <c r="V345102" s="7"/>
      <c r="W345102" s="7"/>
    </row>
    <row r="345272" spans="22:23">
      <c r="V345272" s="7"/>
      <c r="W345272" s="7"/>
    </row>
    <row r="345442" spans="22:23">
      <c r="V345442" s="7"/>
      <c r="W345442" s="7"/>
    </row>
    <row r="345612" spans="22:23">
      <c r="V345612" s="7"/>
      <c r="W345612" s="7"/>
    </row>
    <row r="345782" spans="22:23">
      <c r="V345782" s="7"/>
      <c r="W345782" s="7"/>
    </row>
    <row r="345952" spans="22:23">
      <c r="V345952" s="7"/>
      <c r="W345952" s="7"/>
    </row>
    <row r="346122" spans="22:23">
      <c r="V346122" s="7"/>
      <c r="W346122" s="7"/>
    </row>
    <row r="346292" spans="22:23">
      <c r="V346292" s="7"/>
      <c r="W346292" s="7"/>
    </row>
    <row r="346462" spans="22:23">
      <c r="V346462" s="7"/>
      <c r="W346462" s="7"/>
    </row>
    <row r="346632" spans="22:23">
      <c r="V346632" s="7"/>
      <c r="W346632" s="7"/>
    </row>
    <row r="346802" spans="22:23">
      <c r="V346802" s="7"/>
      <c r="W346802" s="7"/>
    </row>
    <row r="346972" spans="22:23">
      <c r="V346972" s="7"/>
      <c r="W346972" s="7"/>
    </row>
    <row r="347142" spans="22:23">
      <c r="V347142" s="7"/>
      <c r="W347142" s="7"/>
    </row>
    <row r="347312" spans="22:23">
      <c r="V347312" s="7"/>
      <c r="W347312" s="7"/>
    </row>
    <row r="347482" spans="22:23">
      <c r="V347482" s="7"/>
      <c r="W347482" s="7"/>
    </row>
    <row r="347652" spans="22:23">
      <c r="V347652" s="7"/>
      <c r="W347652" s="7"/>
    </row>
    <row r="347822" spans="22:23">
      <c r="V347822" s="7"/>
      <c r="W347822" s="7"/>
    </row>
    <row r="347992" spans="22:23">
      <c r="V347992" s="7"/>
      <c r="W347992" s="7"/>
    </row>
    <row r="348162" spans="22:23">
      <c r="V348162" s="7"/>
      <c r="W348162" s="7"/>
    </row>
    <row r="348332" spans="22:23">
      <c r="V348332" s="7"/>
      <c r="W348332" s="7"/>
    </row>
    <row r="348502" spans="22:23">
      <c r="V348502" s="7"/>
      <c r="W348502" s="7"/>
    </row>
    <row r="348672" spans="22:23">
      <c r="V348672" s="7"/>
      <c r="W348672" s="7"/>
    </row>
    <row r="348842" spans="22:23">
      <c r="V348842" s="7"/>
      <c r="W348842" s="7"/>
    </row>
    <row r="349012" spans="22:23">
      <c r="V349012" s="7"/>
      <c r="W349012" s="7"/>
    </row>
    <row r="349182" spans="22:23">
      <c r="V349182" s="7"/>
      <c r="W349182" s="7"/>
    </row>
    <row r="349352" spans="22:23">
      <c r="V349352" s="7"/>
      <c r="W349352" s="7"/>
    </row>
    <row r="349522" spans="22:23">
      <c r="V349522" s="7"/>
      <c r="W349522" s="7"/>
    </row>
    <row r="349692" spans="22:23">
      <c r="V349692" s="7"/>
      <c r="W349692" s="7"/>
    </row>
    <row r="349862" spans="22:23">
      <c r="V349862" s="7"/>
      <c r="W349862" s="7"/>
    </row>
    <row r="350032" spans="22:23">
      <c r="V350032" s="7"/>
      <c r="W350032" s="7"/>
    </row>
    <row r="350202" spans="22:23">
      <c r="V350202" s="7"/>
      <c r="W350202" s="7"/>
    </row>
    <row r="350372" spans="22:23">
      <c r="V350372" s="7"/>
      <c r="W350372" s="7"/>
    </row>
    <row r="350542" spans="22:23">
      <c r="V350542" s="7"/>
      <c r="W350542" s="7"/>
    </row>
    <row r="350712" spans="22:23">
      <c r="V350712" s="7"/>
      <c r="W350712" s="7"/>
    </row>
    <row r="350882" spans="22:23">
      <c r="V350882" s="7"/>
      <c r="W350882" s="7"/>
    </row>
    <row r="351052" spans="22:23">
      <c r="V351052" s="7"/>
      <c r="W351052" s="7"/>
    </row>
    <row r="351222" spans="22:23">
      <c r="V351222" s="7"/>
      <c r="W351222" s="7"/>
    </row>
    <row r="351392" spans="22:23">
      <c r="V351392" s="7"/>
      <c r="W351392" s="7"/>
    </row>
    <row r="351562" spans="22:23">
      <c r="V351562" s="7"/>
      <c r="W351562" s="7"/>
    </row>
    <row r="351732" spans="22:23">
      <c r="V351732" s="7"/>
      <c r="W351732" s="7"/>
    </row>
    <row r="351902" spans="22:23">
      <c r="V351902" s="7"/>
      <c r="W351902" s="7"/>
    </row>
    <row r="352072" spans="22:23">
      <c r="V352072" s="7"/>
      <c r="W352072" s="7"/>
    </row>
    <row r="352242" spans="22:23">
      <c r="V352242" s="7"/>
      <c r="W352242" s="7"/>
    </row>
    <row r="352412" spans="22:23">
      <c r="V352412" s="7"/>
      <c r="W352412" s="7"/>
    </row>
    <row r="352582" spans="22:23">
      <c r="V352582" s="7"/>
      <c r="W352582" s="7"/>
    </row>
    <row r="352752" spans="22:23">
      <c r="V352752" s="7"/>
      <c r="W352752" s="7"/>
    </row>
    <row r="352922" spans="22:23">
      <c r="V352922" s="7"/>
      <c r="W352922" s="7"/>
    </row>
    <row r="353092" spans="22:23">
      <c r="V353092" s="7"/>
      <c r="W353092" s="7"/>
    </row>
    <row r="353262" spans="22:23">
      <c r="V353262" s="7"/>
      <c r="W353262" s="7"/>
    </row>
    <row r="353432" spans="22:23">
      <c r="V353432" s="7"/>
      <c r="W353432" s="7"/>
    </row>
    <row r="353602" spans="22:23">
      <c r="V353602" s="7"/>
      <c r="W353602" s="7"/>
    </row>
    <row r="353772" spans="22:23">
      <c r="V353772" s="7"/>
      <c r="W353772" s="7"/>
    </row>
    <row r="353942" spans="22:23">
      <c r="V353942" s="7"/>
      <c r="W353942" s="7"/>
    </row>
    <row r="354112" spans="22:23">
      <c r="V354112" s="7"/>
      <c r="W354112" s="7"/>
    </row>
    <row r="354282" spans="22:23">
      <c r="V354282" s="7"/>
      <c r="W354282" s="7"/>
    </row>
    <row r="354452" spans="22:23">
      <c r="V354452" s="7"/>
      <c r="W354452" s="7"/>
    </row>
    <row r="354622" spans="22:23">
      <c r="V354622" s="7"/>
      <c r="W354622" s="7"/>
    </row>
    <row r="354792" spans="22:23">
      <c r="V354792" s="7"/>
      <c r="W354792" s="7"/>
    </row>
    <row r="354962" spans="22:23">
      <c r="V354962" s="7"/>
      <c r="W354962" s="7"/>
    </row>
    <row r="355132" spans="22:23">
      <c r="V355132" s="7"/>
      <c r="W355132" s="7"/>
    </row>
    <row r="355302" spans="22:23">
      <c r="V355302" s="7"/>
      <c r="W355302" s="7"/>
    </row>
    <row r="355472" spans="22:23">
      <c r="V355472" s="7"/>
      <c r="W355472" s="7"/>
    </row>
    <row r="355642" spans="22:23">
      <c r="V355642" s="7"/>
      <c r="W355642" s="7"/>
    </row>
    <row r="355812" spans="22:23">
      <c r="V355812" s="7"/>
      <c r="W355812" s="7"/>
    </row>
    <row r="355982" spans="22:23">
      <c r="V355982" s="7"/>
      <c r="W355982" s="7"/>
    </row>
    <row r="356152" spans="22:23">
      <c r="V356152" s="7"/>
      <c r="W356152" s="7"/>
    </row>
    <row r="356322" spans="22:23">
      <c r="V356322" s="7"/>
      <c r="W356322" s="7"/>
    </row>
    <row r="356492" spans="22:23">
      <c r="V356492" s="7"/>
      <c r="W356492" s="7"/>
    </row>
    <row r="356662" spans="22:23">
      <c r="V356662" s="7"/>
      <c r="W356662" s="7"/>
    </row>
    <row r="356832" spans="22:23">
      <c r="V356832" s="7"/>
      <c r="W356832" s="7"/>
    </row>
    <row r="357002" spans="22:23">
      <c r="V357002" s="7"/>
      <c r="W357002" s="7"/>
    </row>
    <row r="357172" spans="22:23">
      <c r="V357172" s="7"/>
      <c r="W357172" s="7"/>
    </row>
    <row r="357342" spans="22:23">
      <c r="V357342" s="7"/>
      <c r="W357342" s="7"/>
    </row>
    <row r="357512" spans="22:23">
      <c r="V357512" s="7"/>
      <c r="W357512" s="7"/>
    </row>
    <row r="357682" spans="22:23">
      <c r="V357682" s="7"/>
      <c r="W357682" s="7"/>
    </row>
    <row r="357852" spans="22:23">
      <c r="V357852" s="7"/>
      <c r="W357852" s="7"/>
    </row>
    <row r="358022" spans="22:23">
      <c r="V358022" s="7"/>
      <c r="W358022" s="7"/>
    </row>
    <row r="358192" spans="22:23">
      <c r="V358192" s="7"/>
      <c r="W358192" s="7"/>
    </row>
    <row r="358362" spans="22:23">
      <c r="V358362" s="7"/>
      <c r="W358362" s="7"/>
    </row>
    <row r="358532" spans="22:23">
      <c r="V358532" s="7"/>
      <c r="W358532" s="7"/>
    </row>
    <row r="358702" spans="22:23">
      <c r="V358702" s="7"/>
      <c r="W358702" s="7"/>
    </row>
    <row r="358872" spans="22:23">
      <c r="V358872" s="7"/>
      <c r="W358872" s="7"/>
    </row>
    <row r="359042" spans="22:23">
      <c r="V359042" s="7"/>
      <c r="W359042" s="7"/>
    </row>
    <row r="359212" spans="22:23">
      <c r="V359212" s="7"/>
      <c r="W359212" s="7"/>
    </row>
    <row r="359382" spans="22:23">
      <c r="V359382" s="7"/>
      <c r="W359382" s="7"/>
    </row>
    <row r="359552" spans="22:23">
      <c r="V359552" s="7"/>
      <c r="W359552" s="7"/>
    </row>
    <row r="359722" spans="22:23">
      <c r="V359722" s="7"/>
      <c r="W359722" s="7"/>
    </row>
    <row r="359892" spans="22:23">
      <c r="V359892" s="7"/>
      <c r="W359892" s="7"/>
    </row>
    <row r="360062" spans="22:23">
      <c r="V360062" s="7"/>
      <c r="W360062" s="7"/>
    </row>
    <row r="360232" spans="22:23">
      <c r="V360232" s="7"/>
      <c r="W360232" s="7"/>
    </row>
    <row r="360402" spans="22:23">
      <c r="V360402" s="7"/>
      <c r="W360402" s="7"/>
    </row>
    <row r="360572" spans="22:23">
      <c r="V360572" s="7"/>
      <c r="W360572" s="7"/>
    </row>
    <row r="360742" spans="22:23">
      <c r="V360742" s="7"/>
      <c r="W360742" s="7"/>
    </row>
    <row r="360912" spans="22:23">
      <c r="V360912" s="7"/>
      <c r="W360912" s="7"/>
    </row>
    <row r="361082" spans="22:23">
      <c r="V361082" s="7"/>
      <c r="W361082" s="7"/>
    </row>
    <row r="361252" spans="22:23">
      <c r="V361252" s="7"/>
      <c r="W361252" s="7"/>
    </row>
    <row r="361422" spans="22:23">
      <c r="V361422" s="7"/>
      <c r="W361422" s="7"/>
    </row>
    <row r="361592" spans="22:23">
      <c r="V361592" s="7"/>
      <c r="W361592" s="7"/>
    </row>
    <row r="361762" spans="22:23">
      <c r="V361762" s="7"/>
      <c r="W361762" s="7"/>
    </row>
    <row r="361932" spans="22:23">
      <c r="V361932" s="7"/>
      <c r="W361932" s="7"/>
    </row>
    <row r="362102" spans="22:23">
      <c r="V362102" s="7"/>
      <c r="W362102" s="7"/>
    </row>
    <row r="362272" spans="22:23">
      <c r="V362272" s="7"/>
      <c r="W362272" s="7"/>
    </row>
    <row r="362442" spans="22:23">
      <c r="V362442" s="7"/>
      <c r="W362442" s="7"/>
    </row>
    <row r="362612" spans="22:23">
      <c r="V362612" s="7"/>
      <c r="W362612" s="7"/>
    </row>
    <row r="362782" spans="22:23">
      <c r="V362782" s="7"/>
      <c r="W362782" s="7"/>
    </row>
    <row r="362952" spans="22:23">
      <c r="V362952" s="7"/>
      <c r="W362952" s="7"/>
    </row>
    <row r="363122" spans="22:23">
      <c r="V363122" s="7"/>
      <c r="W363122" s="7"/>
    </row>
    <row r="363292" spans="22:23">
      <c r="V363292" s="7"/>
      <c r="W363292" s="7"/>
    </row>
    <row r="363462" spans="22:23">
      <c r="V363462" s="7"/>
      <c r="W363462" s="7"/>
    </row>
    <row r="363632" spans="22:23">
      <c r="V363632" s="7"/>
      <c r="W363632" s="7"/>
    </row>
    <row r="363802" spans="22:23">
      <c r="V363802" s="7"/>
      <c r="W363802" s="7"/>
    </row>
    <row r="363972" spans="22:23">
      <c r="V363972" s="7"/>
      <c r="W363972" s="7"/>
    </row>
    <row r="364142" spans="22:23">
      <c r="V364142" s="7"/>
      <c r="W364142" s="7"/>
    </row>
    <row r="364312" spans="22:23">
      <c r="V364312" s="7"/>
      <c r="W364312" s="7"/>
    </row>
    <row r="364482" spans="22:23">
      <c r="V364482" s="7"/>
      <c r="W364482" s="7"/>
    </row>
    <row r="364652" spans="22:23">
      <c r="V364652" s="7"/>
      <c r="W364652" s="7"/>
    </row>
    <row r="364822" spans="22:23">
      <c r="V364822" s="7"/>
      <c r="W364822" s="7"/>
    </row>
    <row r="364992" spans="22:23">
      <c r="V364992" s="7"/>
      <c r="W364992" s="7"/>
    </row>
    <row r="365162" spans="22:23">
      <c r="V365162" s="7"/>
      <c r="W365162" s="7"/>
    </row>
    <row r="365332" spans="22:23">
      <c r="V365332" s="7"/>
      <c r="W365332" s="7"/>
    </row>
    <row r="365502" spans="22:23">
      <c r="V365502" s="7"/>
      <c r="W365502" s="7"/>
    </row>
    <row r="365672" spans="22:23">
      <c r="V365672" s="7"/>
      <c r="W365672" s="7"/>
    </row>
    <row r="365842" spans="22:23">
      <c r="V365842" s="7"/>
      <c r="W365842" s="7"/>
    </row>
    <row r="366012" spans="22:23">
      <c r="V366012" s="7"/>
      <c r="W366012" s="7"/>
    </row>
    <row r="366182" spans="22:23">
      <c r="V366182" s="7"/>
      <c r="W366182" s="7"/>
    </row>
    <row r="366352" spans="22:23">
      <c r="V366352" s="7"/>
      <c r="W366352" s="7"/>
    </row>
    <row r="366522" spans="22:23">
      <c r="V366522" s="7"/>
      <c r="W366522" s="7"/>
    </row>
    <row r="366692" spans="22:23">
      <c r="V366692" s="7"/>
      <c r="W366692" s="7"/>
    </row>
    <row r="366862" spans="22:23">
      <c r="V366862" s="7"/>
      <c r="W366862" s="7"/>
    </row>
    <row r="367032" spans="22:23">
      <c r="V367032" s="7"/>
      <c r="W367032" s="7"/>
    </row>
    <row r="367202" spans="22:23">
      <c r="V367202" s="7"/>
      <c r="W367202" s="7"/>
    </row>
    <row r="367372" spans="22:23">
      <c r="V367372" s="7"/>
      <c r="W367372" s="7"/>
    </row>
    <row r="367542" spans="22:23">
      <c r="V367542" s="7"/>
      <c r="W367542" s="7"/>
    </row>
    <row r="367712" spans="22:23">
      <c r="V367712" s="7"/>
      <c r="W367712" s="7"/>
    </row>
    <row r="367882" spans="22:23">
      <c r="V367882" s="7"/>
      <c r="W367882" s="7"/>
    </row>
    <row r="368052" spans="22:23">
      <c r="V368052" s="7"/>
      <c r="W368052" s="7"/>
    </row>
    <row r="368222" spans="22:23">
      <c r="V368222" s="7"/>
      <c r="W368222" s="7"/>
    </row>
    <row r="368392" spans="22:23">
      <c r="V368392" s="7"/>
      <c r="W368392" s="7"/>
    </row>
    <row r="368562" spans="22:23">
      <c r="V368562" s="7"/>
      <c r="W368562" s="7"/>
    </row>
    <row r="368732" spans="22:23">
      <c r="V368732" s="7"/>
      <c r="W368732" s="7"/>
    </row>
    <row r="368902" spans="22:23">
      <c r="V368902" s="7"/>
      <c r="W368902" s="7"/>
    </row>
    <row r="369072" spans="22:23">
      <c r="V369072" s="7"/>
      <c r="W369072" s="7"/>
    </row>
    <row r="369242" spans="22:23">
      <c r="V369242" s="7"/>
      <c r="W369242" s="7"/>
    </row>
    <row r="369412" spans="22:23">
      <c r="V369412" s="7"/>
      <c r="W369412" s="7"/>
    </row>
    <row r="369582" spans="22:23">
      <c r="V369582" s="7"/>
      <c r="W369582" s="7"/>
    </row>
    <row r="369752" spans="22:23">
      <c r="V369752" s="7"/>
      <c r="W369752" s="7"/>
    </row>
    <row r="369922" spans="22:23">
      <c r="V369922" s="7"/>
      <c r="W369922" s="7"/>
    </row>
    <row r="370092" spans="22:23">
      <c r="V370092" s="7"/>
      <c r="W370092" s="7"/>
    </row>
    <row r="370262" spans="22:23">
      <c r="V370262" s="7"/>
      <c r="W370262" s="7"/>
    </row>
    <row r="370432" spans="22:23">
      <c r="V370432" s="7"/>
      <c r="W370432" s="7"/>
    </row>
    <row r="370602" spans="22:23">
      <c r="V370602" s="7"/>
      <c r="W370602" s="7"/>
    </row>
    <row r="370772" spans="22:23">
      <c r="V370772" s="7"/>
      <c r="W370772" s="7"/>
    </row>
    <row r="370942" spans="22:23">
      <c r="V370942" s="7"/>
      <c r="W370942" s="7"/>
    </row>
    <row r="371112" spans="22:23">
      <c r="V371112" s="7"/>
      <c r="W371112" s="7"/>
    </row>
    <row r="371282" spans="22:23">
      <c r="V371282" s="7"/>
      <c r="W371282" s="7"/>
    </row>
    <row r="371452" spans="22:23">
      <c r="V371452" s="7"/>
      <c r="W371452" s="7"/>
    </row>
    <row r="371622" spans="22:23">
      <c r="V371622" s="7"/>
      <c r="W371622" s="7"/>
    </row>
    <row r="371792" spans="22:23">
      <c r="V371792" s="7"/>
      <c r="W371792" s="7"/>
    </row>
    <row r="371962" spans="22:23">
      <c r="V371962" s="7"/>
      <c r="W371962" s="7"/>
    </row>
    <row r="372132" spans="22:23">
      <c r="V372132" s="7"/>
      <c r="W372132" s="7"/>
    </row>
    <row r="372302" spans="22:23">
      <c r="V372302" s="7"/>
      <c r="W372302" s="7"/>
    </row>
    <row r="372472" spans="22:23">
      <c r="V372472" s="7"/>
      <c r="W372472" s="7"/>
    </row>
    <row r="372642" spans="22:23">
      <c r="V372642" s="7"/>
      <c r="W372642" s="7"/>
    </row>
    <row r="372812" spans="22:23">
      <c r="V372812" s="7"/>
      <c r="W372812" s="7"/>
    </row>
    <row r="372982" spans="22:23">
      <c r="V372982" s="7"/>
      <c r="W372982" s="7"/>
    </row>
    <row r="373152" spans="22:23">
      <c r="V373152" s="7"/>
      <c r="W373152" s="7"/>
    </row>
    <row r="373322" spans="22:23">
      <c r="V373322" s="7"/>
      <c r="W373322" s="7"/>
    </row>
    <row r="373492" spans="22:23">
      <c r="V373492" s="7"/>
      <c r="W373492" s="7"/>
    </row>
    <row r="373662" spans="22:23">
      <c r="V373662" s="7"/>
      <c r="W373662" s="7"/>
    </row>
    <row r="373832" spans="22:23">
      <c r="V373832" s="7"/>
      <c r="W373832" s="7"/>
    </row>
    <row r="374002" spans="22:23">
      <c r="V374002" s="7"/>
      <c r="W374002" s="7"/>
    </row>
    <row r="374172" spans="22:23">
      <c r="V374172" s="7"/>
      <c r="W374172" s="7"/>
    </row>
    <row r="374342" spans="22:23">
      <c r="V374342" s="7"/>
      <c r="W374342" s="7"/>
    </row>
    <row r="374512" spans="22:23">
      <c r="V374512" s="7"/>
      <c r="W374512" s="7"/>
    </row>
    <row r="374682" spans="22:23">
      <c r="V374682" s="7"/>
      <c r="W374682" s="7"/>
    </row>
    <row r="374852" spans="22:23">
      <c r="V374852" s="7"/>
      <c r="W374852" s="7"/>
    </row>
    <row r="375022" spans="22:23">
      <c r="V375022" s="7"/>
      <c r="W375022" s="7"/>
    </row>
    <row r="375192" spans="22:23">
      <c r="V375192" s="7"/>
      <c r="W375192" s="7"/>
    </row>
    <row r="375362" spans="22:23">
      <c r="V375362" s="7"/>
      <c r="W375362" s="7"/>
    </row>
    <row r="375532" spans="22:23">
      <c r="V375532" s="7"/>
      <c r="W375532" s="7"/>
    </row>
    <row r="375702" spans="22:23">
      <c r="V375702" s="7"/>
      <c r="W375702" s="7"/>
    </row>
    <row r="375872" spans="22:23">
      <c r="V375872" s="7"/>
      <c r="W375872" s="7"/>
    </row>
    <row r="376042" spans="22:23">
      <c r="V376042" s="7"/>
      <c r="W376042" s="7"/>
    </row>
    <row r="376212" spans="22:23">
      <c r="V376212" s="7"/>
      <c r="W376212" s="7"/>
    </row>
    <row r="376382" spans="22:23">
      <c r="V376382" s="7"/>
      <c r="W376382" s="7"/>
    </row>
    <row r="376552" spans="22:23">
      <c r="V376552" s="7"/>
      <c r="W376552" s="7"/>
    </row>
    <row r="376722" spans="22:23">
      <c r="V376722" s="7"/>
      <c r="W376722" s="7"/>
    </row>
    <row r="376892" spans="22:23">
      <c r="V376892" s="7"/>
      <c r="W376892" s="7"/>
    </row>
    <row r="377062" spans="22:23">
      <c r="V377062" s="7"/>
      <c r="W377062" s="7"/>
    </row>
    <row r="377232" spans="22:23">
      <c r="V377232" s="7"/>
      <c r="W377232" s="7"/>
    </row>
    <row r="377402" spans="22:23">
      <c r="V377402" s="7"/>
      <c r="W377402" s="7"/>
    </row>
    <row r="377572" spans="22:23">
      <c r="V377572" s="7"/>
      <c r="W377572" s="7"/>
    </row>
    <row r="377742" spans="22:23">
      <c r="V377742" s="7"/>
      <c r="W377742" s="7"/>
    </row>
    <row r="377912" spans="22:23">
      <c r="V377912" s="7"/>
      <c r="W377912" s="7"/>
    </row>
    <row r="378082" spans="22:23">
      <c r="V378082" s="7"/>
      <c r="W378082" s="7"/>
    </row>
    <row r="378252" spans="22:23">
      <c r="V378252" s="7"/>
      <c r="W378252" s="7"/>
    </row>
    <row r="378422" spans="22:23">
      <c r="V378422" s="7"/>
      <c r="W378422" s="7"/>
    </row>
    <row r="378592" spans="22:23">
      <c r="V378592" s="7"/>
      <c r="W378592" s="7"/>
    </row>
    <row r="378762" spans="22:23">
      <c r="V378762" s="7"/>
      <c r="W378762" s="7"/>
    </row>
    <row r="378932" spans="22:23">
      <c r="V378932" s="7"/>
      <c r="W378932" s="7"/>
    </row>
    <row r="379102" spans="22:23">
      <c r="V379102" s="7"/>
      <c r="W379102" s="7"/>
    </row>
    <row r="379272" spans="22:23">
      <c r="V379272" s="7"/>
      <c r="W379272" s="7"/>
    </row>
    <row r="379442" spans="22:23">
      <c r="V379442" s="7"/>
      <c r="W379442" s="7"/>
    </row>
    <row r="379612" spans="22:23">
      <c r="V379612" s="7"/>
      <c r="W379612" s="7"/>
    </row>
    <row r="379782" spans="22:23">
      <c r="V379782" s="7"/>
      <c r="W379782" s="7"/>
    </row>
    <row r="379952" spans="22:23">
      <c r="V379952" s="7"/>
      <c r="W379952" s="7"/>
    </row>
    <row r="380122" spans="22:23">
      <c r="V380122" s="7"/>
      <c r="W380122" s="7"/>
    </row>
    <row r="380292" spans="22:23">
      <c r="V380292" s="7"/>
      <c r="W380292" s="7"/>
    </row>
    <row r="380462" spans="22:23">
      <c r="V380462" s="7"/>
      <c r="W380462" s="7"/>
    </row>
    <row r="380632" spans="22:23">
      <c r="V380632" s="7"/>
      <c r="W380632" s="7"/>
    </row>
    <row r="380802" spans="22:23">
      <c r="V380802" s="7"/>
      <c r="W380802" s="7"/>
    </row>
    <row r="380972" spans="22:23">
      <c r="V380972" s="7"/>
      <c r="W380972" s="7"/>
    </row>
    <row r="381142" spans="22:23">
      <c r="V381142" s="7"/>
      <c r="W381142" s="7"/>
    </row>
    <row r="381312" spans="22:23">
      <c r="V381312" s="7"/>
      <c r="W381312" s="7"/>
    </row>
    <row r="381482" spans="22:23">
      <c r="V381482" s="7"/>
      <c r="W381482" s="7"/>
    </row>
    <row r="381652" spans="22:23">
      <c r="V381652" s="7"/>
      <c r="W381652" s="7"/>
    </row>
    <row r="381822" spans="22:23">
      <c r="V381822" s="7"/>
      <c r="W381822" s="7"/>
    </row>
    <row r="381992" spans="22:23">
      <c r="V381992" s="7"/>
      <c r="W381992" s="7"/>
    </row>
    <row r="382162" spans="22:23">
      <c r="V382162" s="7"/>
      <c r="W382162" s="7"/>
    </row>
    <row r="382332" spans="22:23">
      <c r="V382332" s="7"/>
      <c r="W382332" s="7"/>
    </row>
    <row r="382502" spans="22:23">
      <c r="V382502" s="7"/>
      <c r="W382502" s="7"/>
    </row>
    <row r="382672" spans="22:23">
      <c r="V382672" s="7"/>
      <c r="W382672" s="7"/>
    </row>
    <row r="382842" spans="22:23">
      <c r="V382842" s="7"/>
      <c r="W382842" s="7"/>
    </row>
    <row r="383012" spans="22:23">
      <c r="V383012" s="7"/>
      <c r="W383012" s="7"/>
    </row>
    <row r="383182" spans="22:23">
      <c r="V383182" s="7"/>
      <c r="W383182" s="7"/>
    </row>
    <row r="383352" spans="22:23">
      <c r="V383352" s="7"/>
      <c r="W383352" s="7"/>
    </row>
    <row r="383522" spans="22:23">
      <c r="V383522" s="7"/>
      <c r="W383522" s="7"/>
    </row>
    <row r="383692" spans="22:23">
      <c r="V383692" s="7"/>
      <c r="W383692" s="7"/>
    </row>
    <row r="383862" spans="22:23">
      <c r="V383862" s="7"/>
      <c r="W383862" s="7"/>
    </row>
    <row r="384032" spans="22:23">
      <c r="V384032" s="7"/>
      <c r="W384032" s="7"/>
    </row>
    <row r="384202" spans="22:23">
      <c r="V384202" s="7"/>
      <c r="W384202" s="7"/>
    </row>
    <row r="384372" spans="22:23">
      <c r="V384372" s="7"/>
      <c r="W384372" s="7"/>
    </row>
    <row r="384542" spans="22:23">
      <c r="V384542" s="7"/>
      <c r="W384542" s="7"/>
    </row>
    <row r="384712" spans="22:23">
      <c r="V384712" s="7"/>
      <c r="W384712" s="7"/>
    </row>
    <row r="384882" spans="22:23">
      <c r="V384882" s="7"/>
      <c r="W384882" s="7"/>
    </row>
    <row r="385052" spans="22:23">
      <c r="V385052" s="7"/>
      <c r="W385052" s="7"/>
    </row>
    <row r="385222" spans="22:23">
      <c r="V385222" s="7"/>
      <c r="W385222" s="7"/>
    </row>
    <row r="385392" spans="22:23">
      <c r="V385392" s="7"/>
      <c r="W385392" s="7"/>
    </row>
    <row r="385562" spans="22:23">
      <c r="V385562" s="7"/>
      <c r="W385562" s="7"/>
    </row>
    <row r="385732" spans="22:23">
      <c r="V385732" s="7"/>
      <c r="W385732" s="7"/>
    </row>
    <row r="385902" spans="22:23">
      <c r="V385902" s="7"/>
      <c r="W385902" s="7"/>
    </row>
    <row r="386072" spans="22:23">
      <c r="V386072" s="7"/>
      <c r="W386072" s="7"/>
    </row>
    <row r="386242" spans="22:23">
      <c r="V386242" s="7"/>
      <c r="W386242" s="7"/>
    </row>
    <row r="386412" spans="22:23">
      <c r="V386412" s="7"/>
      <c r="W386412" s="7"/>
    </row>
    <row r="386582" spans="22:23">
      <c r="V386582" s="7"/>
      <c r="W386582" s="7"/>
    </row>
    <row r="386752" spans="22:23">
      <c r="V386752" s="7"/>
      <c r="W386752" s="7"/>
    </row>
    <row r="386922" spans="22:23">
      <c r="V386922" s="7"/>
      <c r="W386922" s="7"/>
    </row>
    <row r="387092" spans="22:23">
      <c r="V387092" s="7"/>
      <c r="W387092" s="7"/>
    </row>
    <row r="387262" spans="22:23">
      <c r="V387262" s="7"/>
      <c r="W387262" s="7"/>
    </row>
    <row r="387432" spans="22:23">
      <c r="V387432" s="7"/>
      <c r="W387432" s="7"/>
    </row>
    <row r="387602" spans="22:23">
      <c r="V387602" s="7"/>
      <c r="W387602" s="7"/>
    </row>
    <row r="387772" spans="22:23">
      <c r="V387772" s="7"/>
      <c r="W387772" s="7"/>
    </row>
    <row r="387942" spans="22:23">
      <c r="V387942" s="7"/>
      <c r="W387942" s="7"/>
    </row>
    <row r="388112" spans="22:23">
      <c r="V388112" s="7"/>
      <c r="W388112" s="7"/>
    </row>
    <row r="388282" spans="22:23">
      <c r="V388282" s="7"/>
      <c r="W388282" s="7"/>
    </row>
    <row r="388452" spans="22:23">
      <c r="V388452" s="7"/>
      <c r="W388452" s="7"/>
    </row>
    <row r="388622" spans="22:23">
      <c r="V388622" s="7"/>
      <c r="W388622" s="7"/>
    </row>
    <row r="388792" spans="22:23">
      <c r="V388792" s="7"/>
      <c r="W388792" s="7"/>
    </row>
    <row r="388962" spans="22:23">
      <c r="V388962" s="7"/>
      <c r="W388962" s="7"/>
    </row>
    <row r="389132" spans="22:23">
      <c r="V389132" s="7"/>
      <c r="W389132" s="7"/>
    </row>
    <row r="389302" spans="22:23">
      <c r="V389302" s="7"/>
      <c r="W389302" s="7"/>
    </row>
    <row r="389472" spans="22:23">
      <c r="V389472" s="7"/>
      <c r="W389472" s="7"/>
    </row>
    <row r="389642" spans="22:23">
      <c r="V389642" s="7"/>
      <c r="W389642" s="7"/>
    </row>
    <row r="389812" spans="22:23">
      <c r="V389812" s="7"/>
      <c r="W389812" s="7"/>
    </row>
    <row r="389982" spans="22:23">
      <c r="V389982" s="7"/>
      <c r="W389982" s="7"/>
    </row>
    <row r="390152" spans="22:23">
      <c r="V390152" s="7"/>
      <c r="W390152" s="7"/>
    </row>
    <row r="390322" spans="22:23">
      <c r="V390322" s="7"/>
      <c r="W390322" s="7"/>
    </row>
    <row r="390492" spans="22:23">
      <c r="V390492" s="7"/>
      <c r="W390492" s="7"/>
    </row>
    <row r="390662" spans="22:23">
      <c r="V390662" s="7"/>
      <c r="W390662" s="7"/>
    </row>
    <row r="390832" spans="22:23">
      <c r="V390832" s="7"/>
      <c r="W390832" s="7"/>
    </row>
    <row r="391002" spans="22:23">
      <c r="V391002" s="7"/>
      <c r="W391002" s="7"/>
    </row>
    <row r="391172" spans="22:23">
      <c r="V391172" s="7"/>
      <c r="W391172" s="7"/>
    </row>
    <row r="391342" spans="22:23">
      <c r="V391342" s="7"/>
      <c r="W391342" s="7"/>
    </row>
    <row r="391512" spans="22:23">
      <c r="V391512" s="7"/>
      <c r="W391512" s="7"/>
    </row>
    <row r="391682" spans="22:23">
      <c r="V391682" s="7"/>
      <c r="W391682" s="7"/>
    </row>
    <row r="391852" spans="22:23">
      <c r="V391852" s="7"/>
      <c r="W391852" s="7"/>
    </row>
    <row r="392022" spans="22:23">
      <c r="V392022" s="7"/>
      <c r="W392022" s="7"/>
    </row>
    <row r="392192" spans="22:23">
      <c r="V392192" s="7"/>
      <c r="W392192" s="7"/>
    </row>
    <row r="392362" spans="22:23">
      <c r="V392362" s="7"/>
      <c r="W392362" s="7"/>
    </row>
    <row r="392532" spans="22:23">
      <c r="V392532" s="7"/>
      <c r="W392532" s="7"/>
    </row>
    <row r="392702" spans="22:23">
      <c r="V392702" s="7"/>
      <c r="W392702" s="7"/>
    </row>
    <row r="392872" spans="22:23">
      <c r="V392872" s="7"/>
      <c r="W392872" s="7"/>
    </row>
    <row r="393042" spans="22:23">
      <c r="V393042" s="7"/>
      <c r="W393042" s="7"/>
    </row>
    <row r="393212" spans="22:23">
      <c r="V393212" s="7"/>
      <c r="W393212" s="7"/>
    </row>
    <row r="393382" spans="22:23">
      <c r="V393382" s="7"/>
      <c r="W393382" s="7"/>
    </row>
    <row r="393552" spans="22:23">
      <c r="V393552" s="7"/>
      <c r="W393552" s="7"/>
    </row>
    <row r="393722" spans="22:23">
      <c r="V393722" s="7"/>
      <c r="W393722" s="7"/>
    </row>
    <row r="393892" spans="22:23">
      <c r="V393892" s="7"/>
      <c r="W393892" s="7"/>
    </row>
    <row r="394062" spans="22:23">
      <c r="V394062" s="7"/>
      <c r="W394062" s="7"/>
    </row>
    <row r="394232" spans="22:23">
      <c r="V394232" s="7"/>
      <c r="W394232" s="7"/>
    </row>
    <row r="394402" spans="22:23">
      <c r="V394402" s="7"/>
      <c r="W394402" s="7"/>
    </row>
    <row r="394572" spans="22:23">
      <c r="V394572" s="7"/>
      <c r="W394572" s="7"/>
    </row>
    <row r="394742" spans="22:23">
      <c r="V394742" s="7"/>
      <c r="W394742" s="7"/>
    </row>
    <row r="394912" spans="22:23">
      <c r="V394912" s="7"/>
      <c r="W394912" s="7"/>
    </row>
    <row r="395082" spans="22:23">
      <c r="V395082" s="7"/>
      <c r="W395082" s="7"/>
    </row>
    <row r="395252" spans="22:23">
      <c r="V395252" s="7"/>
      <c r="W395252" s="7"/>
    </row>
    <row r="395422" spans="22:23">
      <c r="V395422" s="7"/>
      <c r="W395422" s="7"/>
    </row>
    <row r="395592" spans="22:23">
      <c r="V395592" s="7"/>
      <c r="W395592" s="7"/>
    </row>
    <row r="395762" spans="22:23">
      <c r="V395762" s="7"/>
      <c r="W395762" s="7"/>
    </row>
    <row r="395932" spans="22:23">
      <c r="V395932" s="7"/>
      <c r="W395932" s="7"/>
    </row>
    <row r="396102" spans="22:23">
      <c r="V396102" s="7"/>
      <c r="W396102" s="7"/>
    </row>
    <row r="396272" spans="22:23">
      <c r="V396272" s="7"/>
      <c r="W396272" s="7"/>
    </row>
    <row r="396442" spans="22:23">
      <c r="V396442" s="7"/>
      <c r="W396442" s="7"/>
    </row>
    <row r="396612" spans="22:23">
      <c r="V396612" s="7"/>
      <c r="W396612" s="7"/>
    </row>
    <row r="396782" spans="22:23">
      <c r="V396782" s="7"/>
      <c r="W396782" s="7"/>
    </row>
    <row r="396952" spans="22:23">
      <c r="V396952" s="7"/>
      <c r="W396952" s="7"/>
    </row>
    <row r="397122" spans="22:23">
      <c r="V397122" s="7"/>
      <c r="W397122" s="7"/>
    </row>
    <row r="397292" spans="22:23">
      <c r="V397292" s="7"/>
      <c r="W397292" s="7"/>
    </row>
    <row r="397462" spans="22:23">
      <c r="V397462" s="7"/>
      <c r="W397462" s="7"/>
    </row>
    <row r="397632" spans="22:23">
      <c r="V397632" s="7"/>
      <c r="W397632" s="7"/>
    </row>
    <row r="397802" spans="22:23">
      <c r="V397802" s="7"/>
      <c r="W397802" s="7"/>
    </row>
    <row r="397972" spans="22:23">
      <c r="V397972" s="7"/>
      <c r="W397972" s="7"/>
    </row>
    <row r="398142" spans="22:23">
      <c r="V398142" s="7"/>
      <c r="W398142" s="7"/>
    </row>
    <row r="398312" spans="22:23">
      <c r="V398312" s="7"/>
      <c r="W398312" s="7"/>
    </row>
    <row r="398482" spans="22:23">
      <c r="V398482" s="7"/>
      <c r="W398482" s="7"/>
    </row>
    <row r="398652" spans="22:23">
      <c r="V398652" s="7"/>
      <c r="W398652" s="7"/>
    </row>
    <row r="398822" spans="22:23">
      <c r="V398822" s="7"/>
      <c r="W398822" s="7"/>
    </row>
    <row r="398992" spans="22:23">
      <c r="V398992" s="7"/>
      <c r="W398992" s="7"/>
    </row>
    <row r="399162" spans="22:23">
      <c r="V399162" s="7"/>
      <c r="W399162" s="7"/>
    </row>
    <row r="399332" spans="22:23">
      <c r="V399332" s="7"/>
      <c r="W399332" s="7"/>
    </row>
    <row r="399502" spans="22:23">
      <c r="V399502" s="7"/>
      <c r="W399502" s="7"/>
    </row>
    <row r="399672" spans="22:23">
      <c r="V399672" s="7"/>
      <c r="W399672" s="7"/>
    </row>
    <row r="399842" spans="22:23">
      <c r="V399842" s="7"/>
      <c r="W399842" s="7"/>
    </row>
    <row r="400012" spans="22:23">
      <c r="V400012" s="7"/>
      <c r="W400012" s="7"/>
    </row>
    <row r="400182" spans="22:23">
      <c r="V400182" s="7"/>
      <c r="W400182" s="7"/>
    </row>
    <row r="400352" spans="22:23">
      <c r="V400352" s="7"/>
      <c r="W400352" s="7"/>
    </row>
    <row r="400522" spans="22:23">
      <c r="V400522" s="7"/>
      <c r="W400522" s="7"/>
    </row>
    <row r="400692" spans="22:23">
      <c r="V400692" s="7"/>
      <c r="W400692" s="7"/>
    </row>
    <row r="400862" spans="22:23">
      <c r="V400862" s="7"/>
      <c r="W400862" s="7"/>
    </row>
    <row r="401032" spans="22:23">
      <c r="V401032" s="7"/>
      <c r="W401032" s="7"/>
    </row>
    <row r="401202" spans="22:23">
      <c r="V401202" s="7"/>
      <c r="W401202" s="7"/>
    </row>
    <row r="401372" spans="22:23">
      <c r="V401372" s="7"/>
      <c r="W401372" s="7"/>
    </row>
    <row r="401542" spans="22:23">
      <c r="V401542" s="7"/>
      <c r="W401542" s="7"/>
    </row>
    <row r="401712" spans="22:23">
      <c r="V401712" s="7"/>
      <c r="W401712" s="7"/>
    </row>
    <row r="401882" spans="22:23">
      <c r="V401882" s="7"/>
      <c r="W401882" s="7"/>
    </row>
    <row r="402052" spans="22:23">
      <c r="V402052" s="7"/>
      <c r="W402052" s="7"/>
    </row>
    <row r="402222" spans="22:23">
      <c r="V402222" s="7"/>
      <c r="W402222" s="7"/>
    </row>
    <row r="402392" spans="22:23">
      <c r="V402392" s="7"/>
      <c r="W402392" s="7"/>
    </row>
    <row r="402562" spans="22:23">
      <c r="V402562" s="7"/>
      <c r="W402562" s="7"/>
    </row>
    <row r="402732" spans="22:23">
      <c r="V402732" s="7"/>
      <c r="W402732" s="7"/>
    </row>
    <row r="402902" spans="22:23">
      <c r="V402902" s="7"/>
      <c r="W402902" s="7"/>
    </row>
    <row r="403072" spans="22:23">
      <c r="V403072" s="7"/>
      <c r="W403072" s="7"/>
    </row>
    <row r="403242" spans="22:23">
      <c r="V403242" s="7"/>
      <c r="W403242" s="7"/>
    </row>
    <row r="403412" spans="22:23">
      <c r="V403412" s="7"/>
      <c r="W403412" s="7"/>
    </row>
    <row r="403582" spans="22:23">
      <c r="V403582" s="7"/>
      <c r="W403582" s="7"/>
    </row>
    <row r="403752" spans="22:23">
      <c r="V403752" s="7"/>
      <c r="W403752" s="7"/>
    </row>
    <row r="403922" spans="22:23">
      <c r="V403922" s="7"/>
      <c r="W403922" s="7"/>
    </row>
    <row r="404092" spans="22:23">
      <c r="V404092" s="7"/>
      <c r="W404092" s="7"/>
    </row>
    <row r="404262" spans="22:23">
      <c r="V404262" s="7"/>
      <c r="W404262" s="7"/>
    </row>
    <row r="404432" spans="22:23">
      <c r="V404432" s="7"/>
      <c r="W404432" s="7"/>
    </row>
    <row r="404602" spans="22:23">
      <c r="V404602" s="7"/>
      <c r="W404602" s="7"/>
    </row>
    <row r="404772" spans="22:23">
      <c r="V404772" s="7"/>
      <c r="W404772" s="7"/>
    </row>
    <row r="404942" spans="22:23">
      <c r="V404942" s="7"/>
      <c r="W404942" s="7"/>
    </row>
    <row r="405112" spans="22:23">
      <c r="V405112" s="7"/>
      <c r="W405112" s="7"/>
    </row>
    <row r="405282" spans="22:23">
      <c r="V405282" s="7"/>
      <c r="W405282" s="7"/>
    </row>
    <row r="405452" spans="22:23">
      <c r="V405452" s="7"/>
      <c r="W405452" s="7"/>
    </row>
    <row r="405622" spans="22:23">
      <c r="V405622" s="7"/>
      <c r="W405622" s="7"/>
    </row>
    <row r="405792" spans="22:23">
      <c r="V405792" s="7"/>
      <c r="W405792" s="7"/>
    </row>
    <row r="405962" spans="22:23">
      <c r="V405962" s="7"/>
      <c r="W405962" s="7"/>
    </row>
    <row r="406132" spans="22:23">
      <c r="V406132" s="7"/>
      <c r="W406132" s="7"/>
    </row>
    <row r="406302" spans="22:23">
      <c r="V406302" s="7"/>
      <c r="W406302" s="7"/>
    </row>
    <row r="406472" spans="22:23">
      <c r="V406472" s="7"/>
      <c r="W406472" s="7"/>
    </row>
    <row r="406642" spans="22:23">
      <c r="V406642" s="7"/>
      <c r="W406642" s="7"/>
    </row>
    <row r="406812" spans="22:23">
      <c r="V406812" s="7"/>
      <c r="W406812" s="7"/>
    </row>
    <row r="406982" spans="22:23">
      <c r="V406982" s="7"/>
      <c r="W406982" s="7"/>
    </row>
    <row r="407152" spans="22:23">
      <c r="V407152" s="7"/>
      <c r="W407152" s="7"/>
    </row>
    <row r="407322" spans="22:23">
      <c r="V407322" s="7"/>
      <c r="W407322" s="7"/>
    </row>
    <row r="407492" spans="22:23">
      <c r="V407492" s="7"/>
      <c r="W407492" s="7"/>
    </row>
    <row r="407662" spans="22:23">
      <c r="V407662" s="7"/>
      <c r="W407662" s="7"/>
    </row>
    <row r="407832" spans="22:23">
      <c r="V407832" s="7"/>
      <c r="W407832" s="7"/>
    </row>
    <row r="408002" spans="22:23">
      <c r="V408002" s="7"/>
      <c r="W408002" s="7"/>
    </row>
    <row r="408172" spans="22:23">
      <c r="V408172" s="7"/>
      <c r="W408172" s="7"/>
    </row>
    <row r="408342" spans="22:23">
      <c r="V408342" s="7"/>
      <c r="W408342" s="7"/>
    </row>
    <row r="408512" spans="22:23">
      <c r="V408512" s="7"/>
      <c r="W408512" s="7"/>
    </row>
    <row r="408682" spans="22:23">
      <c r="V408682" s="7"/>
      <c r="W408682" s="7"/>
    </row>
    <row r="408852" spans="22:23">
      <c r="V408852" s="7"/>
      <c r="W408852" s="7"/>
    </row>
    <row r="409022" spans="22:23">
      <c r="V409022" s="7"/>
      <c r="W409022" s="7"/>
    </row>
    <row r="409192" spans="22:23">
      <c r="V409192" s="7"/>
      <c r="W409192" s="7"/>
    </row>
    <row r="409362" spans="22:23">
      <c r="V409362" s="7"/>
      <c r="W409362" s="7"/>
    </row>
    <row r="409532" spans="22:23">
      <c r="V409532" s="7"/>
      <c r="W409532" s="7"/>
    </row>
    <row r="409702" spans="22:23">
      <c r="V409702" s="7"/>
      <c r="W409702" s="7"/>
    </row>
    <row r="409872" spans="22:23">
      <c r="V409872" s="7"/>
      <c r="W409872" s="7"/>
    </row>
    <row r="410042" spans="22:23">
      <c r="V410042" s="7"/>
      <c r="W410042" s="7"/>
    </row>
    <row r="410212" spans="22:23">
      <c r="V410212" s="7"/>
      <c r="W410212" s="7"/>
    </row>
    <row r="410382" spans="22:23">
      <c r="V410382" s="7"/>
      <c r="W410382" s="7"/>
    </row>
    <row r="410552" spans="22:23">
      <c r="V410552" s="7"/>
      <c r="W410552" s="7"/>
    </row>
    <row r="410722" spans="22:23">
      <c r="V410722" s="7"/>
      <c r="W410722" s="7"/>
    </row>
    <row r="410892" spans="22:23">
      <c r="V410892" s="7"/>
      <c r="W410892" s="7"/>
    </row>
    <row r="411062" spans="22:23">
      <c r="V411062" s="7"/>
      <c r="W411062" s="7"/>
    </row>
    <row r="411232" spans="22:23">
      <c r="V411232" s="7"/>
      <c r="W411232" s="7"/>
    </row>
    <row r="411402" spans="22:23">
      <c r="V411402" s="7"/>
      <c r="W411402" s="7"/>
    </row>
    <row r="411572" spans="22:23">
      <c r="V411572" s="7"/>
      <c r="W411572" s="7"/>
    </row>
    <row r="411742" spans="22:23">
      <c r="V411742" s="7"/>
      <c r="W411742" s="7"/>
    </row>
    <row r="411912" spans="22:23">
      <c r="V411912" s="7"/>
      <c r="W411912" s="7"/>
    </row>
    <row r="412082" spans="22:23">
      <c r="V412082" s="7"/>
      <c r="W412082" s="7"/>
    </row>
    <row r="412252" spans="22:23">
      <c r="V412252" s="7"/>
      <c r="W412252" s="7"/>
    </row>
    <row r="412422" spans="22:23">
      <c r="V412422" s="7"/>
      <c r="W412422" s="7"/>
    </row>
    <row r="412592" spans="22:23">
      <c r="V412592" s="7"/>
      <c r="W412592" s="7"/>
    </row>
    <row r="412762" spans="22:23">
      <c r="V412762" s="7"/>
      <c r="W412762" s="7"/>
    </row>
    <row r="412932" spans="22:23">
      <c r="V412932" s="7"/>
      <c r="W412932" s="7"/>
    </row>
    <row r="413102" spans="22:23">
      <c r="V413102" s="7"/>
      <c r="W413102" s="7"/>
    </row>
    <row r="413272" spans="22:23">
      <c r="V413272" s="7"/>
      <c r="W413272" s="7"/>
    </row>
    <row r="413442" spans="22:23">
      <c r="V413442" s="7"/>
      <c r="W413442" s="7"/>
    </row>
    <row r="413612" spans="22:23">
      <c r="V413612" s="7"/>
      <c r="W413612" s="7"/>
    </row>
    <row r="413782" spans="22:23">
      <c r="V413782" s="7"/>
      <c r="W413782" s="7"/>
    </row>
    <row r="413952" spans="22:23">
      <c r="V413952" s="7"/>
      <c r="W413952" s="7"/>
    </row>
    <row r="414122" spans="22:23">
      <c r="V414122" s="7"/>
      <c r="W414122" s="7"/>
    </row>
    <row r="414292" spans="22:23">
      <c r="V414292" s="7"/>
      <c r="W414292" s="7"/>
    </row>
    <row r="414462" spans="22:23">
      <c r="V414462" s="7"/>
      <c r="W414462" s="7"/>
    </row>
    <row r="414632" spans="22:23">
      <c r="V414632" s="7"/>
      <c r="W414632" s="7"/>
    </row>
    <row r="414802" spans="22:23">
      <c r="V414802" s="7"/>
      <c r="W414802" s="7"/>
    </row>
    <row r="414972" spans="22:23">
      <c r="V414972" s="7"/>
      <c r="W414972" s="7"/>
    </row>
    <row r="415142" spans="22:23">
      <c r="V415142" s="7"/>
      <c r="W415142" s="7"/>
    </row>
    <row r="415312" spans="22:23">
      <c r="V415312" s="7"/>
      <c r="W415312" s="7"/>
    </row>
    <row r="415482" spans="22:23">
      <c r="V415482" s="7"/>
      <c r="W415482" s="7"/>
    </row>
    <row r="415652" spans="22:23">
      <c r="V415652" s="7"/>
      <c r="W415652" s="7"/>
    </row>
    <row r="415822" spans="22:23">
      <c r="V415822" s="7"/>
      <c r="W415822" s="7"/>
    </row>
    <row r="415992" spans="22:23">
      <c r="V415992" s="7"/>
      <c r="W415992" s="7"/>
    </row>
    <row r="416162" spans="22:23">
      <c r="V416162" s="7"/>
      <c r="W416162" s="7"/>
    </row>
    <row r="416332" spans="22:23">
      <c r="V416332" s="7"/>
      <c r="W416332" s="7"/>
    </row>
    <row r="416502" spans="22:23">
      <c r="V416502" s="7"/>
      <c r="W416502" s="7"/>
    </row>
    <row r="416672" spans="22:23">
      <c r="V416672" s="7"/>
      <c r="W416672" s="7"/>
    </row>
    <row r="416842" spans="22:23">
      <c r="V416842" s="7"/>
      <c r="W416842" s="7"/>
    </row>
    <row r="417012" spans="22:23">
      <c r="V417012" s="7"/>
      <c r="W417012" s="7"/>
    </row>
    <row r="417182" spans="22:23">
      <c r="V417182" s="7"/>
      <c r="W417182" s="7"/>
    </row>
    <row r="417352" spans="22:23">
      <c r="V417352" s="7"/>
      <c r="W417352" s="7"/>
    </row>
    <row r="417522" spans="22:23">
      <c r="V417522" s="7"/>
      <c r="W417522" s="7"/>
    </row>
    <row r="417692" spans="22:23">
      <c r="V417692" s="7"/>
      <c r="W417692" s="7"/>
    </row>
    <row r="417862" spans="22:23">
      <c r="V417862" s="7"/>
      <c r="W417862" s="7"/>
    </row>
    <row r="418032" spans="22:23">
      <c r="V418032" s="7"/>
      <c r="W418032" s="7"/>
    </row>
    <row r="418202" spans="22:23">
      <c r="V418202" s="7"/>
      <c r="W418202" s="7"/>
    </row>
    <row r="418372" spans="22:23">
      <c r="V418372" s="7"/>
      <c r="W418372" s="7"/>
    </row>
    <row r="418542" spans="22:23">
      <c r="V418542" s="7"/>
      <c r="W418542" s="7"/>
    </row>
    <row r="418712" spans="22:23">
      <c r="V418712" s="7"/>
      <c r="W418712" s="7"/>
    </row>
    <row r="418882" spans="22:23">
      <c r="V418882" s="7"/>
      <c r="W418882" s="7"/>
    </row>
    <row r="419052" spans="22:23">
      <c r="V419052" s="7"/>
      <c r="W419052" s="7"/>
    </row>
    <row r="419222" spans="22:23">
      <c r="V419222" s="7"/>
      <c r="W419222" s="7"/>
    </row>
    <row r="419392" spans="22:23">
      <c r="V419392" s="7"/>
      <c r="W419392" s="7"/>
    </row>
    <row r="419562" spans="22:23">
      <c r="V419562" s="7"/>
      <c r="W419562" s="7"/>
    </row>
    <row r="419732" spans="22:23">
      <c r="V419732" s="7"/>
      <c r="W419732" s="7"/>
    </row>
    <row r="419902" spans="22:23">
      <c r="V419902" s="7"/>
      <c r="W419902" s="7"/>
    </row>
    <row r="420072" spans="22:23">
      <c r="V420072" s="7"/>
      <c r="W420072" s="7"/>
    </row>
    <row r="420242" spans="22:23">
      <c r="V420242" s="7"/>
      <c r="W420242" s="7"/>
    </row>
    <row r="420412" spans="22:23">
      <c r="V420412" s="7"/>
      <c r="W420412" s="7"/>
    </row>
    <row r="420582" spans="22:23">
      <c r="V420582" s="7"/>
      <c r="W420582" s="7"/>
    </row>
    <row r="420752" spans="22:23">
      <c r="V420752" s="7"/>
      <c r="W420752" s="7"/>
    </row>
    <row r="420922" spans="22:23">
      <c r="V420922" s="7"/>
      <c r="W420922" s="7"/>
    </row>
    <row r="421092" spans="22:23">
      <c r="V421092" s="7"/>
      <c r="W421092" s="7"/>
    </row>
    <row r="421262" spans="22:23">
      <c r="V421262" s="7"/>
      <c r="W421262" s="7"/>
    </row>
    <row r="421432" spans="22:23">
      <c r="V421432" s="7"/>
      <c r="W421432" s="7"/>
    </row>
    <row r="421602" spans="22:23">
      <c r="V421602" s="7"/>
      <c r="W421602" s="7"/>
    </row>
    <row r="421772" spans="22:23">
      <c r="V421772" s="7"/>
      <c r="W421772" s="7"/>
    </row>
    <row r="421942" spans="22:23">
      <c r="V421942" s="7"/>
      <c r="W421942" s="7"/>
    </row>
    <row r="422112" spans="22:23">
      <c r="V422112" s="7"/>
      <c r="W422112" s="7"/>
    </row>
    <row r="422282" spans="22:23">
      <c r="V422282" s="7"/>
      <c r="W422282" s="7"/>
    </row>
    <row r="422452" spans="22:23">
      <c r="V422452" s="7"/>
      <c r="W422452" s="7"/>
    </row>
    <row r="422622" spans="22:23">
      <c r="V422622" s="7"/>
      <c r="W422622" s="7"/>
    </row>
    <row r="422792" spans="22:23">
      <c r="V422792" s="7"/>
      <c r="W422792" s="7"/>
    </row>
    <row r="422962" spans="22:23">
      <c r="V422962" s="7"/>
      <c r="W422962" s="7"/>
    </row>
    <row r="423132" spans="22:23">
      <c r="V423132" s="7"/>
      <c r="W423132" s="7"/>
    </row>
    <row r="423302" spans="22:23">
      <c r="V423302" s="7"/>
      <c r="W423302" s="7"/>
    </row>
    <row r="423472" spans="22:23">
      <c r="V423472" s="7"/>
      <c r="W423472" s="7"/>
    </row>
    <row r="423642" spans="22:23">
      <c r="V423642" s="7"/>
      <c r="W423642" s="7"/>
    </row>
    <row r="423812" spans="22:23">
      <c r="V423812" s="7"/>
      <c r="W423812" s="7"/>
    </row>
    <row r="423982" spans="22:23">
      <c r="V423982" s="7"/>
      <c r="W423982" s="7"/>
    </row>
    <row r="424152" spans="22:23">
      <c r="V424152" s="7"/>
      <c r="W424152" s="7"/>
    </row>
    <row r="424322" spans="22:23">
      <c r="V424322" s="7"/>
      <c r="W424322" s="7"/>
    </row>
    <row r="424492" spans="22:23">
      <c r="V424492" s="7"/>
      <c r="W424492" s="7"/>
    </row>
    <row r="424662" spans="22:23">
      <c r="V424662" s="7"/>
      <c r="W424662" s="7"/>
    </row>
    <row r="424832" spans="22:23">
      <c r="V424832" s="7"/>
      <c r="W424832" s="7"/>
    </row>
    <row r="425002" spans="22:23">
      <c r="V425002" s="7"/>
      <c r="W425002" s="7"/>
    </row>
    <row r="425172" spans="22:23">
      <c r="V425172" s="7"/>
      <c r="W425172" s="7"/>
    </row>
    <row r="425342" spans="22:23">
      <c r="V425342" s="7"/>
      <c r="W425342" s="7"/>
    </row>
    <row r="425512" spans="22:23">
      <c r="V425512" s="7"/>
      <c r="W425512" s="7"/>
    </row>
    <row r="425682" spans="22:23">
      <c r="V425682" s="7"/>
      <c r="W425682" s="7"/>
    </row>
    <row r="425852" spans="22:23">
      <c r="V425852" s="7"/>
      <c r="W425852" s="7"/>
    </row>
    <row r="426022" spans="22:23">
      <c r="V426022" s="7"/>
      <c r="W426022" s="7"/>
    </row>
    <row r="426192" spans="22:23">
      <c r="V426192" s="7"/>
      <c r="W426192" s="7"/>
    </row>
    <row r="426362" spans="22:23">
      <c r="V426362" s="7"/>
      <c r="W426362" s="7"/>
    </row>
    <row r="426532" spans="22:23">
      <c r="V426532" s="7"/>
      <c r="W426532" s="7"/>
    </row>
    <row r="426702" spans="22:23">
      <c r="V426702" s="7"/>
      <c r="W426702" s="7"/>
    </row>
    <row r="426872" spans="22:23">
      <c r="V426872" s="7"/>
      <c r="W426872" s="7"/>
    </row>
    <row r="427042" spans="22:23">
      <c r="V427042" s="7"/>
      <c r="W427042" s="7"/>
    </row>
    <row r="427212" spans="22:23">
      <c r="V427212" s="7"/>
      <c r="W427212" s="7"/>
    </row>
    <row r="427382" spans="22:23">
      <c r="V427382" s="7"/>
      <c r="W427382" s="7"/>
    </row>
    <row r="427552" spans="22:23">
      <c r="V427552" s="7"/>
      <c r="W427552" s="7"/>
    </row>
    <row r="427722" spans="22:23">
      <c r="V427722" s="7"/>
      <c r="W427722" s="7"/>
    </row>
    <row r="427892" spans="22:23">
      <c r="V427892" s="7"/>
      <c r="W427892" s="7"/>
    </row>
    <row r="428062" spans="22:23">
      <c r="V428062" s="7"/>
      <c r="W428062" s="7"/>
    </row>
    <row r="428232" spans="22:23">
      <c r="V428232" s="7"/>
      <c r="W428232" s="7"/>
    </row>
    <row r="428402" spans="22:23">
      <c r="V428402" s="7"/>
      <c r="W428402" s="7"/>
    </row>
    <row r="428572" spans="22:23">
      <c r="V428572" s="7"/>
      <c r="W428572" s="7"/>
    </row>
    <row r="428742" spans="22:23">
      <c r="V428742" s="7"/>
      <c r="W428742" s="7"/>
    </row>
    <row r="428912" spans="22:23">
      <c r="V428912" s="7"/>
      <c r="W428912" s="7"/>
    </row>
    <row r="429082" spans="22:23">
      <c r="V429082" s="7"/>
      <c r="W429082" s="7"/>
    </row>
    <row r="429252" spans="22:23">
      <c r="V429252" s="7"/>
      <c r="W429252" s="7"/>
    </row>
    <row r="429422" spans="22:23">
      <c r="V429422" s="7"/>
      <c r="W429422" s="7"/>
    </row>
    <row r="429592" spans="22:23">
      <c r="V429592" s="7"/>
      <c r="W429592" s="7"/>
    </row>
    <row r="429762" spans="22:23">
      <c r="V429762" s="7"/>
      <c r="W429762" s="7"/>
    </row>
    <row r="429932" spans="22:23">
      <c r="V429932" s="7"/>
      <c r="W429932" s="7"/>
    </row>
    <row r="430102" spans="22:23">
      <c r="V430102" s="7"/>
      <c r="W430102" s="7"/>
    </row>
    <row r="430272" spans="22:23">
      <c r="V430272" s="7"/>
      <c r="W430272" s="7"/>
    </row>
    <row r="430442" spans="22:23">
      <c r="V430442" s="7"/>
      <c r="W430442" s="7"/>
    </row>
    <row r="430612" spans="22:23">
      <c r="V430612" s="7"/>
      <c r="W430612" s="7"/>
    </row>
    <row r="430782" spans="22:23">
      <c r="V430782" s="7"/>
      <c r="W430782" s="7"/>
    </row>
    <row r="430952" spans="22:23">
      <c r="V430952" s="7"/>
      <c r="W430952" s="7"/>
    </row>
    <row r="431122" spans="22:23">
      <c r="V431122" s="7"/>
      <c r="W431122" s="7"/>
    </row>
    <row r="431292" spans="22:23">
      <c r="V431292" s="7"/>
      <c r="W431292" s="7"/>
    </row>
    <row r="431462" spans="22:23">
      <c r="V431462" s="7"/>
      <c r="W431462" s="7"/>
    </row>
    <row r="431632" spans="22:23">
      <c r="V431632" s="7"/>
      <c r="W431632" s="7"/>
    </row>
    <row r="431802" spans="22:23">
      <c r="V431802" s="7"/>
      <c r="W431802" s="7"/>
    </row>
    <row r="431972" spans="22:23">
      <c r="V431972" s="7"/>
      <c r="W431972" s="7"/>
    </row>
    <row r="432142" spans="22:23">
      <c r="V432142" s="7"/>
      <c r="W432142" s="7"/>
    </row>
    <row r="432312" spans="22:23">
      <c r="V432312" s="7"/>
      <c r="W432312" s="7"/>
    </row>
    <row r="432482" spans="22:23">
      <c r="V432482" s="7"/>
      <c r="W432482" s="7"/>
    </row>
    <row r="432652" spans="22:23">
      <c r="V432652" s="7"/>
      <c r="W432652" s="7"/>
    </row>
    <row r="432822" spans="22:23">
      <c r="V432822" s="7"/>
      <c r="W432822" s="7"/>
    </row>
    <row r="432992" spans="22:23">
      <c r="V432992" s="7"/>
      <c r="W432992" s="7"/>
    </row>
    <row r="433162" spans="22:23">
      <c r="V433162" s="7"/>
      <c r="W433162" s="7"/>
    </row>
    <row r="433332" spans="22:23">
      <c r="V433332" s="7"/>
      <c r="W433332" s="7"/>
    </row>
    <row r="433502" spans="22:23">
      <c r="V433502" s="7"/>
      <c r="W433502" s="7"/>
    </row>
    <row r="433672" spans="22:23">
      <c r="V433672" s="7"/>
      <c r="W433672" s="7"/>
    </row>
    <row r="433842" spans="22:23">
      <c r="V433842" s="7"/>
      <c r="W433842" s="7"/>
    </row>
    <row r="434012" spans="22:23">
      <c r="V434012" s="7"/>
      <c r="W434012" s="7"/>
    </row>
    <row r="434182" spans="22:23">
      <c r="V434182" s="7"/>
      <c r="W434182" s="7"/>
    </row>
    <row r="434352" spans="22:23">
      <c r="V434352" s="7"/>
      <c r="W434352" s="7"/>
    </row>
    <row r="434522" spans="22:23">
      <c r="V434522" s="7"/>
      <c r="W434522" s="7"/>
    </row>
    <row r="434692" spans="22:23">
      <c r="V434692" s="7"/>
      <c r="W434692" s="7"/>
    </row>
    <row r="434862" spans="22:23">
      <c r="V434862" s="7"/>
      <c r="W434862" s="7"/>
    </row>
    <row r="435032" spans="22:23">
      <c r="V435032" s="7"/>
      <c r="W435032" s="7"/>
    </row>
    <row r="435202" spans="22:23">
      <c r="V435202" s="7"/>
      <c r="W435202" s="7"/>
    </row>
    <row r="435372" spans="22:23">
      <c r="V435372" s="7"/>
      <c r="W435372" s="7"/>
    </row>
    <row r="435542" spans="22:23">
      <c r="V435542" s="7"/>
      <c r="W435542" s="7"/>
    </row>
    <row r="435712" spans="22:23">
      <c r="V435712" s="7"/>
      <c r="W435712" s="7"/>
    </row>
    <row r="435882" spans="22:23">
      <c r="V435882" s="7"/>
      <c r="W435882" s="7"/>
    </row>
    <row r="436052" spans="22:23">
      <c r="V436052" s="7"/>
      <c r="W436052" s="7"/>
    </row>
    <row r="436222" spans="22:23">
      <c r="V436222" s="7"/>
      <c r="W436222" s="7"/>
    </row>
    <row r="436392" spans="22:23">
      <c r="V436392" s="7"/>
      <c r="W436392" s="7"/>
    </row>
    <row r="436562" spans="22:23">
      <c r="V436562" s="7"/>
      <c r="W436562" s="7"/>
    </row>
    <row r="436732" spans="22:23">
      <c r="V436732" s="7"/>
      <c r="W436732" s="7"/>
    </row>
    <row r="436902" spans="22:23">
      <c r="V436902" s="7"/>
      <c r="W436902" s="7"/>
    </row>
    <row r="437072" spans="22:23">
      <c r="V437072" s="7"/>
      <c r="W437072" s="7"/>
    </row>
    <row r="437242" spans="22:23">
      <c r="V437242" s="7"/>
      <c r="W437242" s="7"/>
    </row>
    <row r="437412" spans="22:23">
      <c r="V437412" s="7"/>
      <c r="W437412" s="7"/>
    </row>
    <row r="437582" spans="22:23">
      <c r="V437582" s="7"/>
      <c r="W437582" s="7"/>
    </row>
    <row r="437752" spans="22:23">
      <c r="V437752" s="7"/>
      <c r="W437752" s="7"/>
    </row>
    <row r="437922" spans="22:23">
      <c r="V437922" s="7"/>
      <c r="W437922" s="7"/>
    </row>
    <row r="438092" spans="22:23">
      <c r="V438092" s="7"/>
      <c r="W438092" s="7"/>
    </row>
    <row r="438262" spans="22:23">
      <c r="V438262" s="7"/>
      <c r="W438262" s="7"/>
    </row>
    <row r="438432" spans="22:23">
      <c r="V438432" s="7"/>
      <c r="W438432" s="7"/>
    </row>
    <row r="438602" spans="22:23">
      <c r="V438602" s="7"/>
      <c r="W438602" s="7"/>
    </row>
    <row r="438772" spans="22:23">
      <c r="V438772" s="7"/>
      <c r="W438772" s="7"/>
    </row>
    <row r="438942" spans="22:23">
      <c r="V438942" s="7"/>
      <c r="W438942" s="7"/>
    </row>
    <row r="439112" spans="22:23">
      <c r="V439112" s="7"/>
      <c r="W439112" s="7"/>
    </row>
    <row r="439282" spans="22:23">
      <c r="V439282" s="7"/>
      <c r="W439282" s="7"/>
    </row>
    <row r="439452" spans="22:23">
      <c r="V439452" s="7"/>
      <c r="W439452" s="7"/>
    </row>
    <row r="439622" spans="22:23">
      <c r="V439622" s="7"/>
      <c r="W439622" s="7"/>
    </row>
    <row r="439792" spans="22:23">
      <c r="V439792" s="7"/>
      <c r="W439792" s="7"/>
    </row>
    <row r="439962" spans="22:23">
      <c r="V439962" s="7"/>
      <c r="W439962" s="7"/>
    </row>
    <row r="440132" spans="22:23">
      <c r="V440132" s="7"/>
      <c r="W440132" s="7"/>
    </row>
    <row r="440302" spans="22:23">
      <c r="V440302" s="7"/>
      <c r="W440302" s="7"/>
    </row>
    <row r="440472" spans="22:23">
      <c r="V440472" s="7"/>
      <c r="W440472" s="7"/>
    </row>
    <row r="440642" spans="22:23">
      <c r="V440642" s="7"/>
      <c r="W440642" s="7"/>
    </row>
    <row r="440812" spans="22:23">
      <c r="V440812" s="7"/>
      <c r="W440812" s="7"/>
    </row>
    <row r="440982" spans="22:23">
      <c r="V440982" s="7"/>
      <c r="W440982" s="7"/>
    </row>
    <row r="441152" spans="22:23">
      <c r="V441152" s="7"/>
      <c r="W441152" s="7"/>
    </row>
    <row r="441322" spans="22:23">
      <c r="V441322" s="7"/>
      <c r="W441322" s="7"/>
    </row>
    <row r="441492" spans="22:23">
      <c r="V441492" s="7"/>
      <c r="W441492" s="7"/>
    </row>
    <row r="441662" spans="22:23">
      <c r="V441662" s="7"/>
      <c r="W441662" s="7"/>
    </row>
    <row r="441832" spans="22:23">
      <c r="V441832" s="7"/>
      <c r="W441832" s="7"/>
    </row>
    <row r="442002" spans="22:23">
      <c r="V442002" s="7"/>
      <c r="W442002" s="7"/>
    </row>
    <row r="442172" spans="22:23">
      <c r="V442172" s="7"/>
      <c r="W442172" s="7"/>
    </row>
    <row r="442342" spans="22:23">
      <c r="V442342" s="7"/>
      <c r="W442342" s="7"/>
    </row>
    <row r="442512" spans="22:23">
      <c r="V442512" s="7"/>
      <c r="W442512" s="7"/>
    </row>
    <row r="442682" spans="22:23">
      <c r="V442682" s="7"/>
      <c r="W442682" s="7"/>
    </row>
    <row r="442852" spans="22:23">
      <c r="V442852" s="7"/>
      <c r="W442852" s="7"/>
    </row>
    <row r="443022" spans="22:23">
      <c r="V443022" s="7"/>
      <c r="W443022" s="7"/>
    </row>
    <row r="443192" spans="22:23">
      <c r="V443192" s="7"/>
      <c r="W443192" s="7"/>
    </row>
    <row r="443362" spans="22:23">
      <c r="V443362" s="7"/>
      <c r="W443362" s="7"/>
    </row>
    <row r="443532" spans="22:23">
      <c r="V443532" s="7"/>
      <c r="W443532" s="7"/>
    </row>
    <row r="443702" spans="22:23">
      <c r="V443702" s="7"/>
      <c r="W443702" s="7"/>
    </row>
    <row r="443872" spans="22:23">
      <c r="V443872" s="7"/>
      <c r="W443872" s="7"/>
    </row>
    <row r="444042" spans="22:23">
      <c r="V444042" s="7"/>
      <c r="W444042" s="7"/>
    </row>
    <row r="444212" spans="22:23">
      <c r="V444212" s="7"/>
      <c r="W444212" s="7"/>
    </row>
    <row r="444382" spans="22:23">
      <c r="V444382" s="7"/>
      <c r="W444382" s="7"/>
    </row>
    <row r="444552" spans="22:23">
      <c r="V444552" s="7"/>
      <c r="W444552" s="7"/>
    </row>
    <row r="444722" spans="22:23">
      <c r="V444722" s="7"/>
      <c r="W444722" s="7"/>
    </row>
    <row r="444892" spans="22:23">
      <c r="V444892" s="7"/>
      <c r="W444892" s="7"/>
    </row>
    <row r="445062" spans="22:23">
      <c r="V445062" s="7"/>
      <c r="W445062" s="7"/>
    </row>
    <row r="445232" spans="22:23">
      <c r="V445232" s="7"/>
      <c r="W445232" s="7"/>
    </row>
    <row r="445402" spans="22:23">
      <c r="V445402" s="7"/>
      <c r="W445402" s="7"/>
    </row>
    <row r="445572" spans="22:23">
      <c r="V445572" s="7"/>
      <c r="W445572" s="7"/>
    </row>
    <row r="445742" spans="22:23">
      <c r="V445742" s="7"/>
      <c r="W445742" s="7"/>
    </row>
    <row r="445912" spans="22:23">
      <c r="V445912" s="7"/>
      <c r="W445912" s="7"/>
    </row>
    <row r="446082" spans="22:23">
      <c r="V446082" s="7"/>
      <c r="W446082" s="7"/>
    </row>
    <row r="446252" spans="22:23">
      <c r="V446252" s="7"/>
      <c r="W446252" s="7"/>
    </row>
    <row r="446422" spans="22:23">
      <c r="V446422" s="7"/>
      <c r="W446422" s="7"/>
    </row>
    <row r="446592" spans="22:23">
      <c r="V446592" s="7"/>
      <c r="W446592" s="7"/>
    </row>
    <row r="446762" spans="22:23">
      <c r="V446762" s="7"/>
      <c r="W446762" s="7"/>
    </row>
    <row r="446932" spans="22:23">
      <c r="V446932" s="7"/>
      <c r="W446932" s="7"/>
    </row>
    <row r="447102" spans="22:23">
      <c r="V447102" s="7"/>
      <c r="W447102" s="7"/>
    </row>
    <row r="447272" spans="22:23">
      <c r="V447272" s="7"/>
      <c r="W447272" s="7"/>
    </row>
    <row r="447442" spans="22:23">
      <c r="V447442" s="7"/>
      <c r="W447442" s="7"/>
    </row>
    <row r="447612" spans="22:23">
      <c r="V447612" s="7"/>
      <c r="W447612" s="7"/>
    </row>
    <row r="447782" spans="22:23">
      <c r="V447782" s="7"/>
      <c r="W447782" s="7"/>
    </row>
    <row r="447952" spans="22:23">
      <c r="V447952" s="7"/>
      <c r="W447952" s="7"/>
    </row>
    <row r="448122" spans="22:23">
      <c r="V448122" s="7"/>
      <c r="W448122" s="7"/>
    </row>
    <row r="448292" spans="22:23">
      <c r="V448292" s="7"/>
      <c r="W448292" s="7"/>
    </row>
    <row r="448462" spans="22:23">
      <c r="V448462" s="7"/>
      <c r="W448462" s="7"/>
    </row>
    <row r="448632" spans="22:23">
      <c r="V448632" s="7"/>
      <c r="W448632" s="7"/>
    </row>
    <row r="448802" spans="22:23">
      <c r="V448802" s="7"/>
      <c r="W448802" s="7"/>
    </row>
    <row r="448972" spans="22:23">
      <c r="V448972" s="7"/>
      <c r="W448972" s="7"/>
    </row>
    <row r="449142" spans="22:23">
      <c r="V449142" s="7"/>
      <c r="W449142" s="7"/>
    </row>
    <row r="449312" spans="22:23">
      <c r="V449312" s="7"/>
      <c r="W449312" s="7"/>
    </row>
    <row r="449482" spans="22:23">
      <c r="V449482" s="7"/>
      <c r="W449482" s="7"/>
    </row>
    <row r="449652" spans="22:23">
      <c r="V449652" s="7"/>
      <c r="W449652" s="7"/>
    </row>
    <row r="449822" spans="22:23">
      <c r="V449822" s="7"/>
      <c r="W449822" s="7"/>
    </row>
    <row r="449992" spans="22:23">
      <c r="V449992" s="7"/>
      <c r="W449992" s="7"/>
    </row>
    <row r="450162" spans="22:23">
      <c r="V450162" s="7"/>
      <c r="W450162" s="7"/>
    </row>
    <row r="450332" spans="22:23">
      <c r="V450332" s="7"/>
      <c r="W450332" s="7"/>
    </row>
    <row r="450502" spans="22:23">
      <c r="V450502" s="7"/>
      <c r="W450502" s="7"/>
    </row>
    <row r="450672" spans="22:23">
      <c r="V450672" s="7"/>
      <c r="W450672" s="7"/>
    </row>
    <row r="450842" spans="22:23">
      <c r="V450842" s="7"/>
      <c r="W450842" s="7"/>
    </row>
    <row r="451012" spans="22:23">
      <c r="V451012" s="7"/>
      <c r="W451012" s="7"/>
    </row>
    <row r="451182" spans="22:23">
      <c r="V451182" s="7"/>
      <c r="W451182" s="7"/>
    </row>
    <row r="451352" spans="22:23">
      <c r="V451352" s="7"/>
      <c r="W451352" s="7"/>
    </row>
    <row r="451522" spans="22:23">
      <c r="V451522" s="7"/>
      <c r="W451522" s="7"/>
    </row>
    <row r="451692" spans="22:23">
      <c r="V451692" s="7"/>
      <c r="W451692" s="7"/>
    </row>
    <row r="451862" spans="22:23">
      <c r="V451862" s="7"/>
      <c r="W451862" s="7"/>
    </row>
    <row r="452032" spans="22:23">
      <c r="V452032" s="7"/>
      <c r="W452032" s="7"/>
    </row>
    <row r="452202" spans="22:23">
      <c r="V452202" s="7"/>
      <c r="W452202" s="7"/>
    </row>
    <row r="452372" spans="22:23">
      <c r="V452372" s="7"/>
      <c r="W452372" s="7"/>
    </row>
    <row r="452542" spans="22:23">
      <c r="V452542" s="7"/>
      <c r="W452542" s="7"/>
    </row>
    <row r="452712" spans="22:23">
      <c r="V452712" s="7"/>
      <c r="W452712" s="7"/>
    </row>
    <row r="452882" spans="22:23">
      <c r="V452882" s="7"/>
      <c r="W452882" s="7"/>
    </row>
    <row r="453052" spans="22:23">
      <c r="V453052" s="7"/>
      <c r="W453052" s="7"/>
    </row>
    <row r="453222" spans="22:23">
      <c r="V453222" s="7"/>
      <c r="W453222" s="7"/>
    </row>
    <row r="453392" spans="22:23">
      <c r="V453392" s="7"/>
      <c r="W453392" s="7"/>
    </row>
    <row r="453562" spans="22:23">
      <c r="V453562" s="7"/>
      <c r="W453562" s="7"/>
    </row>
    <row r="453732" spans="22:23">
      <c r="V453732" s="7"/>
      <c r="W453732" s="7"/>
    </row>
    <row r="453902" spans="22:23">
      <c r="V453902" s="7"/>
      <c r="W453902" s="7"/>
    </row>
    <row r="454072" spans="22:23">
      <c r="V454072" s="7"/>
      <c r="W454072" s="7"/>
    </row>
    <row r="454242" spans="22:23">
      <c r="V454242" s="7"/>
      <c r="W454242" s="7"/>
    </row>
    <row r="454412" spans="22:23">
      <c r="V454412" s="7"/>
      <c r="W454412" s="7"/>
    </row>
    <row r="454582" spans="22:23">
      <c r="V454582" s="7"/>
      <c r="W454582" s="7"/>
    </row>
    <row r="454752" spans="22:23">
      <c r="V454752" s="7"/>
      <c r="W454752" s="7"/>
    </row>
    <row r="454922" spans="22:23">
      <c r="V454922" s="7"/>
      <c r="W454922" s="7"/>
    </row>
    <row r="455092" spans="22:23">
      <c r="V455092" s="7"/>
      <c r="W455092" s="7"/>
    </row>
    <row r="455262" spans="22:23">
      <c r="V455262" s="7"/>
      <c r="W455262" s="7"/>
    </row>
    <row r="455432" spans="22:23">
      <c r="V455432" s="7"/>
      <c r="W455432" s="7"/>
    </row>
    <row r="455602" spans="22:23">
      <c r="V455602" s="7"/>
      <c r="W455602" s="7"/>
    </row>
    <row r="455772" spans="22:23">
      <c r="V455772" s="7"/>
      <c r="W455772" s="7"/>
    </row>
    <row r="455942" spans="22:23">
      <c r="V455942" s="7"/>
      <c r="W455942" s="7"/>
    </row>
    <row r="456112" spans="22:23">
      <c r="V456112" s="7"/>
      <c r="W456112" s="7"/>
    </row>
    <row r="456282" spans="22:23">
      <c r="V456282" s="7"/>
      <c r="W456282" s="7"/>
    </row>
    <row r="456452" spans="22:23">
      <c r="V456452" s="7"/>
      <c r="W456452" s="7"/>
    </row>
    <row r="456622" spans="22:23">
      <c r="V456622" s="7"/>
      <c r="W456622" s="7"/>
    </row>
    <row r="456792" spans="22:23">
      <c r="V456792" s="7"/>
      <c r="W456792" s="7"/>
    </row>
    <row r="456962" spans="22:23">
      <c r="V456962" s="7"/>
      <c r="W456962" s="7"/>
    </row>
    <row r="457132" spans="22:23">
      <c r="V457132" s="7"/>
      <c r="W457132" s="7"/>
    </row>
    <row r="457302" spans="22:23">
      <c r="V457302" s="7"/>
      <c r="W457302" s="7"/>
    </row>
    <row r="457472" spans="22:23">
      <c r="V457472" s="7"/>
      <c r="W457472" s="7"/>
    </row>
    <row r="457642" spans="22:23">
      <c r="V457642" s="7"/>
      <c r="W457642" s="7"/>
    </row>
    <row r="457812" spans="22:23">
      <c r="V457812" s="7"/>
      <c r="W457812" s="7"/>
    </row>
    <row r="457982" spans="22:23">
      <c r="V457982" s="7"/>
      <c r="W457982" s="7"/>
    </row>
    <row r="458152" spans="22:23">
      <c r="V458152" s="7"/>
      <c r="W458152" s="7"/>
    </row>
    <row r="458322" spans="22:23">
      <c r="V458322" s="7"/>
      <c r="W458322" s="7"/>
    </row>
    <row r="458492" spans="22:23">
      <c r="V458492" s="7"/>
      <c r="W458492" s="7"/>
    </row>
    <row r="458662" spans="22:23">
      <c r="V458662" s="7"/>
      <c r="W458662" s="7"/>
    </row>
    <row r="458832" spans="22:23">
      <c r="V458832" s="7"/>
      <c r="W458832" s="7"/>
    </row>
    <row r="459002" spans="22:23">
      <c r="V459002" s="7"/>
      <c r="W459002" s="7"/>
    </row>
    <row r="459172" spans="22:23">
      <c r="V459172" s="7"/>
      <c r="W459172" s="7"/>
    </row>
    <row r="459342" spans="22:23">
      <c r="V459342" s="7"/>
      <c r="W459342" s="7"/>
    </row>
    <row r="459512" spans="22:23">
      <c r="V459512" s="7"/>
      <c r="W459512" s="7"/>
    </row>
    <row r="459682" spans="22:23">
      <c r="V459682" s="7"/>
      <c r="W459682" s="7"/>
    </row>
    <row r="459852" spans="22:23">
      <c r="V459852" s="7"/>
      <c r="W459852" s="7"/>
    </row>
    <row r="460022" spans="22:23">
      <c r="V460022" s="7"/>
      <c r="W460022" s="7"/>
    </row>
    <row r="460192" spans="22:23">
      <c r="V460192" s="7"/>
      <c r="W460192" s="7"/>
    </row>
    <row r="460362" spans="22:23">
      <c r="V460362" s="7"/>
      <c r="W460362" s="7"/>
    </row>
    <row r="460532" spans="22:23">
      <c r="V460532" s="7"/>
      <c r="W460532" s="7"/>
    </row>
    <row r="460702" spans="22:23">
      <c r="V460702" s="7"/>
      <c r="W460702" s="7"/>
    </row>
    <row r="460872" spans="22:23">
      <c r="V460872" s="7"/>
      <c r="W460872" s="7"/>
    </row>
    <row r="461042" spans="22:23">
      <c r="V461042" s="7"/>
      <c r="W461042" s="7"/>
    </row>
    <row r="461212" spans="22:23">
      <c r="V461212" s="7"/>
      <c r="W461212" s="7"/>
    </row>
    <row r="461382" spans="22:23">
      <c r="V461382" s="7"/>
      <c r="W461382" s="7"/>
    </row>
    <row r="461552" spans="22:23">
      <c r="V461552" s="7"/>
      <c r="W461552" s="7"/>
    </row>
    <row r="461722" spans="22:23">
      <c r="V461722" s="7"/>
      <c r="W461722" s="7"/>
    </row>
    <row r="461892" spans="22:23">
      <c r="V461892" s="7"/>
      <c r="W461892" s="7"/>
    </row>
    <row r="462062" spans="22:23">
      <c r="V462062" s="7"/>
      <c r="W462062" s="7"/>
    </row>
    <row r="462232" spans="22:23">
      <c r="V462232" s="7"/>
      <c r="W462232" s="7"/>
    </row>
    <row r="462402" spans="22:23">
      <c r="V462402" s="7"/>
      <c r="W462402" s="7"/>
    </row>
    <row r="462572" spans="22:23">
      <c r="V462572" s="7"/>
      <c r="W462572" s="7"/>
    </row>
    <row r="462742" spans="22:23">
      <c r="V462742" s="7"/>
      <c r="W462742" s="7"/>
    </row>
    <row r="462912" spans="22:23">
      <c r="V462912" s="7"/>
      <c r="W462912" s="7"/>
    </row>
    <row r="463082" spans="22:23">
      <c r="V463082" s="7"/>
      <c r="W463082" s="7"/>
    </row>
    <row r="463252" spans="22:23">
      <c r="V463252" s="7"/>
      <c r="W463252" s="7"/>
    </row>
    <row r="463422" spans="22:23">
      <c r="V463422" s="7"/>
      <c r="W463422" s="7"/>
    </row>
    <row r="463592" spans="22:23">
      <c r="V463592" s="7"/>
      <c r="W463592" s="7"/>
    </row>
    <row r="463762" spans="22:23">
      <c r="V463762" s="7"/>
      <c r="W463762" s="7"/>
    </row>
    <row r="463932" spans="22:23">
      <c r="V463932" s="7"/>
      <c r="W463932" s="7"/>
    </row>
    <row r="464102" spans="22:23">
      <c r="V464102" s="7"/>
      <c r="W464102" s="7"/>
    </row>
    <row r="464272" spans="22:23">
      <c r="V464272" s="7"/>
      <c r="W464272" s="7"/>
    </row>
    <row r="464442" spans="22:23">
      <c r="V464442" s="7"/>
      <c r="W464442" s="7"/>
    </row>
    <row r="464612" spans="22:23">
      <c r="V464612" s="7"/>
      <c r="W464612" s="7"/>
    </row>
    <row r="464782" spans="22:23">
      <c r="V464782" s="7"/>
      <c r="W464782" s="7"/>
    </row>
    <row r="464952" spans="22:23">
      <c r="V464952" s="7"/>
      <c r="W464952" s="7"/>
    </row>
    <row r="465122" spans="22:23">
      <c r="V465122" s="7"/>
      <c r="W465122" s="7"/>
    </row>
    <row r="465292" spans="22:23">
      <c r="V465292" s="7"/>
      <c r="W465292" s="7"/>
    </row>
    <row r="465462" spans="22:23">
      <c r="V465462" s="7"/>
      <c r="W465462" s="7"/>
    </row>
    <row r="465632" spans="22:23">
      <c r="V465632" s="7"/>
      <c r="W465632" s="7"/>
    </row>
    <row r="465802" spans="22:23">
      <c r="V465802" s="7"/>
      <c r="W465802" s="7"/>
    </row>
    <row r="465972" spans="22:23">
      <c r="V465972" s="7"/>
      <c r="W465972" s="7"/>
    </row>
    <row r="466142" spans="22:23">
      <c r="V466142" s="7"/>
      <c r="W466142" s="7"/>
    </row>
    <row r="466312" spans="22:23">
      <c r="V466312" s="7"/>
      <c r="W466312" s="7"/>
    </row>
    <row r="466482" spans="22:23">
      <c r="V466482" s="7"/>
      <c r="W466482" s="7"/>
    </row>
    <row r="466652" spans="22:23">
      <c r="V466652" s="7"/>
      <c r="W466652" s="7"/>
    </row>
    <row r="466822" spans="22:23">
      <c r="V466822" s="7"/>
      <c r="W466822" s="7"/>
    </row>
    <row r="466992" spans="22:23">
      <c r="V466992" s="7"/>
      <c r="W466992" s="7"/>
    </row>
    <row r="467162" spans="22:23">
      <c r="V467162" s="7"/>
      <c r="W467162" s="7"/>
    </row>
    <row r="467332" spans="22:23">
      <c r="V467332" s="7"/>
      <c r="W467332" s="7"/>
    </row>
    <row r="467502" spans="22:23">
      <c r="V467502" s="7"/>
      <c r="W467502" s="7"/>
    </row>
    <row r="467672" spans="22:23">
      <c r="V467672" s="7"/>
      <c r="W467672" s="7"/>
    </row>
    <row r="467842" spans="22:23">
      <c r="V467842" s="7"/>
      <c r="W467842" s="7"/>
    </row>
    <row r="468012" spans="22:23">
      <c r="V468012" s="7"/>
      <c r="W468012" s="7"/>
    </row>
    <row r="468182" spans="22:23">
      <c r="V468182" s="7"/>
      <c r="W468182" s="7"/>
    </row>
    <row r="468352" spans="22:23">
      <c r="V468352" s="7"/>
      <c r="W468352" s="7"/>
    </row>
    <row r="468522" spans="22:23">
      <c r="V468522" s="7"/>
      <c r="W468522" s="7"/>
    </row>
    <row r="468692" spans="22:23">
      <c r="V468692" s="7"/>
      <c r="W468692" s="7"/>
    </row>
    <row r="468862" spans="22:23">
      <c r="V468862" s="7"/>
      <c r="W468862" s="7"/>
    </row>
    <row r="469032" spans="22:23">
      <c r="V469032" s="7"/>
      <c r="W469032" s="7"/>
    </row>
    <row r="469202" spans="22:23">
      <c r="V469202" s="7"/>
      <c r="W469202" s="7"/>
    </row>
    <row r="469372" spans="22:23">
      <c r="V469372" s="7"/>
      <c r="W469372" s="7"/>
    </row>
    <row r="469542" spans="22:23">
      <c r="V469542" s="7"/>
      <c r="W469542" s="7"/>
    </row>
    <row r="469712" spans="22:23">
      <c r="V469712" s="7"/>
      <c r="W469712" s="7"/>
    </row>
    <row r="469882" spans="22:23">
      <c r="V469882" s="7"/>
      <c r="W469882" s="7"/>
    </row>
    <row r="470052" spans="22:23">
      <c r="V470052" s="7"/>
      <c r="W470052" s="7"/>
    </row>
    <row r="470222" spans="22:23">
      <c r="V470222" s="7"/>
      <c r="W470222" s="7"/>
    </row>
    <row r="470392" spans="22:23">
      <c r="V470392" s="7"/>
      <c r="W470392" s="7"/>
    </row>
    <row r="470562" spans="22:23">
      <c r="V470562" s="7"/>
      <c r="W470562" s="7"/>
    </row>
    <row r="470732" spans="22:23">
      <c r="V470732" s="7"/>
      <c r="W470732" s="7"/>
    </row>
    <row r="470902" spans="22:23">
      <c r="V470902" s="7"/>
      <c r="W470902" s="7"/>
    </row>
    <row r="471072" spans="22:23">
      <c r="V471072" s="7"/>
      <c r="W471072" s="7"/>
    </row>
    <row r="471242" spans="22:23">
      <c r="V471242" s="7"/>
      <c r="W471242" s="7"/>
    </row>
    <row r="471412" spans="22:23">
      <c r="V471412" s="7"/>
      <c r="W471412" s="7"/>
    </row>
    <row r="471582" spans="22:23">
      <c r="V471582" s="7"/>
      <c r="W471582" s="7"/>
    </row>
    <row r="471752" spans="22:23">
      <c r="V471752" s="7"/>
      <c r="W471752" s="7"/>
    </row>
    <row r="471922" spans="22:23">
      <c r="V471922" s="7"/>
      <c r="W471922" s="7"/>
    </row>
    <row r="472092" spans="22:23">
      <c r="V472092" s="7"/>
      <c r="W472092" s="7"/>
    </row>
    <row r="472262" spans="22:23">
      <c r="V472262" s="7"/>
      <c r="W472262" s="7"/>
    </row>
    <row r="472432" spans="22:23">
      <c r="V472432" s="7"/>
      <c r="W472432" s="7"/>
    </row>
    <row r="472602" spans="22:23">
      <c r="V472602" s="7"/>
      <c r="W472602" s="7"/>
    </row>
    <row r="472772" spans="22:23">
      <c r="V472772" s="7"/>
      <c r="W472772" s="7"/>
    </row>
    <row r="472942" spans="22:23">
      <c r="V472942" s="7"/>
      <c r="W472942" s="7"/>
    </row>
    <row r="473112" spans="22:23">
      <c r="V473112" s="7"/>
      <c r="W473112" s="7"/>
    </row>
    <row r="473282" spans="22:23">
      <c r="V473282" s="7"/>
      <c r="W473282" s="7"/>
    </row>
    <row r="473452" spans="22:23">
      <c r="V473452" s="7"/>
      <c r="W473452" s="7"/>
    </row>
    <row r="473622" spans="22:23">
      <c r="V473622" s="7"/>
      <c r="W473622" s="7"/>
    </row>
    <row r="473792" spans="22:23">
      <c r="V473792" s="7"/>
      <c r="W473792" s="7"/>
    </row>
    <row r="473962" spans="22:23">
      <c r="V473962" s="7"/>
      <c r="W473962" s="7"/>
    </row>
    <row r="474132" spans="22:23">
      <c r="V474132" s="7"/>
      <c r="W474132" s="7"/>
    </row>
    <row r="474302" spans="22:23">
      <c r="V474302" s="7"/>
      <c r="W474302" s="7"/>
    </row>
    <row r="474472" spans="22:23">
      <c r="V474472" s="7"/>
      <c r="W474472" s="7"/>
    </row>
    <row r="474642" spans="22:23">
      <c r="V474642" s="7"/>
      <c r="W474642" s="7"/>
    </row>
    <row r="474812" spans="22:23">
      <c r="V474812" s="7"/>
      <c r="W474812" s="7"/>
    </row>
    <row r="474982" spans="22:23">
      <c r="V474982" s="7"/>
      <c r="W474982" s="7"/>
    </row>
    <row r="475152" spans="22:23">
      <c r="V475152" s="7"/>
      <c r="W475152" s="7"/>
    </row>
    <row r="475322" spans="22:23">
      <c r="V475322" s="7"/>
      <c r="W475322" s="7"/>
    </row>
    <row r="475492" spans="22:23">
      <c r="V475492" s="7"/>
      <c r="W475492" s="7"/>
    </row>
    <row r="475662" spans="22:23">
      <c r="V475662" s="7"/>
      <c r="W475662" s="7"/>
    </row>
    <row r="475832" spans="22:23">
      <c r="V475832" s="7"/>
      <c r="W475832" s="7"/>
    </row>
    <row r="476002" spans="22:23">
      <c r="V476002" s="7"/>
      <c r="W476002" s="7"/>
    </row>
    <row r="476172" spans="22:23">
      <c r="V476172" s="7"/>
      <c r="W476172" s="7"/>
    </row>
    <row r="476342" spans="22:23">
      <c r="V476342" s="7"/>
      <c r="W476342" s="7"/>
    </row>
    <row r="476512" spans="22:23">
      <c r="V476512" s="7"/>
      <c r="W476512" s="7"/>
    </row>
    <row r="476682" spans="22:23">
      <c r="V476682" s="7"/>
      <c r="W476682" s="7"/>
    </row>
    <row r="476852" spans="22:23">
      <c r="V476852" s="7"/>
      <c r="W476852" s="7"/>
    </row>
    <row r="477022" spans="22:23">
      <c r="V477022" s="7"/>
      <c r="W477022" s="7"/>
    </row>
    <row r="477192" spans="22:23">
      <c r="V477192" s="7"/>
      <c r="W477192" s="7"/>
    </row>
    <row r="477362" spans="22:23">
      <c r="V477362" s="7"/>
      <c r="W477362" s="7"/>
    </row>
    <row r="477532" spans="22:23">
      <c r="V477532" s="7"/>
      <c r="W477532" s="7"/>
    </row>
    <row r="477702" spans="22:23">
      <c r="V477702" s="7"/>
      <c r="W477702" s="7"/>
    </row>
    <row r="477872" spans="22:23">
      <c r="V477872" s="7"/>
      <c r="W477872" s="7"/>
    </row>
    <row r="478042" spans="22:23">
      <c r="V478042" s="7"/>
      <c r="W478042" s="7"/>
    </row>
    <row r="478212" spans="22:23">
      <c r="V478212" s="7"/>
      <c r="W478212" s="7"/>
    </row>
    <row r="478382" spans="22:23">
      <c r="V478382" s="7"/>
      <c r="W478382" s="7"/>
    </row>
    <row r="478552" spans="22:23">
      <c r="V478552" s="7"/>
      <c r="W478552" s="7"/>
    </row>
    <row r="478722" spans="22:23">
      <c r="V478722" s="7"/>
      <c r="W478722" s="7"/>
    </row>
    <row r="478892" spans="22:23">
      <c r="V478892" s="7"/>
      <c r="W478892" s="7"/>
    </row>
    <row r="479062" spans="22:23">
      <c r="V479062" s="7"/>
      <c r="W479062" s="7"/>
    </row>
    <row r="479232" spans="22:23">
      <c r="V479232" s="7"/>
      <c r="W479232" s="7"/>
    </row>
    <row r="479402" spans="22:23">
      <c r="V479402" s="7"/>
      <c r="W479402" s="7"/>
    </row>
    <row r="479572" spans="22:23">
      <c r="V479572" s="7"/>
      <c r="W479572" s="7"/>
    </row>
    <row r="479742" spans="22:23">
      <c r="V479742" s="7"/>
      <c r="W479742" s="7"/>
    </row>
    <row r="479912" spans="22:23">
      <c r="V479912" s="7"/>
      <c r="W479912" s="7"/>
    </row>
    <row r="480082" spans="22:23">
      <c r="V480082" s="7"/>
      <c r="W480082" s="7"/>
    </row>
    <row r="480252" spans="22:23">
      <c r="V480252" s="7"/>
      <c r="W480252" s="7"/>
    </row>
    <row r="480422" spans="22:23">
      <c r="V480422" s="7"/>
      <c r="W480422" s="7"/>
    </row>
    <row r="480592" spans="22:23">
      <c r="V480592" s="7"/>
      <c r="W480592" s="7"/>
    </row>
    <row r="480762" spans="22:23">
      <c r="V480762" s="7"/>
      <c r="W480762" s="7"/>
    </row>
    <row r="480932" spans="22:23">
      <c r="V480932" s="7"/>
      <c r="W480932" s="7"/>
    </row>
    <row r="481102" spans="22:23">
      <c r="V481102" s="7"/>
      <c r="W481102" s="7"/>
    </row>
    <row r="481272" spans="22:23">
      <c r="V481272" s="7"/>
      <c r="W481272" s="7"/>
    </row>
    <row r="481442" spans="22:23">
      <c r="V481442" s="7"/>
      <c r="W481442" s="7"/>
    </row>
    <row r="481612" spans="22:23">
      <c r="V481612" s="7"/>
      <c r="W481612" s="7"/>
    </row>
    <row r="481782" spans="22:23">
      <c r="V481782" s="7"/>
      <c r="W481782" s="7"/>
    </row>
    <row r="481952" spans="22:23">
      <c r="V481952" s="7"/>
      <c r="W481952" s="7"/>
    </row>
    <row r="482122" spans="22:23">
      <c r="V482122" s="7"/>
      <c r="W482122" s="7"/>
    </row>
    <row r="482292" spans="22:23">
      <c r="V482292" s="7"/>
      <c r="W482292" s="7"/>
    </row>
    <row r="482462" spans="22:23">
      <c r="V482462" s="7"/>
      <c r="W482462" s="7"/>
    </row>
    <row r="482632" spans="22:23">
      <c r="V482632" s="7"/>
      <c r="W482632" s="7"/>
    </row>
    <row r="482802" spans="22:23">
      <c r="V482802" s="7"/>
      <c r="W482802" s="7"/>
    </row>
    <row r="482972" spans="22:23">
      <c r="V482972" s="7"/>
      <c r="W482972" s="7"/>
    </row>
    <row r="483142" spans="22:23">
      <c r="V483142" s="7"/>
      <c r="W483142" s="7"/>
    </row>
    <row r="483312" spans="22:23">
      <c r="V483312" s="7"/>
      <c r="W483312" s="7"/>
    </row>
    <row r="483482" spans="22:23">
      <c r="V483482" s="7"/>
      <c r="W483482" s="7"/>
    </row>
    <row r="483652" spans="22:23">
      <c r="V483652" s="7"/>
      <c r="W483652" s="7"/>
    </row>
    <row r="483822" spans="22:23">
      <c r="V483822" s="7"/>
      <c r="W483822" s="7"/>
    </row>
    <row r="483992" spans="22:23">
      <c r="V483992" s="7"/>
      <c r="W483992" s="7"/>
    </row>
    <row r="484162" spans="22:23">
      <c r="V484162" s="7"/>
      <c r="W484162" s="7"/>
    </row>
    <row r="484332" spans="22:23">
      <c r="V484332" s="7"/>
      <c r="W484332" s="7"/>
    </row>
    <row r="484502" spans="22:23">
      <c r="V484502" s="7"/>
      <c r="W484502" s="7"/>
    </row>
    <row r="484672" spans="22:23">
      <c r="V484672" s="7"/>
      <c r="W484672" s="7"/>
    </row>
    <row r="484842" spans="22:23">
      <c r="V484842" s="7"/>
      <c r="W484842" s="7"/>
    </row>
    <row r="485012" spans="22:23">
      <c r="V485012" s="7"/>
      <c r="W485012" s="7"/>
    </row>
    <row r="485182" spans="22:23">
      <c r="V485182" s="7"/>
      <c r="W485182" s="7"/>
    </row>
    <row r="485352" spans="22:23">
      <c r="V485352" s="7"/>
      <c r="W485352" s="7"/>
    </row>
    <row r="485522" spans="22:23">
      <c r="V485522" s="7"/>
      <c r="W485522" s="7"/>
    </row>
    <row r="485692" spans="22:23">
      <c r="V485692" s="7"/>
      <c r="W485692" s="7"/>
    </row>
    <row r="485862" spans="22:23">
      <c r="V485862" s="7"/>
      <c r="W485862" s="7"/>
    </row>
    <row r="486032" spans="22:23">
      <c r="V486032" s="7"/>
      <c r="W486032" s="7"/>
    </row>
    <row r="486202" spans="22:23">
      <c r="V486202" s="7"/>
      <c r="W486202" s="7"/>
    </row>
    <row r="486372" spans="22:23">
      <c r="V486372" s="7"/>
      <c r="W486372" s="7"/>
    </row>
    <row r="486542" spans="22:23">
      <c r="V486542" s="7"/>
      <c r="W486542" s="7"/>
    </row>
    <row r="486712" spans="22:23">
      <c r="V486712" s="7"/>
      <c r="W486712" s="7"/>
    </row>
    <row r="486882" spans="22:23">
      <c r="V486882" s="7"/>
      <c r="W486882" s="7"/>
    </row>
    <row r="487052" spans="22:23">
      <c r="V487052" s="7"/>
      <c r="W487052" s="7"/>
    </row>
    <row r="487222" spans="22:23">
      <c r="V487222" s="7"/>
      <c r="W487222" s="7"/>
    </row>
    <row r="487392" spans="22:23">
      <c r="V487392" s="7"/>
      <c r="W487392" s="7"/>
    </row>
    <row r="487562" spans="22:23">
      <c r="V487562" s="7"/>
      <c r="W487562" s="7"/>
    </row>
    <row r="487732" spans="22:23">
      <c r="V487732" s="7"/>
      <c r="W487732" s="7"/>
    </row>
    <row r="487902" spans="22:23">
      <c r="V487902" s="7"/>
      <c r="W487902" s="7"/>
    </row>
    <row r="488072" spans="22:23">
      <c r="V488072" s="7"/>
      <c r="W488072" s="7"/>
    </row>
    <row r="488242" spans="22:23">
      <c r="V488242" s="7"/>
      <c r="W488242" s="7"/>
    </row>
    <row r="488412" spans="22:23">
      <c r="V488412" s="7"/>
      <c r="W488412" s="7"/>
    </row>
    <row r="488582" spans="22:23">
      <c r="V488582" s="7"/>
      <c r="W488582" s="7"/>
    </row>
    <row r="488752" spans="22:23">
      <c r="V488752" s="7"/>
      <c r="W488752" s="7"/>
    </row>
    <row r="488922" spans="22:23">
      <c r="V488922" s="7"/>
      <c r="W488922" s="7"/>
    </row>
    <row r="489092" spans="22:23">
      <c r="V489092" s="7"/>
      <c r="W489092" s="7"/>
    </row>
    <row r="489262" spans="22:23">
      <c r="V489262" s="7"/>
      <c r="W489262" s="7"/>
    </row>
    <row r="489432" spans="22:23">
      <c r="V489432" s="7"/>
      <c r="W489432" s="7"/>
    </row>
    <row r="489602" spans="22:23">
      <c r="V489602" s="7"/>
      <c r="W489602" s="7"/>
    </row>
    <row r="489772" spans="22:23">
      <c r="V489772" s="7"/>
      <c r="W489772" s="7"/>
    </row>
    <row r="489942" spans="22:23">
      <c r="V489942" s="7"/>
      <c r="W489942" s="7"/>
    </row>
    <row r="490112" spans="22:23">
      <c r="V490112" s="7"/>
      <c r="W490112" s="7"/>
    </row>
    <row r="490282" spans="22:23">
      <c r="V490282" s="7"/>
      <c r="W490282" s="7"/>
    </row>
    <row r="490452" spans="22:23">
      <c r="V490452" s="7"/>
      <c r="W490452" s="7"/>
    </row>
    <row r="490622" spans="22:23">
      <c r="V490622" s="7"/>
      <c r="W490622" s="7"/>
    </row>
    <row r="490792" spans="22:23">
      <c r="V490792" s="7"/>
      <c r="W490792" s="7"/>
    </row>
    <row r="490962" spans="22:23">
      <c r="V490962" s="7"/>
      <c r="W490962" s="7"/>
    </row>
    <row r="491132" spans="22:23">
      <c r="V491132" s="7"/>
      <c r="W491132" s="7"/>
    </row>
    <row r="491302" spans="22:23">
      <c r="V491302" s="7"/>
      <c r="W491302" s="7"/>
    </row>
    <row r="491472" spans="22:23">
      <c r="V491472" s="7"/>
      <c r="W491472" s="7"/>
    </row>
    <row r="491642" spans="22:23">
      <c r="V491642" s="7"/>
      <c r="W491642" s="7"/>
    </row>
    <row r="491812" spans="22:23">
      <c r="V491812" s="7"/>
      <c r="W491812" s="7"/>
    </row>
    <row r="491982" spans="22:23">
      <c r="V491982" s="7"/>
      <c r="W491982" s="7"/>
    </row>
    <row r="492152" spans="22:23">
      <c r="V492152" s="7"/>
      <c r="W492152" s="7"/>
    </row>
    <row r="492322" spans="22:23">
      <c r="V492322" s="7"/>
      <c r="W492322" s="7"/>
    </row>
    <row r="492492" spans="22:23">
      <c r="V492492" s="7"/>
      <c r="W492492" s="7"/>
    </row>
    <row r="492662" spans="22:23">
      <c r="V492662" s="7"/>
      <c r="W492662" s="7"/>
    </row>
    <row r="492832" spans="22:23">
      <c r="V492832" s="7"/>
      <c r="W492832" s="7"/>
    </row>
    <row r="493002" spans="22:23">
      <c r="V493002" s="7"/>
      <c r="W493002" s="7"/>
    </row>
    <row r="493172" spans="22:23">
      <c r="V493172" s="7"/>
      <c r="W493172" s="7"/>
    </row>
    <row r="493342" spans="22:23">
      <c r="V493342" s="7"/>
      <c r="W493342" s="7"/>
    </row>
    <row r="493512" spans="22:23">
      <c r="V493512" s="7"/>
      <c r="W493512" s="7"/>
    </row>
    <row r="493682" spans="22:23">
      <c r="V493682" s="7"/>
      <c r="W493682" s="7"/>
    </row>
    <row r="493852" spans="22:23">
      <c r="V493852" s="7"/>
      <c r="W493852" s="7"/>
    </row>
    <row r="494022" spans="22:23">
      <c r="V494022" s="7"/>
      <c r="W494022" s="7"/>
    </row>
    <row r="494192" spans="22:23">
      <c r="V494192" s="7"/>
      <c r="W494192" s="7"/>
    </row>
    <row r="494362" spans="22:23">
      <c r="V494362" s="7"/>
      <c r="W494362" s="7"/>
    </row>
    <row r="494532" spans="22:23">
      <c r="V494532" s="7"/>
      <c r="W494532" s="7"/>
    </row>
    <row r="494702" spans="22:23">
      <c r="V494702" s="7"/>
      <c r="W494702" s="7"/>
    </row>
    <row r="494872" spans="22:23">
      <c r="V494872" s="7"/>
      <c r="W494872" s="7"/>
    </row>
    <row r="495042" spans="22:23">
      <c r="V495042" s="7"/>
      <c r="W495042" s="7"/>
    </row>
    <row r="495212" spans="22:23">
      <c r="V495212" s="7"/>
      <c r="W495212" s="7"/>
    </row>
    <row r="495382" spans="22:23">
      <c r="V495382" s="7"/>
      <c r="W495382" s="7"/>
    </row>
    <row r="495552" spans="22:23">
      <c r="V495552" s="7"/>
      <c r="W495552" s="7"/>
    </row>
    <row r="495722" spans="22:23">
      <c r="V495722" s="7"/>
      <c r="W495722" s="7"/>
    </row>
    <row r="495892" spans="22:23">
      <c r="V495892" s="7"/>
      <c r="W495892" s="7"/>
    </row>
    <row r="496062" spans="22:23">
      <c r="V496062" s="7"/>
      <c r="W496062" s="7"/>
    </row>
    <row r="496232" spans="22:23">
      <c r="V496232" s="7"/>
      <c r="W496232" s="7"/>
    </row>
    <row r="496402" spans="22:23">
      <c r="V496402" s="7"/>
      <c r="W496402" s="7"/>
    </row>
    <row r="496572" spans="22:23">
      <c r="V496572" s="7"/>
      <c r="W496572" s="7"/>
    </row>
    <row r="496742" spans="22:23">
      <c r="V496742" s="7"/>
      <c r="W496742" s="7"/>
    </row>
    <row r="496912" spans="22:23">
      <c r="V496912" s="7"/>
      <c r="W496912" s="7"/>
    </row>
    <row r="497082" spans="22:23">
      <c r="V497082" s="7"/>
      <c r="W497082" s="7"/>
    </row>
    <row r="497252" spans="22:23">
      <c r="V497252" s="7"/>
      <c r="W497252" s="7"/>
    </row>
    <row r="497422" spans="22:23">
      <c r="V497422" s="7"/>
      <c r="W497422" s="7"/>
    </row>
    <row r="497592" spans="22:23">
      <c r="V497592" s="7"/>
      <c r="W497592" s="7"/>
    </row>
    <row r="497762" spans="22:23">
      <c r="V497762" s="7"/>
      <c r="W497762" s="7"/>
    </row>
    <row r="497932" spans="22:23">
      <c r="V497932" s="7"/>
      <c r="W497932" s="7"/>
    </row>
    <row r="498102" spans="22:23">
      <c r="V498102" s="7"/>
      <c r="W498102" s="7"/>
    </row>
    <row r="498272" spans="22:23">
      <c r="V498272" s="7"/>
      <c r="W498272" s="7"/>
    </row>
    <row r="498442" spans="22:23">
      <c r="V498442" s="7"/>
      <c r="W498442" s="7"/>
    </row>
    <row r="498612" spans="22:23">
      <c r="V498612" s="7"/>
      <c r="W498612" s="7"/>
    </row>
    <row r="498782" spans="22:23">
      <c r="V498782" s="7"/>
      <c r="W498782" s="7"/>
    </row>
    <row r="498952" spans="22:23">
      <c r="V498952" s="7"/>
      <c r="W498952" s="7"/>
    </row>
    <row r="499122" spans="22:23">
      <c r="V499122" s="7"/>
      <c r="W499122" s="7"/>
    </row>
    <row r="499292" spans="22:23">
      <c r="V499292" s="7"/>
      <c r="W499292" s="7"/>
    </row>
    <row r="499462" spans="22:23">
      <c r="V499462" s="7"/>
      <c r="W499462" s="7"/>
    </row>
    <row r="499632" spans="22:23">
      <c r="V499632" s="7"/>
      <c r="W499632" s="7"/>
    </row>
    <row r="499802" spans="22:23">
      <c r="V499802" s="7"/>
      <c r="W499802" s="7"/>
    </row>
    <row r="499972" spans="22:23">
      <c r="V499972" s="7"/>
      <c r="W499972" s="7"/>
    </row>
    <row r="500142" spans="22:23">
      <c r="V500142" s="7"/>
      <c r="W500142" s="7"/>
    </row>
    <row r="500312" spans="22:23">
      <c r="V500312" s="7"/>
      <c r="W500312" s="7"/>
    </row>
    <row r="500482" spans="22:23">
      <c r="V500482" s="7"/>
      <c r="W500482" s="7"/>
    </row>
    <row r="500652" spans="22:23">
      <c r="V500652" s="7"/>
      <c r="W500652" s="7"/>
    </row>
    <row r="500822" spans="22:23">
      <c r="V500822" s="7"/>
      <c r="W500822" s="7"/>
    </row>
    <row r="500992" spans="22:23">
      <c r="V500992" s="7"/>
      <c r="W500992" s="7"/>
    </row>
    <row r="501162" spans="22:23">
      <c r="V501162" s="7"/>
      <c r="W501162" s="7"/>
    </row>
    <row r="501332" spans="22:23">
      <c r="V501332" s="7"/>
      <c r="W501332" s="7"/>
    </row>
    <row r="501502" spans="22:23">
      <c r="V501502" s="7"/>
      <c r="W501502" s="7"/>
    </row>
    <row r="501672" spans="22:23">
      <c r="V501672" s="7"/>
      <c r="W501672" s="7"/>
    </row>
    <row r="501842" spans="22:23">
      <c r="V501842" s="7"/>
      <c r="W501842" s="7"/>
    </row>
    <row r="502012" spans="22:23">
      <c r="V502012" s="7"/>
      <c r="W502012" s="7"/>
    </row>
    <row r="502182" spans="22:23">
      <c r="V502182" s="7"/>
      <c r="W502182" s="7"/>
    </row>
    <row r="502352" spans="22:23">
      <c r="V502352" s="7"/>
      <c r="W502352" s="7"/>
    </row>
    <row r="502522" spans="22:23">
      <c r="V502522" s="7"/>
      <c r="W502522" s="7"/>
    </row>
    <row r="502692" spans="22:23">
      <c r="V502692" s="7"/>
      <c r="W502692" s="7"/>
    </row>
    <row r="502862" spans="22:23">
      <c r="V502862" s="7"/>
      <c r="W502862" s="7"/>
    </row>
    <row r="503032" spans="22:23">
      <c r="V503032" s="7"/>
      <c r="W503032" s="7"/>
    </row>
    <row r="503202" spans="22:23">
      <c r="V503202" s="7"/>
      <c r="W503202" s="7"/>
    </row>
    <row r="503372" spans="22:23">
      <c r="V503372" s="7"/>
      <c r="W503372" s="7"/>
    </row>
    <row r="503542" spans="22:23">
      <c r="V503542" s="7"/>
      <c r="W503542" s="7"/>
    </row>
    <row r="503712" spans="22:23">
      <c r="V503712" s="7"/>
      <c r="W503712" s="7"/>
    </row>
    <row r="503882" spans="22:23">
      <c r="V503882" s="7"/>
      <c r="W503882" s="7"/>
    </row>
    <row r="504052" spans="22:23">
      <c r="V504052" s="7"/>
      <c r="W504052" s="7"/>
    </row>
    <row r="504222" spans="22:23">
      <c r="V504222" s="7"/>
      <c r="W504222" s="7"/>
    </row>
    <row r="504392" spans="22:23">
      <c r="V504392" s="7"/>
      <c r="W504392" s="7"/>
    </row>
    <row r="504562" spans="22:23">
      <c r="V504562" s="7"/>
      <c r="W504562" s="7"/>
    </row>
    <row r="504732" spans="22:23">
      <c r="V504732" s="7"/>
      <c r="W504732" s="7"/>
    </row>
    <row r="504902" spans="22:23">
      <c r="V504902" s="7"/>
      <c r="W504902" s="7"/>
    </row>
    <row r="505072" spans="22:23">
      <c r="V505072" s="7"/>
      <c r="W505072" s="7"/>
    </row>
    <row r="505242" spans="22:23">
      <c r="V505242" s="7"/>
      <c r="W505242" s="7"/>
    </row>
    <row r="505412" spans="22:23">
      <c r="V505412" s="7"/>
      <c r="W505412" s="7"/>
    </row>
    <row r="505582" spans="22:23">
      <c r="V505582" s="7"/>
      <c r="W505582" s="7"/>
    </row>
    <row r="505752" spans="22:23">
      <c r="V505752" s="7"/>
      <c r="W505752" s="7"/>
    </row>
    <row r="505922" spans="22:23">
      <c r="V505922" s="7"/>
      <c r="W505922" s="7"/>
    </row>
    <row r="506092" spans="22:23">
      <c r="V506092" s="7"/>
      <c r="W506092" s="7"/>
    </row>
    <row r="506262" spans="22:23">
      <c r="V506262" s="7"/>
      <c r="W506262" s="7"/>
    </row>
    <row r="506432" spans="22:23">
      <c r="V506432" s="7"/>
      <c r="W506432" s="7"/>
    </row>
    <row r="506602" spans="22:23">
      <c r="V506602" s="7"/>
      <c r="W506602" s="7"/>
    </row>
    <row r="506772" spans="22:23">
      <c r="V506772" s="7"/>
      <c r="W506772" s="7"/>
    </row>
    <row r="506942" spans="22:23">
      <c r="V506942" s="7"/>
      <c r="W506942" s="7"/>
    </row>
    <row r="507112" spans="22:23">
      <c r="V507112" s="7"/>
      <c r="W507112" s="7"/>
    </row>
    <row r="507282" spans="22:23">
      <c r="V507282" s="7"/>
      <c r="W507282" s="7"/>
    </row>
    <row r="507452" spans="22:23">
      <c r="V507452" s="7"/>
      <c r="W507452" s="7"/>
    </row>
    <row r="507622" spans="22:23">
      <c r="V507622" s="7"/>
      <c r="W507622" s="7"/>
    </row>
    <row r="507792" spans="22:23">
      <c r="V507792" s="7"/>
      <c r="W507792" s="7"/>
    </row>
    <row r="507962" spans="22:23">
      <c r="V507962" s="7"/>
      <c r="W507962" s="7"/>
    </row>
    <row r="508132" spans="22:23">
      <c r="V508132" s="7"/>
      <c r="W508132" s="7"/>
    </row>
    <row r="508302" spans="22:23">
      <c r="V508302" s="7"/>
      <c r="W508302" s="7"/>
    </row>
    <row r="508472" spans="22:23">
      <c r="V508472" s="7"/>
      <c r="W508472" s="7"/>
    </row>
    <row r="508642" spans="22:23">
      <c r="V508642" s="7"/>
      <c r="W508642" s="7"/>
    </row>
    <row r="508812" spans="22:23">
      <c r="V508812" s="7"/>
      <c r="W508812" s="7"/>
    </row>
    <row r="508982" spans="22:23">
      <c r="V508982" s="7"/>
      <c r="W508982" s="7"/>
    </row>
    <row r="509152" spans="22:23">
      <c r="V509152" s="7"/>
      <c r="W509152" s="7"/>
    </row>
    <row r="509322" spans="22:23">
      <c r="V509322" s="7"/>
      <c r="W509322" s="7"/>
    </row>
    <row r="509492" spans="22:23">
      <c r="V509492" s="7"/>
      <c r="W509492" s="7"/>
    </row>
    <row r="509662" spans="22:23">
      <c r="V509662" s="7"/>
      <c r="W509662" s="7"/>
    </row>
    <row r="509832" spans="22:23">
      <c r="V509832" s="7"/>
      <c r="W509832" s="7"/>
    </row>
    <row r="510002" spans="22:23">
      <c r="V510002" s="7"/>
      <c r="W510002" s="7"/>
    </row>
    <row r="510172" spans="22:23">
      <c r="V510172" s="7"/>
      <c r="W510172" s="7"/>
    </row>
    <row r="510342" spans="22:23">
      <c r="V510342" s="7"/>
      <c r="W510342" s="7"/>
    </row>
    <row r="510512" spans="22:23">
      <c r="V510512" s="7"/>
      <c r="W510512" s="7"/>
    </row>
    <row r="510682" spans="22:23">
      <c r="V510682" s="7"/>
      <c r="W510682" s="7"/>
    </row>
    <row r="510852" spans="22:23">
      <c r="V510852" s="7"/>
      <c r="W510852" s="7"/>
    </row>
    <row r="511022" spans="22:23">
      <c r="V511022" s="7"/>
      <c r="W511022" s="7"/>
    </row>
    <row r="511192" spans="22:23">
      <c r="V511192" s="7"/>
      <c r="W511192" s="7"/>
    </row>
    <row r="511362" spans="22:23">
      <c r="V511362" s="7"/>
      <c r="W511362" s="7"/>
    </row>
    <row r="511532" spans="22:23">
      <c r="V511532" s="7"/>
      <c r="W511532" s="7"/>
    </row>
    <row r="511702" spans="22:23">
      <c r="V511702" s="7"/>
      <c r="W511702" s="7"/>
    </row>
    <row r="511872" spans="22:23">
      <c r="V511872" s="7"/>
      <c r="W511872" s="7"/>
    </row>
    <row r="512042" spans="22:23">
      <c r="V512042" s="7"/>
      <c r="W512042" s="7"/>
    </row>
    <row r="512212" spans="22:23">
      <c r="V512212" s="7"/>
      <c r="W512212" s="7"/>
    </row>
    <row r="512382" spans="22:23">
      <c r="V512382" s="7"/>
      <c r="W512382" s="7"/>
    </row>
    <row r="512552" spans="22:23">
      <c r="V512552" s="7"/>
      <c r="W512552" s="7"/>
    </row>
    <row r="512722" spans="22:23">
      <c r="V512722" s="7"/>
      <c r="W512722" s="7"/>
    </row>
    <row r="512892" spans="22:23">
      <c r="V512892" s="7"/>
      <c r="W512892" s="7"/>
    </row>
    <row r="513062" spans="22:23">
      <c r="V513062" s="7"/>
      <c r="W513062" s="7"/>
    </row>
    <row r="513232" spans="22:23">
      <c r="V513232" s="7"/>
      <c r="W513232" s="7"/>
    </row>
    <row r="513402" spans="22:23">
      <c r="V513402" s="7"/>
      <c r="W513402" s="7"/>
    </row>
    <row r="513572" spans="22:23">
      <c r="V513572" s="7"/>
      <c r="W513572" s="7"/>
    </row>
    <row r="513742" spans="22:23">
      <c r="V513742" s="7"/>
      <c r="W513742" s="7"/>
    </row>
    <row r="513912" spans="22:23">
      <c r="V513912" s="7"/>
      <c r="W513912" s="7"/>
    </row>
    <row r="514082" spans="22:23">
      <c r="V514082" s="7"/>
      <c r="W514082" s="7"/>
    </row>
    <row r="514252" spans="22:23">
      <c r="V514252" s="7"/>
      <c r="W514252" s="7"/>
    </row>
    <row r="514422" spans="22:23">
      <c r="V514422" s="7"/>
      <c r="W514422" s="7"/>
    </row>
    <row r="514592" spans="22:23">
      <c r="V514592" s="7"/>
      <c r="W514592" s="7"/>
    </row>
    <row r="514762" spans="22:23">
      <c r="V514762" s="7"/>
      <c r="W514762" s="7"/>
    </row>
    <row r="514932" spans="22:23">
      <c r="V514932" s="7"/>
      <c r="W514932" s="7"/>
    </row>
    <row r="515102" spans="22:23">
      <c r="V515102" s="7"/>
      <c r="W515102" s="7"/>
    </row>
    <row r="515272" spans="22:23">
      <c r="V515272" s="7"/>
      <c r="W515272" s="7"/>
    </row>
    <row r="515442" spans="22:23">
      <c r="V515442" s="7"/>
      <c r="W515442" s="7"/>
    </row>
    <row r="515612" spans="22:23">
      <c r="V515612" s="7"/>
      <c r="W515612" s="7"/>
    </row>
    <row r="515782" spans="22:23">
      <c r="V515782" s="7"/>
      <c r="W515782" s="7"/>
    </row>
    <row r="515952" spans="22:23">
      <c r="V515952" s="7"/>
      <c r="W515952" s="7"/>
    </row>
    <row r="516122" spans="22:23">
      <c r="V516122" s="7"/>
      <c r="W516122" s="7"/>
    </row>
    <row r="516292" spans="22:23">
      <c r="V516292" s="7"/>
      <c r="W516292" s="7"/>
    </row>
    <row r="516462" spans="22:23">
      <c r="V516462" s="7"/>
      <c r="W516462" s="7"/>
    </row>
    <row r="516632" spans="22:23">
      <c r="V516632" s="7"/>
      <c r="W516632" s="7"/>
    </row>
    <row r="516802" spans="22:23">
      <c r="V516802" s="7"/>
      <c r="W516802" s="7"/>
    </row>
    <row r="516972" spans="22:23">
      <c r="V516972" s="7"/>
      <c r="W516972" s="7"/>
    </row>
    <row r="517142" spans="22:23">
      <c r="V517142" s="7"/>
      <c r="W517142" s="7"/>
    </row>
    <row r="517312" spans="22:23">
      <c r="V517312" s="7"/>
      <c r="W517312" s="7"/>
    </row>
    <row r="517482" spans="22:23">
      <c r="V517482" s="7"/>
      <c r="W517482" s="7"/>
    </row>
    <row r="517652" spans="22:23">
      <c r="V517652" s="7"/>
      <c r="W517652" s="7"/>
    </row>
    <row r="517822" spans="22:23">
      <c r="V517822" s="7"/>
      <c r="W517822" s="7"/>
    </row>
    <row r="517992" spans="22:23">
      <c r="V517992" s="7"/>
      <c r="W517992" s="7"/>
    </row>
    <row r="518162" spans="22:23">
      <c r="V518162" s="7"/>
      <c r="W518162" s="7"/>
    </row>
    <row r="518332" spans="22:23">
      <c r="V518332" s="7"/>
      <c r="W518332" s="7"/>
    </row>
    <row r="518502" spans="22:23">
      <c r="V518502" s="7"/>
      <c r="W518502" s="7"/>
    </row>
    <row r="518672" spans="22:23">
      <c r="V518672" s="7"/>
      <c r="W518672" s="7"/>
    </row>
    <row r="518842" spans="22:23">
      <c r="V518842" s="7"/>
      <c r="W518842" s="7"/>
    </row>
    <row r="519012" spans="22:23">
      <c r="V519012" s="7"/>
      <c r="W519012" s="7"/>
    </row>
    <row r="519182" spans="22:23">
      <c r="V519182" s="7"/>
      <c r="W519182" s="7"/>
    </row>
    <row r="519352" spans="22:23">
      <c r="V519352" s="7"/>
      <c r="W519352" s="7"/>
    </row>
    <row r="519522" spans="22:23">
      <c r="V519522" s="7"/>
      <c r="W519522" s="7"/>
    </row>
    <row r="519692" spans="22:23">
      <c r="V519692" s="7"/>
      <c r="W519692" s="7"/>
    </row>
    <row r="519862" spans="22:23">
      <c r="V519862" s="7"/>
      <c r="W519862" s="7"/>
    </row>
    <row r="520032" spans="22:23">
      <c r="V520032" s="7"/>
      <c r="W520032" s="7"/>
    </row>
    <row r="520202" spans="22:23">
      <c r="V520202" s="7"/>
      <c r="W520202" s="7"/>
    </row>
    <row r="520372" spans="22:23">
      <c r="V520372" s="7"/>
      <c r="W520372" s="7"/>
    </row>
    <row r="520542" spans="22:23">
      <c r="V520542" s="7"/>
      <c r="W520542" s="7"/>
    </row>
    <row r="520712" spans="22:23">
      <c r="V520712" s="7"/>
      <c r="W520712" s="7"/>
    </row>
    <row r="520882" spans="22:23">
      <c r="V520882" s="7"/>
      <c r="W520882" s="7"/>
    </row>
    <row r="521052" spans="22:23">
      <c r="V521052" s="7"/>
      <c r="W521052" s="7"/>
    </row>
    <row r="521222" spans="22:23">
      <c r="V521222" s="7"/>
      <c r="W521222" s="7"/>
    </row>
    <row r="521392" spans="22:23">
      <c r="V521392" s="7"/>
      <c r="W521392" s="7"/>
    </row>
    <row r="521562" spans="22:23">
      <c r="V521562" s="7"/>
      <c r="W521562" s="7"/>
    </row>
    <row r="521732" spans="22:23">
      <c r="V521732" s="7"/>
      <c r="W521732" s="7"/>
    </row>
    <row r="521902" spans="22:23">
      <c r="V521902" s="7"/>
      <c r="W521902" s="7"/>
    </row>
    <row r="522072" spans="22:23">
      <c r="V522072" s="7"/>
      <c r="W522072" s="7"/>
    </row>
    <row r="522242" spans="22:23">
      <c r="V522242" s="7"/>
      <c r="W522242" s="7"/>
    </row>
    <row r="522412" spans="22:23">
      <c r="V522412" s="7"/>
      <c r="W522412" s="7"/>
    </row>
    <row r="522582" spans="22:23">
      <c r="V522582" s="7"/>
      <c r="W522582" s="7"/>
    </row>
    <row r="522752" spans="22:23">
      <c r="V522752" s="7"/>
      <c r="W522752" s="7"/>
    </row>
    <row r="522922" spans="22:23">
      <c r="V522922" s="7"/>
      <c r="W522922" s="7"/>
    </row>
    <row r="523092" spans="22:23">
      <c r="V523092" s="7"/>
      <c r="W523092" s="7"/>
    </row>
    <row r="523262" spans="22:23">
      <c r="V523262" s="7"/>
      <c r="W523262" s="7"/>
    </row>
    <row r="523432" spans="22:23">
      <c r="V523432" s="7"/>
      <c r="W523432" s="7"/>
    </row>
    <row r="523602" spans="22:23">
      <c r="V523602" s="7"/>
      <c r="W523602" s="7"/>
    </row>
    <row r="523772" spans="22:23">
      <c r="V523772" s="7"/>
      <c r="W523772" s="7"/>
    </row>
    <row r="523942" spans="22:23">
      <c r="V523942" s="7"/>
      <c r="W523942" s="7"/>
    </row>
    <row r="524112" spans="22:23">
      <c r="V524112" s="7"/>
      <c r="W524112" s="7"/>
    </row>
    <row r="524282" spans="22:23">
      <c r="V524282" s="7"/>
      <c r="W524282" s="7"/>
    </row>
    <row r="524452" spans="22:23">
      <c r="V524452" s="7"/>
      <c r="W524452" s="7"/>
    </row>
    <row r="524622" spans="22:23">
      <c r="V524622" s="7"/>
      <c r="W524622" s="7"/>
    </row>
    <row r="524792" spans="22:23">
      <c r="V524792" s="7"/>
      <c r="W524792" s="7"/>
    </row>
    <row r="524962" spans="22:23">
      <c r="V524962" s="7"/>
      <c r="W524962" s="7"/>
    </row>
    <row r="525132" spans="22:23">
      <c r="V525132" s="7"/>
      <c r="W525132" s="7"/>
    </row>
    <row r="525302" spans="22:23">
      <c r="V525302" s="7"/>
      <c r="W525302" s="7"/>
    </row>
    <row r="525472" spans="22:23">
      <c r="V525472" s="7"/>
      <c r="W525472" s="7"/>
    </row>
    <row r="525642" spans="22:23">
      <c r="V525642" s="7"/>
      <c r="W525642" s="7"/>
    </row>
    <row r="525812" spans="22:23">
      <c r="V525812" s="7"/>
      <c r="W525812" s="7"/>
    </row>
    <row r="525982" spans="22:23">
      <c r="V525982" s="7"/>
      <c r="W525982" s="7"/>
    </row>
    <row r="526152" spans="22:23">
      <c r="V526152" s="7"/>
      <c r="W526152" s="7"/>
    </row>
    <row r="526322" spans="22:23">
      <c r="V526322" s="7"/>
      <c r="W526322" s="7"/>
    </row>
    <row r="526492" spans="22:23">
      <c r="V526492" s="7"/>
      <c r="W526492" s="7"/>
    </row>
    <row r="526662" spans="22:23">
      <c r="V526662" s="7"/>
      <c r="W526662" s="7"/>
    </row>
    <row r="526832" spans="22:23">
      <c r="V526832" s="7"/>
      <c r="W526832" s="7"/>
    </row>
    <row r="527002" spans="22:23">
      <c r="V527002" s="7"/>
      <c r="W527002" s="7"/>
    </row>
    <row r="527172" spans="22:23">
      <c r="V527172" s="7"/>
      <c r="W527172" s="7"/>
    </row>
    <row r="527342" spans="22:23">
      <c r="V527342" s="7"/>
      <c r="W527342" s="7"/>
    </row>
    <row r="527512" spans="22:23">
      <c r="V527512" s="7"/>
      <c r="W527512" s="7"/>
    </row>
    <row r="527682" spans="22:23">
      <c r="V527682" s="7"/>
      <c r="W527682" s="7"/>
    </row>
    <row r="527852" spans="22:23">
      <c r="V527852" s="7"/>
      <c r="W527852" s="7"/>
    </row>
    <row r="528022" spans="22:23">
      <c r="V528022" s="7"/>
      <c r="W528022" s="7"/>
    </row>
    <row r="528192" spans="22:23">
      <c r="V528192" s="7"/>
      <c r="W528192" s="7"/>
    </row>
    <row r="528362" spans="22:23">
      <c r="V528362" s="7"/>
      <c r="W528362" s="7"/>
    </row>
    <row r="528532" spans="22:23">
      <c r="V528532" s="7"/>
      <c r="W528532" s="7"/>
    </row>
    <row r="528702" spans="22:23">
      <c r="V528702" s="7"/>
      <c r="W528702" s="7"/>
    </row>
    <row r="528872" spans="22:23">
      <c r="V528872" s="7"/>
      <c r="W528872" s="7"/>
    </row>
    <row r="529042" spans="22:23">
      <c r="V529042" s="7"/>
      <c r="W529042" s="7"/>
    </row>
    <row r="529212" spans="22:23">
      <c r="V529212" s="7"/>
      <c r="W529212" s="7"/>
    </row>
    <row r="529382" spans="22:23">
      <c r="V529382" s="7"/>
      <c r="W529382" s="7"/>
    </row>
    <row r="529552" spans="22:23">
      <c r="V529552" s="7"/>
      <c r="W529552" s="7"/>
    </row>
    <row r="529722" spans="22:23">
      <c r="V529722" s="7"/>
      <c r="W529722" s="7"/>
    </row>
    <row r="529892" spans="22:23">
      <c r="V529892" s="7"/>
      <c r="W529892" s="7"/>
    </row>
    <row r="530062" spans="22:23">
      <c r="V530062" s="7"/>
      <c r="W530062" s="7"/>
    </row>
    <row r="530232" spans="22:23">
      <c r="V530232" s="7"/>
      <c r="W530232" s="7"/>
    </row>
    <row r="530402" spans="22:23">
      <c r="V530402" s="7"/>
      <c r="W530402" s="7"/>
    </row>
    <row r="530572" spans="22:23">
      <c r="V530572" s="7"/>
      <c r="W530572" s="7"/>
    </row>
    <row r="530742" spans="22:23">
      <c r="V530742" s="7"/>
      <c r="W530742" s="7"/>
    </row>
    <row r="530912" spans="22:23">
      <c r="V530912" s="7"/>
      <c r="W530912" s="7"/>
    </row>
    <row r="531082" spans="22:23">
      <c r="V531082" s="7"/>
      <c r="W531082" s="7"/>
    </row>
    <row r="531252" spans="22:23">
      <c r="V531252" s="7"/>
      <c r="W531252" s="7"/>
    </row>
    <row r="531422" spans="22:23">
      <c r="V531422" s="7"/>
      <c r="W531422" s="7"/>
    </row>
    <row r="531592" spans="22:23">
      <c r="V531592" s="7"/>
      <c r="W531592" s="7"/>
    </row>
    <row r="531762" spans="22:23">
      <c r="V531762" s="7"/>
      <c r="W531762" s="7"/>
    </row>
    <row r="531932" spans="22:23">
      <c r="V531932" s="7"/>
      <c r="W531932" s="7"/>
    </row>
    <row r="532102" spans="22:23">
      <c r="V532102" s="7"/>
      <c r="W532102" s="7"/>
    </row>
    <row r="532272" spans="22:23">
      <c r="V532272" s="7"/>
      <c r="W532272" s="7"/>
    </row>
    <row r="532442" spans="22:23">
      <c r="V532442" s="7"/>
      <c r="W532442" s="7"/>
    </row>
    <row r="532612" spans="22:23">
      <c r="V532612" s="7"/>
      <c r="W532612" s="7"/>
    </row>
    <row r="532782" spans="22:23">
      <c r="V532782" s="7"/>
      <c r="W532782" s="7"/>
    </row>
    <row r="532952" spans="22:23">
      <c r="V532952" s="7"/>
      <c r="W532952" s="7"/>
    </row>
    <row r="533122" spans="22:23">
      <c r="V533122" s="7"/>
      <c r="W533122" s="7"/>
    </row>
    <row r="533292" spans="22:23">
      <c r="V533292" s="7"/>
      <c r="W533292" s="7"/>
    </row>
    <row r="533462" spans="22:23">
      <c r="V533462" s="7"/>
      <c r="W533462" s="7"/>
    </row>
    <row r="533632" spans="22:23">
      <c r="V533632" s="7"/>
      <c r="W533632" s="7"/>
    </row>
    <row r="533802" spans="22:23">
      <c r="V533802" s="7"/>
      <c r="W533802" s="7"/>
    </row>
    <row r="533972" spans="22:23">
      <c r="V533972" s="7"/>
      <c r="W533972" s="7"/>
    </row>
    <row r="534142" spans="22:23">
      <c r="V534142" s="7"/>
      <c r="W534142" s="7"/>
    </row>
    <row r="534312" spans="22:23">
      <c r="V534312" s="7"/>
      <c r="W534312" s="7"/>
    </row>
    <row r="534482" spans="22:23">
      <c r="V534482" s="7"/>
      <c r="W534482" s="7"/>
    </row>
    <row r="534652" spans="22:23">
      <c r="V534652" s="7"/>
      <c r="W534652" s="7"/>
    </row>
    <row r="534822" spans="22:23">
      <c r="V534822" s="7"/>
      <c r="W534822" s="7"/>
    </row>
    <row r="534992" spans="22:23">
      <c r="V534992" s="7"/>
      <c r="W534992" s="7"/>
    </row>
    <row r="535162" spans="22:23">
      <c r="V535162" s="7"/>
      <c r="W535162" s="7"/>
    </row>
    <row r="535332" spans="22:23">
      <c r="V535332" s="7"/>
      <c r="W535332" s="7"/>
    </row>
    <row r="535502" spans="22:23">
      <c r="V535502" s="7"/>
      <c r="W535502" s="7"/>
    </row>
    <row r="535672" spans="22:23">
      <c r="V535672" s="7"/>
      <c r="W535672" s="7"/>
    </row>
    <row r="535842" spans="22:23">
      <c r="V535842" s="7"/>
      <c r="W535842" s="7"/>
    </row>
    <row r="536012" spans="22:23">
      <c r="V536012" s="7"/>
      <c r="W536012" s="7"/>
    </row>
    <row r="536182" spans="22:23">
      <c r="V536182" s="7"/>
      <c r="W536182" s="7"/>
    </row>
    <row r="536352" spans="22:23">
      <c r="V536352" s="7"/>
      <c r="W536352" s="7"/>
    </row>
    <row r="536522" spans="22:23">
      <c r="V536522" s="7"/>
      <c r="W536522" s="7"/>
    </row>
    <row r="536692" spans="22:23">
      <c r="V536692" s="7"/>
      <c r="W536692" s="7"/>
    </row>
    <row r="536862" spans="22:23">
      <c r="V536862" s="7"/>
      <c r="W536862" s="7"/>
    </row>
    <row r="537032" spans="22:23">
      <c r="V537032" s="7"/>
      <c r="W537032" s="7"/>
    </row>
    <row r="537202" spans="22:23">
      <c r="V537202" s="7"/>
      <c r="W537202" s="7"/>
    </row>
    <row r="537372" spans="22:23">
      <c r="V537372" s="7"/>
      <c r="W537372" s="7"/>
    </row>
    <row r="537542" spans="22:23">
      <c r="V537542" s="7"/>
      <c r="W537542" s="7"/>
    </row>
    <row r="537712" spans="22:23">
      <c r="V537712" s="7"/>
      <c r="W537712" s="7"/>
    </row>
    <row r="537882" spans="22:23">
      <c r="V537882" s="7"/>
      <c r="W537882" s="7"/>
    </row>
    <row r="538052" spans="22:23">
      <c r="V538052" s="7"/>
      <c r="W538052" s="7"/>
    </row>
    <row r="538222" spans="22:23">
      <c r="V538222" s="7"/>
      <c r="W538222" s="7"/>
    </row>
    <row r="538392" spans="22:23">
      <c r="V538392" s="7"/>
      <c r="W538392" s="7"/>
    </row>
    <row r="538562" spans="22:23">
      <c r="V538562" s="7"/>
      <c r="W538562" s="7"/>
    </row>
    <row r="538732" spans="22:23">
      <c r="V538732" s="7"/>
      <c r="W538732" s="7"/>
    </row>
    <row r="538902" spans="22:23">
      <c r="V538902" s="7"/>
      <c r="W538902" s="7"/>
    </row>
    <row r="539072" spans="22:23">
      <c r="V539072" s="7"/>
      <c r="W539072" s="7"/>
    </row>
    <row r="539242" spans="22:23">
      <c r="V539242" s="7"/>
      <c r="W539242" s="7"/>
    </row>
    <row r="539412" spans="22:23">
      <c r="V539412" s="7"/>
      <c r="W539412" s="7"/>
    </row>
    <row r="539582" spans="22:23">
      <c r="V539582" s="7"/>
      <c r="W539582" s="7"/>
    </row>
    <row r="539752" spans="22:23">
      <c r="V539752" s="7"/>
      <c r="W539752" s="7"/>
    </row>
    <row r="539922" spans="22:23">
      <c r="V539922" s="7"/>
      <c r="W539922" s="7"/>
    </row>
    <row r="540092" spans="22:23">
      <c r="V540092" s="7"/>
      <c r="W540092" s="7"/>
    </row>
    <row r="540262" spans="22:23">
      <c r="V540262" s="7"/>
      <c r="W540262" s="7"/>
    </row>
    <row r="540432" spans="22:23">
      <c r="V540432" s="7"/>
      <c r="W540432" s="7"/>
    </row>
    <row r="540602" spans="22:23">
      <c r="V540602" s="7"/>
      <c r="W540602" s="7"/>
    </row>
    <row r="540772" spans="22:23">
      <c r="V540772" s="7"/>
      <c r="W540772" s="7"/>
    </row>
    <row r="540942" spans="22:23">
      <c r="V540942" s="7"/>
      <c r="W540942" s="7"/>
    </row>
    <row r="541112" spans="22:23">
      <c r="V541112" s="7"/>
      <c r="W541112" s="7"/>
    </row>
    <row r="541282" spans="22:23">
      <c r="V541282" s="7"/>
      <c r="W541282" s="7"/>
    </row>
    <row r="541452" spans="22:23">
      <c r="V541452" s="7"/>
      <c r="W541452" s="7"/>
    </row>
    <row r="541622" spans="22:23">
      <c r="V541622" s="7"/>
      <c r="W541622" s="7"/>
    </row>
    <row r="541792" spans="22:23">
      <c r="V541792" s="7"/>
      <c r="W541792" s="7"/>
    </row>
    <row r="541962" spans="22:23">
      <c r="V541962" s="7"/>
      <c r="W541962" s="7"/>
    </row>
    <row r="542132" spans="22:23">
      <c r="V542132" s="7"/>
      <c r="W542132" s="7"/>
    </row>
    <row r="542302" spans="22:23">
      <c r="V542302" s="7"/>
      <c r="W542302" s="7"/>
    </row>
    <row r="542472" spans="22:23">
      <c r="V542472" s="7"/>
      <c r="W542472" s="7"/>
    </row>
    <row r="542642" spans="22:23">
      <c r="V542642" s="7"/>
      <c r="W542642" s="7"/>
    </row>
    <row r="542812" spans="22:23">
      <c r="V542812" s="7"/>
      <c r="W542812" s="7"/>
    </row>
    <row r="542982" spans="22:23">
      <c r="V542982" s="7"/>
      <c r="W542982" s="7"/>
    </row>
    <row r="543152" spans="22:23">
      <c r="V543152" s="7"/>
      <c r="W543152" s="7"/>
    </row>
    <row r="543322" spans="22:23">
      <c r="V543322" s="7"/>
      <c r="W543322" s="7"/>
    </row>
    <row r="543492" spans="22:23">
      <c r="V543492" s="7"/>
      <c r="W543492" s="7"/>
    </row>
    <row r="543662" spans="22:23">
      <c r="V543662" s="7"/>
      <c r="W543662" s="7"/>
    </row>
    <row r="543832" spans="22:23">
      <c r="V543832" s="7"/>
      <c r="W543832" s="7"/>
    </row>
    <row r="544002" spans="22:23">
      <c r="V544002" s="7"/>
      <c r="W544002" s="7"/>
    </row>
    <row r="544172" spans="22:23">
      <c r="V544172" s="7"/>
      <c r="W544172" s="7"/>
    </row>
    <row r="544342" spans="22:23">
      <c r="V544342" s="7"/>
      <c r="W544342" s="7"/>
    </row>
    <row r="544512" spans="22:23">
      <c r="V544512" s="7"/>
      <c r="W544512" s="7"/>
    </row>
    <row r="544682" spans="22:23">
      <c r="V544682" s="7"/>
      <c r="W544682" s="7"/>
    </row>
    <row r="544852" spans="22:23">
      <c r="V544852" s="7"/>
      <c r="W544852" s="7"/>
    </row>
    <row r="545022" spans="22:23">
      <c r="V545022" s="7"/>
      <c r="W545022" s="7"/>
    </row>
    <row r="545192" spans="22:23">
      <c r="V545192" s="7"/>
      <c r="W545192" s="7"/>
    </row>
    <row r="545362" spans="22:23">
      <c r="V545362" s="7"/>
      <c r="W545362" s="7"/>
    </row>
    <row r="545532" spans="22:23">
      <c r="V545532" s="7"/>
      <c r="W545532" s="7"/>
    </row>
    <row r="545702" spans="22:23">
      <c r="V545702" s="7"/>
      <c r="W545702" s="7"/>
    </row>
    <row r="545872" spans="22:23">
      <c r="V545872" s="7"/>
      <c r="W545872" s="7"/>
    </row>
    <row r="546042" spans="22:23">
      <c r="V546042" s="7"/>
      <c r="W546042" s="7"/>
    </row>
    <row r="546212" spans="22:23">
      <c r="V546212" s="7"/>
      <c r="W546212" s="7"/>
    </row>
    <row r="546382" spans="22:23">
      <c r="V546382" s="7"/>
      <c r="W546382" s="7"/>
    </row>
    <row r="546552" spans="22:23">
      <c r="V546552" s="7"/>
      <c r="W546552" s="7"/>
    </row>
    <row r="546722" spans="22:23">
      <c r="V546722" s="7"/>
      <c r="W546722" s="7"/>
    </row>
    <row r="546892" spans="22:23">
      <c r="V546892" s="7"/>
      <c r="W546892" s="7"/>
    </row>
    <row r="547062" spans="22:23">
      <c r="V547062" s="7"/>
      <c r="W547062" s="7"/>
    </row>
    <row r="547232" spans="22:23">
      <c r="V547232" s="7"/>
      <c r="W547232" s="7"/>
    </row>
    <row r="547402" spans="22:23">
      <c r="V547402" s="7"/>
      <c r="W547402" s="7"/>
    </row>
    <row r="547572" spans="22:23">
      <c r="V547572" s="7"/>
      <c r="W547572" s="7"/>
    </row>
    <row r="547742" spans="22:23">
      <c r="V547742" s="7"/>
      <c r="W547742" s="7"/>
    </row>
    <row r="547912" spans="22:23">
      <c r="V547912" s="7"/>
      <c r="W547912" s="7"/>
    </row>
    <row r="548082" spans="22:23">
      <c r="V548082" s="7"/>
      <c r="W548082" s="7"/>
    </row>
    <row r="548252" spans="22:23">
      <c r="V548252" s="7"/>
      <c r="W548252" s="7"/>
    </row>
    <row r="548422" spans="22:23">
      <c r="V548422" s="7"/>
      <c r="W548422" s="7"/>
    </row>
    <row r="548592" spans="22:23">
      <c r="V548592" s="7"/>
      <c r="W548592" s="7"/>
    </row>
    <row r="548762" spans="22:23">
      <c r="V548762" s="7"/>
      <c r="W548762" s="7"/>
    </row>
    <row r="548932" spans="22:23">
      <c r="V548932" s="7"/>
      <c r="W548932" s="7"/>
    </row>
    <row r="549102" spans="22:23">
      <c r="V549102" s="7"/>
      <c r="W549102" s="7"/>
    </row>
    <row r="549272" spans="22:23">
      <c r="V549272" s="7"/>
      <c r="W549272" s="7"/>
    </row>
    <row r="549442" spans="22:23">
      <c r="V549442" s="7"/>
      <c r="W549442" s="7"/>
    </row>
    <row r="549612" spans="22:23">
      <c r="V549612" s="7"/>
      <c r="W549612" s="7"/>
    </row>
    <row r="549782" spans="22:23">
      <c r="V549782" s="7"/>
      <c r="W549782" s="7"/>
    </row>
    <row r="549952" spans="22:23">
      <c r="V549952" s="7"/>
      <c r="W549952" s="7"/>
    </row>
    <row r="550122" spans="22:23">
      <c r="V550122" s="7"/>
      <c r="W550122" s="7"/>
    </row>
    <row r="550292" spans="22:23">
      <c r="V550292" s="7"/>
      <c r="W550292" s="7"/>
    </row>
    <row r="550462" spans="22:23">
      <c r="V550462" s="7"/>
      <c r="W550462" s="7"/>
    </row>
    <row r="550632" spans="22:23">
      <c r="V550632" s="7"/>
      <c r="W550632" s="7"/>
    </row>
    <row r="550802" spans="22:23">
      <c r="V550802" s="7"/>
      <c r="W550802" s="7"/>
    </row>
    <row r="550972" spans="22:23">
      <c r="V550972" s="7"/>
      <c r="W550972" s="7"/>
    </row>
    <row r="551142" spans="22:23">
      <c r="V551142" s="7"/>
      <c r="W551142" s="7"/>
    </row>
    <row r="551312" spans="22:23">
      <c r="V551312" s="7"/>
      <c r="W551312" s="7"/>
    </row>
    <row r="551482" spans="22:23">
      <c r="V551482" s="7"/>
      <c r="W551482" s="7"/>
    </row>
    <row r="551652" spans="22:23">
      <c r="V551652" s="7"/>
      <c r="W551652" s="7"/>
    </row>
    <row r="551822" spans="22:23">
      <c r="V551822" s="7"/>
      <c r="W551822" s="7"/>
    </row>
    <row r="551992" spans="22:23">
      <c r="V551992" s="7"/>
      <c r="W551992" s="7"/>
    </row>
    <row r="552162" spans="22:23">
      <c r="V552162" s="7"/>
      <c r="W552162" s="7"/>
    </row>
    <row r="552332" spans="22:23">
      <c r="V552332" s="7"/>
      <c r="W552332" s="7"/>
    </row>
    <row r="552502" spans="22:23">
      <c r="V552502" s="7"/>
      <c r="W552502" s="7"/>
    </row>
    <row r="552672" spans="22:23">
      <c r="V552672" s="7"/>
      <c r="W552672" s="7"/>
    </row>
    <row r="552842" spans="22:23">
      <c r="V552842" s="7"/>
      <c r="W552842" s="7"/>
    </row>
    <row r="553012" spans="22:23">
      <c r="V553012" s="7"/>
      <c r="W553012" s="7"/>
    </row>
    <row r="553182" spans="22:23">
      <c r="V553182" s="7"/>
      <c r="W553182" s="7"/>
    </row>
    <row r="553352" spans="22:23">
      <c r="V553352" s="7"/>
      <c r="W553352" s="7"/>
    </row>
    <row r="553522" spans="22:23">
      <c r="V553522" s="7"/>
      <c r="W553522" s="7"/>
    </row>
    <row r="553692" spans="22:23">
      <c r="V553692" s="7"/>
      <c r="W553692" s="7"/>
    </row>
    <row r="553862" spans="22:23">
      <c r="V553862" s="7"/>
      <c r="W553862" s="7"/>
    </row>
    <row r="554032" spans="22:23">
      <c r="V554032" s="7"/>
      <c r="W554032" s="7"/>
    </row>
    <row r="554202" spans="22:23">
      <c r="V554202" s="7"/>
      <c r="W554202" s="7"/>
    </row>
    <row r="554372" spans="22:23">
      <c r="V554372" s="7"/>
      <c r="W554372" s="7"/>
    </row>
    <row r="554542" spans="22:23">
      <c r="V554542" s="7"/>
      <c r="W554542" s="7"/>
    </row>
    <row r="554712" spans="22:23">
      <c r="V554712" s="7"/>
      <c r="W554712" s="7"/>
    </row>
    <row r="554882" spans="22:23">
      <c r="V554882" s="7"/>
      <c r="W554882" s="7"/>
    </row>
    <row r="555052" spans="22:23">
      <c r="V555052" s="7"/>
      <c r="W555052" s="7"/>
    </row>
    <row r="555222" spans="22:23">
      <c r="V555222" s="7"/>
      <c r="W555222" s="7"/>
    </row>
    <row r="555392" spans="22:23">
      <c r="V555392" s="7"/>
      <c r="W555392" s="7"/>
    </row>
    <row r="555562" spans="22:23">
      <c r="V555562" s="7"/>
      <c r="W555562" s="7"/>
    </row>
    <row r="555732" spans="22:23">
      <c r="V555732" s="7"/>
      <c r="W555732" s="7"/>
    </row>
    <row r="555902" spans="22:23">
      <c r="V555902" s="7"/>
      <c r="W555902" s="7"/>
    </row>
    <row r="556072" spans="22:23">
      <c r="V556072" s="7"/>
      <c r="W556072" s="7"/>
    </row>
    <row r="556242" spans="22:23">
      <c r="V556242" s="7"/>
      <c r="W556242" s="7"/>
    </row>
    <row r="556412" spans="22:23">
      <c r="V556412" s="7"/>
      <c r="W556412" s="7"/>
    </row>
    <row r="556582" spans="22:23">
      <c r="V556582" s="7"/>
      <c r="W556582" s="7"/>
    </row>
    <row r="556752" spans="22:23">
      <c r="V556752" s="7"/>
      <c r="W556752" s="7"/>
    </row>
    <row r="556922" spans="22:23">
      <c r="V556922" s="7"/>
      <c r="W556922" s="7"/>
    </row>
    <row r="557092" spans="22:23">
      <c r="V557092" s="7"/>
      <c r="W557092" s="7"/>
    </row>
    <row r="557262" spans="22:23">
      <c r="V557262" s="7"/>
      <c r="W557262" s="7"/>
    </row>
    <row r="557432" spans="22:23">
      <c r="V557432" s="7"/>
      <c r="W557432" s="7"/>
    </row>
    <row r="557602" spans="22:23">
      <c r="V557602" s="7"/>
      <c r="W557602" s="7"/>
    </row>
    <row r="557772" spans="22:23">
      <c r="V557772" s="7"/>
      <c r="W557772" s="7"/>
    </row>
    <row r="557942" spans="22:23">
      <c r="V557942" s="7"/>
      <c r="W557942" s="7"/>
    </row>
    <row r="558112" spans="22:23">
      <c r="V558112" s="7"/>
      <c r="W558112" s="7"/>
    </row>
    <row r="558282" spans="22:23">
      <c r="V558282" s="7"/>
      <c r="W558282" s="7"/>
    </row>
    <row r="558452" spans="22:23">
      <c r="V558452" s="7"/>
      <c r="W558452" s="7"/>
    </row>
    <row r="558622" spans="22:23">
      <c r="V558622" s="7"/>
      <c r="W558622" s="7"/>
    </row>
    <row r="558792" spans="22:23">
      <c r="V558792" s="7"/>
      <c r="W558792" s="7"/>
    </row>
    <row r="558962" spans="22:23">
      <c r="V558962" s="7"/>
      <c r="W558962" s="7"/>
    </row>
    <row r="559132" spans="22:23">
      <c r="V559132" s="7"/>
      <c r="W559132" s="7"/>
    </row>
    <row r="559302" spans="22:23">
      <c r="V559302" s="7"/>
      <c r="W559302" s="7"/>
    </row>
    <row r="559472" spans="22:23">
      <c r="V559472" s="7"/>
      <c r="W559472" s="7"/>
    </row>
    <row r="559642" spans="22:23">
      <c r="V559642" s="7"/>
      <c r="W559642" s="7"/>
    </row>
    <row r="559812" spans="22:23">
      <c r="V559812" s="7"/>
      <c r="W559812" s="7"/>
    </row>
    <row r="559982" spans="22:23">
      <c r="V559982" s="7"/>
      <c r="W559982" s="7"/>
    </row>
    <row r="560152" spans="22:23">
      <c r="V560152" s="7"/>
      <c r="W560152" s="7"/>
    </row>
    <row r="560322" spans="22:23">
      <c r="V560322" s="7"/>
      <c r="W560322" s="7"/>
    </row>
    <row r="560492" spans="22:23">
      <c r="V560492" s="7"/>
      <c r="W560492" s="7"/>
    </row>
    <row r="560662" spans="22:23">
      <c r="V560662" s="7"/>
      <c r="W560662" s="7"/>
    </row>
    <row r="560832" spans="22:23">
      <c r="V560832" s="7"/>
      <c r="W560832" s="7"/>
    </row>
    <row r="561002" spans="22:23">
      <c r="V561002" s="7"/>
      <c r="W561002" s="7"/>
    </row>
    <row r="561172" spans="22:23">
      <c r="V561172" s="7"/>
      <c r="W561172" s="7"/>
    </row>
    <row r="561342" spans="22:23">
      <c r="V561342" s="7"/>
      <c r="W561342" s="7"/>
    </row>
    <row r="561512" spans="22:23">
      <c r="V561512" s="7"/>
      <c r="W561512" s="7"/>
    </row>
    <row r="561682" spans="22:23">
      <c r="V561682" s="7"/>
      <c r="W561682" s="7"/>
    </row>
    <row r="561852" spans="22:23">
      <c r="V561852" s="7"/>
      <c r="W561852" s="7"/>
    </row>
    <row r="562022" spans="22:23">
      <c r="V562022" s="7"/>
      <c r="W562022" s="7"/>
    </row>
    <row r="562192" spans="22:23">
      <c r="V562192" s="7"/>
      <c r="W562192" s="7"/>
    </row>
    <row r="562362" spans="22:23">
      <c r="V562362" s="7"/>
      <c r="W562362" s="7"/>
    </row>
    <row r="562532" spans="22:23">
      <c r="V562532" s="7"/>
      <c r="W562532" s="7"/>
    </row>
    <row r="562702" spans="22:23">
      <c r="V562702" s="7"/>
      <c r="W562702" s="7"/>
    </row>
    <row r="562872" spans="22:23">
      <c r="V562872" s="7"/>
      <c r="W562872" s="7"/>
    </row>
    <row r="563042" spans="22:23">
      <c r="V563042" s="7"/>
      <c r="W563042" s="7"/>
    </row>
    <row r="563212" spans="22:23">
      <c r="V563212" s="7"/>
      <c r="W563212" s="7"/>
    </row>
    <row r="563382" spans="22:23">
      <c r="V563382" s="7"/>
      <c r="W563382" s="7"/>
    </row>
    <row r="563552" spans="22:23">
      <c r="V563552" s="7"/>
      <c r="W563552" s="7"/>
    </row>
    <row r="563722" spans="22:23">
      <c r="V563722" s="7"/>
      <c r="W563722" s="7"/>
    </row>
    <row r="563892" spans="22:23">
      <c r="V563892" s="7"/>
      <c r="W563892" s="7"/>
    </row>
    <row r="564062" spans="22:23">
      <c r="V564062" s="7"/>
      <c r="W564062" s="7"/>
    </row>
    <row r="564232" spans="22:23">
      <c r="V564232" s="7"/>
      <c r="W564232" s="7"/>
    </row>
    <row r="564402" spans="22:23">
      <c r="V564402" s="7"/>
      <c r="W564402" s="7"/>
    </row>
    <row r="564572" spans="22:23">
      <c r="V564572" s="7"/>
      <c r="W564572" s="7"/>
    </row>
    <row r="564742" spans="22:23">
      <c r="V564742" s="7"/>
      <c r="W564742" s="7"/>
    </row>
    <row r="564912" spans="22:23">
      <c r="V564912" s="7"/>
      <c r="W564912" s="7"/>
    </row>
    <row r="565082" spans="22:23">
      <c r="V565082" s="7"/>
      <c r="W565082" s="7"/>
    </row>
    <row r="565252" spans="22:23">
      <c r="V565252" s="7"/>
      <c r="W565252" s="7"/>
    </row>
    <row r="565422" spans="22:23">
      <c r="V565422" s="7"/>
      <c r="W565422" s="7"/>
    </row>
    <row r="565592" spans="22:23">
      <c r="V565592" s="7"/>
      <c r="W565592" s="7"/>
    </row>
    <row r="565762" spans="22:23">
      <c r="V565762" s="7"/>
      <c r="W565762" s="7"/>
    </row>
    <row r="565932" spans="22:23">
      <c r="V565932" s="7"/>
      <c r="W565932" s="7"/>
    </row>
    <row r="566102" spans="22:23">
      <c r="V566102" s="7"/>
      <c r="W566102" s="7"/>
    </row>
    <row r="566272" spans="22:23">
      <c r="V566272" s="7"/>
      <c r="W566272" s="7"/>
    </row>
    <row r="566442" spans="22:23">
      <c r="V566442" s="7"/>
      <c r="W566442" s="7"/>
    </row>
    <row r="566612" spans="22:23">
      <c r="V566612" s="7"/>
      <c r="W566612" s="7"/>
    </row>
    <row r="566782" spans="22:23">
      <c r="V566782" s="7"/>
      <c r="W566782" s="7"/>
    </row>
    <row r="566952" spans="22:23">
      <c r="V566952" s="7"/>
      <c r="W566952" s="7"/>
    </row>
    <row r="567122" spans="22:23">
      <c r="V567122" s="7"/>
      <c r="W567122" s="7"/>
    </row>
    <row r="567292" spans="22:23">
      <c r="V567292" s="7"/>
      <c r="W567292" s="7"/>
    </row>
    <row r="567462" spans="22:23">
      <c r="V567462" s="7"/>
      <c r="W567462" s="7"/>
    </row>
    <row r="567632" spans="22:23">
      <c r="V567632" s="7"/>
      <c r="W567632" s="7"/>
    </row>
    <row r="567802" spans="22:23">
      <c r="V567802" s="7"/>
      <c r="W567802" s="7"/>
    </row>
    <row r="567972" spans="22:23">
      <c r="V567972" s="7"/>
      <c r="W567972" s="7"/>
    </row>
    <row r="568142" spans="22:23">
      <c r="V568142" s="7"/>
      <c r="W568142" s="7"/>
    </row>
    <row r="568312" spans="22:23">
      <c r="V568312" s="7"/>
      <c r="W568312" s="7"/>
    </row>
    <row r="568482" spans="22:23">
      <c r="V568482" s="7"/>
      <c r="W568482" s="7"/>
    </row>
    <row r="568652" spans="22:23">
      <c r="V568652" s="7"/>
      <c r="W568652" s="7"/>
    </row>
    <row r="568822" spans="22:23">
      <c r="V568822" s="7"/>
      <c r="W568822" s="7"/>
    </row>
    <row r="568992" spans="22:23">
      <c r="V568992" s="7"/>
      <c r="W568992" s="7"/>
    </row>
    <row r="569162" spans="22:23">
      <c r="V569162" s="7"/>
      <c r="W569162" s="7"/>
    </row>
    <row r="569332" spans="22:23">
      <c r="V569332" s="7"/>
      <c r="W569332" s="7"/>
    </row>
    <row r="569502" spans="22:23">
      <c r="V569502" s="7"/>
      <c r="W569502" s="7"/>
    </row>
    <row r="569672" spans="22:23">
      <c r="V569672" s="7"/>
      <c r="W569672" s="7"/>
    </row>
    <row r="569842" spans="22:23">
      <c r="V569842" s="7"/>
      <c r="W569842" s="7"/>
    </row>
    <row r="570012" spans="22:23">
      <c r="V570012" s="7"/>
      <c r="W570012" s="7"/>
    </row>
    <row r="570182" spans="22:23">
      <c r="V570182" s="7"/>
      <c r="W570182" s="7"/>
    </row>
    <row r="570352" spans="22:23">
      <c r="V570352" s="7"/>
      <c r="W570352" s="7"/>
    </row>
    <row r="570522" spans="22:23">
      <c r="V570522" s="7"/>
      <c r="W570522" s="7"/>
    </row>
    <row r="570692" spans="22:23">
      <c r="V570692" s="7"/>
      <c r="W570692" s="7"/>
    </row>
    <row r="570862" spans="22:23">
      <c r="V570862" s="7"/>
      <c r="W570862" s="7"/>
    </row>
    <row r="571032" spans="22:23">
      <c r="V571032" s="7"/>
      <c r="W571032" s="7"/>
    </row>
    <row r="571202" spans="22:23">
      <c r="V571202" s="7"/>
      <c r="W571202" s="7"/>
    </row>
    <row r="571372" spans="22:23">
      <c r="V571372" s="7"/>
      <c r="W571372" s="7"/>
    </row>
    <row r="571542" spans="22:23">
      <c r="V571542" s="7"/>
      <c r="W571542" s="7"/>
    </row>
    <row r="571712" spans="22:23">
      <c r="V571712" s="7"/>
      <c r="W571712" s="7"/>
    </row>
    <row r="571882" spans="22:23">
      <c r="V571882" s="7"/>
      <c r="W571882" s="7"/>
    </row>
    <row r="572052" spans="22:23">
      <c r="V572052" s="7"/>
      <c r="W572052" s="7"/>
    </row>
    <row r="572222" spans="22:23">
      <c r="V572222" s="7"/>
      <c r="W572222" s="7"/>
    </row>
    <row r="572392" spans="22:23">
      <c r="V572392" s="7"/>
      <c r="W572392" s="7"/>
    </row>
    <row r="572562" spans="22:23">
      <c r="V572562" s="7"/>
      <c r="W572562" s="7"/>
    </row>
    <row r="572732" spans="22:23">
      <c r="V572732" s="7"/>
      <c r="W572732" s="7"/>
    </row>
    <row r="572902" spans="22:23">
      <c r="V572902" s="7"/>
      <c r="W572902" s="7"/>
    </row>
    <row r="573072" spans="22:23">
      <c r="V573072" s="7"/>
      <c r="W573072" s="7"/>
    </row>
    <row r="573242" spans="22:23">
      <c r="V573242" s="7"/>
      <c r="W573242" s="7"/>
    </row>
    <row r="573412" spans="22:23">
      <c r="V573412" s="7"/>
      <c r="W573412" s="7"/>
    </row>
    <row r="573582" spans="22:23">
      <c r="V573582" s="7"/>
      <c r="W573582" s="7"/>
    </row>
    <row r="573752" spans="22:23">
      <c r="V573752" s="7"/>
      <c r="W573752" s="7"/>
    </row>
    <row r="573922" spans="22:23">
      <c r="V573922" s="7"/>
      <c r="W573922" s="7"/>
    </row>
    <row r="574092" spans="22:23">
      <c r="V574092" s="7"/>
      <c r="W574092" s="7"/>
    </row>
    <row r="574262" spans="22:23">
      <c r="V574262" s="7"/>
      <c r="W574262" s="7"/>
    </row>
    <row r="574432" spans="22:23">
      <c r="V574432" s="7"/>
      <c r="W574432" s="7"/>
    </row>
    <row r="574602" spans="22:23">
      <c r="V574602" s="7"/>
      <c r="W574602" s="7"/>
    </row>
    <row r="574772" spans="22:23">
      <c r="V574772" s="7"/>
      <c r="W574772" s="7"/>
    </row>
    <row r="574942" spans="22:23">
      <c r="V574942" s="7"/>
      <c r="W574942" s="7"/>
    </row>
    <row r="575112" spans="22:23">
      <c r="V575112" s="7"/>
      <c r="W575112" s="7"/>
    </row>
    <row r="575282" spans="22:23">
      <c r="V575282" s="7"/>
      <c r="W575282" s="7"/>
    </row>
    <row r="575452" spans="22:23">
      <c r="V575452" s="7"/>
      <c r="W575452" s="7"/>
    </row>
    <row r="575622" spans="22:23">
      <c r="V575622" s="7"/>
      <c r="W575622" s="7"/>
    </row>
    <row r="575792" spans="22:23">
      <c r="V575792" s="7"/>
      <c r="W575792" s="7"/>
    </row>
    <row r="575962" spans="22:23">
      <c r="V575962" s="7"/>
      <c r="W575962" s="7"/>
    </row>
    <row r="576132" spans="22:23">
      <c r="V576132" s="7"/>
      <c r="W576132" s="7"/>
    </row>
    <row r="576302" spans="22:23">
      <c r="V576302" s="7"/>
      <c r="W576302" s="7"/>
    </row>
    <row r="576472" spans="22:23">
      <c r="V576472" s="7"/>
      <c r="W576472" s="7"/>
    </row>
    <row r="576642" spans="22:23">
      <c r="V576642" s="7"/>
      <c r="W576642" s="7"/>
    </row>
    <row r="576812" spans="22:23">
      <c r="V576812" s="7"/>
      <c r="W576812" s="7"/>
    </row>
    <row r="576982" spans="22:23">
      <c r="V576982" s="7"/>
      <c r="W576982" s="7"/>
    </row>
    <row r="577152" spans="22:23">
      <c r="V577152" s="7"/>
      <c r="W577152" s="7"/>
    </row>
    <row r="577322" spans="22:23">
      <c r="V577322" s="7"/>
      <c r="W577322" s="7"/>
    </row>
    <row r="577492" spans="22:23">
      <c r="V577492" s="7"/>
      <c r="W577492" s="7"/>
    </row>
    <row r="577662" spans="22:23">
      <c r="V577662" s="7"/>
      <c r="W577662" s="7"/>
    </row>
    <row r="577832" spans="22:23">
      <c r="V577832" s="7"/>
      <c r="W577832" s="7"/>
    </row>
    <row r="578002" spans="22:23">
      <c r="V578002" s="7"/>
      <c r="W578002" s="7"/>
    </row>
    <row r="578172" spans="22:23">
      <c r="V578172" s="7"/>
      <c r="W578172" s="7"/>
    </row>
    <row r="578342" spans="22:23">
      <c r="V578342" s="7"/>
      <c r="W578342" s="7"/>
    </row>
    <row r="578512" spans="22:23">
      <c r="V578512" s="7"/>
      <c r="W578512" s="7"/>
    </row>
    <row r="578682" spans="22:23">
      <c r="V578682" s="7"/>
      <c r="W578682" s="7"/>
    </row>
    <row r="578852" spans="22:23">
      <c r="V578852" s="7"/>
      <c r="W578852" s="7"/>
    </row>
    <row r="579022" spans="22:23">
      <c r="V579022" s="7"/>
      <c r="W579022" s="7"/>
    </row>
    <row r="579192" spans="22:23">
      <c r="V579192" s="7"/>
      <c r="W579192" s="7"/>
    </row>
    <row r="579362" spans="22:23">
      <c r="V579362" s="7"/>
      <c r="W579362" s="7"/>
    </row>
    <row r="579532" spans="22:23">
      <c r="V579532" s="7"/>
      <c r="W579532" s="7"/>
    </row>
    <row r="579702" spans="22:23">
      <c r="V579702" s="7"/>
      <c r="W579702" s="7"/>
    </row>
    <row r="579872" spans="22:23">
      <c r="V579872" s="7"/>
      <c r="W579872" s="7"/>
    </row>
    <row r="580042" spans="22:23">
      <c r="V580042" s="7"/>
      <c r="W580042" s="7"/>
    </row>
    <row r="580212" spans="22:23">
      <c r="V580212" s="7"/>
      <c r="W580212" s="7"/>
    </row>
    <row r="580382" spans="22:23">
      <c r="V580382" s="7"/>
      <c r="W580382" s="7"/>
    </row>
    <row r="580552" spans="22:23">
      <c r="V580552" s="7"/>
      <c r="W580552" s="7"/>
    </row>
    <row r="580722" spans="22:23">
      <c r="V580722" s="7"/>
      <c r="W580722" s="7"/>
    </row>
    <row r="580892" spans="22:23">
      <c r="V580892" s="7"/>
      <c r="W580892" s="7"/>
    </row>
    <row r="581062" spans="22:23">
      <c r="V581062" s="7"/>
      <c r="W581062" s="7"/>
    </row>
    <row r="581232" spans="22:23">
      <c r="V581232" s="7"/>
      <c r="W581232" s="7"/>
    </row>
    <row r="581402" spans="22:23">
      <c r="V581402" s="7"/>
      <c r="W581402" s="7"/>
    </row>
    <row r="581572" spans="22:23">
      <c r="V581572" s="7"/>
      <c r="W581572" s="7"/>
    </row>
    <row r="581742" spans="22:23">
      <c r="V581742" s="7"/>
      <c r="W581742" s="7"/>
    </row>
    <row r="581912" spans="22:23">
      <c r="V581912" s="7"/>
      <c r="W581912" s="7"/>
    </row>
    <row r="582082" spans="22:23">
      <c r="V582082" s="7"/>
      <c r="W582082" s="7"/>
    </row>
    <row r="582252" spans="22:23">
      <c r="V582252" s="7"/>
      <c r="W582252" s="7"/>
    </row>
    <row r="582422" spans="22:23">
      <c r="V582422" s="7"/>
      <c r="W582422" s="7"/>
    </row>
    <row r="582592" spans="22:23">
      <c r="V582592" s="7"/>
      <c r="W582592" s="7"/>
    </row>
    <row r="582762" spans="22:23">
      <c r="V582762" s="7"/>
      <c r="W582762" s="7"/>
    </row>
    <row r="582932" spans="22:23">
      <c r="V582932" s="7"/>
      <c r="W582932" s="7"/>
    </row>
    <row r="583102" spans="22:23">
      <c r="V583102" s="7"/>
      <c r="W583102" s="7"/>
    </row>
    <row r="583272" spans="22:23">
      <c r="V583272" s="7"/>
      <c r="W583272" s="7"/>
    </row>
    <row r="583442" spans="22:23">
      <c r="V583442" s="7"/>
      <c r="W583442" s="7"/>
    </row>
    <row r="583612" spans="22:23">
      <c r="V583612" s="7"/>
      <c r="W583612" s="7"/>
    </row>
    <row r="583782" spans="22:23">
      <c r="V583782" s="7"/>
      <c r="W583782" s="7"/>
    </row>
    <row r="583952" spans="22:23">
      <c r="V583952" s="7"/>
      <c r="W583952" s="7"/>
    </row>
    <row r="584122" spans="22:23">
      <c r="V584122" s="7"/>
      <c r="W584122" s="7"/>
    </row>
    <row r="584292" spans="22:23">
      <c r="V584292" s="7"/>
      <c r="W584292" s="7"/>
    </row>
    <row r="584462" spans="22:23">
      <c r="V584462" s="7"/>
      <c r="W584462" s="7"/>
    </row>
    <row r="584632" spans="22:23">
      <c r="V584632" s="7"/>
      <c r="W584632" s="7"/>
    </row>
    <row r="584802" spans="22:23">
      <c r="V584802" s="7"/>
      <c r="W584802" s="7"/>
    </row>
    <row r="584972" spans="22:23">
      <c r="V584972" s="7"/>
      <c r="W584972" s="7"/>
    </row>
    <row r="585142" spans="22:23">
      <c r="V585142" s="7"/>
      <c r="W585142" s="7"/>
    </row>
    <row r="585312" spans="22:23">
      <c r="V585312" s="7"/>
      <c r="W585312" s="7"/>
    </row>
    <row r="585482" spans="22:23">
      <c r="V585482" s="7"/>
      <c r="W585482" s="7"/>
    </row>
    <row r="585652" spans="22:23">
      <c r="V585652" s="7"/>
      <c r="W585652" s="7"/>
    </row>
    <row r="585822" spans="22:23">
      <c r="V585822" s="7"/>
      <c r="W585822" s="7"/>
    </row>
    <row r="585992" spans="22:23">
      <c r="V585992" s="7"/>
      <c r="W585992" s="7"/>
    </row>
    <row r="586162" spans="22:23">
      <c r="V586162" s="7"/>
      <c r="W586162" s="7"/>
    </row>
    <row r="586332" spans="22:23">
      <c r="V586332" s="7"/>
      <c r="W586332" s="7"/>
    </row>
    <row r="586502" spans="22:23">
      <c r="V586502" s="7"/>
      <c r="W586502" s="7"/>
    </row>
    <row r="586672" spans="22:23">
      <c r="V586672" s="7"/>
      <c r="W586672" s="7"/>
    </row>
    <row r="586842" spans="22:23">
      <c r="V586842" s="7"/>
      <c r="W586842" s="7"/>
    </row>
    <row r="587012" spans="22:23">
      <c r="V587012" s="7"/>
      <c r="W587012" s="7"/>
    </row>
    <row r="587182" spans="22:23">
      <c r="V587182" s="7"/>
      <c r="W587182" s="7"/>
    </row>
    <row r="587352" spans="22:23">
      <c r="V587352" s="7"/>
      <c r="W587352" s="7"/>
    </row>
    <row r="587522" spans="22:23">
      <c r="V587522" s="7"/>
      <c r="W587522" s="7"/>
    </row>
    <row r="587692" spans="22:23">
      <c r="V587692" s="7"/>
      <c r="W587692" s="7"/>
    </row>
    <row r="587862" spans="22:23">
      <c r="V587862" s="7"/>
      <c r="W587862" s="7"/>
    </row>
    <row r="588032" spans="22:23">
      <c r="V588032" s="7"/>
      <c r="W588032" s="7"/>
    </row>
    <row r="588202" spans="22:23">
      <c r="V588202" s="7"/>
      <c r="W588202" s="7"/>
    </row>
    <row r="588372" spans="22:23">
      <c r="V588372" s="7"/>
      <c r="W588372" s="7"/>
    </row>
    <row r="588542" spans="22:23">
      <c r="V588542" s="7"/>
      <c r="W588542" s="7"/>
    </row>
    <row r="588712" spans="22:23">
      <c r="V588712" s="7"/>
      <c r="W588712" s="7"/>
    </row>
    <row r="588882" spans="22:23">
      <c r="V588882" s="7"/>
      <c r="W588882" s="7"/>
    </row>
    <row r="589052" spans="22:23">
      <c r="V589052" s="7"/>
      <c r="W589052" s="7"/>
    </row>
    <row r="589222" spans="22:23">
      <c r="V589222" s="7"/>
      <c r="W589222" s="7"/>
    </row>
    <row r="589392" spans="22:23">
      <c r="V589392" s="7"/>
      <c r="W589392" s="7"/>
    </row>
    <row r="589562" spans="22:23">
      <c r="V589562" s="7"/>
      <c r="W589562" s="7"/>
    </row>
    <row r="589732" spans="22:23">
      <c r="V589732" s="7"/>
      <c r="W589732" s="7"/>
    </row>
    <row r="589902" spans="22:23">
      <c r="V589902" s="7"/>
      <c r="W589902" s="7"/>
    </row>
    <row r="590072" spans="22:23">
      <c r="V590072" s="7"/>
      <c r="W590072" s="7"/>
    </row>
    <row r="590242" spans="22:23">
      <c r="V590242" s="7"/>
      <c r="W590242" s="7"/>
    </row>
    <row r="590412" spans="22:23">
      <c r="V590412" s="7"/>
      <c r="W590412" s="7"/>
    </row>
    <row r="590582" spans="22:23">
      <c r="V590582" s="7"/>
      <c r="W590582" s="7"/>
    </row>
    <row r="590752" spans="22:23">
      <c r="V590752" s="7"/>
      <c r="W590752" s="7"/>
    </row>
    <row r="590922" spans="22:23">
      <c r="V590922" s="7"/>
      <c r="W590922" s="7"/>
    </row>
    <row r="591092" spans="22:23">
      <c r="V591092" s="7"/>
      <c r="W591092" s="7"/>
    </row>
    <row r="591262" spans="22:23">
      <c r="V591262" s="7"/>
      <c r="W591262" s="7"/>
    </row>
    <row r="591432" spans="22:23">
      <c r="V591432" s="7"/>
      <c r="W591432" s="7"/>
    </row>
    <row r="591602" spans="22:23">
      <c r="V591602" s="7"/>
      <c r="W591602" s="7"/>
    </row>
    <row r="591772" spans="22:23">
      <c r="V591772" s="7"/>
      <c r="W591772" s="7"/>
    </row>
    <row r="591942" spans="22:23">
      <c r="V591942" s="7"/>
      <c r="W591942" s="7"/>
    </row>
    <row r="592112" spans="22:23">
      <c r="V592112" s="7"/>
      <c r="W592112" s="7"/>
    </row>
    <row r="592282" spans="22:23">
      <c r="V592282" s="7"/>
      <c r="W592282" s="7"/>
    </row>
    <row r="592452" spans="22:23">
      <c r="V592452" s="7"/>
      <c r="W592452" s="7"/>
    </row>
    <row r="592622" spans="22:23">
      <c r="V592622" s="7"/>
      <c r="W592622" s="7"/>
    </row>
    <row r="592792" spans="22:23">
      <c r="V592792" s="7"/>
      <c r="W592792" s="7"/>
    </row>
    <row r="592962" spans="22:23">
      <c r="V592962" s="7"/>
      <c r="W592962" s="7"/>
    </row>
    <row r="593132" spans="22:23">
      <c r="V593132" s="7"/>
      <c r="W593132" s="7"/>
    </row>
    <row r="593302" spans="22:23">
      <c r="V593302" s="7"/>
      <c r="W593302" s="7"/>
    </row>
    <row r="593472" spans="22:23">
      <c r="V593472" s="7"/>
      <c r="W593472" s="7"/>
    </row>
    <row r="593642" spans="22:23">
      <c r="V593642" s="7"/>
      <c r="W593642" s="7"/>
    </row>
    <row r="593812" spans="22:23">
      <c r="V593812" s="7"/>
      <c r="W593812" s="7"/>
    </row>
    <row r="593982" spans="22:23">
      <c r="V593982" s="7"/>
      <c r="W593982" s="7"/>
    </row>
    <row r="594152" spans="22:23">
      <c r="V594152" s="7"/>
      <c r="W594152" s="7"/>
    </row>
    <row r="594322" spans="22:23">
      <c r="V594322" s="7"/>
      <c r="W594322" s="7"/>
    </row>
    <row r="594492" spans="22:23">
      <c r="V594492" s="7"/>
      <c r="W594492" s="7"/>
    </row>
    <row r="594662" spans="22:23">
      <c r="V594662" s="7"/>
      <c r="W594662" s="7"/>
    </row>
    <row r="594832" spans="22:23">
      <c r="V594832" s="7"/>
      <c r="W594832" s="7"/>
    </row>
    <row r="595002" spans="22:23">
      <c r="V595002" s="7"/>
      <c r="W595002" s="7"/>
    </row>
    <row r="595172" spans="22:23">
      <c r="V595172" s="7"/>
      <c r="W595172" s="7"/>
    </row>
    <row r="595342" spans="22:23">
      <c r="V595342" s="7"/>
      <c r="W595342" s="7"/>
    </row>
    <row r="595512" spans="22:23">
      <c r="V595512" s="7"/>
      <c r="W595512" s="7"/>
    </row>
    <row r="595682" spans="22:23">
      <c r="V595682" s="7"/>
      <c r="W595682" s="7"/>
    </row>
    <row r="595852" spans="22:23">
      <c r="V595852" s="7"/>
      <c r="W595852" s="7"/>
    </row>
    <row r="596022" spans="22:23">
      <c r="V596022" s="7"/>
      <c r="W596022" s="7"/>
    </row>
    <row r="596192" spans="22:23">
      <c r="V596192" s="7"/>
      <c r="W596192" s="7"/>
    </row>
    <row r="596362" spans="22:23">
      <c r="V596362" s="7"/>
      <c r="W596362" s="7"/>
    </row>
    <row r="596532" spans="22:23">
      <c r="V596532" s="7"/>
      <c r="W596532" s="7"/>
    </row>
    <row r="596702" spans="22:23">
      <c r="V596702" s="7"/>
      <c r="W596702" s="7"/>
    </row>
    <row r="596872" spans="22:23">
      <c r="V596872" s="7"/>
      <c r="W596872" s="7"/>
    </row>
    <row r="597042" spans="22:23">
      <c r="V597042" s="7"/>
      <c r="W597042" s="7"/>
    </row>
    <row r="597212" spans="22:23">
      <c r="V597212" s="7"/>
      <c r="W597212" s="7"/>
    </row>
    <row r="597382" spans="22:23">
      <c r="V597382" s="7"/>
      <c r="W597382" s="7"/>
    </row>
    <row r="597552" spans="22:23">
      <c r="V597552" s="7"/>
      <c r="W597552" s="7"/>
    </row>
    <row r="597722" spans="22:23">
      <c r="V597722" s="7"/>
      <c r="W597722" s="7"/>
    </row>
    <row r="597892" spans="22:23">
      <c r="V597892" s="7"/>
      <c r="W597892" s="7"/>
    </row>
    <row r="598062" spans="22:23">
      <c r="V598062" s="7"/>
      <c r="W598062" s="7"/>
    </row>
    <row r="598232" spans="22:23">
      <c r="V598232" s="7"/>
      <c r="W598232" s="7"/>
    </row>
    <row r="598402" spans="22:23">
      <c r="V598402" s="7"/>
      <c r="W598402" s="7"/>
    </row>
    <row r="598572" spans="22:23">
      <c r="V598572" s="7"/>
      <c r="W598572" s="7"/>
    </row>
    <row r="598742" spans="22:23">
      <c r="V598742" s="7"/>
      <c r="W598742" s="7"/>
    </row>
    <row r="598912" spans="22:23">
      <c r="V598912" s="7"/>
      <c r="W598912" s="7"/>
    </row>
    <row r="599082" spans="22:23">
      <c r="V599082" s="7"/>
      <c r="W599082" s="7"/>
    </row>
    <row r="599252" spans="22:23">
      <c r="V599252" s="7"/>
      <c r="W599252" s="7"/>
    </row>
    <row r="599422" spans="22:23">
      <c r="V599422" s="7"/>
      <c r="W599422" s="7"/>
    </row>
    <row r="599592" spans="22:23">
      <c r="V599592" s="7"/>
      <c r="W599592" s="7"/>
    </row>
    <row r="599762" spans="22:23">
      <c r="V599762" s="7"/>
      <c r="W599762" s="7"/>
    </row>
    <row r="599932" spans="22:23">
      <c r="V599932" s="7"/>
      <c r="W599932" s="7"/>
    </row>
    <row r="600102" spans="22:23">
      <c r="V600102" s="7"/>
      <c r="W600102" s="7"/>
    </row>
    <row r="600272" spans="22:23">
      <c r="V600272" s="7"/>
      <c r="W600272" s="7"/>
    </row>
    <row r="600442" spans="22:23">
      <c r="V600442" s="7"/>
      <c r="W600442" s="7"/>
    </row>
    <row r="600612" spans="22:23">
      <c r="V600612" s="7"/>
      <c r="W600612" s="7"/>
    </row>
    <row r="600782" spans="22:23">
      <c r="V600782" s="7"/>
      <c r="W600782" s="7"/>
    </row>
    <row r="600952" spans="22:23">
      <c r="V600952" s="7"/>
      <c r="W600952" s="7"/>
    </row>
    <row r="601122" spans="22:23">
      <c r="V601122" s="7"/>
      <c r="W601122" s="7"/>
    </row>
    <row r="601292" spans="22:23">
      <c r="V601292" s="7"/>
      <c r="W601292" s="7"/>
    </row>
    <row r="601462" spans="22:23">
      <c r="V601462" s="7"/>
      <c r="W601462" s="7"/>
    </row>
    <row r="601632" spans="22:23">
      <c r="V601632" s="7"/>
      <c r="W601632" s="7"/>
    </row>
    <row r="601802" spans="22:23">
      <c r="V601802" s="7"/>
      <c r="W601802" s="7"/>
    </row>
    <row r="601972" spans="22:23">
      <c r="V601972" s="7"/>
      <c r="W601972" s="7"/>
    </row>
    <row r="602142" spans="22:23">
      <c r="V602142" s="7"/>
      <c r="W602142" s="7"/>
    </row>
    <row r="602312" spans="22:23">
      <c r="V602312" s="7"/>
      <c r="W602312" s="7"/>
    </row>
    <row r="602482" spans="22:23">
      <c r="V602482" s="7"/>
      <c r="W602482" s="7"/>
    </row>
    <row r="602652" spans="22:23">
      <c r="V602652" s="7"/>
      <c r="W602652" s="7"/>
    </row>
    <row r="602822" spans="22:23">
      <c r="V602822" s="7"/>
      <c r="W602822" s="7"/>
    </row>
    <row r="602992" spans="22:23">
      <c r="V602992" s="7"/>
      <c r="W602992" s="7"/>
    </row>
    <row r="603162" spans="22:23">
      <c r="V603162" s="7"/>
      <c r="W603162" s="7"/>
    </row>
    <row r="603332" spans="22:23">
      <c r="V603332" s="7"/>
      <c r="W603332" s="7"/>
    </row>
    <row r="603502" spans="22:23">
      <c r="V603502" s="7"/>
      <c r="W603502" s="7"/>
    </row>
    <row r="603672" spans="22:23">
      <c r="V603672" s="7"/>
      <c r="W603672" s="7"/>
    </row>
    <row r="603842" spans="22:23">
      <c r="V603842" s="7"/>
      <c r="W603842" s="7"/>
    </row>
    <row r="604012" spans="22:23">
      <c r="V604012" s="7"/>
      <c r="W604012" s="7"/>
    </row>
    <row r="604182" spans="22:23">
      <c r="V604182" s="7"/>
      <c r="W604182" s="7"/>
    </row>
    <row r="604352" spans="22:23">
      <c r="V604352" s="7"/>
      <c r="W604352" s="7"/>
    </row>
    <row r="604522" spans="22:23">
      <c r="V604522" s="7"/>
      <c r="W604522" s="7"/>
    </row>
    <row r="604692" spans="22:23">
      <c r="V604692" s="7"/>
      <c r="W604692" s="7"/>
    </row>
    <row r="604862" spans="22:23">
      <c r="V604862" s="7"/>
      <c r="W604862" s="7"/>
    </row>
    <row r="605032" spans="22:23">
      <c r="V605032" s="7"/>
      <c r="W605032" s="7"/>
    </row>
    <row r="605202" spans="22:23">
      <c r="V605202" s="7"/>
      <c r="W605202" s="7"/>
    </row>
    <row r="605372" spans="22:23">
      <c r="V605372" s="7"/>
      <c r="W605372" s="7"/>
    </row>
    <row r="605542" spans="22:23">
      <c r="V605542" s="7"/>
      <c r="W605542" s="7"/>
    </row>
    <row r="605712" spans="22:23">
      <c r="V605712" s="7"/>
      <c r="W605712" s="7"/>
    </row>
    <row r="605882" spans="22:23">
      <c r="V605882" s="7"/>
      <c r="W605882" s="7"/>
    </row>
    <row r="606052" spans="22:23">
      <c r="V606052" s="7"/>
      <c r="W606052" s="7"/>
    </row>
    <row r="606222" spans="22:23">
      <c r="V606222" s="7"/>
      <c r="W606222" s="7"/>
    </row>
    <row r="606392" spans="22:23">
      <c r="V606392" s="7"/>
      <c r="W606392" s="7"/>
    </row>
    <row r="606562" spans="22:23">
      <c r="V606562" s="7"/>
      <c r="W606562" s="7"/>
    </row>
    <row r="606732" spans="22:23">
      <c r="V606732" s="7"/>
      <c r="W606732" s="7"/>
    </row>
    <row r="606902" spans="22:23">
      <c r="V606902" s="7"/>
      <c r="W606902" s="7"/>
    </row>
    <row r="607072" spans="22:23">
      <c r="V607072" s="7"/>
      <c r="W607072" s="7"/>
    </row>
    <row r="607242" spans="22:23">
      <c r="V607242" s="7"/>
      <c r="W607242" s="7"/>
    </row>
    <row r="607412" spans="22:23">
      <c r="V607412" s="7"/>
      <c r="W607412" s="7"/>
    </row>
    <row r="607582" spans="22:23">
      <c r="V607582" s="7"/>
      <c r="W607582" s="7"/>
    </row>
    <row r="607752" spans="22:23">
      <c r="V607752" s="7"/>
      <c r="W607752" s="7"/>
    </row>
    <row r="607922" spans="22:23">
      <c r="V607922" s="7"/>
      <c r="W607922" s="7"/>
    </row>
    <row r="608092" spans="22:23">
      <c r="V608092" s="7"/>
      <c r="W608092" s="7"/>
    </row>
    <row r="608262" spans="22:23">
      <c r="V608262" s="7"/>
      <c r="W608262" s="7"/>
    </row>
    <row r="608432" spans="22:23">
      <c r="V608432" s="7"/>
      <c r="W608432" s="7"/>
    </row>
    <row r="608602" spans="22:23">
      <c r="V608602" s="7"/>
      <c r="W608602" s="7"/>
    </row>
    <row r="608772" spans="22:23">
      <c r="V608772" s="7"/>
      <c r="W608772" s="7"/>
    </row>
    <row r="608942" spans="22:23">
      <c r="V608942" s="7"/>
      <c r="W608942" s="7"/>
    </row>
    <row r="609112" spans="22:23">
      <c r="V609112" s="7"/>
      <c r="W609112" s="7"/>
    </row>
    <row r="609282" spans="22:23">
      <c r="V609282" s="7"/>
      <c r="W609282" s="7"/>
    </row>
    <row r="609452" spans="22:23">
      <c r="V609452" s="7"/>
      <c r="W609452" s="7"/>
    </row>
    <row r="609622" spans="22:23">
      <c r="V609622" s="7"/>
      <c r="W609622" s="7"/>
    </row>
    <row r="609792" spans="22:23">
      <c r="V609792" s="7"/>
      <c r="W609792" s="7"/>
    </row>
    <row r="609962" spans="22:23">
      <c r="V609962" s="7"/>
      <c r="W609962" s="7"/>
    </row>
    <row r="610132" spans="22:23">
      <c r="V610132" s="7"/>
      <c r="W610132" s="7"/>
    </row>
    <row r="610302" spans="22:23">
      <c r="V610302" s="7"/>
      <c r="W610302" s="7"/>
    </row>
    <row r="610472" spans="22:23">
      <c r="V610472" s="7"/>
      <c r="W610472" s="7"/>
    </row>
    <row r="610642" spans="22:23">
      <c r="V610642" s="7"/>
      <c r="W610642" s="7"/>
    </row>
    <row r="610812" spans="22:23">
      <c r="V610812" s="7"/>
      <c r="W610812" s="7"/>
    </row>
    <row r="610982" spans="22:23">
      <c r="V610982" s="7"/>
      <c r="W610982" s="7"/>
    </row>
    <row r="611152" spans="22:23">
      <c r="V611152" s="7"/>
      <c r="W611152" s="7"/>
    </row>
    <row r="611322" spans="22:23">
      <c r="V611322" s="7"/>
      <c r="W611322" s="7"/>
    </row>
    <row r="611492" spans="22:23">
      <c r="V611492" s="7"/>
      <c r="W611492" s="7"/>
    </row>
    <row r="611662" spans="22:23">
      <c r="V611662" s="7"/>
      <c r="W611662" s="7"/>
    </row>
    <row r="611832" spans="22:23">
      <c r="V611832" s="7"/>
      <c r="W611832" s="7"/>
    </row>
    <row r="612002" spans="22:23">
      <c r="V612002" s="7"/>
      <c r="W612002" s="7"/>
    </row>
    <row r="612172" spans="22:23">
      <c r="V612172" s="7"/>
      <c r="W612172" s="7"/>
    </row>
    <row r="612342" spans="22:23">
      <c r="V612342" s="7"/>
      <c r="W612342" s="7"/>
    </row>
    <row r="612512" spans="22:23">
      <c r="V612512" s="7"/>
      <c r="W612512" s="7"/>
    </row>
    <row r="612682" spans="22:23">
      <c r="V612682" s="7"/>
      <c r="W612682" s="7"/>
    </row>
    <row r="612852" spans="22:23">
      <c r="V612852" s="7"/>
      <c r="W612852" s="7"/>
    </row>
    <row r="613022" spans="22:23">
      <c r="V613022" s="7"/>
      <c r="W613022" s="7"/>
    </row>
    <row r="613192" spans="22:23">
      <c r="V613192" s="7"/>
      <c r="W613192" s="7"/>
    </row>
    <row r="613362" spans="22:23">
      <c r="V613362" s="7"/>
      <c r="W613362" s="7"/>
    </row>
    <row r="613532" spans="22:23">
      <c r="V613532" s="7"/>
      <c r="W613532" s="7"/>
    </row>
    <row r="613702" spans="22:23">
      <c r="V613702" s="7"/>
      <c r="W613702" s="7"/>
    </row>
    <row r="613872" spans="22:23">
      <c r="V613872" s="7"/>
      <c r="W613872" s="7"/>
    </row>
    <row r="614042" spans="22:23">
      <c r="V614042" s="7"/>
      <c r="W614042" s="7"/>
    </row>
    <row r="614212" spans="22:23">
      <c r="V614212" s="7"/>
      <c r="W614212" s="7"/>
    </row>
    <row r="614382" spans="22:23">
      <c r="V614382" s="7"/>
      <c r="W614382" s="7"/>
    </row>
    <row r="614552" spans="22:23">
      <c r="V614552" s="7"/>
      <c r="W614552" s="7"/>
    </row>
    <row r="614722" spans="22:23">
      <c r="V614722" s="7"/>
      <c r="W614722" s="7"/>
    </row>
    <row r="614892" spans="22:23">
      <c r="V614892" s="7"/>
      <c r="W614892" s="7"/>
    </row>
    <row r="615062" spans="22:23">
      <c r="V615062" s="7"/>
      <c r="W615062" s="7"/>
    </row>
    <row r="615232" spans="22:23">
      <c r="V615232" s="7"/>
      <c r="W615232" s="7"/>
    </row>
    <row r="615402" spans="22:23">
      <c r="V615402" s="7"/>
      <c r="W615402" s="7"/>
    </row>
    <row r="615572" spans="22:23">
      <c r="V615572" s="7"/>
      <c r="W615572" s="7"/>
    </row>
    <row r="615742" spans="22:23">
      <c r="V615742" s="7"/>
      <c r="W615742" s="7"/>
    </row>
    <row r="615912" spans="22:23">
      <c r="V615912" s="7"/>
      <c r="W615912" s="7"/>
    </row>
    <row r="616082" spans="22:23">
      <c r="V616082" s="7"/>
      <c r="W616082" s="7"/>
    </row>
    <row r="616252" spans="22:23">
      <c r="V616252" s="7"/>
      <c r="W616252" s="7"/>
    </row>
    <row r="616422" spans="22:23">
      <c r="V616422" s="7"/>
      <c r="W616422" s="7"/>
    </row>
    <row r="616592" spans="22:23">
      <c r="V616592" s="7"/>
      <c r="W616592" s="7"/>
    </row>
    <row r="616762" spans="22:23">
      <c r="V616762" s="7"/>
      <c r="W616762" s="7"/>
    </row>
    <row r="616932" spans="22:23">
      <c r="V616932" s="7"/>
      <c r="W616932" s="7"/>
    </row>
    <row r="617102" spans="22:23">
      <c r="V617102" s="7"/>
      <c r="W617102" s="7"/>
    </row>
    <row r="617272" spans="22:23">
      <c r="V617272" s="7"/>
      <c r="W617272" s="7"/>
    </row>
    <row r="617442" spans="22:23">
      <c r="V617442" s="7"/>
      <c r="W617442" s="7"/>
    </row>
    <row r="617612" spans="22:23">
      <c r="V617612" s="7"/>
      <c r="W617612" s="7"/>
    </row>
    <row r="617782" spans="22:23">
      <c r="V617782" s="7"/>
      <c r="W617782" s="7"/>
    </row>
    <row r="617952" spans="22:23">
      <c r="V617952" s="7"/>
      <c r="W617952" s="7"/>
    </row>
    <row r="618122" spans="22:23">
      <c r="V618122" s="7"/>
      <c r="W618122" s="7"/>
    </row>
    <row r="618292" spans="22:23">
      <c r="V618292" s="7"/>
      <c r="W618292" s="7"/>
    </row>
    <row r="618462" spans="22:23">
      <c r="V618462" s="7"/>
      <c r="W618462" s="7"/>
    </row>
    <row r="618632" spans="22:23">
      <c r="V618632" s="7"/>
      <c r="W618632" s="7"/>
    </row>
    <row r="618802" spans="22:23">
      <c r="V618802" s="7"/>
      <c r="W618802" s="7"/>
    </row>
    <row r="618972" spans="22:23">
      <c r="V618972" s="7"/>
      <c r="W618972" s="7"/>
    </row>
    <row r="619142" spans="22:23">
      <c r="V619142" s="7"/>
      <c r="W619142" s="7"/>
    </row>
    <row r="619312" spans="22:23">
      <c r="V619312" s="7"/>
      <c r="W619312" s="7"/>
    </row>
    <row r="619482" spans="22:23">
      <c r="V619482" s="7"/>
      <c r="W619482" s="7"/>
    </row>
    <row r="619652" spans="22:23">
      <c r="V619652" s="7"/>
      <c r="W619652" s="7"/>
    </row>
    <row r="619822" spans="22:23">
      <c r="V619822" s="7"/>
      <c r="W619822" s="7"/>
    </row>
    <row r="619992" spans="22:23">
      <c r="V619992" s="7"/>
      <c r="W619992" s="7"/>
    </row>
    <row r="620162" spans="22:23">
      <c r="V620162" s="7"/>
      <c r="W620162" s="7"/>
    </row>
    <row r="620332" spans="22:23">
      <c r="V620332" s="7"/>
      <c r="W620332" s="7"/>
    </row>
    <row r="620502" spans="22:23">
      <c r="V620502" s="7"/>
      <c r="W620502" s="7"/>
    </row>
    <row r="620672" spans="22:23">
      <c r="V620672" s="7"/>
      <c r="W620672" s="7"/>
    </row>
    <row r="620842" spans="22:23">
      <c r="V620842" s="7"/>
      <c r="W620842" s="7"/>
    </row>
    <row r="621012" spans="22:23">
      <c r="V621012" s="7"/>
      <c r="W621012" s="7"/>
    </row>
    <row r="621182" spans="22:23">
      <c r="V621182" s="7"/>
      <c r="W621182" s="7"/>
    </row>
    <row r="621352" spans="22:23">
      <c r="V621352" s="7"/>
      <c r="W621352" s="7"/>
    </row>
    <row r="621522" spans="22:23">
      <c r="V621522" s="7"/>
      <c r="W621522" s="7"/>
    </row>
    <row r="621692" spans="22:23">
      <c r="V621692" s="7"/>
      <c r="W621692" s="7"/>
    </row>
    <row r="621862" spans="22:23">
      <c r="V621862" s="7"/>
      <c r="W621862" s="7"/>
    </row>
    <row r="622032" spans="22:23">
      <c r="V622032" s="7"/>
      <c r="W622032" s="7"/>
    </row>
    <row r="622202" spans="22:23">
      <c r="V622202" s="7"/>
      <c r="W622202" s="7"/>
    </row>
    <row r="622372" spans="22:23">
      <c r="V622372" s="7"/>
      <c r="W622372" s="7"/>
    </row>
    <row r="622542" spans="22:23">
      <c r="V622542" s="7"/>
      <c r="W622542" s="7"/>
    </row>
    <row r="622712" spans="22:23">
      <c r="V622712" s="7"/>
      <c r="W622712" s="7"/>
    </row>
    <row r="622882" spans="22:23">
      <c r="V622882" s="7"/>
      <c r="W622882" s="7"/>
    </row>
    <row r="623052" spans="22:23">
      <c r="V623052" s="7"/>
      <c r="W623052" s="7"/>
    </row>
    <row r="623222" spans="22:23">
      <c r="V623222" s="7"/>
      <c r="W623222" s="7"/>
    </row>
    <row r="623392" spans="22:23">
      <c r="V623392" s="7"/>
      <c r="W623392" s="7"/>
    </row>
    <row r="623562" spans="22:23">
      <c r="V623562" s="7"/>
      <c r="W623562" s="7"/>
    </row>
    <row r="623732" spans="22:23">
      <c r="V623732" s="7"/>
      <c r="W623732" s="7"/>
    </row>
    <row r="623902" spans="22:23">
      <c r="V623902" s="7"/>
      <c r="W623902" s="7"/>
    </row>
    <row r="624072" spans="22:23">
      <c r="V624072" s="7"/>
      <c r="W624072" s="7"/>
    </row>
    <row r="624242" spans="22:23">
      <c r="V624242" s="7"/>
      <c r="W624242" s="7"/>
    </row>
    <row r="624412" spans="22:23">
      <c r="V624412" s="7"/>
      <c r="W624412" s="7"/>
    </row>
    <row r="624582" spans="22:23">
      <c r="V624582" s="7"/>
      <c r="W624582" s="7"/>
    </row>
    <row r="624752" spans="22:23">
      <c r="V624752" s="7"/>
      <c r="W624752" s="7"/>
    </row>
    <row r="624922" spans="22:23">
      <c r="V624922" s="7"/>
      <c r="W624922" s="7"/>
    </row>
    <row r="625092" spans="22:23">
      <c r="V625092" s="7"/>
      <c r="W625092" s="7"/>
    </row>
    <row r="625262" spans="22:23">
      <c r="V625262" s="7"/>
      <c r="W625262" s="7"/>
    </row>
    <row r="625432" spans="22:23">
      <c r="V625432" s="7"/>
      <c r="W625432" s="7"/>
    </row>
    <row r="625602" spans="22:23">
      <c r="V625602" s="7"/>
      <c r="W625602" s="7"/>
    </row>
    <row r="625772" spans="22:23">
      <c r="V625772" s="7"/>
      <c r="W625772" s="7"/>
    </row>
    <row r="625942" spans="22:23">
      <c r="V625942" s="7"/>
      <c r="W625942" s="7"/>
    </row>
    <row r="626112" spans="22:23">
      <c r="V626112" s="7"/>
      <c r="W626112" s="7"/>
    </row>
    <row r="626282" spans="22:23">
      <c r="V626282" s="7"/>
      <c r="W626282" s="7"/>
    </row>
    <row r="626452" spans="22:23">
      <c r="V626452" s="7"/>
      <c r="W626452" s="7"/>
    </row>
    <row r="626622" spans="22:23">
      <c r="V626622" s="7"/>
      <c r="W626622" s="7"/>
    </row>
    <row r="626792" spans="22:23">
      <c r="V626792" s="7"/>
      <c r="W626792" s="7"/>
    </row>
    <row r="626962" spans="22:23">
      <c r="V626962" s="7"/>
      <c r="W626962" s="7"/>
    </row>
    <row r="627132" spans="22:23">
      <c r="V627132" s="7"/>
      <c r="W627132" s="7"/>
    </row>
    <row r="627302" spans="22:23">
      <c r="V627302" s="7"/>
      <c r="W627302" s="7"/>
    </row>
    <row r="627472" spans="22:23">
      <c r="V627472" s="7"/>
      <c r="W627472" s="7"/>
    </row>
    <row r="627642" spans="22:23">
      <c r="V627642" s="7"/>
      <c r="W627642" s="7"/>
    </row>
    <row r="627812" spans="22:23">
      <c r="V627812" s="7"/>
      <c r="W627812" s="7"/>
    </row>
    <row r="627982" spans="22:23">
      <c r="V627982" s="7"/>
      <c r="W627982" s="7"/>
    </row>
    <row r="628152" spans="22:23">
      <c r="V628152" s="7"/>
      <c r="W628152" s="7"/>
    </row>
    <row r="628322" spans="22:23">
      <c r="V628322" s="7"/>
      <c r="W628322" s="7"/>
    </row>
    <row r="628492" spans="22:23">
      <c r="V628492" s="7"/>
      <c r="W628492" s="7"/>
    </row>
    <row r="628662" spans="22:23">
      <c r="V628662" s="7"/>
      <c r="W628662" s="7"/>
    </row>
    <row r="628832" spans="22:23">
      <c r="V628832" s="7"/>
      <c r="W628832" s="7"/>
    </row>
    <row r="629002" spans="22:23">
      <c r="V629002" s="7"/>
      <c r="W629002" s="7"/>
    </row>
    <row r="629172" spans="22:23">
      <c r="V629172" s="7"/>
      <c r="W629172" s="7"/>
    </row>
    <row r="629342" spans="22:23">
      <c r="V629342" s="7"/>
      <c r="W629342" s="7"/>
    </row>
    <row r="629512" spans="22:23">
      <c r="V629512" s="7"/>
      <c r="W629512" s="7"/>
    </row>
    <row r="629682" spans="22:23">
      <c r="V629682" s="7"/>
      <c r="W629682" s="7"/>
    </row>
    <row r="629852" spans="22:23">
      <c r="V629852" s="7"/>
      <c r="W629852" s="7"/>
    </row>
    <row r="630022" spans="22:23">
      <c r="V630022" s="7"/>
      <c r="W630022" s="7"/>
    </row>
    <row r="630192" spans="22:23">
      <c r="V630192" s="7"/>
      <c r="W630192" s="7"/>
    </row>
    <row r="630362" spans="22:23">
      <c r="V630362" s="7"/>
      <c r="W630362" s="7"/>
    </row>
    <row r="630532" spans="22:23">
      <c r="V630532" s="7"/>
      <c r="W630532" s="7"/>
    </row>
    <row r="630702" spans="22:23">
      <c r="V630702" s="7"/>
      <c r="W630702" s="7"/>
    </row>
    <row r="630872" spans="22:23">
      <c r="V630872" s="7"/>
      <c r="W630872" s="7"/>
    </row>
    <row r="631042" spans="22:23">
      <c r="V631042" s="7"/>
      <c r="W631042" s="7"/>
    </row>
    <row r="631212" spans="22:23">
      <c r="V631212" s="7"/>
      <c r="W631212" s="7"/>
    </row>
    <row r="631382" spans="22:23">
      <c r="V631382" s="7"/>
      <c r="W631382" s="7"/>
    </row>
    <row r="631552" spans="22:23">
      <c r="V631552" s="7"/>
      <c r="W631552" s="7"/>
    </row>
    <row r="631722" spans="22:23">
      <c r="V631722" s="7"/>
      <c r="W631722" s="7"/>
    </row>
    <row r="631892" spans="22:23">
      <c r="V631892" s="7"/>
      <c r="W631892" s="7"/>
    </row>
    <row r="632062" spans="22:23">
      <c r="V632062" s="7"/>
      <c r="W632062" s="7"/>
    </row>
    <row r="632232" spans="22:23">
      <c r="V632232" s="7"/>
      <c r="W632232" s="7"/>
    </row>
    <row r="632402" spans="22:23">
      <c r="V632402" s="7"/>
      <c r="W632402" s="7"/>
    </row>
    <row r="632572" spans="22:23">
      <c r="V632572" s="7"/>
      <c r="W632572" s="7"/>
    </row>
    <row r="632742" spans="22:23">
      <c r="V632742" s="7"/>
      <c r="W632742" s="7"/>
    </row>
    <row r="632912" spans="22:23">
      <c r="V632912" s="7"/>
      <c r="W632912" s="7"/>
    </row>
    <row r="633082" spans="22:23">
      <c r="V633082" s="7"/>
      <c r="W633082" s="7"/>
    </row>
    <row r="633252" spans="22:23">
      <c r="V633252" s="7"/>
      <c r="W633252" s="7"/>
    </row>
    <row r="633422" spans="22:23">
      <c r="V633422" s="7"/>
      <c r="W633422" s="7"/>
    </row>
    <row r="633592" spans="22:23">
      <c r="V633592" s="7"/>
      <c r="W633592" s="7"/>
    </row>
    <row r="633762" spans="22:23">
      <c r="V633762" s="7"/>
      <c r="W633762" s="7"/>
    </row>
    <row r="633932" spans="22:23">
      <c r="V633932" s="7"/>
      <c r="W633932" s="7"/>
    </row>
    <row r="634102" spans="22:23">
      <c r="V634102" s="7"/>
      <c r="W634102" s="7"/>
    </row>
    <row r="634272" spans="22:23">
      <c r="V634272" s="7"/>
      <c r="W634272" s="7"/>
    </row>
    <row r="634442" spans="22:23">
      <c r="V634442" s="7"/>
      <c r="W634442" s="7"/>
    </row>
    <row r="634612" spans="22:23">
      <c r="V634612" s="7"/>
      <c r="W634612" s="7"/>
    </row>
    <row r="634782" spans="22:23">
      <c r="V634782" s="7"/>
      <c r="W634782" s="7"/>
    </row>
    <row r="634952" spans="22:23">
      <c r="V634952" s="7"/>
      <c r="W634952" s="7"/>
    </row>
    <row r="635122" spans="22:23">
      <c r="V635122" s="7"/>
      <c r="W635122" s="7"/>
    </row>
    <row r="635292" spans="22:23">
      <c r="V635292" s="7"/>
      <c r="W635292" s="7"/>
    </row>
    <row r="635462" spans="22:23">
      <c r="V635462" s="7"/>
      <c r="W635462" s="7"/>
    </row>
    <row r="635632" spans="22:23">
      <c r="V635632" s="7"/>
      <c r="W635632" s="7"/>
    </row>
    <row r="635802" spans="22:23">
      <c r="V635802" s="7"/>
      <c r="W635802" s="7"/>
    </row>
    <row r="635972" spans="22:23">
      <c r="V635972" s="7"/>
      <c r="W635972" s="7"/>
    </row>
    <row r="636142" spans="22:23">
      <c r="V636142" s="7"/>
      <c r="W636142" s="7"/>
    </row>
    <row r="636312" spans="22:23">
      <c r="V636312" s="7"/>
      <c r="W636312" s="7"/>
    </row>
    <row r="636482" spans="22:23">
      <c r="V636482" s="7"/>
      <c r="W636482" s="7"/>
    </row>
    <row r="636652" spans="22:23">
      <c r="V636652" s="7"/>
      <c r="W636652" s="7"/>
    </row>
    <row r="636822" spans="22:23">
      <c r="V636822" s="7"/>
      <c r="W636822" s="7"/>
    </row>
    <row r="636992" spans="22:23">
      <c r="V636992" s="7"/>
      <c r="W636992" s="7"/>
    </row>
    <row r="637162" spans="22:23">
      <c r="V637162" s="7"/>
      <c r="W637162" s="7"/>
    </row>
    <row r="637332" spans="22:23">
      <c r="V637332" s="7"/>
      <c r="W637332" s="7"/>
    </row>
    <row r="637502" spans="22:23">
      <c r="V637502" s="7"/>
      <c r="W637502" s="7"/>
    </row>
    <row r="637672" spans="22:23">
      <c r="V637672" s="7"/>
      <c r="W637672" s="7"/>
    </row>
    <row r="637842" spans="22:23">
      <c r="V637842" s="7"/>
      <c r="W637842" s="7"/>
    </row>
    <row r="638012" spans="22:23">
      <c r="V638012" s="7"/>
      <c r="W638012" s="7"/>
    </row>
    <row r="638182" spans="22:23">
      <c r="V638182" s="7"/>
      <c r="W638182" s="7"/>
    </row>
    <row r="638352" spans="22:23">
      <c r="V638352" s="7"/>
      <c r="W638352" s="7"/>
    </row>
    <row r="638522" spans="22:23">
      <c r="V638522" s="7"/>
      <c r="W638522" s="7"/>
    </row>
    <row r="638692" spans="22:23">
      <c r="V638692" s="7"/>
      <c r="W638692" s="7"/>
    </row>
    <row r="638862" spans="22:23">
      <c r="V638862" s="7"/>
      <c r="W638862" s="7"/>
    </row>
    <row r="639032" spans="22:23">
      <c r="V639032" s="7"/>
      <c r="W639032" s="7"/>
    </row>
    <row r="639202" spans="22:23">
      <c r="V639202" s="7"/>
      <c r="W639202" s="7"/>
    </row>
    <row r="639372" spans="22:23">
      <c r="V639372" s="7"/>
      <c r="W639372" s="7"/>
    </row>
    <row r="639542" spans="22:23">
      <c r="V639542" s="7"/>
      <c r="W639542" s="7"/>
    </row>
    <row r="639712" spans="22:23">
      <c r="V639712" s="7"/>
      <c r="W639712" s="7"/>
    </row>
    <row r="639882" spans="22:23">
      <c r="V639882" s="7"/>
      <c r="W639882" s="7"/>
    </row>
    <row r="640052" spans="22:23">
      <c r="V640052" s="7"/>
      <c r="W640052" s="7"/>
    </row>
    <row r="640222" spans="22:23">
      <c r="V640222" s="7"/>
      <c r="W640222" s="7"/>
    </row>
    <row r="640392" spans="22:23">
      <c r="V640392" s="7"/>
      <c r="W640392" s="7"/>
    </row>
    <row r="640562" spans="22:23">
      <c r="V640562" s="7"/>
      <c r="W640562" s="7"/>
    </row>
    <row r="640732" spans="22:23">
      <c r="V640732" s="7"/>
      <c r="W640732" s="7"/>
    </row>
    <row r="640902" spans="22:23">
      <c r="V640902" s="7"/>
      <c r="W640902" s="7"/>
    </row>
    <row r="641072" spans="22:23">
      <c r="V641072" s="7"/>
      <c r="W641072" s="7"/>
    </row>
    <row r="641242" spans="22:23">
      <c r="V641242" s="7"/>
      <c r="W641242" s="7"/>
    </row>
    <row r="641412" spans="22:23">
      <c r="V641412" s="7"/>
      <c r="W641412" s="7"/>
    </row>
    <row r="641582" spans="22:23">
      <c r="V641582" s="7"/>
      <c r="W641582" s="7"/>
    </row>
    <row r="641752" spans="22:23">
      <c r="V641752" s="7"/>
      <c r="W641752" s="7"/>
    </row>
    <row r="641922" spans="22:23">
      <c r="V641922" s="7"/>
      <c r="W641922" s="7"/>
    </row>
    <row r="642092" spans="22:23">
      <c r="V642092" s="7"/>
      <c r="W642092" s="7"/>
    </row>
    <row r="642262" spans="22:23">
      <c r="V642262" s="7"/>
      <c r="W642262" s="7"/>
    </row>
    <row r="642432" spans="22:23">
      <c r="V642432" s="7"/>
      <c r="W642432" s="7"/>
    </row>
    <row r="642602" spans="22:23">
      <c r="V642602" s="7"/>
      <c r="W642602" s="7"/>
    </row>
    <row r="642772" spans="22:23">
      <c r="V642772" s="7"/>
      <c r="W642772" s="7"/>
    </row>
    <row r="642942" spans="22:23">
      <c r="V642942" s="7"/>
      <c r="W642942" s="7"/>
    </row>
    <row r="643112" spans="22:23">
      <c r="V643112" s="7"/>
      <c r="W643112" s="7"/>
    </row>
    <row r="643282" spans="22:23">
      <c r="V643282" s="7"/>
      <c r="W643282" s="7"/>
    </row>
    <row r="643452" spans="22:23">
      <c r="V643452" s="7"/>
      <c r="W643452" s="7"/>
    </row>
    <row r="643622" spans="22:23">
      <c r="V643622" s="7"/>
      <c r="W643622" s="7"/>
    </row>
    <row r="643792" spans="22:23">
      <c r="V643792" s="7"/>
      <c r="W643792" s="7"/>
    </row>
    <row r="643962" spans="22:23">
      <c r="V643962" s="7"/>
      <c r="W643962" s="7"/>
    </row>
    <row r="644132" spans="22:23">
      <c r="V644132" s="7"/>
      <c r="W644132" s="7"/>
    </row>
    <row r="644302" spans="22:23">
      <c r="V644302" s="7"/>
      <c r="W644302" s="7"/>
    </row>
    <row r="644472" spans="22:23">
      <c r="V644472" s="7"/>
      <c r="W644472" s="7"/>
    </row>
    <row r="644642" spans="22:23">
      <c r="V644642" s="7"/>
      <c r="W644642" s="7"/>
    </row>
    <row r="644812" spans="22:23">
      <c r="V644812" s="7"/>
      <c r="W644812" s="7"/>
    </row>
    <row r="644982" spans="22:23">
      <c r="V644982" s="7"/>
      <c r="W644982" s="7"/>
    </row>
    <row r="645152" spans="22:23">
      <c r="V645152" s="7"/>
      <c r="W645152" s="7"/>
    </row>
    <row r="645322" spans="22:23">
      <c r="V645322" s="7"/>
      <c r="W645322" s="7"/>
    </row>
    <row r="645492" spans="22:23">
      <c r="V645492" s="7"/>
      <c r="W645492" s="7"/>
    </row>
    <row r="645662" spans="22:23">
      <c r="V645662" s="7"/>
      <c r="W645662" s="7"/>
    </row>
    <row r="645832" spans="22:23">
      <c r="V645832" s="7"/>
      <c r="W645832" s="7"/>
    </row>
    <row r="646002" spans="22:23">
      <c r="V646002" s="7"/>
      <c r="W646002" s="7"/>
    </row>
    <row r="646172" spans="22:23">
      <c r="V646172" s="7"/>
      <c r="W646172" s="7"/>
    </row>
    <row r="646342" spans="22:23">
      <c r="V646342" s="7"/>
      <c r="W646342" s="7"/>
    </row>
    <row r="646512" spans="22:23">
      <c r="V646512" s="7"/>
      <c r="W646512" s="7"/>
    </row>
    <row r="646682" spans="22:23">
      <c r="V646682" s="7"/>
      <c r="W646682" s="7"/>
    </row>
    <row r="646852" spans="22:23">
      <c r="V646852" s="7"/>
      <c r="W646852" s="7"/>
    </row>
    <row r="647022" spans="22:23">
      <c r="V647022" s="7"/>
      <c r="W647022" s="7"/>
    </row>
    <row r="647192" spans="22:23">
      <c r="V647192" s="7"/>
      <c r="W647192" s="7"/>
    </row>
    <row r="647362" spans="22:23">
      <c r="V647362" s="7"/>
      <c r="W647362" s="7"/>
    </row>
    <row r="647532" spans="22:23">
      <c r="V647532" s="7"/>
      <c r="W647532" s="7"/>
    </row>
    <row r="647702" spans="22:23">
      <c r="V647702" s="7"/>
      <c r="W647702" s="7"/>
    </row>
    <row r="647872" spans="22:23">
      <c r="V647872" s="7"/>
      <c r="W647872" s="7"/>
    </row>
    <row r="648042" spans="22:23">
      <c r="V648042" s="7"/>
      <c r="W648042" s="7"/>
    </row>
    <row r="648212" spans="22:23">
      <c r="V648212" s="7"/>
      <c r="W648212" s="7"/>
    </row>
    <row r="648382" spans="22:23">
      <c r="V648382" s="7"/>
      <c r="W648382" s="7"/>
    </row>
    <row r="648552" spans="22:23">
      <c r="V648552" s="7"/>
      <c r="W648552" s="7"/>
    </row>
    <row r="648722" spans="22:23">
      <c r="V648722" s="7"/>
      <c r="W648722" s="7"/>
    </row>
    <row r="648892" spans="22:23">
      <c r="V648892" s="7"/>
      <c r="W648892" s="7"/>
    </row>
    <row r="649062" spans="22:23">
      <c r="V649062" s="7"/>
      <c r="W649062" s="7"/>
    </row>
    <row r="649232" spans="22:23">
      <c r="V649232" s="7"/>
      <c r="W649232" s="7"/>
    </row>
    <row r="649402" spans="22:23">
      <c r="V649402" s="7"/>
      <c r="W649402" s="7"/>
    </row>
    <row r="649572" spans="22:23">
      <c r="V649572" s="7"/>
      <c r="W649572" s="7"/>
    </row>
    <row r="649742" spans="22:23">
      <c r="V649742" s="7"/>
      <c r="W649742" s="7"/>
    </row>
    <row r="649912" spans="22:23">
      <c r="V649912" s="7"/>
      <c r="W649912" s="7"/>
    </row>
    <row r="650082" spans="22:23">
      <c r="V650082" s="7"/>
      <c r="W650082" s="7"/>
    </row>
    <row r="650252" spans="22:23">
      <c r="V650252" s="7"/>
      <c r="W650252" s="7"/>
    </row>
    <row r="650422" spans="22:23">
      <c r="V650422" s="7"/>
      <c r="W650422" s="7"/>
    </row>
    <row r="650592" spans="22:23">
      <c r="V650592" s="7"/>
      <c r="W650592" s="7"/>
    </row>
    <row r="650762" spans="22:23">
      <c r="V650762" s="7"/>
      <c r="W650762" s="7"/>
    </row>
    <row r="650932" spans="22:23">
      <c r="V650932" s="7"/>
      <c r="W650932" s="7"/>
    </row>
    <row r="651102" spans="22:23">
      <c r="V651102" s="7"/>
      <c r="W651102" s="7"/>
    </row>
    <row r="651272" spans="22:23">
      <c r="V651272" s="7"/>
      <c r="W651272" s="7"/>
    </row>
    <row r="651442" spans="22:23">
      <c r="V651442" s="7"/>
      <c r="W651442" s="7"/>
    </row>
    <row r="651612" spans="22:23">
      <c r="V651612" s="7"/>
      <c r="W651612" s="7"/>
    </row>
    <row r="651782" spans="22:23">
      <c r="V651782" s="7"/>
      <c r="W651782" s="7"/>
    </row>
    <row r="651952" spans="22:23">
      <c r="V651952" s="7"/>
      <c r="W651952" s="7"/>
    </row>
    <row r="652122" spans="22:23">
      <c r="V652122" s="7"/>
      <c r="W652122" s="7"/>
    </row>
    <row r="652292" spans="22:23">
      <c r="V652292" s="7"/>
      <c r="W652292" s="7"/>
    </row>
    <row r="652462" spans="22:23">
      <c r="V652462" s="7"/>
      <c r="W652462" s="7"/>
    </row>
    <row r="652632" spans="22:23">
      <c r="V652632" s="7"/>
      <c r="W652632" s="7"/>
    </row>
    <row r="652802" spans="22:23">
      <c r="V652802" s="7"/>
      <c r="W652802" s="7"/>
    </row>
    <row r="652972" spans="22:23">
      <c r="V652972" s="7"/>
      <c r="W652972" s="7"/>
    </row>
    <row r="653142" spans="22:23">
      <c r="V653142" s="7"/>
      <c r="W653142" s="7"/>
    </row>
    <row r="653312" spans="22:23">
      <c r="V653312" s="7"/>
      <c r="W653312" s="7"/>
    </row>
    <row r="653482" spans="22:23">
      <c r="V653482" s="7"/>
      <c r="W653482" s="7"/>
    </row>
    <row r="653652" spans="22:23">
      <c r="V653652" s="7"/>
      <c r="W653652" s="7"/>
    </row>
    <row r="653822" spans="22:23">
      <c r="V653822" s="7"/>
      <c r="W653822" s="7"/>
    </row>
    <row r="653992" spans="22:23">
      <c r="V653992" s="7"/>
      <c r="W653992" s="7"/>
    </row>
    <row r="654162" spans="22:23">
      <c r="V654162" s="7"/>
      <c r="W654162" s="7"/>
    </row>
    <row r="654332" spans="22:23">
      <c r="V654332" s="7"/>
      <c r="W654332" s="7"/>
    </row>
    <row r="654502" spans="22:23">
      <c r="V654502" s="7"/>
      <c r="W654502" s="7"/>
    </row>
    <row r="654672" spans="22:23">
      <c r="V654672" s="7"/>
      <c r="W654672" s="7"/>
    </row>
    <row r="654842" spans="22:23">
      <c r="V654842" s="7"/>
      <c r="W654842" s="7"/>
    </row>
    <row r="655012" spans="22:23">
      <c r="V655012" s="7"/>
      <c r="W655012" s="7"/>
    </row>
    <row r="655182" spans="22:23">
      <c r="V655182" s="7"/>
      <c r="W655182" s="7"/>
    </row>
    <row r="655352" spans="22:23">
      <c r="V655352" s="7"/>
      <c r="W655352" s="7"/>
    </row>
    <row r="655522" spans="22:23">
      <c r="V655522" s="7"/>
      <c r="W655522" s="7"/>
    </row>
    <row r="655692" spans="22:23">
      <c r="V655692" s="7"/>
      <c r="W655692" s="7"/>
    </row>
    <row r="655862" spans="22:23">
      <c r="V655862" s="7"/>
      <c r="W655862" s="7"/>
    </row>
    <row r="656032" spans="22:23">
      <c r="V656032" s="7"/>
      <c r="W656032" s="7"/>
    </row>
    <row r="656202" spans="22:23">
      <c r="V656202" s="7"/>
      <c r="W656202" s="7"/>
    </row>
    <row r="656372" spans="22:23">
      <c r="V656372" s="7"/>
      <c r="W656372" s="7"/>
    </row>
    <row r="656542" spans="22:23">
      <c r="V656542" s="7"/>
      <c r="W656542" s="7"/>
    </row>
    <row r="656712" spans="22:23">
      <c r="V656712" s="7"/>
      <c r="W656712" s="7"/>
    </row>
    <row r="656882" spans="22:23">
      <c r="V656882" s="7"/>
      <c r="W656882" s="7"/>
    </row>
    <row r="657052" spans="22:23">
      <c r="V657052" s="7"/>
      <c r="W657052" s="7"/>
    </row>
    <row r="657222" spans="22:23">
      <c r="V657222" s="7"/>
      <c r="W657222" s="7"/>
    </row>
    <row r="657392" spans="22:23">
      <c r="V657392" s="7"/>
      <c r="W657392" s="7"/>
    </row>
    <row r="657562" spans="22:23">
      <c r="V657562" s="7"/>
      <c r="W657562" s="7"/>
    </row>
    <row r="657732" spans="22:23">
      <c r="V657732" s="7"/>
      <c r="W657732" s="7"/>
    </row>
    <row r="657902" spans="22:23">
      <c r="V657902" s="7"/>
      <c r="W657902" s="7"/>
    </row>
    <row r="658072" spans="22:23">
      <c r="V658072" s="7"/>
      <c r="W658072" s="7"/>
    </row>
    <row r="658242" spans="22:23">
      <c r="V658242" s="7"/>
      <c r="W658242" s="7"/>
    </row>
    <row r="658412" spans="22:23">
      <c r="V658412" s="7"/>
      <c r="W658412" s="7"/>
    </row>
    <row r="658582" spans="22:23">
      <c r="V658582" s="7"/>
      <c r="W658582" s="7"/>
    </row>
    <row r="658752" spans="22:23">
      <c r="V658752" s="7"/>
      <c r="W658752" s="7"/>
    </row>
    <row r="658922" spans="22:23">
      <c r="V658922" s="7"/>
      <c r="W658922" s="7"/>
    </row>
    <row r="659092" spans="22:23">
      <c r="V659092" s="7"/>
      <c r="W659092" s="7"/>
    </row>
    <row r="659262" spans="22:23">
      <c r="V659262" s="7"/>
      <c r="W659262" s="7"/>
    </row>
    <row r="659432" spans="22:23">
      <c r="V659432" s="7"/>
      <c r="W659432" s="7"/>
    </row>
    <row r="659602" spans="22:23">
      <c r="V659602" s="7"/>
      <c r="W659602" s="7"/>
    </row>
    <row r="659772" spans="22:23">
      <c r="V659772" s="7"/>
      <c r="W659772" s="7"/>
    </row>
    <row r="659942" spans="22:23">
      <c r="V659942" s="7"/>
      <c r="W659942" s="7"/>
    </row>
    <row r="660112" spans="22:23">
      <c r="V660112" s="7"/>
      <c r="W660112" s="7"/>
    </row>
    <row r="660282" spans="22:23">
      <c r="V660282" s="7"/>
      <c r="W660282" s="7"/>
    </row>
    <row r="660452" spans="22:23">
      <c r="V660452" s="7"/>
      <c r="W660452" s="7"/>
    </row>
    <row r="660622" spans="22:23">
      <c r="V660622" s="7"/>
      <c r="W660622" s="7"/>
    </row>
    <row r="660792" spans="22:23">
      <c r="V660792" s="7"/>
      <c r="W660792" s="7"/>
    </row>
    <row r="660962" spans="22:23">
      <c r="V660962" s="7"/>
      <c r="W660962" s="7"/>
    </row>
    <row r="661132" spans="22:23">
      <c r="V661132" s="7"/>
      <c r="W661132" s="7"/>
    </row>
    <row r="661302" spans="22:23">
      <c r="V661302" s="7"/>
      <c r="W661302" s="7"/>
    </row>
    <row r="661472" spans="22:23">
      <c r="V661472" s="7"/>
      <c r="W661472" s="7"/>
    </row>
    <row r="661642" spans="22:23">
      <c r="V661642" s="7"/>
      <c r="W661642" s="7"/>
    </row>
    <row r="661812" spans="22:23">
      <c r="V661812" s="7"/>
      <c r="W661812" s="7"/>
    </row>
    <row r="661982" spans="22:23">
      <c r="V661982" s="7"/>
      <c r="W661982" s="7"/>
    </row>
    <row r="662152" spans="22:23">
      <c r="V662152" s="7"/>
      <c r="W662152" s="7"/>
    </row>
    <row r="662322" spans="22:23">
      <c r="V662322" s="7"/>
      <c r="W662322" s="7"/>
    </row>
    <row r="662492" spans="22:23">
      <c r="V662492" s="7"/>
      <c r="W662492" s="7"/>
    </row>
    <row r="662662" spans="22:23">
      <c r="V662662" s="7"/>
      <c r="W662662" s="7"/>
    </row>
    <row r="662832" spans="22:23">
      <c r="V662832" s="7"/>
      <c r="W662832" s="7"/>
    </row>
    <row r="663002" spans="22:23">
      <c r="V663002" s="7"/>
      <c r="W663002" s="7"/>
    </row>
    <row r="663172" spans="22:23">
      <c r="V663172" s="7"/>
      <c r="W663172" s="7"/>
    </row>
    <row r="663342" spans="22:23">
      <c r="V663342" s="7"/>
      <c r="W663342" s="7"/>
    </row>
    <row r="663512" spans="22:23">
      <c r="V663512" s="7"/>
      <c r="W663512" s="7"/>
    </row>
    <row r="663682" spans="22:23">
      <c r="V663682" s="7"/>
      <c r="W663682" s="7"/>
    </row>
    <row r="663852" spans="22:23">
      <c r="V663852" s="7"/>
      <c r="W663852" s="7"/>
    </row>
    <row r="664022" spans="22:23">
      <c r="V664022" s="7"/>
      <c r="W664022" s="7"/>
    </row>
    <row r="664192" spans="22:23">
      <c r="V664192" s="7"/>
      <c r="W664192" s="7"/>
    </row>
    <row r="664362" spans="22:23">
      <c r="V664362" s="7"/>
      <c r="W664362" s="7"/>
    </row>
    <row r="664532" spans="22:23">
      <c r="V664532" s="7"/>
      <c r="W664532" s="7"/>
    </row>
    <row r="664702" spans="22:23">
      <c r="V664702" s="7"/>
      <c r="W664702" s="7"/>
    </row>
    <row r="664872" spans="22:23">
      <c r="V664872" s="7"/>
      <c r="W664872" s="7"/>
    </row>
    <row r="665042" spans="22:23">
      <c r="V665042" s="7"/>
      <c r="W665042" s="7"/>
    </row>
    <row r="665212" spans="22:23">
      <c r="V665212" s="7"/>
      <c r="W665212" s="7"/>
    </row>
    <row r="665382" spans="22:23">
      <c r="V665382" s="7"/>
      <c r="W665382" s="7"/>
    </row>
    <row r="665552" spans="22:23">
      <c r="V665552" s="7"/>
      <c r="W665552" s="7"/>
    </row>
    <row r="665722" spans="22:23">
      <c r="V665722" s="7"/>
      <c r="W665722" s="7"/>
    </row>
    <row r="665892" spans="22:23">
      <c r="V665892" s="7"/>
      <c r="W665892" s="7"/>
    </row>
    <row r="666062" spans="22:23">
      <c r="V666062" s="7"/>
      <c r="W666062" s="7"/>
    </row>
    <row r="666232" spans="22:23">
      <c r="V666232" s="7"/>
      <c r="W666232" s="7"/>
    </row>
    <row r="666402" spans="22:23">
      <c r="V666402" s="7"/>
      <c r="W666402" s="7"/>
    </row>
    <row r="666572" spans="22:23">
      <c r="V666572" s="7"/>
      <c r="W666572" s="7"/>
    </row>
    <row r="666742" spans="22:23">
      <c r="V666742" s="7"/>
      <c r="W666742" s="7"/>
    </row>
    <row r="666912" spans="22:23">
      <c r="V666912" s="7"/>
      <c r="W666912" s="7"/>
    </row>
    <row r="667082" spans="22:23">
      <c r="V667082" s="7"/>
      <c r="W667082" s="7"/>
    </row>
    <row r="667252" spans="22:23">
      <c r="V667252" s="7"/>
      <c r="W667252" s="7"/>
    </row>
    <row r="667422" spans="22:23">
      <c r="V667422" s="7"/>
      <c r="W667422" s="7"/>
    </row>
    <row r="667592" spans="22:23">
      <c r="V667592" s="7"/>
      <c r="W667592" s="7"/>
    </row>
    <row r="667762" spans="22:23">
      <c r="V667762" s="7"/>
      <c r="W667762" s="7"/>
    </row>
    <row r="667932" spans="22:23">
      <c r="V667932" s="7"/>
      <c r="W667932" s="7"/>
    </row>
    <row r="668102" spans="22:23">
      <c r="V668102" s="7"/>
      <c r="W668102" s="7"/>
    </row>
    <row r="668272" spans="22:23">
      <c r="V668272" s="7"/>
      <c r="W668272" s="7"/>
    </row>
    <row r="668442" spans="22:23">
      <c r="V668442" s="7"/>
      <c r="W668442" s="7"/>
    </row>
    <row r="668612" spans="22:23">
      <c r="V668612" s="7"/>
      <c r="W668612" s="7"/>
    </row>
    <row r="668782" spans="22:23">
      <c r="V668782" s="7"/>
      <c r="W668782" s="7"/>
    </row>
    <row r="668952" spans="22:23">
      <c r="V668952" s="7"/>
      <c r="W668952" s="7"/>
    </row>
    <row r="669122" spans="22:23">
      <c r="V669122" s="7"/>
      <c r="W669122" s="7"/>
    </row>
    <row r="669292" spans="22:23">
      <c r="V669292" s="7"/>
      <c r="W669292" s="7"/>
    </row>
    <row r="669462" spans="22:23">
      <c r="V669462" s="7"/>
      <c r="W669462" s="7"/>
    </row>
    <row r="669632" spans="22:23">
      <c r="V669632" s="7"/>
      <c r="W669632" s="7"/>
    </row>
    <row r="669802" spans="22:23">
      <c r="V669802" s="7"/>
      <c r="W669802" s="7"/>
    </row>
    <row r="669972" spans="22:23">
      <c r="V669972" s="7"/>
      <c r="W669972" s="7"/>
    </row>
    <row r="670142" spans="22:23">
      <c r="V670142" s="7"/>
      <c r="W670142" s="7"/>
    </row>
    <row r="670312" spans="22:23">
      <c r="V670312" s="7"/>
      <c r="W670312" s="7"/>
    </row>
    <row r="670482" spans="22:23">
      <c r="V670482" s="7"/>
      <c r="W670482" s="7"/>
    </row>
    <row r="670652" spans="22:23">
      <c r="V670652" s="7"/>
      <c r="W670652" s="7"/>
    </row>
    <row r="670822" spans="22:23">
      <c r="V670822" s="7"/>
      <c r="W670822" s="7"/>
    </row>
    <row r="670992" spans="22:23">
      <c r="V670992" s="7"/>
      <c r="W670992" s="7"/>
    </row>
    <row r="671162" spans="22:23">
      <c r="V671162" s="7"/>
      <c r="W671162" s="7"/>
    </row>
    <row r="671332" spans="22:23">
      <c r="V671332" s="7"/>
      <c r="W671332" s="7"/>
    </row>
    <row r="671502" spans="22:23">
      <c r="V671502" s="7"/>
      <c r="W671502" s="7"/>
    </row>
    <row r="671672" spans="22:23">
      <c r="V671672" s="7"/>
      <c r="W671672" s="7"/>
    </row>
    <row r="671842" spans="22:23">
      <c r="V671842" s="7"/>
      <c r="W671842" s="7"/>
    </row>
    <row r="672012" spans="22:23">
      <c r="V672012" s="7"/>
      <c r="W672012" s="7"/>
    </row>
    <row r="672182" spans="22:23">
      <c r="V672182" s="7"/>
      <c r="W672182" s="7"/>
    </row>
    <row r="672352" spans="22:23">
      <c r="V672352" s="7"/>
      <c r="W672352" s="7"/>
    </row>
    <row r="672522" spans="22:23">
      <c r="V672522" s="7"/>
      <c r="W672522" s="7"/>
    </row>
    <row r="672692" spans="22:23">
      <c r="V672692" s="7"/>
      <c r="W672692" s="7"/>
    </row>
    <row r="672862" spans="22:23">
      <c r="V672862" s="7"/>
      <c r="W672862" s="7"/>
    </row>
    <row r="673032" spans="22:23">
      <c r="V673032" s="7"/>
      <c r="W673032" s="7"/>
    </row>
    <row r="673202" spans="22:23">
      <c r="V673202" s="7"/>
      <c r="W673202" s="7"/>
    </row>
    <row r="673372" spans="22:23">
      <c r="V673372" s="7"/>
      <c r="W673372" s="7"/>
    </row>
    <row r="673542" spans="22:23">
      <c r="V673542" s="7"/>
      <c r="W673542" s="7"/>
    </row>
    <row r="673712" spans="22:23">
      <c r="V673712" s="7"/>
      <c r="W673712" s="7"/>
    </row>
    <row r="673882" spans="22:23">
      <c r="V673882" s="7"/>
      <c r="W673882" s="7"/>
    </row>
    <row r="674052" spans="22:23">
      <c r="V674052" s="7"/>
      <c r="W674052" s="7"/>
    </row>
    <row r="674222" spans="22:23">
      <c r="V674222" s="7"/>
      <c r="W674222" s="7"/>
    </row>
    <row r="674392" spans="22:23">
      <c r="V674392" s="7"/>
      <c r="W674392" s="7"/>
    </row>
    <row r="674562" spans="22:23">
      <c r="V674562" s="7"/>
      <c r="W674562" s="7"/>
    </row>
    <row r="674732" spans="22:23">
      <c r="V674732" s="7"/>
      <c r="W674732" s="7"/>
    </row>
    <row r="674902" spans="22:23">
      <c r="V674902" s="7"/>
      <c r="W674902" s="7"/>
    </row>
    <row r="675072" spans="22:23">
      <c r="V675072" s="7"/>
      <c r="W675072" s="7"/>
    </row>
    <row r="675242" spans="22:23">
      <c r="V675242" s="7"/>
      <c r="W675242" s="7"/>
    </row>
    <row r="675412" spans="22:23">
      <c r="V675412" s="7"/>
      <c r="W675412" s="7"/>
    </row>
    <row r="675582" spans="22:23">
      <c r="V675582" s="7"/>
      <c r="W675582" s="7"/>
    </row>
    <row r="675752" spans="22:23">
      <c r="V675752" s="7"/>
      <c r="W675752" s="7"/>
    </row>
    <row r="675922" spans="22:23">
      <c r="V675922" s="7"/>
      <c r="W675922" s="7"/>
    </row>
    <row r="676092" spans="22:23">
      <c r="V676092" s="7"/>
      <c r="W676092" s="7"/>
    </row>
    <row r="676262" spans="22:23">
      <c r="V676262" s="7"/>
      <c r="W676262" s="7"/>
    </row>
    <row r="676432" spans="22:23">
      <c r="V676432" s="7"/>
      <c r="W676432" s="7"/>
    </row>
    <row r="676602" spans="22:23">
      <c r="V676602" s="7"/>
      <c r="W676602" s="7"/>
    </row>
    <row r="676772" spans="22:23">
      <c r="V676772" s="7"/>
      <c r="W676772" s="7"/>
    </row>
    <row r="676942" spans="22:23">
      <c r="V676942" s="7"/>
      <c r="W676942" s="7"/>
    </row>
    <row r="677112" spans="22:23">
      <c r="V677112" s="7"/>
      <c r="W677112" s="7"/>
    </row>
    <row r="677282" spans="22:23">
      <c r="V677282" s="7"/>
      <c r="W677282" s="7"/>
    </row>
    <row r="677452" spans="22:23">
      <c r="V677452" s="7"/>
      <c r="W677452" s="7"/>
    </row>
    <row r="677622" spans="22:23">
      <c r="V677622" s="7"/>
      <c r="W677622" s="7"/>
    </row>
    <row r="677792" spans="22:23">
      <c r="V677792" s="7"/>
      <c r="W677792" s="7"/>
    </row>
    <row r="677962" spans="22:23">
      <c r="V677962" s="7"/>
      <c r="W677962" s="7"/>
    </row>
    <row r="678132" spans="22:23">
      <c r="V678132" s="7"/>
      <c r="W678132" s="7"/>
    </row>
    <row r="678302" spans="22:23">
      <c r="V678302" s="7"/>
      <c r="W678302" s="7"/>
    </row>
    <row r="678472" spans="22:23">
      <c r="V678472" s="7"/>
      <c r="W678472" s="7"/>
    </row>
    <row r="678642" spans="22:23">
      <c r="V678642" s="7"/>
      <c r="W678642" s="7"/>
    </row>
    <row r="678812" spans="22:23">
      <c r="V678812" s="7"/>
      <c r="W678812" s="7"/>
    </row>
    <row r="678982" spans="22:23">
      <c r="V678982" s="7"/>
      <c r="W678982" s="7"/>
    </row>
    <row r="679152" spans="22:23">
      <c r="V679152" s="7"/>
      <c r="W679152" s="7"/>
    </row>
    <row r="679322" spans="22:23">
      <c r="V679322" s="7"/>
      <c r="W679322" s="7"/>
    </row>
    <row r="679492" spans="22:23">
      <c r="V679492" s="7"/>
      <c r="W679492" s="7"/>
    </row>
    <row r="679662" spans="22:23">
      <c r="V679662" s="7"/>
      <c r="W679662" s="7"/>
    </row>
    <row r="679832" spans="22:23">
      <c r="V679832" s="7"/>
      <c r="W679832" s="7"/>
    </row>
    <row r="680002" spans="22:23">
      <c r="V680002" s="7"/>
      <c r="W680002" s="7"/>
    </row>
    <row r="680172" spans="22:23">
      <c r="V680172" s="7"/>
      <c r="W680172" s="7"/>
    </row>
    <row r="680342" spans="22:23">
      <c r="V680342" s="7"/>
      <c r="W680342" s="7"/>
    </row>
    <row r="680512" spans="22:23">
      <c r="V680512" s="7"/>
      <c r="W680512" s="7"/>
    </row>
    <row r="680682" spans="22:23">
      <c r="V680682" s="7"/>
      <c r="W680682" s="7"/>
    </row>
    <row r="680852" spans="22:23">
      <c r="V680852" s="7"/>
      <c r="W680852" s="7"/>
    </row>
    <row r="681022" spans="22:23">
      <c r="V681022" s="7"/>
      <c r="W681022" s="7"/>
    </row>
    <row r="681192" spans="22:23">
      <c r="V681192" s="7"/>
      <c r="W681192" s="7"/>
    </row>
    <row r="681362" spans="22:23">
      <c r="V681362" s="7"/>
      <c r="W681362" s="7"/>
    </row>
    <row r="681532" spans="22:23">
      <c r="V681532" s="7"/>
      <c r="W681532" s="7"/>
    </row>
    <row r="681702" spans="22:23">
      <c r="V681702" s="7"/>
      <c r="W681702" s="7"/>
    </row>
    <row r="681872" spans="22:23">
      <c r="V681872" s="7"/>
      <c r="W681872" s="7"/>
    </row>
    <row r="682042" spans="22:23">
      <c r="V682042" s="7"/>
      <c r="W682042" s="7"/>
    </row>
    <row r="682212" spans="22:23">
      <c r="V682212" s="7"/>
      <c r="W682212" s="7"/>
    </row>
    <row r="682382" spans="22:23">
      <c r="V682382" s="7"/>
      <c r="W682382" s="7"/>
    </row>
    <row r="682552" spans="22:23">
      <c r="V682552" s="7"/>
      <c r="W682552" s="7"/>
    </row>
    <row r="682722" spans="22:23">
      <c r="V682722" s="7"/>
      <c r="W682722" s="7"/>
    </row>
    <row r="682892" spans="22:23">
      <c r="V682892" s="7"/>
      <c r="W682892" s="7"/>
    </row>
    <row r="683062" spans="22:23">
      <c r="V683062" s="7"/>
      <c r="W683062" s="7"/>
    </row>
    <row r="683232" spans="22:23">
      <c r="V683232" s="7"/>
      <c r="W683232" s="7"/>
    </row>
    <row r="683402" spans="22:23">
      <c r="V683402" s="7"/>
      <c r="W683402" s="7"/>
    </row>
    <row r="683572" spans="22:23">
      <c r="V683572" s="7"/>
      <c r="W683572" s="7"/>
    </row>
    <row r="683742" spans="22:23">
      <c r="V683742" s="7"/>
      <c r="W683742" s="7"/>
    </row>
    <row r="683912" spans="22:23">
      <c r="V683912" s="7"/>
      <c r="W683912" s="7"/>
    </row>
    <row r="684082" spans="22:23">
      <c r="V684082" s="7"/>
      <c r="W684082" s="7"/>
    </row>
    <row r="684252" spans="22:23">
      <c r="V684252" s="7"/>
      <c r="W684252" s="7"/>
    </row>
    <row r="684422" spans="22:23">
      <c r="V684422" s="7"/>
      <c r="W684422" s="7"/>
    </row>
    <row r="684592" spans="22:23">
      <c r="V684592" s="7"/>
      <c r="W684592" s="7"/>
    </row>
    <row r="684762" spans="22:23">
      <c r="V684762" s="7"/>
      <c r="W684762" s="7"/>
    </row>
    <row r="684932" spans="22:23">
      <c r="V684932" s="7"/>
      <c r="W684932" s="7"/>
    </row>
    <row r="685102" spans="22:23">
      <c r="V685102" s="7"/>
      <c r="W685102" s="7"/>
    </row>
    <row r="685272" spans="22:23">
      <c r="V685272" s="7"/>
      <c r="W685272" s="7"/>
    </row>
    <row r="685442" spans="22:23">
      <c r="V685442" s="7"/>
      <c r="W685442" s="7"/>
    </row>
    <row r="685612" spans="22:23">
      <c r="V685612" s="7"/>
      <c r="W685612" s="7"/>
    </row>
    <row r="685782" spans="22:23">
      <c r="V685782" s="7"/>
      <c r="W685782" s="7"/>
    </row>
    <row r="685952" spans="22:23">
      <c r="V685952" s="7"/>
      <c r="W685952" s="7"/>
    </row>
    <row r="686122" spans="22:23">
      <c r="V686122" s="7"/>
      <c r="W686122" s="7"/>
    </row>
    <row r="686292" spans="22:23">
      <c r="V686292" s="7"/>
      <c r="W686292" s="7"/>
    </row>
    <row r="686462" spans="22:23">
      <c r="V686462" s="7"/>
      <c r="W686462" s="7"/>
    </row>
    <row r="686632" spans="22:23">
      <c r="V686632" s="7"/>
      <c r="W686632" s="7"/>
    </row>
    <row r="686802" spans="22:23">
      <c r="V686802" s="7"/>
      <c r="W686802" s="7"/>
    </row>
    <row r="686972" spans="22:23">
      <c r="V686972" s="7"/>
      <c r="W686972" s="7"/>
    </row>
    <row r="687142" spans="22:23">
      <c r="V687142" s="7"/>
      <c r="W687142" s="7"/>
    </row>
    <row r="687312" spans="22:23">
      <c r="V687312" s="7"/>
      <c r="W687312" s="7"/>
    </row>
    <row r="687482" spans="22:23">
      <c r="V687482" s="7"/>
      <c r="W687482" s="7"/>
    </row>
    <row r="687652" spans="22:23">
      <c r="V687652" s="7"/>
      <c r="W687652" s="7"/>
    </row>
    <row r="687822" spans="22:23">
      <c r="V687822" s="7"/>
      <c r="W687822" s="7"/>
    </row>
    <row r="687992" spans="22:23">
      <c r="V687992" s="7"/>
      <c r="W687992" s="7"/>
    </row>
    <row r="688162" spans="22:23">
      <c r="V688162" s="7"/>
      <c r="W688162" s="7"/>
    </row>
    <row r="688332" spans="22:23">
      <c r="V688332" s="7"/>
      <c r="W688332" s="7"/>
    </row>
    <row r="688502" spans="22:23">
      <c r="V688502" s="7"/>
      <c r="W688502" s="7"/>
    </row>
    <row r="688672" spans="22:23">
      <c r="V688672" s="7"/>
      <c r="W688672" s="7"/>
    </row>
    <row r="688842" spans="22:23">
      <c r="V688842" s="7"/>
      <c r="W688842" s="7"/>
    </row>
    <row r="689012" spans="22:23">
      <c r="V689012" s="7"/>
      <c r="W689012" s="7"/>
    </row>
    <row r="689182" spans="22:23">
      <c r="V689182" s="7"/>
      <c r="W689182" s="7"/>
    </row>
    <row r="689352" spans="22:23">
      <c r="V689352" s="7"/>
      <c r="W689352" s="7"/>
    </row>
    <row r="689522" spans="22:23">
      <c r="V689522" s="7"/>
      <c r="W689522" s="7"/>
    </row>
    <row r="689692" spans="22:23">
      <c r="V689692" s="7"/>
      <c r="W689692" s="7"/>
    </row>
    <row r="689862" spans="22:23">
      <c r="V689862" s="7"/>
      <c r="W689862" s="7"/>
    </row>
    <row r="690032" spans="22:23">
      <c r="V690032" s="7"/>
      <c r="W690032" s="7"/>
    </row>
    <row r="690202" spans="22:23">
      <c r="V690202" s="7"/>
      <c r="W690202" s="7"/>
    </row>
    <row r="690372" spans="22:23">
      <c r="V690372" s="7"/>
      <c r="W690372" s="7"/>
    </row>
    <row r="690542" spans="22:23">
      <c r="V690542" s="7"/>
      <c r="W690542" s="7"/>
    </row>
    <row r="690712" spans="22:23">
      <c r="V690712" s="7"/>
      <c r="W690712" s="7"/>
    </row>
    <row r="690882" spans="22:23">
      <c r="V690882" s="7"/>
      <c r="W690882" s="7"/>
    </row>
    <row r="691052" spans="22:23">
      <c r="V691052" s="7"/>
      <c r="W691052" s="7"/>
    </row>
    <row r="691222" spans="22:23">
      <c r="V691222" s="7"/>
      <c r="W691222" s="7"/>
    </row>
    <row r="691392" spans="22:23">
      <c r="V691392" s="7"/>
      <c r="W691392" s="7"/>
    </row>
    <row r="691562" spans="22:23">
      <c r="V691562" s="7"/>
      <c r="W691562" s="7"/>
    </row>
    <row r="691732" spans="22:23">
      <c r="V691732" s="7"/>
      <c r="W691732" s="7"/>
    </row>
    <row r="691902" spans="22:23">
      <c r="V691902" s="7"/>
      <c r="W691902" s="7"/>
    </row>
    <row r="692072" spans="22:23">
      <c r="V692072" s="7"/>
      <c r="W692072" s="7"/>
    </row>
    <row r="692242" spans="22:23">
      <c r="V692242" s="7"/>
      <c r="W692242" s="7"/>
    </row>
    <row r="692412" spans="22:23">
      <c r="V692412" s="7"/>
      <c r="W692412" s="7"/>
    </row>
    <row r="692582" spans="22:23">
      <c r="V692582" s="7"/>
      <c r="W692582" s="7"/>
    </row>
    <row r="692752" spans="22:23">
      <c r="V692752" s="7"/>
      <c r="W692752" s="7"/>
    </row>
    <row r="692922" spans="22:23">
      <c r="V692922" s="7"/>
      <c r="W692922" s="7"/>
    </row>
    <row r="693092" spans="22:23">
      <c r="V693092" s="7"/>
      <c r="W693092" s="7"/>
    </row>
    <row r="693262" spans="22:23">
      <c r="V693262" s="7"/>
      <c r="W693262" s="7"/>
    </row>
    <row r="693432" spans="22:23">
      <c r="V693432" s="7"/>
      <c r="W693432" s="7"/>
    </row>
    <row r="693602" spans="22:23">
      <c r="V693602" s="7"/>
      <c r="W693602" s="7"/>
    </row>
    <row r="693772" spans="22:23">
      <c r="V693772" s="7"/>
      <c r="W693772" s="7"/>
    </row>
    <row r="693942" spans="22:23">
      <c r="V693942" s="7"/>
      <c r="W693942" s="7"/>
    </row>
    <row r="694112" spans="22:23">
      <c r="V694112" s="7"/>
      <c r="W694112" s="7"/>
    </row>
    <row r="694282" spans="22:23">
      <c r="V694282" s="7"/>
      <c r="W694282" s="7"/>
    </row>
    <row r="694452" spans="22:23">
      <c r="V694452" s="7"/>
      <c r="W694452" s="7"/>
    </row>
    <row r="694622" spans="22:23">
      <c r="V694622" s="7"/>
      <c r="W694622" s="7"/>
    </row>
    <row r="694792" spans="22:23">
      <c r="V694792" s="7"/>
      <c r="W694792" s="7"/>
    </row>
    <row r="694962" spans="22:23">
      <c r="V694962" s="7"/>
      <c r="W694962" s="7"/>
    </row>
    <row r="695132" spans="22:23">
      <c r="V695132" s="7"/>
      <c r="W695132" s="7"/>
    </row>
    <row r="695302" spans="22:23">
      <c r="V695302" s="7"/>
      <c r="W695302" s="7"/>
    </row>
    <row r="695472" spans="22:23">
      <c r="V695472" s="7"/>
      <c r="W695472" s="7"/>
    </row>
    <row r="695642" spans="22:23">
      <c r="V695642" s="7"/>
      <c r="W695642" s="7"/>
    </row>
    <row r="695812" spans="22:23">
      <c r="V695812" s="7"/>
      <c r="W695812" s="7"/>
    </row>
    <row r="695982" spans="22:23">
      <c r="V695982" s="7"/>
      <c r="W695982" s="7"/>
    </row>
    <row r="696152" spans="22:23">
      <c r="V696152" s="7"/>
      <c r="W696152" s="7"/>
    </row>
    <row r="696322" spans="22:23">
      <c r="V696322" s="7"/>
      <c r="W696322" s="7"/>
    </row>
    <row r="696492" spans="22:23">
      <c r="V696492" s="7"/>
      <c r="W696492" s="7"/>
    </row>
    <row r="696662" spans="22:23">
      <c r="V696662" s="7"/>
      <c r="W696662" s="7"/>
    </row>
    <row r="696832" spans="22:23">
      <c r="V696832" s="7"/>
      <c r="W696832" s="7"/>
    </row>
    <row r="697002" spans="22:23">
      <c r="V697002" s="7"/>
      <c r="W697002" s="7"/>
    </row>
    <row r="697172" spans="22:23">
      <c r="V697172" s="7"/>
      <c r="W697172" s="7"/>
    </row>
    <row r="697342" spans="22:23">
      <c r="V697342" s="7"/>
      <c r="W697342" s="7"/>
    </row>
    <row r="697512" spans="22:23">
      <c r="V697512" s="7"/>
      <c r="W697512" s="7"/>
    </row>
    <row r="697682" spans="22:23">
      <c r="V697682" s="7"/>
      <c r="W697682" s="7"/>
    </row>
    <row r="697852" spans="22:23">
      <c r="V697852" s="7"/>
      <c r="W697852" s="7"/>
    </row>
    <row r="698022" spans="22:23">
      <c r="V698022" s="7"/>
      <c r="W698022" s="7"/>
    </row>
    <row r="698192" spans="22:23">
      <c r="V698192" s="7"/>
      <c r="W698192" s="7"/>
    </row>
    <row r="698362" spans="22:23">
      <c r="V698362" s="7"/>
      <c r="W698362" s="7"/>
    </row>
    <row r="698532" spans="22:23">
      <c r="V698532" s="7"/>
      <c r="W698532" s="7"/>
    </row>
    <row r="698702" spans="22:23">
      <c r="V698702" s="7"/>
      <c r="W698702" s="7"/>
    </row>
    <row r="698872" spans="22:23">
      <c r="V698872" s="7"/>
      <c r="W698872" s="7"/>
    </row>
    <row r="699042" spans="22:23">
      <c r="V699042" s="7"/>
      <c r="W699042" s="7"/>
    </row>
    <row r="699212" spans="22:23">
      <c r="V699212" s="7"/>
      <c r="W699212" s="7"/>
    </row>
    <row r="699382" spans="22:23">
      <c r="V699382" s="7"/>
      <c r="W699382" s="7"/>
    </row>
    <row r="699552" spans="22:23">
      <c r="V699552" s="7"/>
      <c r="W699552" s="7"/>
    </row>
    <row r="699722" spans="22:23">
      <c r="V699722" s="7"/>
      <c r="W699722" s="7"/>
    </row>
    <row r="699892" spans="22:23">
      <c r="V699892" s="7"/>
      <c r="W699892" s="7"/>
    </row>
    <row r="700062" spans="22:23">
      <c r="V700062" s="7"/>
      <c r="W700062" s="7"/>
    </row>
    <row r="700232" spans="22:23">
      <c r="V700232" s="7"/>
      <c r="W700232" s="7"/>
    </row>
    <row r="700402" spans="22:23">
      <c r="V700402" s="7"/>
      <c r="W700402" s="7"/>
    </row>
    <row r="700572" spans="22:23">
      <c r="V700572" s="7"/>
      <c r="W700572" s="7"/>
    </row>
    <row r="700742" spans="22:23">
      <c r="V700742" s="7"/>
      <c r="W700742" s="7"/>
    </row>
    <row r="700912" spans="22:23">
      <c r="V700912" s="7"/>
      <c r="W700912" s="7"/>
    </row>
    <row r="701082" spans="22:23">
      <c r="V701082" s="7"/>
      <c r="W701082" s="7"/>
    </row>
    <row r="701252" spans="22:23">
      <c r="V701252" s="7"/>
      <c r="W701252" s="7"/>
    </row>
    <row r="701422" spans="22:23">
      <c r="V701422" s="7"/>
      <c r="W701422" s="7"/>
    </row>
    <row r="701592" spans="22:23">
      <c r="V701592" s="7"/>
      <c r="W701592" s="7"/>
    </row>
    <row r="701762" spans="22:23">
      <c r="V701762" s="7"/>
      <c r="W701762" s="7"/>
    </row>
    <row r="701932" spans="22:23">
      <c r="V701932" s="7"/>
      <c r="W701932" s="7"/>
    </row>
    <row r="702102" spans="22:23">
      <c r="V702102" s="7"/>
      <c r="W702102" s="7"/>
    </row>
    <row r="702272" spans="22:23">
      <c r="V702272" s="7"/>
      <c r="W702272" s="7"/>
    </row>
    <row r="702442" spans="22:23">
      <c r="V702442" s="7"/>
      <c r="W702442" s="7"/>
    </row>
    <row r="702612" spans="22:23">
      <c r="V702612" s="7"/>
      <c r="W702612" s="7"/>
    </row>
    <row r="702782" spans="22:23">
      <c r="V702782" s="7"/>
      <c r="W702782" s="7"/>
    </row>
    <row r="702952" spans="22:23">
      <c r="V702952" s="7"/>
      <c r="W702952" s="7"/>
    </row>
    <row r="703122" spans="22:23">
      <c r="V703122" s="7"/>
      <c r="W703122" s="7"/>
    </row>
    <row r="703292" spans="22:23">
      <c r="V703292" s="7"/>
      <c r="W703292" s="7"/>
    </row>
    <row r="703462" spans="22:23">
      <c r="V703462" s="7"/>
      <c r="W703462" s="7"/>
    </row>
    <row r="703632" spans="22:23">
      <c r="V703632" s="7"/>
      <c r="W703632" s="7"/>
    </row>
    <row r="703802" spans="22:23">
      <c r="V703802" s="7"/>
      <c r="W703802" s="7"/>
    </row>
    <row r="703972" spans="22:23">
      <c r="V703972" s="7"/>
      <c r="W703972" s="7"/>
    </row>
    <row r="704142" spans="22:23">
      <c r="V704142" s="7"/>
      <c r="W704142" s="7"/>
    </row>
    <row r="704312" spans="22:23">
      <c r="V704312" s="7"/>
      <c r="W704312" s="7"/>
    </row>
    <row r="704482" spans="22:23">
      <c r="V704482" s="7"/>
      <c r="W704482" s="7"/>
    </row>
    <row r="704652" spans="22:23">
      <c r="V704652" s="7"/>
      <c r="W704652" s="7"/>
    </row>
    <row r="704822" spans="22:23">
      <c r="V704822" s="7"/>
      <c r="W704822" s="7"/>
    </row>
    <row r="704992" spans="22:23">
      <c r="V704992" s="7"/>
      <c r="W704992" s="7"/>
    </row>
    <row r="705162" spans="22:23">
      <c r="V705162" s="7"/>
      <c r="W705162" s="7"/>
    </row>
    <row r="705332" spans="22:23">
      <c r="V705332" s="7"/>
      <c r="W705332" s="7"/>
    </row>
    <row r="705502" spans="22:23">
      <c r="V705502" s="7"/>
      <c r="W705502" s="7"/>
    </row>
    <row r="705672" spans="22:23">
      <c r="V705672" s="7"/>
      <c r="W705672" s="7"/>
    </row>
    <row r="705842" spans="22:23">
      <c r="V705842" s="7"/>
      <c r="W705842" s="7"/>
    </row>
    <row r="706012" spans="22:23">
      <c r="V706012" s="7"/>
      <c r="W706012" s="7"/>
    </row>
    <row r="706182" spans="22:23">
      <c r="V706182" s="7"/>
      <c r="W706182" s="7"/>
    </row>
    <row r="706352" spans="22:23">
      <c r="V706352" s="7"/>
      <c r="W706352" s="7"/>
    </row>
    <row r="706522" spans="22:23">
      <c r="V706522" s="7"/>
      <c r="W706522" s="7"/>
    </row>
    <row r="706692" spans="22:23">
      <c r="V706692" s="7"/>
      <c r="W706692" s="7"/>
    </row>
    <row r="706862" spans="22:23">
      <c r="V706862" s="7"/>
      <c r="W706862" s="7"/>
    </row>
    <row r="707032" spans="22:23">
      <c r="V707032" s="7"/>
      <c r="W707032" s="7"/>
    </row>
    <row r="707202" spans="22:23">
      <c r="V707202" s="7"/>
      <c r="W707202" s="7"/>
    </row>
    <row r="707372" spans="22:23">
      <c r="V707372" s="7"/>
      <c r="W707372" s="7"/>
    </row>
    <row r="707542" spans="22:23">
      <c r="V707542" s="7"/>
      <c r="W707542" s="7"/>
    </row>
    <row r="707712" spans="22:23">
      <c r="V707712" s="7"/>
      <c r="W707712" s="7"/>
    </row>
    <row r="707882" spans="22:23">
      <c r="V707882" s="7"/>
      <c r="W707882" s="7"/>
    </row>
    <row r="708052" spans="22:23">
      <c r="V708052" s="7"/>
      <c r="W708052" s="7"/>
    </row>
    <row r="708222" spans="22:23">
      <c r="V708222" s="7"/>
      <c r="W708222" s="7"/>
    </row>
    <row r="708392" spans="22:23">
      <c r="V708392" s="7"/>
      <c r="W708392" s="7"/>
    </row>
    <row r="708562" spans="22:23">
      <c r="V708562" s="7"/>
      <c r="W708562" s="7"/>
    </row>
    <row r="708732" spans="22:23">
      <c r="V708732" s="7"/>
      <c r="W708732" s="7"/>
    </row>
    <row r="708902" spans="22:23">
      <c r="V708902" s="7"/>
      <c r="W708902" s="7"/>
    </row>
    <row r="709072" spans="22:23">
      <c r="V709072" s="7"/>
      <c r="W709072" s="7"/>
    </row>
    <row r="709242" spans="22:23">
      <c r="V709242" s="7"/>
      <c r="W709242" s="7"/>
    </row>
    <row r="709412" spans="22:23">
      <c r="V709412" s="7"/>
      <c r="W709412" s="7"/>
    </row>
    <row r="709582" spans="22:23">
      <c r="V709582" s="7"/>
      <c r="W709582" s="7"/>
    </row>
    <row r="709752" spans="22:23">
      <c r="V709752" s="7"/>
      <c r="W709752" s="7"/>
    </row>
    <row r="709922" spans="22:23">
      <c r="V709922" s="7"/>
      <c r="W709922" s="7"/>
    </row>
    <row r="710092" spans="22:23">
      <c r="V710092" s="7"/>
      <c r="W710092" s="7"/>
    </row>
    <row r="710262" spans="22:23">
      <c r="V710262" s="7"/>
      <c r="W710262" s="7"/>
    </row>
    <row r="710432" spans="22:23">
      <c r="V710432" s="7"/>
      <c r="W710432" s="7"/>
    </row>
    <row r="710602" spans="22:23">
      <c r="V710602" s="7"/>
      <c r="W710602" s="7"/>
    </row>
    <row r="710772" spans="22:23">
      <c r="V710772" s="7"/>
      <c r="W710772" s="7"/>
    </row>
    <row r="710942" spans="22:23">
      <c r="V710942" s="7"/>
      <c r="W710942" s="7"/>
    </row>
    <row r="711112" spans="22:23">
      <c r="V711112" s="7"/>
      <c r="W711112" s="7"/>
    </row>
    <row r="711282" spans="22:23">
      <c r="V711282" s="7"/>
      <c r="W711282" s="7"/>
    </row>
    <row r="711452" spans="22:23">
      <c r="V711452" s="7"/>
      <c r="W711452" s="7"/>
    </row>
    <row r="711622" spans="22:23">
      <c r="V711622" s="7"/>
      <c r="W711622" s="7"/>
    </row>
    <row r="711792" spans="22:23">
      <c r="V711792" s="7"/>
      <c r="W711792" s="7"/>
    </row>
    <row r="711962" spans="22:23">
      <c r="V711962" s="7"/>
      <c r="W711962" s="7"/>
    </row>
    <row r="712132" spans="22:23">
      <c r="V712132" s="7"/>
      <c r="W712132" s="7"/>
    </row>
    <row r="712302" spans="22:23">
      <c r="V712302" s="7"/>
      <c r="W712302" s="7"/>
    </row>
    <row r="712472" spans="22:23">
      <c r="V712472" s="7"/>
      <c r="W712472" s="7"/>
    </row>
    <row r="712642" spans="22:23">
      <c r="V712642" s="7"/>
      <c r="W712642" s="7"/>
    </row>
    <row r="712812" spans="22:23">
      <c r="V712812" s="7"/>
      <c r="W712812" s="7"/>
    </row>
    <row r="712982" spans="22:23">
      <c r="V712982" s="7"/>
      <c r="W712982" s="7"/>
    </row>
    <row r="713152" spans="22:23">
      <c r="V713152" s="7"/>
      <c r="W713152" s="7"/>
    </row>
    <row r="713322" spans="22:23">
      <c r="V713322" s="7"/>
      <c r="W713322" s="7"/>
    </row>
    <row r="713492" spans="22:23">
      <c r="V713492" s="7"/>
      <c r="W713492" s="7"/>
    </row>
    <row r="713662" spans="22:23">
      <c r="V713662" s="7"/>
      <c r="W713662" s="7"/>
    </row>
    <row r="713832" spans="22:23">
      <c r="V713832" s="7"/>
      <c r="W713832" s="7"/>
    </row>
    <row r="714002" spans="22:23">
      <c r="V714002" s="7"/>
      <c r="W714002" s="7"/>
    </row>
    <row r="714172" spans="22:23">
      <c r="V714172" s="7"/>
      <c r="W714172" s="7"/>
    </row>
    <row r="714342" spans="22:23">
      <c r="V714342" s="7"/>
      <c r="W714342" s="7"/>
    </row>
    <row r="714512" spans="22:23">
      <c r="V714512" s="7"/>
      <c r="W714512" s="7"/>
    </row>
    <row r="714682" spans="22:23">
      <c r="V714682" s="7"/>
      <c r="W714682" s="7"/>
    </row>
    <row r="714852" spans="22:23">
      <c r="V714852" s="7"/>
      <c r="W714852" s="7"/>
    </row>
    <row r="715022" spans="22:23">
      <c r="V715022" s="7"/>
      <c r="W715022" s="7"/>
    </row>
    <row r="715192" spans="22:23">
      <c r="V715192" s="7"/>
      <c r="W715192" s="7"/>
    </row>
    <row r="715362" spans="22:23">
      <c r="V715362" s="7"/>
      <c r="W715362" s="7"/>
    </row>
    <row r="715532" spans="22:23">
      <c r="V715532" s="7"/>
      <c r="W715532" s="7"/>
    </row>
    <row r="715702" spans="22:23">
      <c r="V715702" s="7"/>
      <c r="W715702" s="7"/>
    </row>
    <row r="715872" spans="22:23">
      <c r="V715872" s="7"/>
      <c r="W715872" s="7"/>
    </row>
    <row r="716042" spans="22:23">
      <c r="V716042" s="7"/>
      <c r="W716042" s="7"/>
    </row>
    <row r="716212" spans="22:23">
      <c r="V716212" s="7"/>
      <c r="W716212" s="7"/>
    </row>
    <row r="716382" spans="22:23">
      <c r="V716382" s="7"/>
      <c r="W716382" s="7"/>
    </row>
    <row r="716552" spans="22:23">
      <c r="V716552" s="7"/>
      <c r="W716552" s="7"/>
    </row>
    <row r="716722" spans="22:23">
      <c r="V716722" s="7"/>
      <c r="W716722" s="7"/>
    </row>
    <row r="716892" spans="22:23">
      <c r="V716892" s="7"/>
      <c r="W716892" s="7"/>
    </row>
    <row r="717062" spans="22:23">
      <c r="V717062" s="7"/>
      <c r="W717062" s="7"/>
    </row>
    <row r="717232" spans="22:23">
      <c r="V717232" s="7"/>
      <c r="W717232" s="7"/>
    </row>
    <row r="717402" spans="22:23">
      <c r="V717402" s="7"/>
      <c r="W717402" s="7"/>
    </row>
    <row r="717572" spans="22:23">
      <c r="V717572" s="7"/>
      <c r="W717572" s="7"/>
    </row>
    <row r="717742" spans="22:23">
      <c r="V717742" s="7"/>
      <c r="W717742" s="7"/>
    </row>
    <row r="717912" spans="22:23">
      <c r="V717912" s="7"/>
      <c r="W717912" s="7"/>
    </row>
    <row r="718082" spans="22:23">
      <c r="V718082" s="7"/>
      <c r="W718082" s="7"/>
    </row>
    <row r="718252" spans="22:23">
      <c r="V718252" s="7"/>
      <c r="W718252" s="7"/>
    </row>
    <row r="718422" spans="22:23">
      <c r="V718422" s="7"/>
      <c r="W718422" s="7"/>
    </row>
    <row r="718592" spans="22:23">
      <c r="V718592" s="7"/>
      <c r="W718592" s="7"/>
    </row>
    <row r="718762" spans="22:23">
      <c r="V718762" s="7"/>
      <c r="W718762" s="7"/>
    </row>
    <row r="718932" spans="22:23">
      <c r="V718932" s="7"/>
      <c r="W718932" s="7"/>
    </row>
    <row r="719102" spans="22:23">
      <c r="V719102" s="7"/>
      <c r="W719102" s="7"/>
    </row>
    <row r="719272" spans="22:23">
      <c r="V719272" s="7"/>
      <c r="W719272" s="7"/>
    </row>
    <row r="719442" spans="22:23">
      <c r="V719442" s="7"/>
      <c r="W719442" s="7"/>
    </row>
    <row r="719612" spans="22:23">
      <c r="V719612" s="7"/>
      <c r="W719612" s="7"/>
    </row>
    <row r="719782" spans="22:23">
      <c r="V719782" s="7"/>
      <c r="W719782" s="7"/>
    </row>
    <row r="719952" spans="22:23">
      <c r="V719952" s="7"/>
      <c r="W719952" s="7"/>
    </row>
    <row r="720122" spans="22:23">
      <c r="V720122" s="7"/>
      <c r="W720122" s="7"/>
    </row>
    <row r="720292" spans="22:23">
      <c r="V720292" s="7"/>
      <c r="W720292" s="7"/>
    </row>
    <row r="720462" spans="22:23">
      <c r="V720462" s="7"/>
      <c r="W720462" s="7"/>
    </row>
    <row r="720632" spans="22:23">
      <c r="V720632" s="7"/>
      <c r="W720632" s="7"/>
    </row>
    <row r="720802" spans="22:23">
      <c r="V720802" s="7"/>
      <c r="W720802" s="7"/>
    </row>
    <row r="720972" spans="22:23">
      <c r="V720972" s="7"/>
      <c r="W720972" s="7"/>
    </row>
    <row r="721142" spans="22:23">
      <c r="V721142" s="7"/>
      <c r="W721142" s="7"/>
    </row>
    <row r="721312" spans="22:23">
      <c r="V721312" s="7"/>
      <c r="W721312" s="7"/>
    </row>
    <row r="721482" spans="22:23">
      <c r="V721482" s="7"/>
      <c r="W721482" s="7"/>
    </row>
    <row r="721652" spans="22:23">
      <c r="V721652" s="7"/>
      <c r="W721652" s="7"/>
    </row>
    <row r="721822" spans="22:23">
      <c r="V721822" s="7"/>
      <c r="W721822" s="7"/>
    </row>
    <row r="721992" spans="22:23">
      <c r="V721992" s="7"/>
      <c r="W721992" s="7"/>
    </row>
    <row r="722162" spans="22:23">
      <c r="V722162" s="7"/>
      <c r="W722162" s="7"/>
    </row>
    <row r="722332" spans="22:23">
      <c r="V722332" s="7"/>
      <c r="W722332" s="7"/>
    </row>
    <row r="722502" spans="22:23">
      <c r="V722502" s="7"/>
      <c r="W722502" s="7"/>
    </row>
    <row r="722672" spans="22:23">
      <c r="V722672" s="7"/>
      <c r="W722672" s="7"/>
    </row>
    <row r="722842" spans="22:23">
      <c r="V722842" s="7"/>
      <c r="W722842" s="7"/>
    </row>
    <row r="723012" spans="22:23">
      <c r="V723012" s="7"/>
      <c r="W723012" s="7"/>
    </row>
    <row r="723182" spans="22:23">
      <c r="V723182" s="7"/>
      <c r="W723182" s="7"/>
    </row>
    <row r="723352" spans="22:23">
      <c r="V723352" s="7"/>
      <c r="W723352" s="7"/>
    </row>
    <row r="723522" spans="22:23">
      <c r="V723522" s="7"/>
      <c r="W723522" s="7"/>
    </row>
    <row r="723692" spans="22:23">
      <c r="V723692" s="7"/>
      <c r="W723692" s="7"/>
    </row>
    <row r="723862" spans="22:23">
      <c r="V723862" s="7"/>
      <c r="W723862" s="7"/>
    </row>
    <row r="724032" spans="22:23">
      <c r="V724032" s="7"/>
      <c r="W724032" s="7"/>
    </row>
    <row r="724202" spans="22:23">
      <c r="V724202" s="7"/>
      <c r="W724202" s="7"/>
    </row>
    <row r="724372" spans="22:23">
      <c r="V724372" s="7"/>
      <c r="W724372" s="7"/>
    </row>
    <row r="724542" spans="22:23">
      <c r="V724542" s="7"/>
      <c r="W724542" s="7"/>
    </row>
    <row r="724712" spans="22:23">
      <c r="V724712" s="7"/>
      <c r="W724712" s="7"/>
    </row>
    <row r="724882" spans="22:23">
      <c r="V724882" s="7"/>
      <c r="W724882" s="7"/>
    </row>
    <row r="725052" spans="22:23">
      <c r="V725052" s="7"/>
      <c r="W725052" s="7"/>
    </row>
    <row r="725222" spans="22:23">
      <c r="V725222" s="7"/>
      <c r="W725222" s="7"/>
    </row>
    <row r="725392" spans="22:23">
      <c r="V725392" s="7"/>
      <c r="W725392" s="7"/>
    </row>
    <row r="725562" spans="22:23">
      <c r="V725562" s="7"/>
      <c r="W725562" s="7"/>
    </row>
    <row r="725732" spans="22:23">
      <c r="V725732" s="7"/>
      <c r="W725732" s="7"/>
    </row>
    <row r="725902" spans="22:23">
      <c r="V725902" s="7"/>
      <c r="W725902" s="7"/>
    </row>
    <row r="726072" spans="22:23">
      <c r="V726072" s="7"/>
      <c r="W726072" s="7"/>
    </row>
    <row r="726242" spans="22:23">
      <c r="V726242" s="7"/>
      <c r="W726242" s="7"/>
    </row>
    <row r="726412" spans="22:23">
      <c r="V726412" s="7"/>
      <c r="W726412" s="7"/>
    </row>
    <row r="726582" spans="22:23">
      <c r="V726582" s="7"/>
      <c r="W726582" s="7"/>
    </row>
    <row r="726752" spans="22:23">
      <c r="V726752" s="7"/>
      <c r="W726752" s="7"/>
    </row>
    <row r="726922" spans="22:23">
      <c r="V726922" s="7"/>
      <c r="W726922" s="7"/>
    </row>
    <row r="727092" spans="22:23">
      <c r="V727092" s="7"/>
      <c r="W727092" s="7"/>
    </row>
    <row r="727262" spans="22:23">
      <c r="V727262" s="7"/>
      <c r="W727262" s="7"/>
    </row>
    <row r="727432" spans="22:23">
      <c r="V727432" s="7"/>
      <c r="W727432" s="7"/>
    </row>
    <row r="727602" spans="22:23">
      <c r="V727602" s="7"/>
      <c r="W727602" s="7"/>
    </row>
    <row r="727772" spans="22:23">
      <c r="V727772" s="7"/>
      <c r="W727772" s="7"/>
    </row>
    <row r="727942" spans="22:23">
      <c r="V727942" s="7"/>
      <c r="W727942" s="7"/>
    </row>
    <row r="728112" spans="22:23">
      <c r="V728112" s="7"/>
      <c r="W728112" s="7"/>
    </row>
    <row r="728282" spans="22:23">
      <c r="V728282" s="7"/>
      <c r="W728282" s="7"/>
    </row>
    <row r="728452" spans="22:23">
      <c r="V728452" s="7"/>
      <c r="W728452" s="7"/>
    </row>
    <row r="728622" spans="22:23">
      <c r="V728622" s="7"/>
      <c r="W728622" s="7"/>
    </row>
    <row r="728792" spans="22:23">
      <c r="V728792" s="7"/>
      <c r="W728792" s="7"/>
    </row>
    <row r="728962" spans="22:23">
      <c r="V728962" s="7"/>
      <c r="W728962" s="7"/>
    </row>
    <row r="729132" spans="22:23">
      <c r="V729132" s="7"/>
      <c r="W729132" s="7"/>
    </row>
    <row r="729302" spans="22:23">
      <c r="V729302" s="7"/>
      <c r="W729302" s="7"/>
    </row>
    <row r="729472" spans="22:23">
      <c r="V729472" s="7"/>
      <c r="W729472" s="7"/>
    </row>
    <row r="729642" spans="22:23">
      <c r="V729642" s="7"/>
      <c r="W729642" s="7"/>
    </row>
    <row r="729812" spans="22:23">
      <c r="V729812" s="7"/>
      <c r="W729812" s="7"/>
    </row>
    <row r="729982" spans="22:23">
      <c r="V729982" s="7"/>
      <c r="W729982" s="7"/>
    </row>
    <row r="730152" spans="22:23">
      <c r="V730152" s="7"/>
      <c r="W730152" s="7"/>
    </row>
    <row r="730322" spans="22:23">
      <c r="V730322" s="7"/>
      <c r="W730322" s="7"/>
    </row>
    <row r="730492" spans="22:23">
      <c r="V730492" s="7"/>
      <c r="W730492" s="7"/>
    </row>
    <row r="730662" spans="22:23">
      <c r="V730662" s="7"/>
      <c r="W730662" s="7"/>
    </row>
    <row r="730832" spans="22:23">
      <c r="V730832" s="7"/>
      <c r="W730832" s="7"/>
    </row>
    <row r="731002" spans="22:23">
      <c r="V731002" s="7"/>
      <c r="W731002" s="7"/>
    </row>
    <row r="731172" spans="22:23">
      <c r="V731172" s="7"/>
      <c r="W731172" s="7"/>
    </row>
    <row r="731342" spans="22:23">
      <c r="V731342" s="7"/>
      <c r="W731342" s="7"/>
    </row>
    <row r="731512" spans="22:23">
      <c r="V731512" s="7"/>
      <c r="W731512" s="7"/>
    </row>
    <row r="731682" spans="22:23">
      <c r="V731682" s="7"/>
      <c r="W731682" s="7"/>
    </row>
    <row r="731852" spans="22:23">
      <c r="V731852" s="7"/>
      <c r="W731852" s="7"/>
    </row>
    <row r="732022" spans="22:23">
      <c r="V732022" s="7"/>
      <c r="W732022" s="7"/>
    </row>
    <row r="732192" spans="22:23">
      <c r="V732192" s="7"/>
      <c r="W732192" s="7"/>
    </row>
    <row r="732362" spans="22:23">
      <c r="V732362" s="7"/>
      <c r="W732362" s="7"/>
    </row>
    <row r="732532" spans="22:23">
      <c r="V732532" s="7"/>
      <c r="W732532" s="7"/>
    </row>
    <row r="732702" spans="22:23">
      <c r="V732702" s="7"/>
      <c r="W732702" s="7"/>
    </row>
    <row r="732872" spans="22:23">
      <c r="V732872" s="7"/>
      <c r="W732872" s="7"/>
    </row>
    <row r="733042" spans="22:23">
      <c r="V733042" s="7"/>
      <c r="W733042" s="7"/>
    </row>
    <row r="733212" spans="22:23">
      <c r="V733212" s="7"/>
      <c r="W733212" s="7"/>
    </row>
    <row r="733382" spans="22:23">
      <c r="V733382" s="7"/>
      <c r="W733382" s="7"/>
    </row>
    <row r="733552" spans="22:23">
      <c r="V733552" s="7"/>
      <c r="W733552" s="7"/>
    </row>
    <row r="733722" spans="22:23">
      <c r="V733722" s="7"/>
      <c r="W733722" s="7"/>
    </row>
    <row r="733892" spans="22:23">
      <c r="V733892" s="7"/>
      <c r="W733892" s="7"/>
    </row>
    <row r="734062" spans="22:23">
      <c r="V734062" s="7"/>
      <c r="W734062" s="7"/>
    </row>
    <row r="734232" spans="22:23">
      <c r="V734232" s="7"/>
      <c r="W734232" s="7"/>
    </row>
    <row r="734402" spans="22:23">
      <c r="V734402" s="7"/>
      <c r="W734402" s="7"/>
    </row>
    <row r="734572" spans="22:23">
      <c r="V734572" s="7"/>
      <c r="W734572" s="7"/>
    </row>
    <row r="734742" spans="22:23">
      <c r="V734742" s="7"/>
      <c r="W734742" s="7"/>
    </row>
    <row r="734912" spans="22:23">
      <c r="V734912" s="7"/>
      <c r="W734912" s="7"/>
    </row>
    <row r="735082" spans="22:23">
      <c r="V735082" s="7"/>
      <c r="W735082" s="7"/>
    </row>
    <row r="735252" spans="22:23">
      <c r="V735252" s="7"/>
      <c r="W735252" s="7"/>
    </row>
    <row r="735422" spans="22:23">
      <c r="V735422" s="7"/>
      <c r="W735422" s="7"/>
    </row>
    <row r="735592" spans="22:23">
      <c r="V735592" s="7"/>
      <c r="W735592" s="7"/>
    </row>
    <row r="735762" spans="22:23">
      <c r="V735762" s="7"/>
      <c r="W735762" s="7"/>
    </row>
    <row r="735932" spans="22:23">
      <c r="V735932" s="7"/>
      <c r="W735932" s="7"/>
    </row>
    <row r="736102" spans="22:23">
      <c r="V736102" s="7"/>
      <c r="W736102" s="7"/>
    </row>
    <row r="736272" spans="22:23">
      <c r="V736272" s="7"/>
      <c r="W736272" s="7"/>
    </row>
    <row r="736442" spans="22:23">
      <c r="V736442" s="7"/>
      <c r="W736442" s="7"/>
    </row>
    <row r="736612" spans="22:23">
      <c r="V736612" s="7"/>
      <c r="W736612" s="7"/>
    </row>
    <row r="736782" spans="22:23">
      <c r="V736782" s="7"/>
      <c r="W736782" s="7"/>
    </row>
    <row r="736952" spans="22:23">
      <c r="V736952" s="7"/>
      <c r="W736952" s="7"/>
    </row>
    <row r="737122" spans="22:23">
      <c r="V737122" s="7"/>
      <c r="W737122" s="7"/>
    </row>
    <row r="737292" spans="22:23">
      <c r="V737292" s="7"/>
      <c r="W737292" s="7"/>
    </row>
    <row r="737462" spans="22:23">
      <c r="V737462" s="7"/>
      <c r="W737462" s="7"/>
    </row>
    <row r="737632" spans="22:23">
      <c r="V737632" s="7"/>
      <c r="W737632" s="7"/>
    </row>
    <row r="737802" spans="22:23">
      <c r="V737802" s="7"/>
      <c r="W737802" s="7"/>
    </row>
    <row r="737972" spans="22:23">
      <c r="V737972" s="7"/>
      <c r="W737972" s="7"/>
    </row>
    <row r="738142" spans="22:23">
      <c r="V738142" s="7"/>
      <c r="W738142" s="7"/>
    </row>
    <row r="738312" spans="22:23">
      <c r="V738312" s="7"/>
      <c r="W738312" s="7"/>
    </row>
    <row r="738482" spans="22:23">
      <c r="V738482" s="7"/>
      <c r="W738482" s="7"/>
    </row>
    <row r="738652" spans="22:23">
      <c r="V738652" s="7"/>
      <c r="W738652" s="7"/>
    </row>
    <row r="738822" spans="22:23">
      <c r="V738822" s="7"/>
      <c r="W738822" s="7"/>
    </row>
    <row r="738992" spans="22:23">
      <c r="V738992" s="7"/>
      <c r="W738992" s="7"/>
    </row>
    <row r="739162" spans="22:23">
      <c r="V739162" s="7"/>
      <c r="W739162" s="7"/>
    </row>
    <row r="739332" spans="22:23">
      <c r="V739332" s="7"/>
      <c r="W739332" s="7"/>
    </row>
    <row r="739502" spans="22:23">
      <c r="V739502" s="7"/>
      <c r="W739502" s="7"/>
    </row>
    <row r="739672" spans="22:23">
      <c r="V739672" s="7"/>
      <c r="W739672" s="7"/>
    </row>
    <row r="739842" spans="22:23">
      <c r="V739842" s="7"/>
      <c r="W739842" s="7"/>
    </row>
    <row r="740012" spans="22:23">
      <c r="V740012" s="7"/>
      <c r="W740012" s="7"/>
    </row>
    <row r="740182" spans="22:23">
      <c r="V740182" s="7"/>
      <c r="W740182" s="7"/>
    </row>
    <row r="740352" spans="22:23">
      <c r="V740352" s="7"/>
      <c r="W740352" s="7"/>
    </row>
    <row r="740522" spans="22:23">
      <c r="V740522" s="7"/>
      <c r="W740522" s="7"/>
    </row>
    <row r="740692" spans="22:23">
      <c r="V740692" s="7"/>
      <c r="W740692" s="7"/>
    </row>
    <row r="740862" spans="22:23">
      <c r="V740862" s="7"/>
      <c r="W740862" s="7"/>
    </row>
    <row r="741032" spans="22:23">
      <c r="V741032" s="7"/>
      <c r="W741032" s="7"/>
    </row>
    <row r="741202" spans="22:23">
      <c r="V741202" s="7"/>
      <c r="W741202" s="7"/>
    </row>
    <row r="741372" spans="22:23">
      <c r="V741372" s="7"/>
      <c r="W741372" s="7"/>
    </row>
    <row r="741542" spans="22:23">
      <c r="V741542" s="7"/>
      <c r="W741542" s="7"/>
    </row>
    <row r="741712" spans="22:23">
      <c r="V741712" s="7"/>
      <c r="W741712" s="7"/>
    </row>
    <row r="741882" spans="22:23">
      <c r="V741882" s="7"/>
      <c r="W741882" s="7"/>
    </row>
    <row r="742052" spans="22:23">
      <c r="V742052" s="7"/>
      <c r="W742052" s="7"/>
    </row>
    <row r="742222" spans="22:23">
      <c r="V742222" s="7"/>
      <c r="W742222" s="7"/>
    </row>
    <row r="742392" spans="22:23">
      <c r="V742392" s="7"/>
      <c r="W742392" s="7"/>
    </row>
    <row r="742562" spans="22:23">
      <c r="V742562" s="7"/>
      <c r="W742562" s="7"/>
    </row>
    <row r="742732" spans="22:23">
      <c r="V742732" s="7"/>
      <c r="W742732" s="7"/>
    </row>
    <row r="742902" spans="22:23">
      <c r="V742902" s="7"/>
      <c r="W742902" s="7"/>
    </row>
    <row r="743072" spans="22:23">
      <c r="V743072" s="7"/>
      <c r="W743072" s="7"/>
    </row>
    <row r="743242" spans="22:23">
      <c r="V743242" s="7"/>
      <c r="W743242" s="7"/>
    </row>
    <row r="743412" spans="22:23">
      <c r="V743412" s="7"/>
      <c r="W743412" s="7"/>
    </row>
    <row r="743582" spans="22:23">
      <c r="V743582" s="7"/>
      <c r="W743582" s="7"/>
    </row>
    <row r="743752" spans="22:23">
      <c r="V743752" s="7"/>
      <c r="W743752" s="7"/>
    </row>
    <row r="743922" spans="22:23">
      <c r="V743922" s="7"/>
      <c r="W743922" s="7"/>
    </row>
    <row r="744092" spans="22:23">
      <c r="V744092" s="7"/>
      <c r="W744092" s="7"/>
    </row>
    <row r="744262" spans="22:23">
      <c r="V744262" s="7"/>
      <c r="W744262" s="7"/>
    </row>
    <row r="744432" spans="22:23">
      <c r="V744432" s="7"/>
      <c r="W744432" s="7"/>
    </row>
    <row r="744602" spans="22:23">
      <c r="V744602" s="7"/>
      <c r="W744602" s="7"/>
    </row>
    <row r="744772" spans="22:23">
      <c r="V744772" s="7"/>
      <c r="W744772" s="7"/>
    </row>
    <row r="744942" spans="22:23">
      <c r="V744942" s="7"/>
      <c r="W744942" s="7"/>
    </row>
    <row r="745112" spans="22:23">
      <c r="V745112" s="7"/>
      <c r="W745112" s="7"/>
    </row>
    <row r="745282" spans="22:23">
      <c r="V745282" s="7"/>
      <c r="W745282" s="7"/>
    </row>
    <row r="745452" spans="22:23">
      <c r="V745452" s="7"/>
      <c r="W745452" s="7"/>
    </row>
    <row r="745622" spans="22:23">
      <c r="V745622" s="7"/>
      <c r="W745622" s="7"/>
    </row>
    <row r="745792" spans="22:23">
      <c r="V745792" s="7"/>
      <c r="W745792" s="7"/>
    </row>
    <row r="745962" spans="22:23">
      <c r="V745962" s="7"/>
      <c r="W745962" s="7"/>
    </row>
    <row r="746132" spans="22:23">
      <c r="V746132" s="7"/>
      <c r="W746132" s="7"/>
    </row>
    <row r="746302" spans="22:23">
      <c r="V746302" s="7"/>
      <c r="W746302" s="7"/>
    </row>
    <row r="746472" spans="22:23">
      <c r="V746472" s="7"/>
      <c r="W746472" s="7"/>
    </row>
    <row r="746642" spans="22:23">
      <c r="V746642" s="7"/>
      <c r="W746642" s="7"/>
    </row>
    <row r="746812" spans="22:23">
      <c r="V746812" s="7"/>
      <c r="W746812" s="7"/>
    </row>
    <row r="746982" spans="22:23">
      <c r="V746982" s="7"/>
      <c r="W746982" s="7"/>
    </row>
    <row r="747152" spans="22:23">
      <c r="V747152" s="7"/>
      <c r="W747152" s="7"/>
    </row>
    <row r="747322" spans="22:23">
      <c r="V747322" s="7"/>
      <c r="W747322" s="7"/>
    </row>
    <row r="747492" spans="22:23">
      <c r="V747492" s="7"/>
      <c r="W747492" s="7"/>
    </row>
    <row r="747662" spans="22:23">
      <c r="V747662" s="7"/>
      <c r="W747662" s="7"/>
    </row>
    <row r="747832" spans="22:23">
      <c r="V747832" s="7"/>
      <c r="W747832" s="7"/>
    </row>
    <row r="748002" spans="22:23">
      <c r="V748002" s="7"/>
      <c r="W748002" s="7"/>
    </row>
    <row r="748172" spans="22:23">
      <c r="V748172" s="7"/>
      <c r="W748172" s="7"/>
    </row>
    <row r="748342" spans="22:23">
      <c r="V748342" s="7"/>
      <c r="W748342" s="7"/>
    </row>
    <row r="748512" spans="22:23">
      <c r="V748512" s="7"/>
      <c r="W748512" s="7"/>
    </row>
    <row r="748682" spans="22:23">
      <c r="V748682" s="7"/>
      <c r="W748682" s="7"/>
    </row>
    <row r="748852" spans="22:23">
      <c r="V748852" s="7"/>
      <c r="W748852" s="7"/>
    </row>
    <row r="749022" spans="22:23">
      <c r="V749022" s="7"/>
      <c r="W749022" s="7"/>
    </row>
    <row r="749192" spans="22:23">
      <c r="V749192" s="7"/>
      <c r="W749192" s="7"/>
    </row>
    <row r="749362" spans="22:23">
      <c r="V749362" s="7"/>
      <c r="W749362" s="7"/>
    </row>
    <row r="749532" spans="22:23">
      <c r="V749532" s="7"/>
      <c r="W749532" s="7"/>
    </row>
    <row r="749702" spans="22:23">
      <c r="V749702" s="7"/>
      <c r="W749702" s="7"/>
    </row>
    <row r="749872" spans="22:23">
      <c r="V749872" s="7"/>
      <c r="W749872" s="7"/>
    </row>
    <row r="750042" spans="22:23">
      <c r="V750042" s="7"/>
      <c r="W750042" s="7"/>
    </row>
    <row r="750212" spans="22:23">
      <c r="V750212" s="7"/>
      <c r="W750212" s="7"/>
    </row>
    <row r="750382" spans="22:23">
      <c r="V750382" s="7"/>
      <c r="W750382" s="7"/>
    </row>
    <row r="750552" spans="22:23">
      <c r="V750552" s="7"/>
      <c r="W750552" s="7"/>
    </row>
    <row r="750722" spans="22:23">
      <c r="V750722" s="7"/>
      <c r="W750722" s="7"/>
    </row>
    <row r="750892" spans="22:23">
      <c r="V750892" s="7"/>
      <c r="W750892" s="7"/>
    </row>
    <row r="751062" spans="22:23">
      <c r="V751062" s="7"/>
      <c r="W751062" s="7"/>
    </row>
    <row r="751232" spans="22:23">
      <c r="V751232" s="7"/>
      <c r="W751232" s="7"/>
    </row>
    <row r="751402" spans="22:23">
      <c r="V751402" s="7"/>
      <c r="W751402" s="7"/>
    </row>
    <row r="751572" spans="22:23">
      <c r="V751572" s="7"/>
      <c r="W751572" s="7"/>
    </row>
    <row r="751742" spans="22:23">
      <c r="V751742" s="7"/>
      <c r="W751742" s="7"/>
    </row>
    <row r="751912" spans="22:23">
      <c r="V751912" s="7"/>
      <c r="W751912" s="7"/>
    </row>
    <row r="752082" spans="22:23">
      <c r="V752082" s="7"/>
      <c r="W752082" s="7"/>
    </row>
    <row r="752252" spans="22:23">
      <c r="V752252" s="7"/>
      <c r="W752252" s="7"/>
    </row>
    <row r="752422" spans="22:23">
      <c r="V752422" s="7"/>
      <c r="W752422" s="7"/>
    </row>
    <row r="752592" spans="22:23">
      <c r="V752592" s="7"/>
      <c r="W752592" s="7"/>
    </row>
    <row r="752762" spans="22:23">
      <c r="V752762" s="7"/>
      <c r="W752762" s="7"/>
    </row>
    <row r="752932" spans="22:23">
      <c r="V752932" s="7"/>
      <c r="W752932" s="7"/>
    </row>
    <row r="753102" spans="22:23">
      <c r="V753102" s="7"/>
      <c r="W753102" s="7"/>
    </row>
    <row r="753272" spans="22:23">
      <c r="V753272" s="7"/>
      <c r="W753272" s="7"/>
    </row>
    <row r="753442" spans="22:23">
      <c r="V753442" s="7"/>
      <c r="W753442" s="7"/>
    </row>
    <row r="753612" spans="22:23">
      <c r="V753612" s="7"/>
      <c r="W753612" s="7"/>
    </row>
    <row r="753782" spans="22:23">
      <c r="V753782" s="7"/>
      <c r="W753782" s="7"/>
    </row>
    <row r="753952" spans="22:23">
      <c r="V753952" s="7"/>
      <c r="W753952" s="7"/>
    </row>
    <row r="754122" spans="22:23">
      <c r="V754122" s="7"/>
      <c r="W754122" s="7"/>
    </row>
    <row r="754292" spans="22:23">
      <c r="V754292" s="7"/>
      <c r="W754292" s="7"/>
    </row>
    <row r="754462" spans="22:23">
      <c r="V754462" s="7"/>
      <c r="W754462" s="7"/>
    </row>
    <row r="754632" spans="22:23">
      <c r="V754632" s="7"/>
      <c r="W754632" s="7"/>
    </row>
    <row r="754802" spans="22:23">
      <c r="V754802" s="7"/>
      <c r="W754802" s="7"/>
    </row>
    <row r="754972" spans="22:23">
      <c r="V754972" s="7"/>
      <c r="W754972" s="7"/>
    </row>
    <row r="755142" spans="22:23">
      <c r="V755142" s="7"/>
      <c r="W755142" s="7"/>
    </row>
    <row r="755312" spans="22:23">
      <c r="V755312" s="7"/>
      <c r="W755312" s="7"/>
    </row>
    <row r="755482" spans="22:23">
      <c r="V755482" s="7"/>
      <c r="W755482" s="7"/>
    </row>
    <row r="755652" spans="22:23">
      <c r="V755652" s="7"/>
      <c r="W755652" s="7"/>
    </row>
    <row r="755822" spans="22:23">
      <c r="V755822" s="7"/>
      <c r="W755822" s="7"/>
    </row>
    <row r="755992" spans="22:23">
      <c r="V755992" s="7"/>
      <c r="W755992" s="7"/>
    </row>
    <row r="756162" spans="22:23">
      <c r="V756162" s="7"/>
      <c r="W756162" s="7"/>
    </row>
    <row r="756332" spans="22:23">
      <c r="V756332" s="7"/>
      <c r="W756332" s="7"/>
    </row>
    <row r="756502" spans="22:23">
      <c r="V756502" s="7"/>
      <c r="W756502" s="7"/>
    </row>
    <row r="756672" spans="22:23">
      <c r="V756672" s="7"/>
      <c r="W756672" s="7"/>
    </row>
    <row r="756842" spans="22:23">
      <c r="V756842" s="7"/>
      <c r="W756842" s="7"/>
    </row>
    <row r="757012" spans="22:23">
      <c r="V757012" s="7"/>
      <c r="W757012" s="7"/>
    </row>
    <row r="757182" spans="22:23">
      <c r="V757182" s="7"/>
      <c r="W757182" s="7"/>
    </row>
    <row r="757352" spans="22:23">
      <c r="V757352" s="7"/>
      <c r="W757352" s="7"/>
    </row>
    <row r="757522" spans="22:23">
      <c r="V757522" s="7"/>
      <c r="W757522" s="7"/>
    </row>
    <row r="757692" spans="22:23">
      <c r="V757692" s="7"/>
      <c r="W757692" s="7"/>
    </row>
    <row r="757862" spans="22:23">
      <c r="V757862" s="7"/>
      <c r="W757862" s="7"/>
    </row>
    <row r="758032" spans="22:23">
      <c r="V758032" s="7"/>
      <c r="W758032" s="7"/>
    </row>
    <row r="758202" spans="22:23">
      <c r="V758202" s="7"/>
      <c r="W758202" s="7"/>
    </row>
    <row r="758372" spans="22:23">
      <c r="V758372" s="7"/>
      <c r="W758372" s="7"/>
    </row>
    <row r="758542" spans="22:23">
      <c r="V758542" s="7"/>
      <c r="W758542" s="7"/>
    </row>
    <row r="758712" spans="22:23">
      <c r="V758712" s="7"/>
      <c r="W758712" s="7"/>
    </row>
    <row r="758882" spans="22:23">
      <c r="V758882" s="7"/>
      <c r="W758882" s="7"/>
    </row>
    <row r="759052" spans="22:23">
      <c r="V759052" s="7"/>
      <c r="W759052" s="7"/>
    </row>
    <row r="759222" spans="22:23">
      <c r="V759222" s="7"/>
      <c r="W759222" s="7"/>
    </row>
    <row r="759392" spans="22:23">
      <c r="V759392" s="7"/>
      <c r="W759392" s="7"/>
    </row>
    <row r="759562" spans="22:23">
      <c r="V759562" s="7"/>
      <c r="W759562" s="7"/>
    </row>
    <row r="759732" spans="22:23">
      <c r="V759732" s="7"/>
      <c r="W759732" s="7"/>
    </row>
    <row r="759902" spans="22:23">
      <c r="V759902" s="7"/>
      <c r="W759902" s="7"/>
    </row>
    <row r="760072" spans="22:23">
      <c r="V760072" s="7"/>
      <c r="W760072" s="7"/>
    </row>
    <row r="760242" spans="22:23">
      <c r="V760242" s="7"/>
      <c r="W760242" s="7"/>
    </row>
    <row r="760412" spans="22:23">
      <c r="V760412" s="7"/>
      <c r="W760412" s="7"/>
    </row>
    <row r="760582" spans="22:23">
      <c r="V760582" s="7"/>
      <c r="W760582" s="7"/>
    </row>
    <row r="760752" spans="22:23">
      <c r="V760752" s="7"/>
      <c r="W760752" s="7"/>
    </row>
    <row r="760922" spans="22:23">
      <c r="V760922" s="7"/>
      <c r="W760922" s="7"/>
    </row>
    <row r="761092" spans="22:23">
      <c r="V761092" s="7"/>
      <c r="W761092" s="7"/>
    </row>
    <row r="761262" spans="22:23">
      <c r="V761262" s="7"/>
      <c r="W761262" s="7"/>
    </row>
    <row r="761432" spans="22:23">
      <c r="V761432" s="7"/>
      <c r="W761432" s="7"/>
    </row>
    <row r="761602" spans="22:23">
      <c r="V761602" s="7"/>
      <c r="W761602" s="7"/>
    </row>
    <row r="761772" spans="22:23">
      <c r="V761772" s="7"/>
      <c r="W761772" s="7"/>
    </row>
    <row r="761942" spans="22:23">
      <c r="V761942" s="7"/>
      <c r="W761942" s="7"/>
    </row>
    <row r="762112" spans="22:23">
      <c r="V762112" s="7"/>
      <c r="W762112" s="7"/>
    </row>
    <row r="762282" spans="22:23">
      <c r="V762282" s="7"/>
      <c r="W762282" s="7"/>
    </row>
    <row r="762452" spans="22:23">
      <c r="V762452" s="7"/>
      <c r="W762452" s="7"/>
    </row>
    <row r="762622" spans="22:23">
      <c r="V762622" s="7"/>
      <c r="W762622" s="7"/>
    </row>
    <row r="762792" spans="22:23">
      <c r="V762792" s="7"/>
      <c r="W762792" s="7"/>
    </row>
    <row r="762962" spans="22:23">
      <c r="V762962" s="7"/>
      <c r="W762962" s="7"/>
    </row>
    <row r="763132" spans="22:23">
      <c r="V763132" s="7"/>
      <c r="W763132" s="7"/>
    </row>
    <row r="763302" spans="22:23">
      <c r="V763302" s="7"/>
      <c r="W763302" s="7"/>
    </row>
    <row r="763472" spans="22:23">
      <c r="V763472" s="7"/>
      <c r="W763472" s="7"/>
    </row>
    <row r="763642" spans="22:23">
      <c r="V763642" s="7"/>
      <c r="W763642" s="7"/>
    </row>
    <row r="763812" spans="22:23">
      <c r="V763812" s="7"/>
      <c r="W763812" s="7"/>
    </row>
    <row r="763982" spans="22:23">
      <c r="V763982" s="7"/>
      <c r="W763982" s="7"/>
    </row>
    <row r="764152" spans="22:23">
      <c r="V764152" s="7"/>
      <c r="W764152" s="7"/>
    </row>
    <row r="764322" spans="22:23">
      <c r="V764322" s="7"/>
      <c r="W764322" s="7"/>
    </row>
    <row r="764492" spans="22:23">
      <c r="V764492" s="7"/>
      <c r="W764492" s="7"/>
    </row>
    <row r="764662" spans="22:23">
      <c r="V764662" s="7"/>
      <c r="W764662" s="7"/>
    </row>
    <row r="764832" spans="22:23">
      <c r="V764832" s="7"/>
      <c r="W764832" s="7"/>
    </row>
    <row r="765002" spans="22:23">
      <c r="V765002" s="7"/>
      <c r="W765002" s="7"/>
    </row>
    <row r="765172" spans="22:23">
      <c r="V765172" s="7"/>
      <c r="W765172" s="7"/>
    </row>
    <row r="765342" spans="22:23">
      <c r="V765342" s="7"/>
      <c r="W765342" s="7"/>
    </row>
    <row r="765512" spans="22:23">
      <c r="V765512" s="7"/>
      <c r="W765512" s="7"/>
    </row>
    <row r="765682" spans="22:23">
      <c r="V765682" s="7"/>
      <c r="W765682" s="7"/>
    </row>
    <row r="765852" spans="22:23">
      <c r="V765852" s="7"/>
      <c r="W765852" s="7"/>
    </row>
    <row r="766022" spans="22:23">
      <c r="V766022" s="7"/>
      <c r="W766022" s="7"/>
    </row>
    <row r="766192" spans="22:23">
      <c r="V766192" s="7"/>
      <c r="W766192" s="7"/>
    </row>
    <row r="766362" spans="22:23">
      <c r="V766362" s="7"/>
      <c r="W766362" s="7"/>
    </row>
    <row r="766532" spans="22:23">
      <c r="V766532" s="7"/>
      <c r="W766532" s="7"/>
    </row>
    <row r="766702" spans="22:23">
      <c r="V766702" s="7"/>
      <c r="W766702" s="7"/>
    </row>
    <row r="766872" spans="22:23">
      <c r="V766872" s="7"/>
      <c r="W766872" s="7"/>
    </row>
    <row r="767042" spans="22:23">
      <c r="V767042" s="7"/>
      <c r="W767042" s="7"/>
    </row>
    <row r="767212" spans="22:23">
      <c r="V767212" s="7"/>
      <c r="W767212" s="7"/>
    </row>
    <row r="767382" spans="22:23">
      <c r="V767382" s="7"/>
      <c r="W767382" s="7"/>
    </row>
    <row r="767552" spans="22:23">
      <c r="V767552" s="7"/>
      <c r="W767552" s="7"/>
    </row>
    <row r="767722" spans="22:23">
      <c r="V767722" s="7"/>
      <c r="W767722" s="7"/>
    </row>
    <row r="767892" spans="22:23">
      <c r="V767892" s="7"/>
      <c r="W767892" s="7"/>
    </row>
    <row r="768062" spans="22:23">
      <c r="V768062" s="7"/>
      <c r="W768062" s="7"/>
    </row>
    <row r="768232" spans="22:23">
      <c r="V768232" s="7"/>
      <c r="W768232" s="7"/>
    </row>
    <row r="768402" spans="22:23">
      <c r="V768402" s="7"/>
      <c r="W768402" s="7"/>
    </row>
    <row r="768572" spans="22:23">
      <c r="V768572" s="7"/>
      <c r="W768572" s="7"/>
    </row>
    <row r="768742" spans="22:23">
      <c r="V768742" s="7"/>
      <c r="W768742" s="7"/>
    </row>
    <row r="768912" spans="22:23">
      <c r="V768912" s="7"/>
      <c r="W768912" s="7"/>
    </row>
    <row r="769082" spans="22:23">
      <c r="V769082" s="7"/>
      <c r="W769082" s="7"/>
    </row>
    <row r="769252" spans="22:23">
      <c r="V769252" s="7"/>
      <c r="W769252" s="7"/>
    </row>
    <row r="769422" spans="22:23">
      <c r="V769422" s="7"/>
      <c r="W769422" s="7"/>
    </row>
    <row r="769592" spans="22:23">
      <c r="V769592" s="7"/>
      <c r="W769592" s="7"/>
    </row>
    <row r="769762" spans="22:23">
      <c r="V769762" s="7"/>
      <c r="W769762" s="7"/>
    </row>
    <row r="769932" spans="22:23">
      <c r="V769932" s="7"/>
      <c r="W769932" s="7"/>
    </row>
    <row r="770102" spans="22:23">
      <c r="V770102" s="7"/>
      <c r="W770102" s="7"/>
    </row>
    <row r="770272" spans="22:23">
      <c r="V770272" s="7"/>
      <c r="W770272" s="7"/>
    </row>
    <row r="770442" spans="22:23">
      <c r="V770442" s="7"/>
      <c r="W770442" s="7"/>
    </row>
    <row r="770612" spans="22:23">
      <c r="V770612" s="7"/>
      <c r="W770612" s="7"/>
    </row>
    <row r="770782" spans="22:23">
      <c r="V770782" s="7"/>
      <c r="W770782" s="7"/>
    </row>
    <row r="770952" spans="22:23">
      <c r="V770952" s="7"/>
      <c r="W770952" s="7"/>
    </row>
    <row r="771122" spans="22:23">
      <c r="V771122" s="7"/>
      <c r="W771122" s="7"/>
    </row>
    <row r="771292" spans="22:23">
      <c r="V771292" s="7"/>
      <c r="W771292" s="7"/>
    </row>
    <row r="771462" spans="22:23">
      <c r="V771462" s="7"/>
      <c r="W771462" s="7"/>
    </row>
    <row r="771632" spans="22:23">
      <c r="V771632" s="7"/>
      <c r="W771632" s="7"/>
    </row>
    <row r="771802" spans="22:23">
      <c r="V771802" s="7"/>
      <c r="W771802" s="7"/>
    </row>
    <row r="771972" spans="22:23">
      <c r="V771972" s="7"/>
      <c r="W771972" s="7"/>
    </row>
    <row r="772142" spans="22:23">
      <c r="V772142" s="7"/>
      <c r="W772142" s="7"/>
    </row>
    <row r="772312" spans="22:23">
      <c r="V772312" s="7"/>
      <c r="W772312" s="7"/>
    </row>
    <row r="772482" spans="22:23">
      <c r="V772482" s="7"/>
      <c r="W772482" s="7"/>
    </row>
    <row r="772652" spans="22:23">
      <c r="V772652" s="7"/>
      <c r="W772652" s="7"/>
    </row>
    <row r="772822" spans="22:23">
      <c r="V772822" s="7"/>
      <c r="W772822" s="7"/>
    </row>
    <row r="772992" spans="22:23">
      <c r="V772992" s="7"/>
      <c r="W772992" s="7"/>
    </row>
    <row r="773162" spans="22:23">
      <c r="V773162" s="7"/>
      <c r="W773162" s="7"/>
    </row>
    <row r="773332" spans="22:23">
      <c r="V773332" s="7"/>
      <c r="W773332" s="7"/>
    </row>
    <row r="773502" spans="22:23">
      <c r="V773502" s="7"/>
      <c r="W773502" s="7"/>
    </row>
    <row r="773672" spans="22:23">
      <c r="V773672" s="7"/>
      <c r="W773672" s="7"/>
    </row>
    <row r="773842" spans="22:23">
      <c r="V773842" s="7"/>
      <c r="W773842" s="7"/>
    </row>
    <row r="774012" spans="22:23">
      <c r="V774012" s="7"/>
      <c r="W774012" s="7"/>
    </row>
    <row r="774182" spans="22:23">
      <c r="V774182" s="7"/>
      <c r="W774182" s="7"/>
    </row>
    <row r="774352" spans="22:23">
      <c r="V774352" s="7"/>
      <c r="W774352" s="7"/>
    </row>
    <row r="774522" spans="22:23">
      <c r="V774522" s="7"/>
      <c r="W774522" s="7"/>
    </row>
    <row r="774692" spans="22:23">
      <c r="V774692" s="7"/>
      <c r="W774692" s="7"/>
    </row>
    <row r="774862" spans="22:23">
      <c r="V774862" s="7"/>
      <c r="W774862" s="7"/>
    </row>
    <row r="775032" spans="22:23">
      <c r="V775032" s="7"/>
      <c r="W775032" s="7"/>
    </row>
    <row r="775202" spans="22:23">
      <c r="V775202" s="7"/>
      <c r="W775202" s="7"/>
    </row>
    <row r="775372" spans="22:23">
      <c r="V775372" s="7"/>
      <c r="W775372" s="7"/>
    </row>
    <row r="775542" spans="22:23">
      <c r="V775542" s="7"/>
      <c r="W775542" s="7"/>
    </row>
    <row r="775712" spans="22:23">
      <c r="V775712" s="7"/>
      <c r="W775712" s="7"/>
    </row>
    <row r="775882" spans="22:23">
      <c r="V775882" s="7"/>
      <c r="W775882" s="7"/>
    </row>
    <row r="776052" spans="22:23">
      <c r="V776052" s="7"/>
      <c r="W776052" s="7"/>
    </row>
    <row r="776222" spans="22:23">
      <c r="V776222" s="7"/>
      <c r="W776222" s="7"/>
    </row>
    <row r="776392" spans="22:23">
      <c r="V776392" s="7"/>
      <c r="W776392" s="7"/>
    </row>
    <row r="776562" spans="22:23">
      <c r="V776562" s="7"/>
      <c r="W776562" s="7"/>
    </row>
    <row r="776732" spans="22:23">
      <c r="V776732" s="7"/>
      <c r="W776732" s="7"/>
    </row>
    <row r="776902" spans="22:23">
      <c r="V776902" s="7"/>
      <c r="W776902" s="7"/>
    </row>
    <row r="777072" spans="22:23">
      <c r="V777072" s="7"/>
      <c r="W777072" s="7"/>
    </row>
    <row r="777242" spans="22:23">
      <c r="V777242" s="7"/>
      <c r="W777242" s="7"/>
    </row>
    <row r="777412" spans="22:23">
      <c r="V777412" s="7"/>
      <c r="W777412" s="7"/>
    </row>
    <row r="777582" spans="22:23">
      <c r="V777582" s="7"/>
      <c r="W777582" s="7"/>
    </row>
    <row r="777752" spans="22:23">
      <c r="V777752" s="7"/>
      <c r="W777752" s="7"/>
    </row>
    <row r="777922" spans="22:23">
      <c r="V777922" s="7"/>
      <c r="W777922" s="7"/>
    </row>
    <row r="778092" spans="22:23">
      <c r="V778092" s="7"/>
      <c r="W778092" s="7"/>
    </row>
    <row r="778262" spans="22:23">
      <c r="V778262" s="7"/>
      <c r="W778262" s="7"/>
    </row>
    <row r="778432" spans="22:23">
      <c r="V778432" s="7"/>
      <c r="W778432" s="7"/>
    </row>
    <row r="778602" spans="22:23">
      <c r="V778602" s="7"/>
      <c r="W778602" s="7"/>
    </row>
    <row r="778772" spans="22:23">
      <c r="V778772" s="7"/>
      <c r="W778772" s="7"/>
    </row>
    <row r="778942" spans="22:23">
      <c r="V778942" s="7"/>
      <c r="W778942" s="7"/>
    </row>
    <row r="779112" spans="22:23">
      <c r="V779112" s="7"/>
      <c r="W779112" s="7"/>
    </row>
    <row r="779282" spans="22:23">
      <c r="V779282" s="7"/>
      <c r="W779282" s="7"/>
    </row>
    <row r="779452" spans="22:23">
      <c r="V779452" s="7"/>
      <c r="W779452" s="7"/>
    </row>
    <row r="779622" spans="22:23">
      <c r="V779622" s="7"/>
      <c r="W779622" s="7"/>
    </row>
    <row r="779792" spans="22:23">
      <c r="V779792" s="7"/>
      <c r="W779792" s="7"/>
    </row>
    <row r="779962" spans="22:23">
      <c r="V779962" s="7"/>
      <c r="W779962" s="7"/>
    </row>
    <row r="780132" spans="22:23">
      <c r="V780132" s="7"/>
      <c r="W780132" s="7"/>
    </row>
    <row r="780302" spans="22:23">
      <c r="V780302" s="7"/>
      <c r="W780302" s="7"/>
    </row>
    <row r="780472" spans="22:23">
      <c r="V780472" s="7"/>
      <c r="W780472" s="7"/>
    </row>
    <row r="780642" spans="22:23">
      <c r="V780642" s="7"/>
      <c r="W780642" s="7"/>
    </row>
    <row r="780812" spans="22:23">
      <c r="V780812" s="7"/>
      <c r="W780812" s="7"/>
    </row>
    <row r="780982" spans="22:23">
      <c r="V780982" s="7"/>
      <c r="W780982" s="7"/>
    </row>
    <row r="781152" spans="22:23">
      <c r="V781152" s="7"/>
      <c r="W781152" s="7"/>
    </row>
    <row r="781322" spans="22:23">
      <c r="V781322" s="7"/>
      <c r="W781322" s="7"/>
    </row>
    <row r="781492" spans="22:23">
      <c r="V781492" s="7"/>
      <c r="W781492" s="7"/>
    </row>
    <row r="781662" spans="22:23">
      <c r="V781662" s="7"/>
      <c r="W781662" s="7"/>
    </row>
    <row r="781832" spans="22:23">
      <c r="V781832" s="7"/>
      <c r="W781832" s="7"/>
    </row>
    <row r="782002" spans="22:23">
      <c r="V782002" s="7"/>
      <c r="W782002" s="7"/>
    </row>
    <row r="782172" spans="22:23">
      <c r="V782172" s="7"/>
      <c r="W782172" s="7"/>
    </row>
    <row r="782342" spans="22:23">
      <c r="V782342" s="7"/>
      <c r="W782342" s="7"/>
    </row>
    <row r="782512" spans="22:23">
      <c r="V782512" s="7"/>
      <c r="W782512" s="7"/>
    </row>
    <row r="782682" spans="22:23">
      <c r="V782682" s="7"/>
      <c r="W782682" s="7"/>
    </row>
    <row r="782852" spans="22:23">
      <c r="V782852" s="7"/>
      <c r="W782852" s="7"/>
    </row>
    <row r="783022" spans="22:23">
      <c r="V783022" s="7"/>
      <c r="W783022" s="7"/>
    </row>
    <row r="783192" spans="22:23">
      <c r="V783192" s="7"/>
      <c r="W783192" s="7"/>
    </row>
    <row r="783362" spans="22:23">
      <c r="V783362" s="7"/>
      <c r="W783362" s="7"/>
    </row>
    <row r="783532" spans="22:23">
      <c r="V783532" s="7"/>
      <c r="W783532" s="7"/>
    </row>
    <row r="783702" spans="22:23">
      <c r="V783702" s="7"/>
      <c r="W783702" s="7"/>
    </row>
    <row r="783872" spans="22:23">
      <c r="V783872" s="7"/>
      <c r="W783872" s="7"/>
    </row>
    <row r="784042" spans="22:23">
      <c r="V784042" s="7"/>
      <c r="W784042" s="7"/>
    </row>
    <row r="784212" spans="22:23">
      <c r="V784212" s="7"/>
      <c r="W784212" s="7"/>
    </row>
    <row r="784382" spans="22:23">
      <c r="V784382" s="7"/>
      <c r="W784382" s="7"/>
    </row>
    <row r="784552" spans="22:23">
      <c r="V784552" s="7"/>
      <c r="W784552" s="7"/>
    </row>
    <row r="784722" spans="22:23">
      <c r="V784722" s="7"/>
      <c r="W784722" s="7"/>
    </row>
    <row r="784892" spans="22:23">
      <c r="V784892" s="7"/>
      <c r="W784892" s="7"/>
    </row>
    <row r="785062" spans="22:23">
      <c r="V785062" s="7"/>
      <c r="W785062" s="7"/>
    </row>
    <row r="785232" spans="22:23">
      <c r="V785232" s="7"/>
      <c r="W785232" s="7"/>
    </row>
    <row r="785402" spans="22:23">
      <c r="V785402" s="7"/>
      <c r="W785402" s="7"/>
    </row>
    <row r="785572" spans="22:23">
      <c r="V785572" s="7"/>
      <c r="W785572" s="7"/>
    </row>
    <row r="785742" spans="22:23">
      <c r="V785742" s="7"/>
      <c r="W785742" s="7"/>
    </row>
    <row r="785912" spans="22:23">
      <c r="V785912" s="7"/>
      <c r="W785912" s="7"/>
    </row>
    <row r="786082" spans="22:23">
      <c r="V786082" s="7"/>
      <c r="W786082" s="7"/>
    </row>
    <row r="786252" spans="22:23">
      <c r="V786252" s="7"/>
      <c r="W786252" s="7"/>
    </row>
    <row r="786422" spans="22:23">
      <c r="V786422" s="7"/>
      <c r="W786422" s="7"/>
    </row>
    <row r="786592" spans="22:23">
      <c r="V786592" s="7"/>
      <c r="W786592" s="7"/>
    </row>
    <row r="786762" spans="22:23">
      <c r="V786762" s="7"/>
      <c r="W786762" s="7"/>
    </row>
    <row r="786932" spans="22:23">
      <c r="V786932" s="7"/>
      <c r="W786932" s="7"/>
    </row>
    <row r="787102" spans="22:23">
      <c r="V787102" s="7"/>
      <c r="W787102" s="7"/>
    </row>
    <row r="787272" spans="22:23">
      <c r="V787272" s="7"/>
      <c r="W787272" s="7"/>
    </row>
    <row r="787442" spans="22:23">
      <c r="V787442" s="7"/>
      <c r="W787442" s="7"/>
    </row>
    <row r="787612" spans="22:23">
      <c r="V787612" s="7"/>
      <c r="W787612" s="7"/>
    </row>
    <row r="787782" spans="22:23">
      <c r="V787782" s="7"/>
      <c r="W787782" s="7"/>
    </row>
    <row r="787952" spans="22:23">
      <c r="V787952" s="7"/>
      <c r="W787952" s="7"/>
    </row>
    <row r="788122" spans="22:23">
      <c r="V788122" s="7"/>
      <c r="W788122" s="7"/>
    </row>
    <row r="788292" spans="22:23">
      <c r="V788292" s="7"/>
      <c r="W788292" s="7"/>
    </row>
    <row r="788462" spans="22:23">
      <c r="V788462" s="7"/>
      <c r="W788462" s="7"/>
    </row>
    <row r="788632" spans="22:23">
      <c r="V788632" s="7"/>
      <c r="W788632" s="7"/>
    </row>
    <row r="788802" spans="22:23">
      <c r="V788802" s="7"/>
      <c r="W788802" s="7"/>
    </row>
    <row r="788972" spans="22:23">
      <c r="V788972" s="7"/>
      <c r="W788972" s="7"/>
    </row>
    <row r="789142" spans="22:23">
      <c r="V789142" s="7"/>
      <c r="W789142" s="7"/>
    </row>
    <row r="789312" spans="22:23">
      <c r="V789312" s="7"/>
      <c r="W789312" s="7"/>
    </row>
    <row r="789482" spans="22:23">
      <c r="V789482" s="7"/>
      <c r="W789482" s="7"/>
    </row>
    <row r="789652" spans="22:23">
      <c r="V789652" s="7"/>
      <c r="W789652" s="7"/>
    </row>
    <row r="789822" spans="22:23">
      <c r="V789822" s="7"/>
      <c r="W789822" s="7"/>
    </row>
    <row r="789992" spans="22:23">
      <c r="V789992" s="7"/>
      <c r="W789992" s="7"/>
    </row>
    <row r="790162" spans="22:23">
      <c r="V790162" s="7"/>
      <c r="W790162" s="7"/>
    </row>
    <row r="790332" spans="22:23">
      <c r="V790332" s="7"/>
      <c r="W790332" s="7"/>
    </row>
    <row r="790502" spans="22:23">
      <c r="V790502" s="7"/>
      <c r="W790502" s="7"/>
    </row>
    <row r="790672" spans="22:23">
      <c r="V790672" s="7"/>
      <c r="W790672" s="7"/>
    </row>
    <row r="790842" spans="22:23">
      <c r="V790842" s="7"/>
      <c r="W790842" s="7"/>
    </row>
    <row r="791012" spans="22:23">
      <c r="V791012" s="7"/>
      <c r="W791012" s="7"/>
    </row>
    <row r="791182" spans="22:23">
      <c r="V791182" s="7"/>
      <c r="W791182" s="7"/>
    </row>
    <row r="791352" spans="22:23">
      <c r="V791352" s="7"/>
      <c r="W791352" s="7"/>
    </row>
    <row r="791522" spans="22:23">
      <c r="V791522" s="7"/>
      <c r="W791522" s="7"/>
    </row>
    <row r="791692" spans="22:23">
      <c r="V791692" s="7"/>
      <c r="W791692" s="7"/>
    </row>
    <row r="791862" spans="22:23">
      <c r="V791862" s="7"/>
      <c r="W791862" s="7"/>
    </row>
    <row r="792032" spans="22:23">
      <c r="V792032" s="7"/>
      <c r="W792032" s="7"/>
    </row>
    <row r="792202" spans="22:23">
      <c r="V792202" s="7"/>
      <c r="W792202" s="7"/>
    </row>
    <row r="792372" spans="22:23">
      <c r="V792372" s="7"/>
      <c r="W792372" s="7"/>
    </row>
    <row r="792542" spans="22:23">
      <c r="V792542" s="7"/>
      <c r="W792542" s="7"/>
    </row>
    <row r="792712" spans="22:23">
      <c r="V792712" s="7"/>
      <c r="W792712" s="7"/>
    </row>
    <row r="792882" spans="22:23">
      <c r="V792882" s="7"/>
      <c r="W792882" s="7"/>
    </row>
    <row r="793052" spans="22:23">
      <c r="V793052" s="7"/>
      <c r="W793052" s="7"/>
    </row>
    <row r="793222" spans="22:23">
      <c r="V793222" s="7"/>
      <c r="W793222" s="7"/>
    </row>
    <row r="793392" spans="22:23">
      <c r="V793392" s="7"/>
      <c r="W793392" s="7"/>
    </row>
    <row r="793562" spans="22:23">
      <c r="V793562" s="7"/>
      <c r="W793562" s="7"/>
    </row>
    <row r="793732" spans="22:23">
      <c r="V793732" s="7"/>
      <c r="W793732" s="7"/>
    </row>
    <row r="793902" spans="22:23">
      <c r="V793902" s="7"/>
      <c r="W793902" s="7"/>
    </row>
    <row r="794072" spans="22:23">
      <c r="V794072" s="7"/>
      <c r="W794072" s="7"/>
    </row>
    <row r="794242" spans="22:23">
      <c r="V794242" s="7"/>
      <c r="W794242" s="7"/>
    </row>
    <row r="794412" spans="22:23">
      <c r="V794412" s="7"/>
      <c r="W794412" s="7"/>
    </row>
    <row r="794582" spans="22:23">
      <c r="V794582" s="7"/>
      <c r="W794582" s="7"/>
    </row>
    <row r="794752" spans="22:23">
      <c r="V794752" s="7"/>
      <c r="W794752" s="7"/>
    </row>
    <row r="794922" spans="22:23">
      <c r="V794922" s="7"/>
      <c r="W794922" s="7"/>
    </row>
    <row r="795092" spans="22:23">
      <c r="V795092" s="7"/>
      <c r="W795092" s="7"/>
    </row>
    <row r="795262" spans="22:23">
      <c r="V795262" s="7"/>
      <c r="W795262" s="7"/>
    </row>
    <row r="795432" spans="22:23">
      <c r="V795432" s="7"/>
      <c r="W795432" s="7"/>
    </row>
    <row r="795602" spans="22:23">
      <c r="V795602" s="7"/>
      <c r="W795602" s="7"/>
    </row>
    <row r="795772" spans="22:23">
      <c r="V795772" s="7"/>
      <c r="W795772" s="7"/>
    </row>
    <row r="795942" spans="22:23">
      <c r="V795942" s="7"/>
      <c r="W795942" s="7"/>
    </row>
    <row r="796112" spans="22:23">
      <c r="V796112" s="7"/>
      <c r="W796112" s="7"/>
    </row>
    <row r="796282" spans="22:23">
      <c r="V796282" s="7"/>
      <c r="W796282" s="7"/>
    </row>
    <row r="796452" spans="22:23">
      <c r="V796452" s="7"/>
      <c r="W796452" s="7"/>
    </row>
    <row r="796622" spans="22:23">
      <c r="V796622" s="7"/>
      <c r="W796622" s="7"/>
    </row>
    <row r="796792" spans="22:23">
      <c r="V796792" s="7"/>
      <c r="W796792" s="7"/>
    </row>
    <row r="796962" spans="22:23">
      <c r="V796962" s="7"/>
      <c r="W796962" s="7"/>
    </row>
    <row r="797132" spans="22:23">
      <c r="V797132" s="7"/>
      <c r="W797132" s="7"/>
    </row>
    <row r="797302" spans="22:23">
      <c r="V797302" s="7"/>
      <c r="W797302" s="7"/>
    </row>
    <row r="797472" spans="22:23">
      <c r="V797472" s="7"/>
      <c r="W797472" s="7"/>
    </row>
    <row r="797642" spans="22:23">
      <c r="V797642" s="7"/>
      <c r="W797642" s="7"/>
    </row>
    <row r="797812" spans="22:23">
      <c r="V797812" s="7"/>
      <c r="W797812" s="7"/>
    </row>
    <row r="797982" spans="22:23">
      <c r="V797982" s="7"/>
      <c r="W797982" s="7"/>
    </row>
    <row r="798152" spans="22:23">
      <c r="V798152" s="7"/>
      <c r="W798152" s="7"/>
    </row>
    <row r="798322" spans="22:23">
      <c r="V798322" s="7"/>
      <c r="W798322" s="7"/>
    </row>
    <row r="798492" spans="22:23">
      <c r="V798492" s="7"/>
      <c r="W798492" s="7"/>
    </row>
    <row r="798662" spans="22:23">
      <c r="V798662" s="7"/>
      <c r="W798662" s="7"/>
    </row>
    <row r="798832" spans="22:23">
      <c r="V798832" s="7"/>
      <c r="W798832" s="7"/>
    </row>
    <row r="799002" spans="22:23">
      <c r="V799002" s="7"/>
      <c r="W799002" s="7"/>
    </row>
    <row r="799172" spans="22:23">
      <c r="V799172" s="7"/>
      <c r="W799172" s="7"/>
    </row>
    <row r="799342" spans="22:23">
      <c r="V799342" s="7"/>
      <c r="W799342" s="7"/>
    </row>
    <row r="799512" spans="22:23">
      <c r="V799512" s="7"/>
      <c r="W799512" s="7"/>
    </row>
    <row r="799682" spans="22:23">
      <c r="V799682" s="7"/>
      <c r="W799682" s="7"/>
    </row>
    <row r="799852" spans="22:23">
      <c r="V799852" s="7"/>
      <c r="W799852" s="7"/>
    </row>
    <row r="800022" spans="22:23">
      <c r="V800022" s="7"/>
      <c r="W800022" s="7"/>
    </row>
    <row r="800192" spans="22:23">
      <c r="V800192" s="7"/>
      <c r="W800192" s="7"/>
    </row>
    <row r="800362" spans="22:23">
      <c r="V800362" s="7"/>
      <c r="W800362" s="7"/>
    </row>
    <row r="800532" spans="22:23">
      <c r="V800532" s="7"/>
      <c r="W800532" s="7"/>
    </row>
    <row r="800702" spans="22:23">
      <c r="V800702" s="7"/>
      <c r="W800702" s="7"/>
    </row>
    <row r="800872" spans="22:23">
      <c r="V800872" s="7"/>
      <c r="W800872" s="7"/>
    </row>
    <row r="801042" spans="22:23">
      <c r="V801042" s="7"/>
      <c r="W801042" s="7"/>
    </row>
    <row r="801212" spans="22:23">
      <c r="V801212" s="7"/>
      <c r="W801212" s="7"/>
    </row>
    <row r="801382" spans="22:23">
      <c r="V801382" s="7"/>
      <c r="W801382" s="7"/>
    </row>
    <row r="801552" spans="22:23">
      <c r="V801552" s="7"/>
      <c r="W801552" s="7"/>
    </row>
    <row r="801722" spans="22:23">
      <c r="V801722" s="7"/>
      <c r="W801722" s="7"/>
    </row>
    <row r="801892" spans="22:23">
      <c r="V801892" s="7"/>
      <c r="W801892" s="7"/>
    </row>
    <row r="802062" spans="22:23">
      <c r="V802062" s="7"/>
      <c r="W802062" s="7"/>
    </row>
    <row r="802232" spans="22:23">
      <c r="V802232" s="7"/>
      <c r="W802232" s="7"/>
    </row>
    <row r="802402" spans="22:23">
      <c r="V802402" s="7"/>
      <c r="W802402" s="7"/>
    </row>
    <row r="802572" spans="22:23">
      <c r="V802572" s="7"/>
      <c r="W802572" s="7"/>
    </row>
    <row r="802742" spans="22:23">
      <c r="V802742" s="7"/>
      <c r="W802742" s="7"/>
    </row>
    <row r="802912" spans="22:23">
      <c r="V802912" s="7"/>
      <c r="W802912" s="7"/>
    </row>
    <row r="803082" spans="22:23">
      <c r="V803082" s="7"/>
      <c r="W803082" s="7"/>
    </row>
    <row r="803252" spans="22:23">
      <c r="V803252" s="7"/>
      <c r="W803252" s="7"/>
    </row>
    <row r="803422" spans="22:23">
      <c r="V803422" s="7"/>
      <c r="W803422" s="7"/>
    </row>
    <row r="803592" spans="22:23">
      <c r="V803592" s="7"/>
      <c r="W803592" s="7"/>
    </row>
    <row r="803762" spans="22:23">
      <c r="V803762" s="7"/>
      <c r="W803762" s="7"/>
    </row>
    <row r="803932" spans="22:23">
      <c r="V803932" s="7"/>
      <c r="W803932" s="7"/>
    </row>
    <row r="804102" spans="22:23">
      <c r="V804102" s="7"/>
      <c r="W804102" s="7"/>
    </row>
    <row r="804272" spans="22:23">
      <c r="V804272" s="7"/>
      <c r="W804272" s="7"/>
    </row>
    <row r="804442" spans="22:23">
      <c r="V804442" s="7"/>
      <c r="W804442" s="7"/>
    </row>
    <row r="804612" spans="22:23">
      <c r="V804612" s="7"/>
      <c r="W804612" s="7"/>
    </row>
    <row r="804782" spans="22:23">
      <c r="V804782" s="7"/>
      <c r="W804782" s="7"/>
    </row>
    <row r="804952" spans="22:23">
      <c r="V804952" s="7"/>
      <c r="W804952" s="7"/>
    </row>
    <row r="805122" spans="22:23">
      <c r="V805122" s="7"/>
      <c r="W805122" s="7"/>
    </row>
    <row r="805292" spans="22:23">
      <c r="V805292" s="7"/>
      <c r="W805292" s="7"/>
    </row>
    <row r="805462" spans="22:23">
      <c r="V805462" s="7"/>
      <c r="W805462" s="7"/>
    </row>
    <row r="805632" spans="22:23">
      <c r="V805632" s="7"/>
      <c r="W805632" s="7"/>
    </row>
    <row r="805802" spans="22:23">
      <c r="V805802" s="7"/>
      <c r="W805802" s="7"/>
    </row>
    <row r="805972" spans="22:23">
      <c r="V805972" s="7"/>
      <c r="W805972" s="7"/>
    </row>
    <row r="806142" spans="22:23">
      <c r="V806142" s="7"/>
      <c r="W806142" s="7"/>
    </row>
    <row r="806312" spans="22:23">
      <c r="V806312" s="7"/>
      <c r="W806312" s="7"/>
    </row>
    <row r="806482" spans="22:23">
      <c r="V806482" s="7"/>
      <c r="W806482" s="7"/>
    </row>
    <row r="806652" spans="22:23">
      <c r="V806652" s="7"/>
      <c r="W806652" s="7"/>
    </row>
    <row r="806822" spans="22:23">
      <c r="V806822" s="7"/>
      <c r="W806822" s="7"/>
    </row>
    <row r="806992" spans="22:23">
      <c r="V806992" s="7"/>
      <c r="W806992" s="7"/>
    </row>
    <row r="807162" spans="22:23">
      <c r="V807162" s="7"/>
      <c r="W807162" s="7"/>
    </row>
    <row r="807332" spans="22:23">
      <c r="V807332" s="7"/>
      <c r="W807332" s="7"/>
    </row>
    <row r="807502" spans="22:23">
      <c r="V807502" s="7"/>
      <c r="W807502" s="7"/>
    </row>
    <row r="807672" spans="22:23">
      <c r="V807672" s="7"/>
      <c r="W807672" s="7"/>
    </row>
    <row r="807842" spans="22:23">
      <c r="V807842" s="7"/>
      <c r="W807842" s="7"/>
    </row>
    <row r="808012" spans="22:23">
      <c r="V808012" s="7"/>
      <c r="W808012" s="7"/>
    </row>
    <row r="808182" spans="22:23">
      <c r="V808182" s="7"/>
      <c r="W808182" s="7"/>
    </row>
    <row r="808352" spans="22:23">
      <c r="V808352" s="7"/>
      <c r="W808352" s="7"/>
    </row>
    <row r="808522" spans="22:23">
      <c r="V808522" s="7"/>
      <c r="W808522" s="7"/>
    </row>
    <row r="808692" spans="22:23">
      <c r="V808692" s="7"/>
      <c r="W808692" s="7"/>
    </row>
    <row r="808862" spans="22:23">
      <c r="V808862" s="7"/>
      <c r="W808862" s="7"/>
    </row>
    <row r="809032" spans="22:23">
      <c r="V809032" s="7"/>
      <c r="W809032" s="7"/>
    </row>
    <row r="809202" spans="22:23">
      <c r="V809202" s="7"/>
      <c r="W809202" s="7"/>
    </row>
    <row r="809372" spans="22:23">
      <c r="V809372" s="7"/>
      <c r="W809372" s="7"/>
    </row>
    <row r="809542" spans="22:23">
      <c r="V809542" s="7"/>
      <c r="W809542" s="7"/>
    </row>
    <row r="809712" spans="22:23">
      <c r="V809712" s="7"/>
      <c r="W809712" s="7"/>
    </row>
    <row r="809882" spans="22:23">
      <c r="V809882" s="7"/>
      <c r="W809882" s="7"/>
    </row>
    <row r="810052" spans="22:23">
      <c r="V810052" s="7"/>
      <c r="W810052" s="7"/>
    </row>
    <row r="810222" spans="22:23">
      <c r="V810222" s="7"/>
      <c r="W810222" s="7"/>
    </row>
    <row r="810392" spans="22:23">
      <c r="V810392" s="7"/>
      <c r="W810392" s="7"/>
    </row>
    <row r="810562" spans="22:23">
      <c r="V810562" s="7"/>
      <c r="W810562" s="7"/>
    </row>
    <row r="810732" spans="22:23">
      <c r="V810732" s="7"/>
      <c r="W810732" s="7"/>
    </row>
    <row r="810902" spans="22:23">
      <c r="V810902" s="7"/>
      <c r="W810902" s="7"/>
    </row>
    <row r="811072" spans="22:23">
      <c r="V811072" s="7"/>
      <c r="W811072" s="7"/>
    </row>
    <row r="811242" spans="22:23">
      <c r="V811242" s="7"/>
      <c r="W811242" s="7"/>
    </row>
    <row r="811412" spans="22:23">
      <c r="V811412" s="7"/>
      <c r="W811412" s="7"/>
    </row>
    <row r="811582" spans="22:23">
      <c r="V811582" s="7"/>
      <c r="W811582" s="7"/>
    </row>
    <row r="811752" spans="22:23">
      <c r="V811752" s="7"/>
      <c r="W811752" s="7"/>
    </row>
    <row r="811922" spans="22:23">
      <c r="V811922" s="7"/>
      <c r="W811922" s="7"/>
    </row>
    <row r="812092" spans="22:23">
      <c r="V812092" s="7"/>
      <c r="W812092" s="7"/>
    </row>
    <row r="812262" spans="22:23">
      <c r="V812262" s="7"/>
      <c r="W812262" s="7"/>
    </row>
    <row r="812432" spans="22:23">
      <c r="V812432" s="7"/>
      <c r="W812432" s="7"/>
    </row>
    <row r="812602" spans="22:23">
      <c r="V812602" s="7"/>
      <c r="W812602" s="7"/>
    </row>
    <row r="812772" spans="22:23">
      <c r="V812772" s="7"/>
      <c r="W812772" s="7"/>
    </row>
    <row r="812942" spans="22:23">
      <c r="V812942" s="7"/>
      <c r="W812942" s="7"/>
    </row>
    <row r="813112" spans="22:23">
      <c r="V813112" s="7"/>
      <c r="W813112" s="7"/>
    </row>
    <row r="813282" spans="22:23">
      <c r="V813282" s="7"/>
      <c r="W813282" s="7"/>
    </row>
    <row r="813452" spans="22:23">
      <c r="V813452" s="7"/>
      <c r="W813452" s="7"/>
    </row>
    <row r="813622" spans="22:23">
      <c r="V813622" s="7"/>
      <c r="W813622" s="7"/>
    </row>
    <row r="813792" spans="22:23">
      <c r="V813792" s="7"/>
      <c r="W813792" s="7"/>
    </row>
    <row r="813962" spans="22:23">
      <c r="V813962" s="7"/>
      <c r="W813962" s="7"/>
    </row>
    <row r="814132" spans="22:23">
      <c r="V814132" s="7"/>
      <c r="W814132" s="7"/>
    </row>
    <row r="814302" spans="22:23">
      <c r="V814302" s="7"/>
      <c r="W814302" s="7"/>
    </row>
    <row r="814472" spans="22:23">
      <c r="V814472" s="7"/>
      <c r="W814472" s="7"/>
    </row>
    <row r="814642" spans="22:23">
      <c r="V814642" s="7"/>
      <c r="W814642" s="7"/>
    </row>
    <row r="814812" spans="22:23">
      <c r="V814812" s="7"/>
      <c r="W814812" s="7"/>
    </row>
    <row r="814982" spans="22:23">
      <c r="V814982" s="7"/>
      <c r="W814982" s="7"/>
    </row>
    <row r="815152" spans="22:23">
      <c r="V815152" s="7"/>
      <c r="W815152" s="7"/>
    </row>
    <row r="815322" spans="22:23">
      <c r="V815322" s="7"/>
      <c r="W815322" s="7"/>
    </row>
    <row r="815492" spans="22:23">
      <c r="V815492" s="7"/>
      <c r="W815492" s="7"/>
    </row>
    <row r="815662" spans="22:23">
      <c r="V815662" s="7"/>
      <c r="W815662" s="7"/>
    </row>
    <row r="815832" spans="22:23">
      <c r="V815832" s="7"/>
      <c r="W815832" s="7"/>
    </row>
    <row r="816002" spans="22:23">
      <c r="V816002" s="7"/>
      <c r="W816002" s="7"/>
    </row>
    <row r="816172" spans="22:23">
      <c r="V816172" s="7"/>
      <c r="W816172" s="7"/>
    </row>
    <row r="816342" spans="22:23">
      <c r="V816342" s="7"/>
      <c r="W816342" s="7"/>
    </row>
    <row r="816512" spans="22:23">
      <c r="V816512" s="7"/>
      <c r="W816512" s="7"/>
    </row>
    <row r="816682" spans="22:23">
      <c r="V816682" s="7"/>
      <c r="W816682" s="7"/>
    </row>
    <row r="816852" spans="22:23">
      <c r="V816852" s="7"/>
      <c r="W816852" s="7"/>
    </row>
    <row r="817022" spans="22:23">
      <c r="V817022" s="7"/>
      <c r="W817022" s="7"/>
    </row>
    <row r="817192" spans="22:23">
      <c r="V817192" s="7"/>
      <c r="W817192" s="7"/>
    </row>
    <row r="817362" spans="22:23">
      <c r="V817362" s="7"/>
      <c r="W817362" s="7"/>
    </row>
    <row r="817532" spans="22:23">
      <c r="V817532" s="7"/>
      <c r="W817532" s="7"/>
    </row>
    <row r="817702" spans="22:23">
      <c r="V817702" s="7"/>
      <c r="W817702" s="7"/>
    </row>
    <row r="817872" spans="22:23">
      <c r="V817872" s="7"/>
      <c r="W817872" s="7"/>
    </row>
    <row r="818042" spans="22:23">
      <c r="V818042" s="7"/>
      <c r="W818042" s="7"/>
    </row>
    <row r="818212" spans="22:23">
      <c r="V818212" s="7"/>
      <c r="W818212" s="7"/>
    </row>
    <row r="818382" spans="22:23">
      <c r="V818382" s="7"/>
      <c r="W818382" s="7"/>
    </row>
    <row r="818552" spans="22:23">
      <c r="V818552" s="7"/>
      <c r="W818552" s="7"/>
    </row>
    <row r="818722" spans="22:23">
      <c r="V818722" s="7"/>
      <c r="W818722" s="7"/>
    </row>
    <row r="818892" spans="22:23">
      <c r="V818892" s="7"/>
      <c r="W818892" s="7"/>
    </row>
    <row r="819062" spans="22:23">
      <c r="V819062" s="7"/>
      <c r="W819062" s="7"/>
    </row>
    <row r="819232" spans="22:23">
      <c r="V819232" s="7"/>
      <c r="W819232" s="7"/>
    </row>
    <row r="819402" spans="22:23">
      <c r="V819402" s="7"/>
      <c r="W819402" s="7"/>
    </row>
    <row r="819572" spans="22:23">
      <c r="V819572" s="7"/>
      <c r="W819572" s="7"/>
    </row>
    <row r="819742" spans="22:23">
      <c r="V819742" s="7"/>
      <c r="W819742" s="7"/>
    </row>
    <row r="819912" spans="22:23">
      <c r="V819912" s="7"/>
      <c r="W819912" s="7"/>
    </row>
    <row r="820082" spans="22:23">
      <c r="V820082" s="7"/>
      <c r="W820082" s="7"/>
    </row>
    <row r="820252" spans="22:23">
      <c r="V820252" s="7"/>
      <c r="W820252" s="7"/>
    </row>
    <row r="820422" spans="22:23">
      <c r="V820422" s="7"/>
      <c r="W820422" s="7"/>
    </row>
    <row r="820592" spans="22:23">
      <c r="V820592" s="7"/>
      <c r="W820592" s="7"/>
    </row>
    <row r="820762" spans="22:23">
      <c r="V820762" s="7"/>
      <c r="W820762" s="7"/>
    </row>
    <row r="820932" spans="22:23">
      <c r="V820932" s="7"/>
      <c r="W820932" s="7"/>
    </row>
    <row r="821102" spans="22:23">
      <c r="V821102" s="7"/>
      <c r="W821102" s="7"/>
    </row>
    <row r="821272" spans="22:23">
      <c r="V821272" s="7"/>
      <c r="W821272" s="7"/>
    </row>
    <row r="821442" spans="22:23">
      <c r="V821442" s="7"/>
      <c r="W821442" s="7"/>
    </row>
    <row r="821612" spans="22:23">
      <c r="V821612" s="7"/>
      <c r="W821612" s="7"/>
    </row>
    <row r="821782" spans="22:23">
      <c r="V821782" s="7"/>
      <c r="W821782" s="7"/>
    </row>
    <row r="821952" spans="22:23">
      <c r="V821952" s="7"/>
      <c r="W821952" s="7"/>
    </row>
    <row r="822122" spans="22:23">
      <c r="V822122" s="7"/>
      <c r="W822122" s="7"/>
    </row>
    <row r="822292" spans="22:23">
      <c r="V822292" s="7"/>
      <c r="W822292" s="7"/>
    </row>
    <row r="822462" spans="22:23">
      <c r="V822462" s="7"/>
      <c r="W822462" s="7"/>
    </row>
    <row r="822632" spans="22:23">
      <c r="V822632" s="7"/>
      <c r="W822632" s="7"/>
    </row>
    <row r="822802" spans="22:23">
      <c r="V822802" s="7"/>
      <c r="W822802" s="7"/>
    </row>
    <row r="822972" spans="22:23">
      <c r="V822972" s="7"/>
      <c r="W822972" s="7"/>
    </row>
    <row r="823142" spans="22:23">
      <c r="V823142" s="7"/>
      <c r="W823142" s="7"/>
    </row>
    <row r="823312" spans="22:23">
      <c r="V823312" s="7"/>
      <c r="W823312" s="7"/>
    </row>
    <row r="823482" spans="22:23">
      <c r="V823482" s="7"/>
      <c r="W823482" s="7"/>
    </row>
    <row r="823652" spans="22:23">
      <c r="V823652" s="7"/>
      <c r="W823652" s="7"/>
    </row>
    <row r="823822" spans="22:23">
      <c r="V823822" s="7"/>
      <c r="W823822" s="7"/>
    </row>
    <row r="823992" spans="22:23">
      <c r="V823992" s="7"/>
      <c r="W823992" s="7"/>
    </row>
    <row r="824162" spans="22:23">
      <c r="V824162" s="7"/>
      <c r="W824162" s="7"/>
    </row>
    <row r="824332" spans="22:23">
      <c r="V824332" s="7"/>
      <c r="W824332" s="7"/>
    </row>
    <row r="824502" spans="22:23">
      <c r="V824502" s="7"/>
      <c r="W824502" s="7"/>
    </row>
    <row r="824672" spans="22:23">
      <c r="V824672" s="7"/>
      <c r="W824672" s="7"/>
    </row>
    <row r="824842" spans="22:23">
      <c r="V824842" s="7"/>
      <c r="W824842" s="7"/>
    </row>
    <row r="825012" spans="22:23">
      <c r="V825012" s="7"/>
      <c r="W825012" s="7"/>
    </row>
    <row r="825182" spans="22:23">
      <c r="V825182" s="7"/>
      <c r="W825182" s="7"/>
    </row>
    <row r="825352" spans="22:23">
      <c r="V825352" s="7"/>
      <c r="W825352" s="7"/>
    </row>
    <row r="825522" spans="22:23">
      <c r="V825522" s="7"/>
      <c r="W825522" s="7"/>
    </row>
    <row r="825692" spans="22:23">
      <c r="V825692" s="7"/>
      <c r="W825692" s="7"/>
    </row>
    <row r="825862" spans="22:23">
      <c r="V825862" s="7"/>
      <c r="W825862" s="7"/>
    </row>
    <row r="826032" spans="22:23">
      <c r="V826032" s="7"/>
      <c r="W826032" s="7"/>
    </row>
    <row r="826202" spans="22:23">
      <c r="V826202" s="7"/>
      <c r="W826202" s="7"/>
    </row>
    <row r="826372" spans="22:23">
      <c r="V826372" s="7"/>
      <c r="W826372" s="7"/>
    </row>
    <row r="826542" spans="22:23">
      <c r="V826542" s="7"/>
      <c r="W826542" s="7"/>
    </row>
    <row r="826712" spans="22:23">
      <c r="V826712" s="7"/>
      <c r="W826712" s="7"/>
    </row>
    <row r="826882" spans="22:23">
      <c r="V826882" s="7"/>
      <c r="W826882" s="7"/>
    </row>
    <row r="827052" spans="22:23">
      <c r="V827052" s="7"/>
      <c r="W827052" s="7"/>
    </row>
    <row r="827222" spans="22:23">
      <c r="V827222" s="7"/>
      <c r="W827222" s="7"/>
    </row>
    <row r="827392" spans="22:23">
      <c r="V827392" s="7"/>
      <c r="W827392" s="7"/>
    </row>
    <row r="827562" spans="22:23">
      <c r="V827562" s="7"/>
      <c r="W827562" s="7"/>
    </row>
    <row r="827732" spans="22:23">
      <c r="V827732" s="7"/>
      <c r="W827732" s="7"/>
    </row>
    <row r="827902" spans="22:23">
      <c r="V827902" s="7"/>
      <c r="W827902" s="7"/>
    </row>
    <row r="828072" spans="22:23">
      <c r="V828072" s="7"/>
      <c r="W828072" s="7"/>
    </row>
    <row r="828242" spans="22:23">
      <c r="V828242" s="7"/>
      <c r="W828242" s="7"/>
    </row>
    <row r="828412" spans="22:23">
      <c r="V828412" s="7"/>
      <c r="W828412" s="7"/>
    </row>
    <row r="828582" spans="22:23">
      <c r="V828582" s="7"/>
      <c r="W828582" s="7"/>
    </row>
    <row r="828752" spans="22:23">
      <c r="V828752" s="7"/>
      <c r="W828752" s="7"/>
    </row>
    <row r="828922" spans="22:23">
      <c r="V828922" s="7"/>
      <c r="W828922" s="7"/>
    </row>
    <row r="829092" spans="22:23">
      <c r="V829092" s="7"/>
      <c r="W829092" s="7"/>
    </row>
    <row r="829262" spans="22:23">
      <c r="V829262" s="7"/>
      <c r="W829262" s="7"/>
    </row>
    <row r="829432" spans="22:23">
      <c r="V829432" s="7"/>
      <c r="W829432" s="7"/>
    </row>
    <row r="829602" spans="22:23">
      <c r="V829602" s="7"/>
      <c r="W829602" s="7"/>
    </row>
    <row r="829772" spans="22:23">
      <c r="V829772" s="7"/>
      <c r="W829772" s="7"/>
    </row>
    <row r="829942" spans="22:23">
      <c r="V829942" s="7"/>
      <c r="W829942" s="7"/>
    </row>
    <row r="830112" spans="22:23">
      <c r="V830112" s="7"/>
      <c r="W830112" s="7"/>
    </row>
    <row r="830282" spans="22:23">
      <c r="V830282" s="7"/>
      <c r="W830282" s="7"/>
    </row>
    <row r="830452" spans="22:23">
      <c r="V830452" s="7"/>
      <c r="W830452" s="7"/>
    </row>
    <row r="830622" spans="22:23">
      <c r="V830622" s="7"/>
      <c r="W830622" s="7"/>
    </row>
    <row r="830792" spans="22:23">
      <c r="V830792" s="7"/>
      <c r="W830792" s="7"/>
    </row>
    <row r="830962" spans="22:23">
      <c r="V830962" s="7"/>
      <c r="W830962" s="7"/>
    </row>
    <row r="831132" spans="22:23">
      <c r="V831132" s="7"/>
      <c r="W831132" s="7"/>
    </row>
    <row r="831302" spans="22:23">
      <c r="V831302" s="7"/>
      <c r="W831302" s="7"/>
    </row>
    <row r="831472" spans="22:23">
      <c r="V831472" s="7"/>
      <c r="W831472" s="7"/>
    </row>
    <row r="831642" spans="22:23">
      <c r="V831642" s="7"/>
      <c r="W831642" s="7"/>
    </row>
    <row r="831812" spans="22:23">
      <c r="V831812" s="7"/>
      <c r="W831812" s="7"/>
    </row>
    <row r="831982" spans="22:23">
      <c r="V831982" s="7"/>
      <c r="W831982" s="7"/>
    </row>
    <row r="832152" spans="22:23">
      <c r="V832152" s="7"/>
      <c r="W832152" s="7"/>
    </row>
    <row r="832322" spans="22:23">
      <c r="V832322" s="7"/>
      <c r="W832322" s="7"/>
    </row>
    <row r="832492" spans="22:23">
      <c r="V832492" s="7"/>
      <c r="W832492" s="7"/>
    </row>
    <row r="832662" spans="22:23">
      <c r="V832662" s="7"/>
      <c r="W832662" s="7"/>
    </row>
    <row r="832832" spans="22:23">
      <c r="V832832" s="7"/>
      <c r="W832832" s="7"/>
    </row>
    <row r="833002" spans="22:23">
      <c r="V833002" s="7"/>
      <c r="W833002" s="7"/>
    </row>
    <row r="833172" spans="22:23">
      <c r="V833172" s="7"/>
      <c r="W833172" s="7"/>
    </row>
    <row r="833342" spans="22:23">
      <c r="V833342" s="7"/>
      <c r="W833342" s="7"/>
    </row>
    <row r="833512" spans="22:23">
      <c r="V833512" s="7"/>
      <c r="W833512" s="7"/>
    </row>
    <row r="833682" spans="22:23">
      <c r="V833682" s="7"/>
      <c r="W833682" s="7"/>
    </row>
    <row r="833852" spans="22:23">
      <c r="V833852" s="7"/>
      <c r="W833852" s="7"/>
    </row>
    <row r="834022" spans="22:23">
      <c r="V834022" s="7"/>
      <c r="W834022" s="7"/>
    </row>
    <row r="834192" spans="22:23">
      <c r="V834192" s="7"/>
      <c r="W834192" s="7"/>
    </row>
    <row r="834362" spans="22:23">
      <c r="V834362" s="7"/>
      <c r="W834362" s="7"/>
    </row>
    <row r="834532" spans="22:23">
      <c r="V834532" s="7"/>
      <c r="W834532" s="7"/>
    </row>
    <row r="834702" spans="22:23">
      <c r="V834702" s="7"/>
      <c r="W834702" s="7"/>
    </row>
    <row r="834872" spans="22:23">
      <c r="V834872" s="7"/>
      <c r="W834872" s="7"/>
    </row>
    <row r="835042" spans="22:23">
      <c r="V835042" s="7"/>
      <c r="W835042" s="7"/>
    </row>
    <row r="835212" spans="22:23">
      <c r="V835212" s="7"/>
      <c r="W835212" s="7"/>
    </row>
    <row r="835382" spans="22:23">
      <c r="V835382" s="7"/>
      <c r="W835382" s="7"/>
    </row>
    <row r="835552" spans="22:23">
      <c r="V835552" s="7"/>
      <c r="W835552" s="7"/>
    </row>
    <row r="835722" spans="22:23">
      <c r="V835722" s="7"/>
      <c r="W835722" s="7"/>
    </row>
    <row r="835892" spans="22:23">
      <c r="V835892" s="7"/>
      <c r="W835892" s="7"/>
    </row>
    <row r="836062" spans="22:23">
      <c r="V836062" s="7"/>
      <c r="W836062" s="7"/>
    </row>
    <row r="836232" spans="22:23">
      <c r="V836232" s="7"/>
      <c r="W836232" s="7"/>
    </row>
    <row r="836402" spans="22:23">
      <c r="V836402" s="7"/>
      <c r="W836402" s="7"/>
    </row>
    <row r="836572" spans="22:23">
      <c r="V836572" s="7"/>
      <c r="W836572" s="7"/>
    </row>
    <row r="836742" spans="22:23">
      <c r="V836742" s="7"/>
      <c r="W836742" s="7"/>
    </row>
    <row r="836912" spans="22:23">
      <c r="V836912" s="7"/>
      <c r="W836912" s="7"/>
    </row>
    <row r="837082" spans="22:23">
      <c r="V837082" s="7"/>
      <c r="W837082" s="7"/>
    </row>
    <row r="837252" spans="22:23">
      <c r="V837252" s="7"/>
      <c r="W837252" s="7"/>
    </row>
    <row r="837422" spans="22:23">
      <c r="V837422" s="7"/>
      <c r="W837422" s="7"/>
    </row>
    <row r="837592" spans="22:23">
      <c r="V837592" s="7"/>
      <c r="W837592" s="7"/>
    </row>
    <row r="837762" spans="22:23">
      <c r="V837762" s="7"/>
      <c r="W837762" s="7"/>
    </row>
    <row r="837932" spans="22:23">
      <c r="V837932" s="7"/>
      <c r="W837932" s="7"/>
    </row>
    <row r="838102" spans="22:23">
      <c r="V838102" s="7"/>
      <c r="W838102" s="7"/>
    </row>
    <row r="838272" spans="22:23">
      <c r="V838272" s="7"/>
      <c r="W838272" s="7"/>
    </row>
    <row r="838442" spans="22:23">
      <c r="V838442" s="7"/>
      <c r="W838442" s="7"/>
    </row>
    <row r="838612" spans="22:23">
      <c r="V838612" s="7"/>
      <c r="W838612" s="7"/>
    </row>
    <row r="838782" spans="22:23">
      <c r="V838782" s="7"/>
      <c r="W838782" s="7"/>
    </row>
    <row r="838952" spans="22:23">
      <c r="V838952" s="7"/>
      <c r="W838952" s="7"/>
    </row>
    <row r="839122" spans="22:23">
      <c r="V839122" s="7"/>
      <c r="W839122" s="7"/>
    </row>
    <row r="839292" spans="22:23">
      <c r="V839292" s="7"/>
      <c r="W839292" s="7"/>
    </row>
    <row r="839462" spans="22:23">
      <c r="V839462" s="7"/>
      <c r="W839462" s="7"/>
    </row>
    <row r="839632" spans="22:23">
      <c r="V839632" s="7"/>
      <c r="W839632" s="7"/>
    </row>
    <row r="839802" spans="22:23">
      <c r="V839802" s="7"/>
      <c r="W839802" s="7"/>
    </row>
    <row r="839972" spans="22:23">
      <c r="V839972" s="7"/>
      <c r="W839972" s="7"/>
    </row>
    <row r="840142" spans="22:23">
      <c r="V840142" s="7"/>
      <c r="W840142" s="7"/>
    </row>
    <row r="840312" spans="22:23">
      <c r="V840312" s="7"/>
      <c r="W840312" s="7"/>
    </row>
    <row r="840482" spans="22:23">
      <c r="V840482" s="7"/>
      <c r="W840482" s="7"/>
    </row>
    <row r="840652" spans="22:23">
      <c r="V840652" s="7"/>
      <c r="W840652" s="7"/>
    </row>
    <row r="840822" spans="22:23">
      <c r="V840822" s="7"/>
      <c r="W840822" s="7"/>
    </row>
    <row r="840992" spans="22:23">
      <c r="V840992" s="7"/>
      <c r="W840992" s="7"/>
    </row>
    <row r="841162" spans="22:23">
      <c r="V841162" s="7"/>
      <c r="W841162" s="7"/>
    </row>
    <row r="841332" spans="22:23">
      <c r="V841332" s="7"/>
      <c r="W841332" s="7"/>
    </row>
    <row r="841502" spans="22:23">
      <c r="V841502" s="7"/>
      <c r="W841502" s="7"/>
    </row>
    <row r="841672" spans="22:23">
      <c r="V841672" s="7"/>
      <c r="W841672" s="7"/>
    </row>
    <row r="841842" spans="22:23">
      <c r="V841842" s="7"/>
      <c r="W841842" s="7"/>
    </row>
    <row r="842012" spans="22:23">
      <c r="V842012" s="7"/>
      <c r="W842012" s="7"/>
    </row>
    <row r="842182" spans="22:23">
      <c r="V842182" s="7"/>
      <c r="W842182" s="7"/>
    </row>
    <row r="842352" spans="22:23">
      <c r="V842352" s="7"/>
      <c r="W842352" s="7"/>
    </row>
    <row r="842522" spans="22:23">
      <c r="V842522" s="7"/>
      <c r="W842522" s="7"/>
    </row>
    <row r="842692" spans="22:23">
      <c r="V842692" s="7"/>
      <c r="W842692" s="7"/>
    </row>
    <row r="842862" spans="22:23">
      <c r="V842862" s="7"/>
      <c r="W842862" s="7"/>
    </row>
    <row r="843032" spans="22:23">
      <c r="V843032" s="7"/>
      <c r="W843032" s="7"/>
    </row>
    <row r="843202" spans="22:23">
      <c r="V843202" s="7"/>
      <c r="W843202" s="7"/>
    </row>
    <row r="843372" spans="22:23">
      <c r="V843372" s="7"/>
      <c r="W843372" s="7"/>
    </row>
    <row r="843542" spans="22:23">
      <c r="V843542" s="7"/>
      <c r="W843542" s="7"/>
    </row>
    <row r="843712" spans="22:23">
      <c r="V843712" s="7"/>
      <c r="W843712" s="7"/>
    </row>
    <row r="843882" spans="22:23">
      <c r="V843882" s="7"/>
      <c r="W843882" s="7"/>
    </row>
    <row r="844052" spans="22:23">
      <c r="V844052" s="7"/>
      <c r="W844052" s="7"/>
    </row>
    <row r="844222" spans="22:23">
      <c r="V844222" s="7"/>
      <c r="W844222" s="7"/>
    </row>
    <row r="844392" spans="22:23">
      <c r="V844392" s="7"/>
      <c r="W844392" s="7"/>
    </row>
    <row r="844562" spans="22:23">
      <c r="V844562" s="7"/>
      <c r="W844562" s="7"/>
    </row>
    <row r="844732" spans="22:23">
      <c r="V844732" s="7"/>
      <c r="W844732" s="7"/>
    </row>
    <row r="844902" spans="22:23">
      <c r="V844902" s="7"/>
      <c r="W844902" s="7"/>
    </row>
    <row r="845072" spans="22:23">
      <c r="V845072" s="7"/>
      <c r="W845072" s="7"/>
    </row>
    <row r="845242" spans="22:23">
      <c r="V845242" s="7"/>
      <c r="W845242" s="7"/>
    </row>
    <row r="845412" spans="22:23">
      <c r="V845412" s="7"/>
      <c r="W845412" s="7"/>
    </row>
    <row r="845582" spans="22:23">
      <c r="V845582" s="7"/>
      <c r="W845582" s="7"/>
    </row>
    <row r="845752" spans="22:23">
      <c r="V845752" s="7"/>
      <c r="W845752" s="7"/>
    </row>
    <row r="845922" spans="22:23">
      <c r="V845922" s="7"/>
      <c r="W845922" s="7"/>
    </row>
    <row r="846092" spans="22:23">
      <c r="V846092" s="7"/>
      <c r="W846092" s="7"/>
    </row>
    <row r="846262" spans="22:23">
      <c r="V846262" s="7"/>
      <c r="W846262" s="7"/>
    </row>
    <row r="846432" spans="22:23">
      <c r="V846432" s="7"/>
      <c r="W846432" s="7"/>
    </row>
    <row r="846602" spans="22:23">
      <c r="V846602" s="7"/>
      <c r="W846602" s="7"/>
    </row>
    <row r="846772" spans="22:23">
      <c r="V846772" s="7"/>
      <c r="W846772" s="7"/>
    </row>
    <row r="846942" spans="22:23">
      <c r="V846942" s="7"/>
      <c r="W846942" s="7"/>
    </row>
    <row r="847112" spans="22:23">
      <c r="V847112" s="7"/>
      <c r="W847112" s="7"/>
    </row>
    <row r="847282" spans="22:23">
      <c r="V847282" s="7"/>
      <c r="W847282" s="7"/>
    </row>
    <row r="847452" spans="22:23">
      <c r="V847452" s="7"/>
      <c r="W847452" s="7"/>
    </row>
    <row r="847622" spans="22:23">
      <c r="V847622" s="7"/>
      <c r="W847622" s="7"/>
    </row>
    <row r="847792" spans="22:23">
      <c r="V847792" s="7"/>
      <c r="W847792" s="7"/>
    </row>
    <row r="847962" spans="22:23">
      <c r="V847962" s="7"/>
      <c r="W847962" s="7"/>
    </row>
    <row r="848132" spans="22:23">
      <c r="V848132" s="7"/>
      <c r="W848132" s="7"/>
    </row>
    <row r="848302" spans="22:23">
      <c r="V848302" s="7"/>
      <c r="W848302" s="7"/>
    </row>
    <row r="848472" spans="22:23">
      <c r="V848472" s="7"/>
      <c r="W848472" s="7"/>
    </row>
    <row r="848642" spans="22:23">
      <c r="V848642" s="7"/>
      <c r="W848642" s="7"/>
    </row>
    <row r="848812" spans="22:23">
      <c r="V848812" s="7"/>
      <c r="W848812" s="7"/>
    </row>
    <row r="848982" spans="22:23">
      <c r="V848982" s="7"/>
      <c r="W848982" s="7"/>
    </row>
    <row r="849152" spans="22:23">
      <c r="V849152" s="7"/>
      <c r="W849152" s="7"/>
    </row>
    <row r="849322" spans="22:23">
      <c r="V849322" s="7"/>
      <c r="W849322" s="7"/>
    </row>
    <row r="849492" spans="22:23">
      <c r="V849492" s="7"/>
      <c r="W849492" s="7"/>
    </row>
    <row r="849662" spans="22:23">
      <c r="V849662" s="7"/>
      <c r="W849662" s="7"/>
    </row>
    <row r="849832" spans="22:23">
      <c r="V849832" s="7"/>
      <c r="W849832" s="7"/>
    </row>
    <row r="850002" spans="22:23">
      <c r="V850002" s="7"/>
      <c r="W850002" s="7"/>
    </row>
    <row r="850172" spans="22:23">
      <c r="V850172" s="7"/>
      <c r="W850172" s="7"/>
    </row>
    <row r="850342" spans="22:23">
      <c r="V850342" s="7"/>
      <c r="W850342" s="7"/>
    </row>
    <row r="850512" spans="22:23">
      <c r="V850512" s="7"/>
      <c r="W850512" s="7"/>
    </row>
    <row r="850682" spans="22:23">
      <c r="V850682" s="7"/>
      <c r="W850682" s="7"/>
    </row>
    <row r="850852" spans="22:23">
      <c r="V850852" s="7"/>
      <c r="W850852" s="7"/>
    </row>
    <row r="851022" spans="22:23">
      <c r="V851022" s="7"/>
      <c r="W851022" s="7"/>
    </row>
    <row r="851192" spans="22:23">
      <c r="V851192" s="7"/>
      <c r="W851192" s="7"/>
    </row>
    <row r="851362" spans="22:23">
      <c r="V851362" s="7"/>
      <c r="W851362" s="7"/>
    </row>
    <row r="851532" spans="22:23">
      <c r="V851532" s="7"/>
      <c r="W851532" s="7"/>
    </row>
    <row r="851702" spans="22:23">
      <c r="V851702" s="7"/>
      <c r="W851702" s="7"/>
    </row>
    <row r="851872" spans="22:23">
      <c r="V851872" s="7"/>
      <c r="W851872" s="7"/>
    </row>
    <row r="852042" spans="22:23">
      <c r="V852042" s="7"/>
      <c r="W852042" s="7"/>
    </row>
    <row r="852212" spans="22:23">
      <c r="V852212" s="7"/>
      <c r="W852212" s="7"/>
    </row>
    <row r="852382" spans="22:23">
      <c r="V852382" s="7"/>
      <c r="W852382" s="7"/>
    </row>
    <row r="852552" spans="22:23">
      <c r="V852552" s="7"/>
      <c r="W852552" s="7"/>
    </row>
    <row r="852722" spans="22:23">
      <c r="V852722" s="7"/>
      <c r="W852722" s="7"/>
    </row>
    <row r="852892" spans="22:23">
      <c r="V852892" s="7"/>
      <c r="W852892" s="7"/>
    </row>
    <row r="853062" spans="22:23">
      <c r="V853062" s="7"/>
      <c r="W853062" s="7"/>
    </row>
    <row r="853232" spans="22:23">
      <c r="V853232" s="7"/>
      <c r="W853232" s="7"/>
    </row>
    <row r="853402" spans="22:23">
      <c r="V853402" s="7"/>
      <c r="W853402" s="7"/>
    </row>
    <row r="853572" spans="22:23">
      <c r="V853572" s="7"/>
      <c r="W853572" s="7"/>
    </row>
    <row r="853742" spans="22:23">
      <c r="V853742" s="7"/>
      <c r="W853742" s="7"/>
    </row>
    <row r="853912" spans="22:23">
      <c r="V853912" s="7"/>
      <c r="W853912" s="7"/>
    </row>
    <row r="854082" spans="22:23">
      <c r="V854082" s="7"/>
      <c r="W854082" s="7"/>
    </row>
    <row r="854252" spans="22:23">
      <c r="V854252" s="7"/>
      <c r="W854252" s="7"/>
    </row>
    <row r="854422" spans="22:23">
      <c r="V854422" s="7"/>
      <c r="W854422" s="7"/>
    </row>
    <row r="854592" spans="22:23">
      <c r="V854592" s="7"/>
      <c r="W854592" s="7"/>
    </row>
    <row r="854762" spans="22:23">
      <c r="V854762" s="7"/>
      <c r="W854762" s="7"/>
    </row>
    <row r="854932" spans="22:23">
      <c r="V854932" s="7"/>
      <c r="W854932" s="7"/>
    </row>
    <row r="855102" spans="22:23">
      <c r="V855102" s="7"/>
      <c r="W855102" s="7"/>
    </row>
    <row r="855272" spans="22:23">
      <c r="V855272" s="7"/>
      <c r="W855272" s="7"/>
    </row>
    <row r="855442" spans="22:23">
      <c r="V855442" s="7"/>
      <c r="W855442" s="7"/>
    </row>
    <row r="855612" spans="22:23">
      <c r="V855612" s="7"/>
      <c r="W855612" s="7"/>
    </row>
    <row r="855782" spans="22:23">
      <c r="V855782" s="7"/>
      <c r="W855782" s="7"/>
    </row>
    <row r="855952" spans="22:23">
      <c r="V855952" s="7"/>
      <c r="W855952" s="7"/>
    </row>
    <row r="856122" spans="22:23">
      <c r="V856122" s="7"/>
      <c r="W856122" s="7"/>
    </row>
    <row r="856292" spans="22:23">
      <c r="V856292" s="7"/>
      <c r="W856292" s="7"/>
    </row>
    <row r="856462" spans="22:23">
      <c r="V856462" s="7"/>
      <c r="W856462" s="7"/>
    </row>
    <row r="856632" spans="22:23">
      <c r="V856632" s="7"/>
      <c r="W856632" s="7"/>
    </row>
    <row r="856802" spans="22:23">
      <c r="V856802" s="7"/>
      <c r="W856802" s="7"/>
    </row>
    <row r="856972" spans="22:23">
      <c r="V856972" s="7"/>
      <c r="W856972" s="7"/>
    </row>
    <row r="857142" spans="22:23">
      <c r="V857142" s="7"/>
      <c r="W857142" s="7"/>
    </row>
    <row r="857312" spans="22:23">
      <c r="V857312" s="7"/>
      <c r="W857312" s="7"/>
    </row>
    <row r="857482" spans="22:23">
      <c r="V857482" s="7"/>
      <c r="W857482" s="7"/>
    </row>
    <row r="857652" spans="22:23">
      <c r="V857652" s="7"/>
      <c r="W857652" s="7"/>
    </row>
    <row r="857822" spans="22:23">
      <c r="V857822" s="7"/>
      <c r="W857822" s="7"/>
    </row>
    <row r="857992" spans="22:23">
      <c r="V857992" s="7"/>
      <c r="W857992" s="7"/>
    </row>
    <row r="858162" spans="22:23">
      <c r="V858162" s="7"/>
      <c r="W858162" s="7"/>
    </row>
    <row r="858332" spans="22:23">
      <c r="V858332" s="7"/>
      <c r="W858332" s="7"/>
    </row>
    <row r="858502" spans="22:23">
      <c r="V858502" s="7"/>
      <c r="W858502" s="7"/>
    </row>
    <row r="858672" spans="22:23">
      <c r="V858672" s="7"/>
      <c r="W858672" s="7"/>
    </row>
    <row r="858842" spans="22:23">
      <c r="V858842" s="7"/>
      <c r="W858842" s="7"/>
    </row>
    <row r="859012" spans="22:23">
      <c r="V859012" s="7"/>
      <c r="W859012" s="7"/>
    </row>
    <row r="859182" spans="22:23">
      <c r="V859182" s="7"/>
      <c r="W859182" s="7"/>
    </row>
    <row r="859352" spans="22:23">
      <c r="V859352" s="7"/>
      <c r="W859352" s="7"/>
    </row>
    <row r="859522" spans="22:23">
      <c r="V859522" s="7"/>
      <c r="W859522" s="7"/>
    </row>
    <row r="859692" spans="22:23">
      <c r="V859692" s="7"/>
      <c r="W859692" s="7"/>
    </row>
    <row r="859862" spans="22:23">
      <c r="V859862" s="7"/>
      <c r="W859862" s="7"/>
    </row>
    <row r="860032" spans="22:23">
      <c r="V860032" s="7"/>
      <c r="W860032" s="7"/>
    </row>
    <row r="860202" spans="22:23">
      <c r="V860202" s="7"/>
      <c r="W860202" s="7"/>
    </row>
    <row r="860372" spans="22:23">
      <c r="V860372" s="7"/>
      <c r="W860372" s="7"/>
    </row>
    <row r="860542" spans="22:23">
      <c r="V860542" s="7"/>
      <c r="W860542" s="7"/>
    </row>
    <row r="860712" spans="22:23">
      <c r="V860712" s="7"/>
      <c r="W860712" s="7"/>
    </row>
    <row r="860882" spans="22:23">
      <c r="V860882" s="7"/>
      <c r="W860882" s="7"/>
    </row>
    <row r="861052" spans="22:23">
      <c r="V861052" s="7"/>
      <c r="W861052" s="7"/>
    </row>
    <row r="861222" spans="22:23">
      <c r="V861222" s="7"/>
      <c r="W861222" s="7"/>
    </row>
    <row r="861392" spans="22:23">
      <c r="V861392" s="7"/>
      <c r="W861392" s="7"/>
    </row>
    <row r="861562" spans="22:23">
      <c r="V861562" s="7"/>
      <c r="W861562" s="7"/>
    </row>
    <row r="861732" spans="22:23">
      <c r="V861732" s="7"/>
      <c r="W861732" s="7"/>
    </row>
    <row r="861902" spans="22:23">
      <c r="V861902" s="7"/>
      <c r="W861902" s="7"/>
    </row>
    <row r="862072" spans="22:23">
      <c r="V862072" s="7"/>
      <c r="W862072" s="7"/>
    </row>
    <row r="862242" spans="22:23">
      <c r="V862242" s="7"/>
      <c r="W862242" s="7"/>
    </row>
    <row r="862412" spans="22:23">
      <c r="V862412" s="7"/>
      <c r="W862412" s="7"/>
    </row>
    <row r="862582" spans="22:23">
      <c r="V862582" s="7"/>
      <c r="W862582" s="7"/>
    </row>
    <row r="862752" spans="22:23">
      <c r="V862752" s="7"/>
      <c r="W862752" s="7"/>
    </row>
    <row r="862922" spans="22:23">
      <c r="V862922" s="7"/>
      <c r="W862922" s="7"/>
    </row>
    <row r="863092" spans="22:23">
      <c r="V863092" s="7"/>
      <c r="W863092" s="7"/>
    </row>
    <row r="863262" spans="22:23">
      <c r="V863262" s="7"/>
      <c r="W863262" s="7"/>
    </row>
    <row r="863432" spans="22:23">
      <c r="V863432" s="7"/>
      <c r="W863432" s="7"/>
    </row>
    <row r="863602" spans="22:23">
      <c r="V863602" s="7"/>
      <c r="W863602" s="7"/>
    </row>
    <row r="863772" spans="22:23">
      <c r="V863772" s="7"/>
      <c r="W863772" s="7"/>
    </row>
    <row r="863942" spans="22:23">
      <c r="V863942" s="7"/>
      <c r="W863942" s="7"/>
    </row>
    <row r="864112" spans="22:23">
      <c r="V864112" s="7"/>
      <c r="W864112" s="7"/>
    </row>
    <row r="864282" spans="22:23">
      <c r="V864282" s="7"/>
      <c r="W864282" s="7"/>
    </row>
    <row r="864452" spans="22:23">
      <c r="V864452" s="7"/>
      <c r="W864452" s="7"/>
    </row>
    <row r="864622" spans="22:23">
      <c r="V864622" s="7"/>
      <c r="W864622" s="7"/>
    </row>
    <row r="864792" spans="22:23">
      <c r="V864792" s="7"/>
      <c r="W864792" s="7"/>
    </row>
    <row r="864962" spans="22:23">
      <c r="V864962" s="7"/>
      <c r="W864962" s="7"/>
    </row>
    <row r="865132" spans="22:23">
      <c r="V865132" s="7"/>
      <c r="W865132" s="7"/>
    </row>
    <row r="865302" spans="22:23">
      <c r="V865302" s="7"/>
      <c r="W865302" s="7"/>
    </row>
    <row r="865472" spans="22:23">
      <c r="V865472" s="7"/>
      <c r="W865472" s="7"/>
    </row>
    <row r="865642" spans="22:23">
      <c r="V865642" s="7"/>
      <c r="W865642" s="7"/>
    </row>
    <row r="865812" spans="22:23">
      <c r="V865812" s="7"/>
      <c r="W865812" s="7"/>
    </row>
    <row r="865982" spans="22:23">
      <c r="V865982" s="7"/>
      <c r="W865982" s="7"/>
    </row>
    <row r="866152" spans="22:23">
      <c r="V866152" s="7"/>
      <c r="W866152" s="7"/>
    </row>
    <row r="866322" spans="22:23">
      <c r="V866322" s="7"/>
      <c r="W866322" s="7"/>
    </row>
    <row r="866492" spans="22:23">
      <c r="V866492" s="7"/>
      <c r="W866492" s="7"/>
    </row>
    <row r="866662" spans="22:23">
      <c r="V866662" s="7"/>
      <c r="W866662" s="7"/>
    </row>
    <row r="866832" spans="22:23">
      <c r="V866832" s="7"/>
      <c r="W866832" s="7"/>
    </row>
    <row r="867002" spans="22:23">
      <c r="V867002" s="7"/>
      <c r="W867002" s="7"/>
    </row>
    <row r="867172" spans="22:23">
      <c r="V867172" s="7"/>
      <c r="W867172" s="7"/>
    </row>
    <row r="867342" spans="22:23">
      <c r="V867342" s="7"/>
      <c r="W867342" s="7"/>
    </row>
    <row r="867512" spans="22:23">
      <c r="V867512" s="7"/>
      <c r="W867512" s="7"/>
    </row>
    <row r="867682" spans="22:23">
      <c r="V867682" s="7"/>
      <c r="W867682" s="7"/>
    </row>
    <row r="867852" spans="22:23">
      <c r="V867852" s="7"/>
      <c r="W867852" s="7"/>
    </row>
    <row r="868022" spans="22:23">
      <c r="V868022" s="7"/>
      <c r="W868022" s="7"/>
    </row>
    <row r="868192" spans="22:23">
      <c r="V868192" s="7"/>
      <c r="W868192" s="7"/>
    </row>
    <row r="868362" spans="22:23">
      <c r="V868362" s="7"/>
      <c r="W868362" s="7"/>
    </row>
    <row r="868532" spans="22:23">
      <c r="V868532" s="7"/>
      <c r="W868532" s="7"/>
    </row>
    <row r="868702" spans="22:23">
      <c r="V868702" s="7"/>
      <c r="W868702" s="7"/>
    </row>
    <row r="868872" spans="22:23">
      <c r="V868872" s="7"/>
      <c r="W868872" s="7"/>
    </row>
    <row r="869042" spans="22:23">
      <c r="V869042" s="7"/>
      <c r="W869042" s="7"/>
    </row>
    <row r="869212" spans="22:23">
      <c r="V869212" s="7"/>
      <c r="W869212" s="7"/>
    </row>
    <row r="869382" spans="22:23">
      <c r="V869382" s="7"/>
      <c r="W869382" s="7"/>
    </row>
    <row r="869552" spans="22:23">
      <c r="V869552" s="7"/>
      <c r="W869552" s="7"/>
    </row>
    <row r="869722" spans="22:23">
      <c r="V869722" s="7"/>
      <c r="W869722" s="7"/>
    </row>
    <row r="869892" spans="22:23">
      <c r="V869892" s="7"/>
      <c r="W869892" s="7"/>
    </row>
    <row r="870062" spans="22:23">
      <c r="V870062" s="7"/>
      <c r="W870062" s="7"/>
    </row>
    <row r="870232" spans="22:23">
      <c r="V870232" s="7"/>
      <c r="W870232" s="7"/>
    </row>
    <row r="870402" spans="22:23">
      <c r="V870402" s="7"/>
      <c r="W870402" s="7"/>
    </row>
    <row r="870572" spans="22:23">
      <c r="V870572" s="7"/>
      <c r="W870572" s="7"/>
    </row>
    <row r="870742" spans="22:23">
      <c r="V870742" s="7"/>
      <c r="W870742" s="7"/>
    </row>
    <row r="870912" spans="22:23">
      <c r="V870912" s="7"/>
      <c r="W870912" s="7"/>
    </row>
    <row r="871082" spans="22:23">
      <c r="V871082" s="7"/>
      <c r="W871082" s="7"/>
    </row>
    <row r="871252" spans="22:23">
      <c r="V871252" s="7"/>
      <c r="W871252" s="7"/>
    </row>
    <row r="871422" spans="22:23">
      <c r="V871422" s="7"/>
      <c r="W871422" s="7"/>
    </row>
    <row r="871592" spans="22:23">
      <c r="V871592" s="7"/>
      <c r="W871592" s="7"/>
    </row>
    <row r="871762" spans="22:23">
      <c r="V871762" s="7"/>
      <c r="W871762" s="7"/>
    </row>
    <row r="871932" spans="22:23">
      <c r="V871932" s="7"/>
      <c r="W871932" s="7"/>
    </row>
    <row r="872102" spans="22:23">
      <c r="V872102" s="7"/>
      <c r="W872102" s="7"/>
    </row>
    <row r="872272" spans="22:23">
      <c r="V872272" s="7"/>
      <c r="W872272" s="7"/>
    </row>
    <row r="872442" spans="22:23">
      <c r="V872442" s="7"/>
      <c r="W872442" s="7"/>
    </row>
    <row r="872612" spans="22:23">
      <c r="V872612" s="7"/>
      <c r="W872612" s="7"/>
    </row>
    <row r="872782" spans="22:23">
      <c r="V872782" s="7"/>
      <c r="W872782" s="7"/>
    </row>
    <row r="872952" spans="22:23">
      <c r="V872952" s="7"/>
      <c r="W872952" s="7"/>
    </row>
    <row r="873122" spans="22:23">
      <c r="V873122" s="7"/>
      <c r="W873122" s="7"/>
    </row>
    <row r="873292" spans="22:23">
      <c r="V873292" s="7"/>
      <c r="W873292" s="7"/>
    </row>
    <row r="873462" spans="22:23">
      <c r="V873462" s="7"/>
      <c r="W873462" s="7"/>
    </row>
    <row r="873632" spans="22:23">
      <c r="V873632" s="7"/>
      <c r="W873632" s="7"/>
    </row>
    <row r="873802" spans="22:23">
      <c r="V873802" s="7"/>
      <c r="W873802" s="7"/>
    </row>
    <row r="873972" spans="22:23">
      <c r="V873972" s="7"/>
      <c r="W873972" s="7"/>
    </row>
    <row r="874142" spans="22:23">
      <c r="V874142" s="7"/>
      <c r="W874142" s="7"/>
    </row>
    <row r="874312" spans="22:23">
      <c r="V874312" s="7"/>
      <c r="W874312" s="7"/>
    </row>
    <row r="874482" spans="22:23">
      <c r="V874482" s="7"/>
      <c r="W874482" s="7"/>
    </row>
    <row r="874652" spans="22:23">
      <c r="V874652" s="7"/>
      <c r="W874652" s="7"/>
    </row>
    <row r="874822" spans="22:23">
      <c r="V874822" s="7"/>
      <c r="W874822" s="7"/>
    </row>
    <row r="874992" spans="22:23">
      <c r="V874992" s="7"/>
      <c r="W874992" s="7"/>
    </row>
    <row r="875162" spans="22:23">
      <c r="V875162" s="7"/>
      <c r="W875162" s="7"/>
    </row>
    <row r="875332" spans="22:23">
      <c r="V875332" s="7"/>
      <c r="W875332" s="7"/>
    </row>
    <row r="875502" spans="22:23">
      <c r="V875502" s="7"/>
      <c r="W875502" s="7"/>
    </row>
    <row r="875672" spans="22:23">
      <c r="V875672" s="7"/>
      <c r="W875672" s="7"/>
    </row>
    <row r="875842" spans="22:23">
      <c r="V875842" s="7"/>
      <c r="W875842" s="7"/>
    </row>
    <row r="876012" spans="22:23">
      <c r="V876012" s="7"/>
      <c r="W876012" s="7"/>
    </row>
    <row r="876182" spans="22:23">
      <c r="V876182" s="7"/>
      <c r="W876182" s="7"/>
    </row>
    <row r="876352" spans="22:23">
      <c r="V876352" s="7"/>
      <c r="W876352" s="7"/>
    </row>
    <row r="876522" spans="22:23">
      <c r="V876522" s="7"/>
      <c r="W876522" s="7"/>
    </row>
    <row r="876692" spans="22:23">
      <c r="V876692" s="7"/>
      <c r="W876692" s="7"/>
    </row>
    <row r="876862" spans="22:23">
      <c r="V876862" s="7"/>
      <c r="W876862" s="7"/>
    </row>
    <row r="877032" spans="22:23">
      <c r="V877032" s="7"/>
      <c r="W877032" s="7"/>
    </row>
    <row r="877202" spans="22:23">
      <c r="V877202" s="7"/>
      <c r="W877202" s="7"/>
    </row>
    <row r="877372" spans="22:23">
      <c r="V877372" s="7"/>
      <c r="W877372" s="7"/>
    </row>
    <row r="877542" spans="22:23">
      <c r="V877542" s="7"/>
      <c r="W877542" s="7"/>
    </row>
    <row r="877712" spans="22:23">
      <c r="V877712" s="7"/>
      <c r="W877712" s="7"/>
    </row>
    <row r="877882" spans="22:23">
      <c r="V877882" s="7"/>
      <c r="W877882" s="7"/>
    </row>
    <row r="878052" spans="22:23">
      <c r="V878052" s="7"/>
      <c r="W878052" s="7"/>
    </row>
    <row r="878222" spans="22:23">
      <c r="V878222" s="7"/>
      <c r="W878222" s="7"/>
    </row>
    <row r="878392" spans="22:23">
      <c r="V878392" s="7"/>
      <c r="W878392" s="7"/>
    </row>
    <row r="878562" spans="22:23">
      <c r="V878562" s="7"/>
      <c r="W878562" s="7"/>
    </row>
    <row r="878732" spans="22:23">
      <c r="V878732" s="7"/>
      <c r="W878732" s="7"/>
    </row>
    <row r="878902" spans="22:23">
      <c r="V878902" s="7"/>
      <c r="W878902" s="7"/>
    </row>
    <row r="879072" spans="22:23">
      <c r="V879072" s="7"/>
      <c r="W879072" s="7"/>
    </row>
    <row r="879242" spans="22:23">
      <c r="V879242" s="7"/>
      <c r="W879242" s="7"/>
    </row>
    <row r="879412" spans="22:23">
      <c r="V879412" s="7"/>
      <c r="W879412" s="7"/>
    </row>
    <row r="879582" spans="22:23">
      <c r="V879582" s="7"/>
      <c r="W879582" s="7"/>
    </row>
    <row r="879752" spans="22:23">
      <c r="V879752" s="7"/>
      <c r="W879752" s="7"/>
    </row>
    <row r="879922" spans="22:23">
      <c r="V879922" s="7"/>
      <c r="W879922" s="7"/>
    </row>
    <row r="880092" spans="22:23">
      <c r="V880092" s="7"/>
      <c r="W880092" s="7"/>
    </row>
    <row r="880262" spans="22:23">
      <c r="V880262" s="7"/>
      <c r="W880262" s="7"/>
    </row>
    <row r="880432" spans="22:23">
      <c r="V880432" s="7"/>
      <c r="W880432" s="7"/>
    </row>
    <row r="880602" spans="22:23">
      <c r="V880602" s="7"/>
      <c r="W880602" s="7"/>
    </row>
    <row r="880772" spans="22:23">
      <c r="V880772" s="7"/>
      <c r="W880772" s="7"/>
    </row>
    <row r="880942" spans="22:23">
      <c r="V880942" s="7"/>
      <c r="W880942" s="7"/>
    </row>
    <row r="881112" spans="22:23">
      <c r="V881112" s="7"/>
      <c r="W881112" s="7"/>
    </row>
    <row r="881282" spans="22:23">
      <c r="V881282" s="7"/>
      <c r="W881282" s="7"/>
    </row>
    <row r="881452" spans="22:23">
      <c r="V881452" s="7"/>
      <c r="W881452" s="7"/>
    </row>
    <row r="881622" spans="22:23">
      <c r="V881622" s="7"/>
      <c r="W881622" s="7"/>
    </row>
    <row r="881792" spans="22:23">
      <c r="V881792" s="7"/>
      <c r="W881792" s="7"/>
    </row>
    <row r="881962" spans="22:23">
      <c r="V881962" s="7"/>
      <c r="W881962" s="7"/>
    </row>
    <row r="882132" spans="22:23">
      <c r="V882132" s="7"/>
      <c r="W882132" s="7"/>
    </row>
    <row r="882302" spans="22:23">
      <c r="V882302" s="7"/>
      <c r="W882302" s="7"/>
    </row>
    <row r="882472" spans="22:23">
      <c r="V882472" s="7"/>
      <c r="W882472" s="7"/>
    </row>
    <row r="882642" spans="22:23">
      <c r="V882642" s="7"/>
      <c r="W882642" s="7"/>
    </row>
    <row r="882812" spans="22:23">
      <c r="V882812" s="7"/>
      <c r="W882812" s="7"/>
    </row>
    <row r="882982" spans="22:23">
      <c r="V882982" s="7"/>
      <c r="W882982" s="7"/>
    </row>
    <row r="883152" spans="22:23">
      <c r="V883152" s="7"/>
      <c r="W883152" s="7"/>
    </row>
    <row r="883322" spans="22:23">
      <c r="V883322" s="7"/>
      <c r="W883322" s="7"/>
    </row>
    <row r="883492" spans="22:23">
      <c r="V883492" s="7"/>
      <c r="W883492" s="7"/>
    </row>
    <row r="883662" spans="22:23">
      <c r="V883662" s="7"/>
      <c r="W883662" s="7"/>
    </row>
    <row r="883832" spans="22:23">
      <c r="V883832" s="7"/>
      <c r="W883832" s="7"/>
    </row>
    <row r="884002" spans="22:23">
      <c r="V884002" s="7"/>
      <c r="W884002" s="7"/>
    </row>
    <row r="884172" spans="22:23">
      <c r="V884172" s="7"/>
      <c r="W884172" s="7"/>
    </row>
    <row r="884342" spans="22:23">
      <c r="V884342" s="7"/>
      <c r="W884342" s="7"/>
    </row>
    <row r="884512" spans="22:23">
      <c r="V884512" s="7"/>
      <c r="W884512" s="7"/>
    </row>
    <row r="884682" spans="22:23">
      <c r="V884682" s="7"/>
      <c r="W884682" s="7"/>
    </row>
    <row r="884852" spans="22:23">
      <c r="V884852" s="7"/>
      <c r="W884852" s="7"/>
    </row>
    <row r="885022" spans="22:23">
      <c r="V885022" s="7"/>
      <c r="W885022" s="7"/>
    </row>
    <row r="885192" spans="22:23">
      <c r="V885192" s="7"/>
      <c r="W885192" s="7"/>
    </row>
    <row r="885362" spans="22:23">
      <c r="V885362" s="7"/>
      <c r="W885362" s="7"/>
    </row>
    <row r="885532" spans="22:23">
      <c r="V885532" s="7"/>
      <c r="W885532" s="7"/>
    </row>
    <row r="885702" spans="22:23">
      <c r="V885702" s="7"/>
      <c r="W885702" s="7"/>
    </row>
    <row r="885872" spans="22:23">
      <c r="V885872" s="7"/>
      <c r="W885872" s="7"/>
    </row>
    <row r="886042" spans="22:23">
      <c r="V886042" s="7"/>
      <c r="W886042" s="7"/>
    </row>
    <row r="886212" spans="22:23">
      <c r="V886212" s="7"/>
      <c r="W886212" s="7"/>
    </row>
    <row r="886382" spans="22:23">
      <c r="V886382" s="7"/>
      <c r="W886382" s="7"/>
    </row>
    <row r="886552" spans="22:23">
      <c r="V886552" s="7"/>
      <c r="W886552" s="7"/>
    </row>
    <row r="886722" spans="22:23">
      <c r="V886722" s="7"/>
      <c r="W886722" s="7"/>
    </row>
    <row r="886892" spans="22:23">
      <c r="V886892" s="7"/>
      <c r="W886892" s="7"/>
    </row>
    <row r="887062" spans="22:23">
      <c r="V887062" s="7"/>
      <c r="W887062" s="7"/>
    </row>
    <row r="887232" spans="22:23">
      <c r="V887232" s="7"/>
      <c r="W887232" s="7"/>
    </row>
    <row r="887402" spans="22:23">
      <c r="V887402" s="7"/>
      <c r="W887402" s="7"/>
    </row>
    <row r="887572" spans="22:23">
      <c r="V887572" s="7"/>
      <c r="W887572" s="7"/>
    </row>
    <row r="887742" spans="22:23">
      <c r="V887742" s="7"/>
      <c r="W887742" s="7"/>
    </row>
    <row r="887912" spans="22:23">
      <c r="V887912" s="7"/>
      <c r="W887912" s="7"/>
    </row>
    <row r="888082" spans="22:23">
      <c r="V888082" s="7"/>
      <c r="W888082" s="7"/>
    </row>
    <row r="888252" spans="22:23">
      <c r="V888252" s="7"/>
      <c r="W888252" s="7"/>
    </row>
    <row r="888422" spans="22:23">
      <c r="V888422" s="7"/>
      <c r="W888422" s="7"/>
    </row>
    <row r="888592" spans="22:23">
      <c r="V888592" s="7"/>
      <c r="W888592" s="7"/>
    </row>
    <row r="888762" spans="22:23">
      <c r="V888762" s="7"/>
      <c r="W888762" s="7"/>
    </row>
    <row r="888932" spans="22:23">
      <c r="V888932" s="7"/>
      <c r="W888932" s="7"/>
    </row>
    <row r="889102" spans="22:23">
      <c r="V889102" s="7"/>
      <c r="W889102" s="7"/>
    </row>
    <row r="889272" spans="22:23">
      <c r="V889272" s="7"/>
      <c r="W889272" s="7"/>
    </row>
    <row r="889442" spans="22:23">
      <c r="V889442" s="7"/>
      <c r="W889442" s="7"/>
    </row>
    <row r="889612" spans="22:23">
      <c r="V889612" s="7"/>
      <c r="W889612" s="7"/>
    </row>
    <row r="889782" spans="22:23">
      <c r="V889782" s="7"/>
      <c r="W889782" s="7"/>
    </row>
    <row r="889952" spans="22:23">
      <c r="V889952" s="7"/>
      <c r="W889952" s="7"/>
    </row>
    <row r="890122" spans="22:23">
      <c r="V890122" s="7"/>
      <c r="W890122" s="7"/>
    </row>
    <row r="890292" spans="22:23">
      <c r="V890292" s="7"/>
      <c r="W890292" s="7"/>
    </row>
    <row r="890462" spans="22:23">
      <c r="V890462" s="7"/>
      <c r="W890462" s="7"/>
    </row>
    <row r="890632" spans="22:23">
      <c r="V890632" s="7"/>
      <c r="W890632" s="7"/>
    </row>
    <row r="890802" spans="22:23">
      <c r="V890802" s="7"/>
      <c r="W890802" s="7"/>
    </row>
    <row r="890972" spans="22:23">
      <c r="V890972" s="7"/>
      <c r="W890972" s="7"/>
    </row>
    <row r="891142" spans="22:23">
      <c r="V891142" s="7"/>
      <c r="W891142" s="7"/>
    </row>
    <row r="891312" spans="22:23">
      <c r="V891312" s="7"/>
      <c r="W891312" s="7"/>
    </row>
    <row r="891482" spans="22:23">
      <c r="V891482" s="7"/>
      <c r="W891482" s="7"/>
    </row>
    <row r="891652" spans="22:23">
      <c r="V891652" s="7"/>
      <c r="W891652" s="7"/>
    </row>
    <row r="891822" spans="22:23">
      <c r="V891822" s="7"/>
      <c r="W891822" s="7"/>
    </row>
    <row r="891992" spans="22:23">
      <c r="V891992" s="7"/>
      <c r="W891992" s="7"/>
    </row>
    <row r="892162" spans="22:23">
      <c r="V892162" s="7"/>
      <c r="W892162" s="7"/>
    </row>
    <row r="892332" spans="22:23">
      <c r="V892332" s="7"/>
      <c r="W892332" s="7"/>
    </row>
    <row r="892502" spans="22:23">
      <c r="V892502" s="7"/>
      <c r="W892502" s="7"/>
    </row>
    <row r="892672" spans="22:23">
      <c r="V892672" s="7"/>
      <c r="W892672" s="7"/>
    </row>
    <row r="892842" spans="22:23">
      <c r="V892842" s="7"/>
      <c r="W892842" s="7"/>
    </row>
    <row r="893012" spans="22:23">
      <c r="V893012" s="7"/>
      <c r="W893012" s="7"/>
    </row>
    <row r="893182" spans="22:23">
      <c r="V893182" s="7"/>
      <c r="W893182" s="7"/>
    </row>
    <row r="893352" spans="22:23">
      <c r="V893352" s="7"/>
      <c r="W893352" s="7"/>
    </row>
    <row r="893522" spans="22:23">
      <c r="V893522" s="7"/>
      <c r="W893522" s="7"/>
    </row>
    <row r="893692" spans="22:23">
      <c r="V893692" s="7"/>
      <c r="W893692" s="7"/>
    </row>
    <row r="893862" spans="22:23">
      <c r="V893862" s="7"/>
      <c r="W893862" s="7"/>
    </row>
    <row r="894032" spans="22:23">
      <c r="V894032" s="7"/>
      <c r="W894032" s="7"/>
    </row>
    <row r="894202" spans="22:23">
      <c r="V894202" s="7"/>
      <c r="W894202" s="7"/>
    </row>
    <row r="894372" spans="22:23">
      <c r="V894372" s="7"/>
      <c r="W894372" s="7"/>
    </row>
    <row r="894542" spans="22:23">
      <c r="V894542" s="7"/>
      <c r="W894542" s="7"/>
    </row>
    <row r="894712" spans="22:23">
      <c r="V894712" s="7"/>
      <c r="W894712" s="7"/>
    </row>
    <row r="894882" spans="22:23">
      <c r="V894882" s="7"/>
      <c r="W894882" s="7"/>
    </row>
    <row r="895052" spans="22:23">
      <c r="V895052" s="7"/>
      <c r="W895052" s="7"/>
    </row>
    <row r="895222" spans="22:23">
      <c r="V895222" s="7"/>
      <c r="W895222" s="7"/>
    </row>
    <row r="895392" spans="22:23">
      <c r="V895392" s="7"/>
      <c r="W895392" s="7"/>
    </row>
    <row r="895562" spans="22:23">
      <c r="V895562" s="7"/>
      <c r="W895562" s="7"/>
    </row>
    <row r="895732" spans="22:23">
      <c r="V895732" s="7"/>
      <c r="W895732" s="7"/>
    </row>
    <row r="895902" spans="22:23">
      <c r="V895902" s="7"/>
      <c r="W895902" s="7"/>
    </row>
    <row r="896072" spans="22:23">
      <c r="V896072" s="7"/>
      <c r="W896072" s="7"/>
    </row>
    <row r="896242" spans="22:23">
      <c r="V896242" s="7"/>
      <c r="W896242" s="7"/>
    </row>
    <row r="896412" spans="22:23">
      <c r="V896412" s="7"/>
      <c r="W896412" s="7"/>
    </row>
    <row r="896582" spans="22:23">
      <c r="V896582" s="7"/>
      <c r="W896582" s="7"/>
    </row>
    <row r="896752" spans="22:23">
      <c r="V896752" s="7"/>
      <c r="W896752" s="7"/>
    </row>
    <row r="896922" spans="22:23">
      <c r="V896922" s="7"/>
      <c r="W896922" s="7"/>
    </row>
    <row r="897092" spans="22:23">
      <c r="V897092" s="7"/>
      <c r="W897092" s="7"/>
    </row>
    <row r="897262" spans="22:23">
      <c r="V897262" s="7"/>
      <c r="W897262" s="7"/>
    </row>
    <row r="897432" spans="22:23">
      <c r="V897432" s="7"/>
      <c r="W897432" s="7"/>
    </row>
    <row r="897602" spans="22:23">
      <c r="V897602" s="7"/>
      <c r="W897602" s="7"/>
    </row>
    <row r="897772" spans="22:23">
      <c r="V897772" s="7"/>
      <c r="W897772" s="7"/>
    </row>
    <row r="897942" spans="22:23">
      <c r="V897942" s="7"/>
      <c r="W897942" s="7"/>
    </row>
    <row r="898112" spans="22:23">
      <c r="V898112" s="7"/>
      <c r="W898112" s="7"/>
    </row>
    <row r="898282" spans="22:23">
      <c r="V898282" s="7"/>
      <c r="W898282" s="7"/>
    </row>
    <row r="898452" spans="22:23">
      <c r="V898452" s="7"/>
      <c r="W898452" s="7"/>
    </row>
    <row r="898622" spans="22:23">
      <c r="V898622" s="7"/>
      <c r="W898622" s="7"/>
    </row>
    <row r="898792" spans="22:23">
      <c r="V898792" s="7"/>
      <c r="W898792" s="7"/>
    </row>
    <row r="898962" spans="22:23">
      <c r="V898962" s="7"/>
      <c r="W898962" s="7"/>
    </row>
    <row r="899132" spans="22:23">
      <c r="V899132" s="7"/>
      <c r="W899132" s="7"/>
    </row>
    <row r="899302" spans="22:23">
      <c r="V899302" s="7"/>
      <c r="W899302" s="7"/>
    </row>
    <row r="899472" spans="22:23">
      <c r="V899472" s="7"/>
      <c r="W899472" s="7"/>
    </row>
    <row r="899642" spans="22:23">
      <c r="V899642" s="7"/>
      <c r="W899642" s="7"/>
    </row>
    <row r="899812" spans="22:23">
      <c r="V899812" s="7"/>
      <c r="W899812" s="7"/>
    </row>
    <row r="899982" spans="22:23">
      <c r="V899982" s="7"/>
      <c r="W899982" s="7"/>
    </row>
    <row r="900152" spans="22:23">
      <c r="V900152" s="7"/>
      <c r="W900152" s="7"/>
    </row>
    <row r="900322" spans="22:23">
      <c r="V900322" s="7"/>
      <c r="W900322" s="7"/>
    </row>
    <row r="900492" spans="22:23">
      <c r="V900492" s="7"/>
      <c r="W900492" s="7"/>
    </row>
    <row r="900662" spans="22:23">
      <c r="V900662" s="7"/>
      <c r="W900662" s="7"/>
    </row>
    <row r="900832" spans="22:23">
      <c r="V900832" s="7"/>
      <c r="W900832" s="7"/>
    </row>
    <row r="901002" spans="22:23">
      <c r="V901002" s="7"/>
      <c r="W901002" s="7"/>
    </row>
    <row r="901172" spans="22:23">
      <c r="V901172" s="7"/>
      <c r="W901172" s="7"/>
    </row>
    <row r="901342" spans="22:23">
      <c r="V901342" s="7"/>
      <c r="W901342" s="7"/>
    </row>
    <row r="901512" spans="22:23">
      <c r="V901512" s="7"/>
      <c r="W901512" s="7"/>
    </row>
    <row r="901682" spans="22:23">
      <c r="V901682" s="7"/>
      <c r="W901682" s="7"/>
    </row>
    <row r="901852" spans="22:23">
      <c r="V901852" s="7"/>
      <c r="W901852" s="7"/>
    </row>
    <row r="902022" spans="22:23">
      <c r="V902022" s="7"/>
      <c r="W902022" s="7"/>
    </row>
    <row r="902192" spans="22:23">
      <c r="V902192" s="7"/>
      <c r="W902192" s="7"/>
    </row>
    <row r="902362" spans="22:23">
      <c r="V902362" s="7"/>
      <c r="W902362" s="7"/>
    </row>
    <row r="902532" spans="22:23">
      <c r="V902532" s="7"/>
      <c r="W902532" s="7"/>
    </row>
    <row r="902702" spans="22:23">
      <c r="V902702" s="7"/>
      <c r="W902702" s="7"/>
    </row>
    <row r="902872" spans="22:23">
      <c r="V902872" s="7"/>
      <c r="W902872" s="7"/>
    </row>
    <row r="903042" spans="22:23">
      <c r="V903042" s="7"/>
      <c r="W903042" s="7"/>
    </row>
    <row r="903212" spans="22:23">
      <c r="V903212" s="7"/>
      <c r="W903212" s="7"/>
    </row>
    <row r="903382" spans="22:23">
      <c r="V903382" s="7"/>
      <c r="W903382" s="7"/>
    </row>
    <row r="903552" spans="22:23">
      <c r="V903552" s="7"/>
      <c r="W903552" s="7"/>
    </row>
    <row r="903722" spans="22:23">
      <c r="V903722" s="7"/>
      <c r="W903722" s="7"/>
    </row>
    <row r="903892" spans="22:23">
      <c r="V903892" s="7"/>
      <c r="W903892" s="7"/>
    </row>
    <row r="904062" spans="22:23">
      <c r="V904062" s="7"/>
      <c r="W904062" s="7"/>
    </row>
    <row r="904232" spans="22:23">
      <c r="V904232" s="7"/>
      <c r="W904232" s="7"/>
    </row>
    <row r="904402" spans="22:23">
      <c r="V904402" s="7"/>
      <c r="W904402" s="7"/>
    </row>
    <row r="904572" spans="22:23">
      <c r="V904572" s="7"/>
      <c r="W904572" s="7"/>
    </row>
    <row r="904742" spans="22:23">
      <c r="V904742" s="7"/>
      <c r="W904742" s="7"/>
    </row>
    <row r="904912" spans="22:23">
      <c r="V904912" s="7"/>
      <c r="W904912" s="7"/>
    </row>
    <row r="905082" spans="22:23">
      <c r="V905082" s="7"/>
      <c r="W905082" s="7"/>
    </row>
    <row r="905252" spans="22:23">
      <c r="V905252" s="7"/>
      <c r="W905252" s="7"/>
    </row>
    <row r="905422" spans="22:23">
      <c r="V905422" s="7"/>
      <c r="W905422" s="7"/>
    </row>
    <row r="905592" spans="22:23">
      <c r="V905592" s="7"/>
      <c r="W905592" s="7"/>
    </row>
    <row r="905762" spans="22:23">
      <c r="V905762" s="7"/>
      <c r="W905762" s="7"/>
    </row>
    <row r="905932" spans="22:23">
      <c r="V905932" s="7"/>
      <c r="W905932" s="7"/>
    </row>
    <row r="906102" spans="22:23">
      <c r="V906102" s="7"/>
      <c r="W906102" s="7"/>
    </row>
    <row r="906272" spans="22:23">
      <c r="V906272" s="7"/>
      <c r="W906272" s="7"/>
    </row>
    <row r="906442" spans="22:23">
      <c r="V906442" s="7"/>
      <c r="W906442" s="7"/>
    </row>
    <row r="906612" spans="22:23">
      <c r="V906612" s="7"/>
      <c r="W906612" s="7"/>
    </row>
    <row r="906782" spans="22:23">
      <c r="V906782" s="7"/>
      <c r="W906782" s="7"/>
    </row>
    <row r="906952" spans="22:23">
      <c r="V906952" s="7"/>
      <c r="W906952" s="7"/>
    </row>
    <row r="907122" spans="22:23">
      <c r="V907122" s="7"/>
      <c r="W907122" s="7"/>
    </row>
    <row r="907292" spans="22:23">
      <c r="V907292" s="7"/>
      <c r="W907292" s="7"/>
    </row>
    <row r="907462" spans="22:23">
      <c r="V907462" s="7"/>
      <c r="W907462" s="7"/>
    </row>
    <row r="907632" spans="22:23">
      <c r="V907632" s="7"/>
      <c r="W907632" s="7"/>
    </row>
    <row r="907802" spans="22:23">
      <c r="V907802" s="7"/>
      <c r="W907802" s="7"/>
    </row>
    <row r="907972" spans="22:23">
      <c r="V907972" s="7"/>
      <c r="W907972" s="7"/>
    </row>
    <row r="908142" spans="22:23">
      <c r="V908142" s="7"/>
      <c r="W908142" s="7"/>
    </row>
    <row r="908312" spans="22:23">
      <c r="V908312" s="7"/>
      <c r="W908312" s="7"/>
    </row>
    <row r="908482" spans="22:23">
      <c r="V908482" s="7"/>
      <c r="W908482" s="7"/>
    </row>
    <row r="908652" spans="22:23">
      <c r="V908652" s="7"/>
      <c r="W908652" s="7"/>
    </row>
    <row r="908822" spans="22:23">
      <c r="V908822" s="7"/>
      <c r="W908822" s="7"/>
    </row>
    <row r="908992" spans="22:23">
      <c r="V908992" s="7"/>
      <c r="W908992" s="7"/>
    </row>
    <row r="909162" spans="22:23">
      <c r="V909162" s="7"/>
      <c r="W909162" s="7"/>
    </row>
    <row r="909332" spans="22:23">
      <c r="V909332" s="7"/>
      <c r="W909332" s="7"/>
    </row>
    <row r="909502" spans="22:23">
      <c r="V909502" s="7"/>
      <c r="W909502" s="7"/>
    </row>
    <row r="909672" spans="22:23">
      <c r="V909672" s="7"/>
      <c r="W909672" s="7"/>
    </row>
    <row r="909842" spans="22:23">
      <c r="V909842" s="7"/>
      <c r="W909842" s="7"/>
    </row>
    <row r="910012" spans="22:23">
      <c r="V910012" s="7"/>
      <c r="W910012" s="7"/>
    </row>
    <row r="910182" spans="22:23">
      <c r="V910182" s="7"/>
      <c r="W910182" s="7"/>
    </row>
    <row r="910352" spans="22:23">
      <c r="V910352" s="7"/>
      <c r="W910352" s="7"/>
    </row>
    <row r="910522" spans="22:23">
      <c r="V910522" s="7"/>
      <c r="W910522" s="7"/>
    </row>
    <row r="910692" spans="22:23">
      <c r="V910692" s="7"/>
      <c r="W910692" s="7"/>
    </row>
    <row r="910862" spans="22:23">
      <c r="V910862" s="7"/>
      <c r="W910862" s="7"/>
    </row>
    <row r="911032" spans="22:23">
      <c r="V911032" s="7"/>
      <c r="W911032" s="7"/>
    </row>
    <row r="911202" spans="22:23">
      <c r="V911202" s="7"/>
      <c r="W911202" s="7"/>
    </row>
    <row r="911372" spans="22:23">
      <c r="V911372" s="7"/>
      <c r="W911372" s="7"/>
    </row>
    <row r="911542" spans="22:23">
      <c r="V911542" s="7"/>
      <c r="W911542" s="7"/>
    </row>
    <row r="911712" spans="22:23">
      <c r="V911712" s="7"/>
      <c r="W911712" s="7"/>
    </row>
    <row r="911882" spans="22:23">
      <c r="V911882" s="7"/>
      <c r="W911882" s="7"/>
    </row>
    <row r="912052" spans="22:23">
      <c r="V912052" s="7"/>
      <c r="W912052" s="7"/>
    </row>
    <row r="912222" spans="22:23">
      <c r="V912222" s="7"/>
      <c r="W912222" s="7"/>
    </row>
    <row r="912392" spans="22:23">
      <c r="V912392" s="7"/>
      <c r="W912392" s="7"/>
    </row>
    <row r="912562" spans="22:23">
      <c r="V912562" s="7"/>
      <c r="W912562" s="7"/>
    </row>
    <row r="912732" spans="22:23">
      <c r="V912732" s="7"/>
      <c r="W912732" s="7"/>
    </row>
    <row r="912902" spans="22:23">
      <c r="V912902" s="7"/>
      <c r="W912902" s="7"/>
    </row>
    <row r="913072" spans="22:23">
      <c r="V913072" s="7"/>
      <c r="W913072" s="7"/>
    </row>
    <row r="913242" spans="22:23">
      <c r="V913242" s="7"/>
      <c r="W913242" s="7"/>
    </row>
    <row r="913412" spans="22:23">
      <c r="V913412" s="7"/>
      <c r="W913412" s="7"/>
    </row>
    <row r="913582" spans="22:23">
      <c r="V913582" s="7"/>
      <c r="W913582" s="7"/>
    </row>
    <row r="913752" spans="22:23">
      <c r="V913752" s="7"/>
      <c r="W913752" s="7"/>
    </row>
    <row r="913922" spans="22:23">
      <c r="V913922" s="7"/>
      <c r="W913922" s="7"/>
    </row>
    <row r="914092" spans="22:23">
      <c r="V914092" s="7"/>
      <c r="W914092" s="7"/>
    </row>
    <row r="914262" spans="22:23">
      <c r="V914262" s="7"/>
      <c r="W914262" s="7"/>
    </row>
    <row r="914432" spans="22:23">
      <c r="V914432" s="7"/>
      <c r="W914432" s="7"/>
    </row>
    <row r="914602" spans="22:23">
      <c r="V914602" s="7"/>
      <c r="W914602" s="7"/>
    </row>
    <row r="914772" spans="22:23">
      <c r="V914772" s="7"/>
      <c r="W914772" s="7"/>
    </row>
    <row r="914942" spans="22:23">
      <c r="V914942" s="7"/>
      <c r="W914942" s="7"/>
    </row>
    <row r="915112" spans="22:23">
      <c r="V915112" s="7"/>
      <c r="W915112" s="7"/>
    </row>
    <row r="915282" spans="22:23">
      <c r="V915282" s="7"/>
      <c r="W915282" s="7"/>
    </row>
    <row r="915452" spans="22:23">
      <c r="V915452" s="7"/>
      <c r="W915452" s="7"/>
    </row>
    <row r="915622" spans="22:23">
      <c r="V915622" s="7"/>
      <c r="W915622" s="7"/>
    </row>
    <row r="915792" spans="22:23">
      <c r="V915792" s="7"/>
      <c r="W915792" s="7"/>
    </row>
    <row r="915962" spans="22:23">
      <c r="V915962" s="7"/>
      <c r="W915962" s="7"/>
    </row>
    <row r="916132" spans="22:23">
      <c r="V916132" s="7"/>
      <c r="W916132" s="7"/>
    </row>
    <row r="916302" spans="22:23">
      <c r="V916302" s="7"/>
      <c r="W916302" s="7"/>
    </row>
    <row r="916472" spans="22:23">
      <c r="V916472" s="7"/>
      <c r="W916472" s="7"/>
    </row>
    <row r="916642" spans="22:23">
      <c r="V916642" s="7"/>
      <c r="W916642" s="7"/>
    </row>
    <row r="916812" spans="22:23">
      <c r="V916812" s="7"/>
      <c r="W916812" s="7"/>
    </row>
    <row r="916982" spans="22:23">
      <c r="V916982" s="7"/>
      <c r="W916982" s="7"/>
    </row>
    <row r="917152" spans="22:23">
      <c r="V917152" s="7"/>
      <c r="W917152" s="7"/>
    </row>
    <row r="917322" spans="22:23">
      <c r="V917322" s="7"/>
      <c r="W917322" s="7"/>
    </row>
    <row r="917492" spans="22:23">
      <c r="V917492" s="7"/>
      <c r="W917492" s="7"/>
    </row>
    <row r="917662" spans="22:23">
      <c r="V917662" s="7"/>
      <c r="W917662" s="7"/>
    </row>
    <row r="917832" spans="22:23">
      <c r="V917832" s="7"/>
      <c r="W917832" s="7"/>
    </row>
    <row r="918002" spans="22:23">
      <c r="V918002" s="7"/>
      <c r="W918002" s="7"/>
    </row>
    <row r="918172" spans="22:23">
      <c r="V918172" s="7"/>
      <c r="W918172" s="7"/>
    </row>
    <row r="918342" spans="22:23">
      <c r="V918342" s="7"/>
      <c r="W918342" s="7"/>
    </row>
    <row r="918512" spans="22:23">
      <c r="V918512" s="7"/>
      <c r="W918512" s="7"/>
    </row>
    <row r="918682" spans="22:23">
      <c r="V918682" s="7"/>
      <c r="W918682" s="7"/>
    </row>
    <row r="918852" spans="22:23">
      <c r="V918852" s="7"/>
      <c r="W918852" s="7"/>
    </row>
    <row r="919022" spans="22:23">
      <c r="V919022" s="7"/>
      <c r="W919022" s="7"/>
    </row>
    <row r="919192" spans="22:23">
      <c r="V919192" s="7"/>
      <c r="W919192" s="7"/>
    </row>
    <row r="919362" spans="22:23">
      <c r="V919362" s="7"/>
      <c r="W919362" s="7"/>
    </row>
    <row r="919532" spans="22:23">
      <c r="V919532" s="7"/>
      <c r="W919532" s="7"/>
    </row>
    <row r="919702" spans="22:23">
      <c r="V919702" s="7"/>
      <c r="W919702" s="7"/>
    </row>
    <row r="919872" spans="22:23">
      <c r="V919872" s="7"/>
      <c r="W919872" s="7"/>
    </row>
    <row r="920042" spans="22:23">
      <c r="V920042" s="7"/>
      <c r="W920042" s="7"/>
    </row>
    <row r="920212" spans="22:23">
      <c r="V920212" s="7"/>
      <c r="W920212" s="7"/>
    </row>
    <row r="920382" spans="22:23">
      <c r="V920382" s="7"/>
      <c r="W920382" s="7"/>
    </row>
    <row r="920552" spans="22:23">
      <c r="V920552" s="7"/>
      <c r="W920552" s="7"/>
    </row>
    <row r="920722" spans="22:23">
      <c r="V920722" s="7"/>
      <c r="W920722" s="7"/>
    </row>
    <row r="920892" spans="22:23">
      <c r="V920892" s="7"/>
      <c r="W920892" s="7"/>
    </row>
    <row r="921062" spans="22:23">
      <c r="V921062" s="7"/>
      <c r="W921062" s="7"/>
    </row>
    <row r="921232" spans="22:23">
      <c r="V921232" s="7"/>
      <c r="W921232" s="7"/>
    </row>
    <row r="921402" spans="22:23">
      <c r="V921402" s="7"/>
      <c r="W921402" s="7"/>
    </row>
    <row r="921572" spans="22:23">
      <c r="V921572" s="7"/>
      <c r="W921572" s="7"/>
    </row>
    <row r="921742" spans="22:23">
      <c r="V921742" s="7"/>
      <c r="W921742" s="7"/>
    </row>
    <row r="921912" spans="22:23">
      <c r="V921912" s="7"/>
      <c r="W921912" s="7"/>
    </row>
    <row r="922082" spans="22:23">
      <c r="V922082" s="7"/>
      <c r="W922082" s="7"/>
    </row>
    <row r="922252" spans="22:23">
      <c r="V922252" s="7"/>
      <c r="W922252" s="7"/>
    </row>
    <row r="922422" spans="22:23">
      <c r="V922422" s="7"/>
      <c r="W922422" s="7"/>
    </row>
    <row r="922592" spans="22:23">
      <c r="V922592" s="7"/>
      <c r="W922592" s="7"/>
    </row>
    <row r="922762" spans="22:23">
      <c r="V922762" s="7"/>
      <c r="W922762" s="7"/>
    </row>
    <row r="922932" spans="22:23">
      <c r="V922932" s="7"/>
      <c r="W922932" s="7"/>
    </row>
    <row r="923102" spans="22:23">
      <c r="V923102" s="7"/>
      <c r="W923102" s="7"/>
    </row>
    <row r="923272" spans="22:23">
      <c r="V923272" s="7"/>
      <c r="W923272" s="7"/>
    </row>
    <row r="923442" spans="22:23">
      <c r="V923442" s="7"/>
      <c r="W923442" s="7"/>
    </row>
    <row r="923612" spans="22:23">
      <c r="V923612" s="7"/>
      <c r="W923612" s="7"/>
    </row>
    <row r="923782" spans="22:23">
      <c r="V923782" s="7"/>
      <c r="W923782" s="7"/>
    </row>
    <row r="923952" spans="22:23">
      <c r="V923952" s="7"/>
      <c r="W923952" s="7"/>
    </row>
    <row r="924122" spans="22:23">
      <c r="V924122" s="7"/>
      <c r="W924122" s="7"/>
    </row>
    <row r="924292" spans="22:23">
      <c r="V924292" s="7"/>
      <c r="W924292" s="7"/>
    </row>
    <row r="924462" spans="22:23">
      <c r="V924462" s="7"/>
      <c r="W924462" s="7"/>
    </row>
    <row r="924632" spans="22:23">
      <c r="V924632" s="7"/>
      <c r="W924632" s="7"/>
    </row>
    <row r="924802" spans="22:23">
      <c r="V924802" s="7"/>
      <c r="W924802" s="7"/>
    </row>
    <row r="924972" spans="22:23">
      <c r="V924972" s="7"/>
      <c r="W924972" s="7"/>
    </row>
    <row r="925142" spans="22:23">
      <c r="V925142" s="7"/>
      <c r="W925142" s="7"/>
    </row>
    <row r="925312" spans="22:23">
      <c r="V925312" s="7"/>
      <c r="W925312" s="7"/>
    </row>
    <row r="925482" spans="22:23">
      <c r="V925482" s="7"/>
      <c r="W925482" s="7"/>
    </row>
    <row r="925652" spans="22:23">
      <c r="V925652" s="7"/>
      <c r="W925652" s="7"/>
    </row>
    <row r="925822" spans="22:23">
      <c r="V925822" s="7"/>
      <c r="W925822" s="7"/>
    </row>
    <row r="925992" spans="22:23">
      <c r="V925992" s="7"/>
      <c r="W925992" s="7"/>
    </row>
    <row r="926162" spans="22:23">
      <c r="V926162" s="7"/>
      <c r="W926162" s="7"/>
    </row>
    <row r="926332" spans="22:23">
      <c r="V926332" s="7"/>
      <c r="W926332" s="7"/>
    </row>
    <row r="926502" spans="22:23">
      <c r="V926502" s="7"/>
      <c r="W926502" s="7"/>
    </row>
    <row r="926672" spans="22:23">
      <c r="V926672" s="7"/>
      <c r="W926672" s="7"/>
    </row>
    <row r="926842" spans="22:23">
      <c r="V926842" s="7"/>
      <c r="W926842" s="7"/>
    </row>
    <row r="927012" spans="22:23">
      <c r="V927012" s="7"/>
      <c r="W927012" s="7"/>
    </row>
    <row r="927182" spans="22:23">
      <c r="V927182" s="7"/>
      <c r="W927182" s="7"/>
    </row>
    <row r="927352" spans="22:23">
      <c r="V927352" s="7"/>
      <c r="W927352" s="7"/>
    </row>
    <row r="927522" spans="22:23">
      <c r="V927522" s="7"/>
      <c r="W927522" s="7"/>
    </row>
    <row r="927692" spans="22:23">
      <c r="V927692" s="7"/>
      <c r="W927692" s="7"/>
    </row>
    <row r="927862" spans="22:23">
      <c r="V927862" s="7"/>
      <c r="W927862" s="7"/>
    </row>
    <row r="928032" spans="22:23">
      <c r="V928032" s="7"/>
      <c r="W928032" s="7"/>
    </row>
    <row r="928202" spans="22:23">
      <c r="V928202" s="7"/>
      <c r="W928202" s="7"/>
    </row>
    <row r="928372" spans="22:23">
      <c r="V928372" s="7"/>
      <c r="W928372" s="7"/>
    </row>
    <row r="928542" spans="22:23">
      <c r="V928542" s="7"/>
      <c r="W928542" s="7"/>
    </row>
    <row r="928712" spans="22:23">
      <c r="V928712" s="7"/>
      <c r="W928712" s="7"/>
    </row>
    <row r="928882" spans="22:23">
      <c r="V928882" s="7"/>
      <c r="W928882" s="7"/>
    </row>
    <row r="929052" spans="22:23">
      <c r="V929052" s="7"/>
      <c r="W929052" s="7"/>
    </row>
    <row r="929222" spans="22:23">
      <c r="V929222" s="7"/>
      <c r="W929222" s="7"/>
    </row>
    <row r="929392" spans="22:23">
      <c r="V929392" s="7"/>
      <c r="W929392" s="7"/>
    </row>
    <row r="929562" spans="22:23">
      <c r="V929562" s="7"/>
      <c r="W929562" s="7"/>
    </row>
    <row r="929732" spans="22:23">
      <c r="V929732" s="7"/>
      <c r="W929732" s="7"/>
    </row>
    <row r="929902" spans="22:23">
      <c r="V929902" s="7"/>
      <c r="W929902" s="7"/>
    </row>
    <row r="930072" spans="22:23">
      <c r="V930072" s="7"/>
      <c r="W930072" s="7"/>
    </row>
    <row r="930242" spans="22:23">
      <c r="V930242" s="7"/>
      <c r="W930242" s="7"/>
    </row>
    <row r="930412" spans="22:23">
      <c r="V930412" s="7"/>
      <c r="W930412" s="7"/>
    </row>
    <row r="930582" spans="22:23">
      <c r="V930582" s="7"/>
      <c r="W930582" s="7"/>
    </row>
    <row r="930752" spans="22:23">
      <c r="V930752" s="7"/>
      <c r="W930752" s="7"/>
    </row>
    <row r="930922" spans="22:23">
      <c r="V930922" s="7"/>
      <c r="W930922" s="7"/>
    </row>
    <row r="931092" spans="22:23">
      <c r="V931092" s="7"/>
      <c r="W931092" s="7"/>
    </row>
    <row r="931262" spans="22:23">
      <c r="V931262" s="7"/>
      <c r="W931262" s="7"/>
    </row>
    <row r="931432" spans="22:23">
      <c r="V931432" s="7"/>
      <c r="W931432" s="7"/>
    </row>
    <row r="931602" spans="22:23">
      <c r="V931602" s="7"/>
      <c r="W931602" s="7"/>
    </row>
    <row r="931772" spans="22:23">
      <c r="V931772" s="7"/>
      <c r="W931772" s="7"/>
    </row>
    <row r="931942" spans="22:23">
      <c r="V931942" s="7"/>
      <c r="W931942" s="7"/>
    </row>
    <row r="932112" spans="22:23">
      <c r="V932112" s="7"/>
      <c r="W932112" s="7"/>
    </row>
    <row r="932282" spans="22:23">
      <c r="V932282" s="7"/>
      <c r="W932282" s="7"/>
    </row>
    <row r="932452" spans="22:23">
      <c r="V932452" s="7"/>
      <c r="W932452" s="7"/>
    </row>
    <row r="932622" spans="22:23">
      <c r="V932622" s="7"/>
      <c r="W932622" s="7"/>
    </row>
    <row r="932792" spans="22:23">
      <c r="V932792" s="7"/>
      <c r="W932792" s="7"/>
    </row>
    <row r="932962" spans="22:23">
      <c r="V932962" s="7"/>
      <c r="W932962" s="7"/>
    </row>
    <row r="933132" spans="22:23">
      <c r="V933132" s="7"/>
      <c r="W933132" s="7"/>
    </row>
    <row r="933302" spans="22:23">
      <c r="V933302" s="7"/>
      <c r="W933302" s="7"/>
    </row>
    <row r="933472" spans="22:23">
      <c r="V933472" s="7"/>
      <c r="W933472" s="7"/>
    </row>
    <row r="933642" spans="22:23">
      <c r="V933642" s="7"/>
      <c r="W933642" s="7"/>
    </row>
    <row r="933812" spans="22:23">
      <c r="V933812" s="7"/>
      <c r="W933812" s="7"/>
    </row>
    <row r="933982" spans="22:23">
      <c r="V933982" s="7"/>
      <c r="W933982" s="7"/>
    </row>
    <row r="934152" spans="22:23">
      <c r="V934152" s="7"/>
      <c r="W934152" s="7"/>
    </row>
    <row r="934322" spans="22:23">
      <c r="V934322" s="7"/>
      <c r="W934322" s="7"/>
    </row>
    <row r="934492" spans="22:23">
      <c r="V934492" s="7"/>
      <c r="W934492" s="7"/>
    </row>
    <row r="934662" spans="22:23">
      <c r="V934662" s="7"/>
      <c r="W934662" s="7"/>
    </row>
    <row r="934832" spans="22:23">
      <c r="V934832" s="7"/>
      <c r="W934832" s="7"/>
    </row>
    <row r="935002" spans="22:23">
      <c r="V935002" s="7"/>
      <c r="W935002" s="7"/>
    </row>
    <row r="935172" spans="22:23">
      <c r="V935172" s="7"/>
      <c r="W935172" s="7"/>
    </row>
    <row r="935342" spans="22:23">
      <c r="V935342" s="7"/>
      <c r="W935342" s="7"/>
    </row>
    <row r="935512" spans="22:23">
      <c r="V935512" s="7"/>
      <c r="W935512" s="7"/>
    </row>
    <row r="935682" spans="22:23">
      <c r="V935682" s="7"/>
      <c r="W935682" s="7"/>
    </row>
    <row r="935852" spans="22:23">
      <c r="V935852" s="7"/>
      <c r="W935852" s="7"/>
    </row>
    <row r="936022" spans="22:23">
      <c r="V936022" s="7"/>
      <c r="W936022" s="7"/>
    </row>
    <row r="936192" spans="22:23">
      <c r="V936192" s="7"/>
      <c r="W936192" s="7"/>
    </row>
    <row r="936362" spans="22:23">
      <c r="V936362" s="7"/>
      <c r="W936362" s="7"/>
    </row>
    <row r="936532" spans="22:23">
      <c r="V936532" s="7"/>
      <c r="W936532" s="7"/>
    </row>
    <row r="936702" spans="22:23">
      <c r="V936702" s="7"/>
      <c r="W936702" s="7"/>
    </row>
    <row r="936872" spans="22:23">
      <c r="V936872" s="7"/>
      <c r="W936872" s="7"/>
    </row>
    <row r="937042" spans="22:23">
      <c r="V937042" s="7"/>
      <c r="W937042" s="7"/>
    </row>
    <row r="937212" spans="22:23">
      <c r="V937212" s="7"/>
      <c r="W937212" s="7"/>
    </row>
    <row r="937382" spans="22:23">
      <c r="V937382" s="7"/>
      <c r="W937382" s="7"/>
    </row>
    <row r="937552" spans="22:23">
      <c r="V937552" s="7"/>
      <c r="W937552" s="7"/>
    </row>
    <row r="937722" spans="22:23">
      <c r="V937722" s="7"/>
      <c r="W937722" s="7"/>
    </row>
    <row r="937892" spans="22:23">
      <c r="V937892" s="7"/>
      <c r="W937892" s="7"/>
    </row>
    <row r="938062" spans="22:23">
      <c r="V938062" s="7"/>
      <c r="W938062" s="7"/>
    </row>
    <row r="938232" spans="22:23">
      <c r="V938232" s="7"/>
      <c r="W938232" s="7"/>
    </row>
    <row r="938402" spans="22:23">
      <c r="V938402" s="7"/>
      <c r="W938402" s="7"/>
    </row>
    <row r="938572" spans="22:23">
      <c r="V938572" s="7"/>
      <c r="W938572" s="7"/>
    </row>
    <row r="938742" spans="22:23">
      <c r="V938742" s="7"/>
      <c r="W938742" s="7"/>
    </row>
    <row r="938912" spans="22:23">
      <c r="V938912" s="7"/>
      <c r="W938912" s="7"/>
    </row>
    <row r="939082" spans="22:23">
      <c r="V939082" s="7"/>
      <c r="W939082" s="7"/>
    </row>
    <row r="939252" spans="22:23">
      <c r="V939252" s="7"/>
      <c r="W939252" s="7"/>
    </row>
    <row r="939422" spans="22:23">
      <c r="V939422" s="7"/>
      <c r="W939422" s="7"/>
    </row>
    <row r="939592" spans="22:23">
      <c r="V939592" s="7"/>
      <c r="W939592" s="7"/>
    </row>
    <row r="939762" spans="22:23">
      <c r="V939762" s="7"/>
      <c r="W939762" s="7"/>
    </row>
    <row r="939932" spans="22:23">
      <c r="V939932" s="7"/>
      <c r="W939932" s="7"/>
    </row>
    <row r="940102" spans="22:23">
      <c r="V940102" s="7"/>
      <c r="W940102" s="7"/>
    </row>
    <row r="940272" spans="22:23">
      <c r="V940272" s="7"/>
      <c r="W940272" s="7"/>
    </row>
    <row r="940442" spans="22:23">
      <c r="V940442" s="7"/>
      <c r="W940442" s="7"/>
    </row>
    <row r="940612" spans="22:23">
      <c r="V940612" s="7"/>
      <c r="W940612" s="7"/>
    </row>
    <row r="940782" spans="22:23">
      <c r="V940782" s="7"/>
      <c r="W940782" s="7"/>
    </row>
    <row r="940952" spans="22:23">
      <c r="V940952" s="7"/>
      <c r="W940952" s="7"/>
    </row>
    <row r="941122" spans="22:23">
      <c r="V941122" s="7"/>
      <c r="W941122" s="7"/>
    </row>
    <row r="941292" spans="22:23">
      <c r="V941292" s="7"/>
      <c r="W941292" s="7"/>
    </row>
    <row r="941462" spans="22:23">
      <c r="V941462" s="7"/>
      <c r="W941462" s="7"/>
    </row>
    <row r="941632" spans="22:23">
      <c r="V941632" s="7"/>
      <c r="W941632" s="7"/>
    </row>
    <row r="941802" spans="22:23">
      <c r="V941802" s="7"/>
      <c r="W941802" s="7"/>
    </row>
    <row r="941972" spans="22:23">
      <c r="V941972" s="7"/>
      <c r="W941972" s="7"/>
    </row>
    <row r="942142" spans="22:23">
      <c r="V942142" s="7"/>
      <c r="W942142" s="7"/>
    </row>
    <row r="942312" spans="22:23">
      <c r="V942312" s="7"/>
      <c r="W942312" s="7"/>
    </row>
    <row r="942482" spans="22:23">
      <c r="V942482" s="7"/>
      <c r="W942482" s="7"/>
    </row>
    <row r="942652" spans="22:23">
      <c r="V942652" s="7"/>
      <c r="W942652" s="7"/>
    </row>
    <row r="942822" spans="22:23">
      <c r="V942822" s="7"/>
      <c r="W942822" s="7"/>
    </row>
    <row r="942992" spans="22:23">
      <c r="V942992" s="7"/>
      <c r="W942992" s="7"/>
    </row>
    <row r="943162" spans="22:23">
      <c r="V943162" s="7"/>
      <c r="W943162" s="7"/>
    </row>
    <row r="943332" spans="22:23">
      <c r="V943332" s="7"/>
      <c r="W943332" s="7"/>
    </row>
    <row r="943502" spans="22:23">
      <c r="V943502" s="7"/>
      <c r="W943502" s="7"/>
    </row>
    <row r="943672" spans="22:23">
      <c r="V943672" s="7"/>
      <c r="W943672" s="7"/>
    </row>
    <row r="943842" spans="22:23">
      <c r="V943842" s="7"/>
      <c r="W943842" s="7"/>
    </row>
    <row r="944012" spans="22:23">
      <c r="V944012" s="7"/>
      <c r="W944012" s="7"/>
    </row>
    <row r="944182" spans="22:23">
      <c r="V944182" s="7"/>
      <c r="W944182" s="7"/>
    </row>
    <row r="944352" spans="22:23">
      <c r="V944352" s="7"/>
      <c r="W944352" s="7"/>
    </row>
    <row r="944522" spans="22:23">
      <c r="V944522" s="7"/>
      <c r="W944522" s="7"/>
    </row>
    <row r="944692" spans="22:23">
      <c r="V944692" s="7"/>
      <c r="W944692" s="7"/>
    </row>
    <row r="944862" spans="22:23">
      <c r="V944862" s="7"/>
      <c r="W944862" s="7"/>
    </row>
    <row r="945032" spans="22:23">
      <c r="V945032" s="7"/>
      <c r="W945032" s="7"/>
    </row>
    <row r="945202" spans="22:23">
      <c r="V945202" s="7"/>
      <c r="W945202" s="7"/>
    </row>
    <row r="945372" spans="22:23">
      <c r="V945372" s="7"/>
      <c r="W945372" s="7"/>
    </row>
    <row r="945542" spans="22:23">
      <c r="V945542" s="7"/>
      <c r="W945542" s="7"/>
    </row>
    <row r="945712" spans="22:23">
      <c r="V945712" s="7"/>
      <c r="W945712" s="7"/>
    </row>
    <row r="945882" spans="22:23">
      <c r="V945882" s="7"/>
      <c r="W945882" s="7"/>
    </row>
    <row r="946052" spans="22:23">
      <c r="V946052" s="7"/>
      <c r="W946052" s="7"/>
    </row>
    <row r="946222" spans="22:23">
      <c r="V946222" s="7"/>
      <c r="W946222" s="7"/>
    </row>
    <row r="946392" spans="22:23">
      <c r="V946392" s="7"/>
      <c r="W946392" s="7"/>
    </row>
    <row r="946562" spans="22:23">
      <c r="V946562" s="7"/>
      <c r="W946562" s="7"/>
    </row>
    <row r="946732" spans="22:23">
      <c r="V946732" s="7"/>
      <c r="W946732" s="7"/>
    </row>
    <row r="946902" spans="22:23">
      <c r="V946902" s="7"/>
      <c r="W946902" s="7"/>
    </row>
    <row r="947072" spans="22:23">
      <c r="V947072" s="7"/>
      <c r="W947072" s="7"/>
    </row>
    <row r="947242" spans="22:23">
      <c r="V947242" s="7"/>
      <c r="W947242" s="7"/>
    </row>
    <row r="947412" spans="22:23">
      <c r="V947412" s="7"/>
      <c r="W947412" s="7"/>
    </row>
    <row r="947582" spans="22:23">
      <c r="V947582" s="7"/>
      <c r="W947582" s="7"/>
    </row>
    <row r="947752" spans="22:23">
      <c r="V947752" s="7"/>
      <c r="W947752" s="7"/>
    </row>
    <row r="947922" spans="22:23">
      <c r="V947922" s="7"/>
      <c r="W947922" s="7"/>
    </row>
    <row r="948092" spans="22:23">
      <c r="V948092" s="7"/>
      <c r="W948092" s="7"/>
    </row>
    <row r="948262" spans="22:23">
      <c r="V948262" s="7"/>
      <c r="W948262" s="7"/>
    </row>
    <row r="948432" spans="22:23">
      <c r="V948432" s="7"/>
      <c r="W948432" s="7"/>
    </row>
    <row r="948602" spans="22:23">
      <c r="V948602" s="7"/>
      <c r="W948602" s="7"/>
    </row>
    <row r="948772" spans="22:23">
      <c r="V948772" s="7"/>
      <c r="W948772" s="7"/>
    </row>
    <row r="948942" spans="22:23">
      <c r="V948942" s="7"/>
      <c r="W948942" s="7"/>
    </row>
    <row r="949112" spans="22:23">
      <c r="V949112" s="7"/>
      <c r="W949112" s="7"/>
    </row>
    <row r="949282" spans="22:23">
      <c r="V949282" s="7"/>
      <c r="W949282" s="7"/>
    </row>
    <row r="949452" spans="22:23">
      <c r="V949452" s="7"/>
      <c r="W949452" s="7"/>
    </row>
    <row r="949622" spans="22:23">
      <c r="V949622" s="7"/>
      <c r="W949622" s="7"/>
    </row>
    <row r="949792" spans="22:23">
      <c r="V949792" s="7"/>
      <c r="W949792" s="7"/>
    </row>
    <row r="949962" spans="22:23">
      <c r="V949962" s="7"/>
      <c r="W949962" s="7"/>
    </row>
    <row r="950132" spans="22:23">
      <c r="V950132" s="7"/>
      <c r="W950132" s="7"/>
    </row>
    <row r="950302" spans="22:23">
      <c r="V950302" s="7"/>
      <c r="W950302" s="7"/>
    </row>
    <row r="950472" spans="22:23">
      <c r="V950472" s="7"/>
      <c r="W950472" s="7"/>
    </row>
    <row r="950642" spans="22:23">
      <c r="V950642" s="7"/>
      <c r="W950642" s="7"/>
    </row>
    <row r="950812" spans="22:23">
      <c r="V950812" s="7"/>
      <c r="W950812" s="7"/>
    </row>
    <row r="950982" spans="22:23">
      <c r="V950982" s="7"/>
      <c r="W950982" s="7"/>
    </row>
    <row r="951152" spans="22:23">
      <c r="V951152" s="7"/>
      <c r="W951152" s="7"/>
    </row>
    <row r="951322" spans="22:23">
      <c r="V951322" s="7"/>
      <c r="W951322" s="7"/>
    </row>
    <row r="951492" spans="22:23">
      <c r="V951492" s="7"/>
      <c r="W951492" s="7"/>
    </row>
    <row r="951662" spans="22:23">
      <c r="V951662" s="7"/>
      <c r="W951662" s="7"/>
    </row>
    <row r="951832" spans="22:23">
      <c r="V951832" s="7"/>
      <c r="W951832" s="7"/>
    </row>
    <row r="952002" spans="22:23">
      <c r="V952002" s="7"/>
      <c r="W952002" s="7"/>
    </row>
    <row r="952172" spans="22:23">
      <c r="V952172" s="7"/>
      <c r="W952172" s="7"/>
    </row>
    <row r="952342" spans="22:23">
      <c r="V952342" s="7"/>
      <c r="W952342" s="7"/>
    </row>
    <row r="952512" spans="22:23">
      <c r="V952512" s="7"/>
      <c r="W952512" s="7"/>
    </row>
    <row r="952682" spans="22:23">
      <c r="V952682" s="7"/>
      <c r="W952682" s="7"/>
    </row>
    <row r="952852" spans="22:23">
      <c r="V952852" s="7"/>
      <c r="W952852" s="7"/>
    </row>
    <row r="953022" spans="22:23">
      <c r="V953022" s="7"/>
      <c r="W953022" s="7"/>
    </row>
    <row r="953192" spans="22:23">
      <c r="V953192" s="7"/>
      <c r="W953192" s="7"/>
    </row>
    <row r="953362" spans="22:23">
      <c r="V953362" s="7"/>
      <c r="W953362" s="7"/>
    </row>
    <row r="953532" spans="22:23">
      <c r="V953532" s="7"/>
      <c r="W953532" s="7"/>
    </row>
    <row r="953702" spans="22:23">
      <c r="V953702" s="7"/>
      <c r="W953702" s="7"/>
    </row>
    <row r="953872" spans="22:23">
      <c r="V953872" s="7"/>
      <c r="W953872" s="7"/>
    </row>
    <row r="954042" spans="22:23">
      <c r="V954042" s="7"/>
      <c r="W954042" s="7"/>
    </row>
    <row r="954212" spans="22:23">
      <c r="V954212" s="7"/>
      <c r="W954212" s="7"/>
    </row>
    <row r="954382" spans="22:23">
      <c r="V954382" s="7"/>
      <c r="W954382" s="7"/>
    </row>
    <row r="954552" spans="22:23">
      <c r="V954552" s="7"/>
      <c r="W954552" s="7"/>
    </row>
    <row r="954722" spans="22:23">
      <c r="V954722" s="7"/>
      <c r="W954722" s="7"/>
    </row>
    <row r="954892" spans="22:23">
      <c r="V954892" s="7"/>
      <c r="W954892" s="7"/>
    </row>
    <row r="955062" spans="22:23">
      <c r="V955062" s="7"/>
      <c r="W955062" s="7"/>
    </row>
    <row r="955232" spans="22:23">
      <c r="V955232" s="7"/>
      <c r="W955232" s="7"/>
    </row>
    <row r="955402" spans="22:23">
      <c r="V955402" s="7"/>
      <c r="W955402" s="7"/>
    </row>
    <row r="955572" spans="22:23">
      <c r="V955572" s="7"/>
      <c r="W955572" s="7"/>
    </row>
    <row r="955742" spans="22:23">
      <c r="V955742" s="7"/>
      <c r="W955742" s="7"/>
    </row>
    <row r="955912" spans="22:23">
      <c r="V955912" s="7"/>
      <c r="W955912" s="7"/>
    </row>
    <row r="956082" spans="22:23">
      <c r="V956082" s="7"/>
      <c r="W956082" s="7"/>
    </row>
    <row r="956252" spans="22:23">
      <c r="V956252" s="7"/>
      <c r="W956252" s="7"/>
    </row>
    <row r="956422" spans="22:23">
      <c r="V956422" s="7"/>
      <c r="W956422" s="7"/>
    </row>
    <row r="956592" spans="22:23">
      <c r="V956592" s="7"/>
      <c r="W956592" s="7"/>
    </row>
    <row r="956762" spans="22:23">
      <c r="V956762" s="7"/>
      <c r="W956762" s="7"/>
    </row>
    <row r="956932" spans="22:23">
      <c r="V956932" s="7"/>
      <c r="W956932" s="7"/>
    </row>
    <row r="957102" spans="22:23">
      <c r="V957102" s="7"/>
      <c r="W957102" s="7"/>
    </row>
    <row r="957272" spans="22:23">
      <c r="V957272" s="7"/>
      <c r="W957272" s="7"/>
    </row>
    <row r="957442" spans="22:23">
      <c r="V957442" s="7"/>
      <c r="W957442" s="7"/>
    </row>
    <row r="957612" spans="22:23">
      <c r="V957612" s="7"/>
      <c r="W957612" s="7"/>
    </row>
    <row r="957782" spans="22:23">
      <c r="V957782" s="7"/>
      <c r="W957782" s="7"/>
    </row>
    <row r="957952" spans="22:23">
      <c r="V957952" s="7"/>
      <c r="W957952" s="7"/>
    </row>
    <row r="958122" spans="22:23">
      <c r="V958122" s="7"/>
      <c r="W958122" s="7"/>
    </row>
    <row r="958292" spans="22:23">
      <c r="V958292" s="7"/>
      <c r="W958292" s="7"/>
    </row>
    <row r="958462" spans="22:23">
      <c r="V958462" s="7"/>
      <c r="W958462" s="7"/>
    </row>
    <row r="958632" spans="22:23">
      <c r="V958632" s="7"/>
      <c r="W958632" s="7"/>
    </row>
    <row r="958802" spans="22:23">
      <c r="V958802" s="7"/>
      <c r="W958802" s="7"/>
    </row>
    <row r="958972" spans="22:23">
      <c r="V958972" s="7"/>
      <c r="W958972" s="7"/>
    </row>
    <row r="959142" spans="22:23">
      <c r="V959142" s="7"/>
      <c r="W959142" s="7"/>
    </row>
    <row r="959312" spans="22:23">
      <c r="V959312" s="7"/>
      <c r="W959312" s="7"/>
    </row>
    <row r="959482" spans="22:23">
      <c r="V959482" s="7"/>
      <c r="W959482" s="7"/>
    </row>
    <row r="959652" spans="22:23">
      <c r="V959652" s="7"/>
      <c r="W959652" s="7"/>
    </row>
    <row r="959822" spans="22:23">
      <c r="V959822" s="7"/>
      <c r="W959822" s="7"/>
    </row>
    <row r="959992" spans="22:23">
      <c r="V959992" s="7"/>
      <c r="W959992" s="7"/>
    </row>
    <row r="960162" spans="22:23">
      <c r="V960162" s="7"/>
      <c r="W960162" s="7"/>
    </row>
    <row r="960332" spans="22:23">
      <c r="V960332" s="7"/>
      <c r="W960332" s="7"/>
    </row>
    <row r="960502" spans="22:23">
      <c r="V960502" s="7"/>
      <c r="W960502" s="7"/>
    </row>
    <row r="960672" spans="22:23">
      <c r="V960672" s="7"/>
      <c r="W960672" s="7"/>
    </row>
    <row r="960842" spans="22:23">
      <c r="V960842" s="7"/>
      <c r="W960842" s="7"/>
    </row>
    <row r="961012" spans="22:23">
      <c r="V961012" s="7"/>
      <c r="W961012" s="7"/>
    </row>
    <row r="961182" spans="22:23">
      <c r="V961182" s="7"/>
      <c r="W961182" s="7"/>
    </row>
    <row r="961352" spans="22:23">
      <c r="V961352" s="7"/>
      <c r="W961352" s="7"/>
    </row>
    <row r="961522" spans="22:23">
      <c r="V961522" s="7"/>
      <c r="W961522" s="7"/>
    </row>
    <row r="961692" spans="22:23">
      <c r="V961692" s="7"/>
      <c r="W961692" s="7"/>
    </row>
    <row r="961862" spans="22:23">
      <c r="V961862" s="7"/>
      <c r="W961862" s="7"/>
    </row>
    <row r="962032" spans="22:23">
      <c r="V962032" s="7"/>
      <c r="W962032" s="7"/>
    </row>
    <row r="962202" spans="22:23">
      <c r="V962202" s="7"/>
      <c r="W962202" s="7"/>
    </row>
    <row r="962372" spans="22:23">
      <c r="V962372" s="7"/>
      <c r="W962372" s="7"/>
    </row>
    <row r="962542" spans="22:23">
      <c r="V962542" s="7"/>
      <c r="W962542" s="7"/>
    </row>
    <row r="962712" spans="22:23">
      <c r="V962712" s="7"/>
      <c r="W962712" s="7"/>
    </row>
    <row r="962882" spans="22:23">
      <c r="V962882" s="7"/>
      <c r="W962882" s="7"/>
    </row>
    <row r="963052" spans="22:23">
      <c r="V963052" s="7"/>
      <c r="W963052" s="7"/>
    </row>
    <row r="963222" spans="22:23">
      <c r="V963222" s="7"/>
      <c r="W963222" s="7"/>
    </row>
    <row r="963392" spans="22:23">
      <c r="V963392" s="7"/>
      <c r="W963392" s="7"/>
    </row>
    <row r="963562" spans="22:23">
      <c r="V963562" s="7"/>
      <c r="W963562" s="7"/>
    </row>
    <row r="963732" spans="22:23">
      <c r="V963732" s="7"/>
      <c r="W963732" s="7"/>
    </row>
    <row r="963902" spans="22:23">
      <c r="V963902" s="7"/>
      <c r="W963902" s="7"/>
    </row>
    <row r="964072" spans="22:23">
      <c r="V964072" s="7"/>
      <c r="W964072" s="7"/>
    </row>
    <row r="964242" spans="22:23">
      <c r="V964242" s="7"/>
      <c r="W964242" s="7"/>
    </row>
    <row r="964412" spans="22:23">
      <c r="V964412" s="7"/>
      <c r="W964412" s="7"/>
    </row>
    <row r="964582" spans="22:23">
      <c r="V964582" s="7"/>
      <c r="W964582" s="7"/>
    </row>
    <row r="964752" spans="22:23">
      <c r="V964752" s="7"/>
      <c r="W964752" s="7"/>
    </row>
    <row r="964922" spans="22:23">
      <c r="V964922" s="7"/>
      <c r="W964922" s="7"/>
    </row>
    <row r="965092" spans="22:23">
      <c r="V965092" s="7"/>
      <c r="W965092" s="7"/>
    </row>
    <row r="965262" spans="22:23">
      <c r="V965262" s="7"/>
      <c r="W965262" s="7"/>
    </row>
    <row r="965432" spans="22:23">
      <c r="V965432" s="7"/>
      <c r="W965432" s="7"/>
    </row>
    <row r="965602" spans="22:23">
      <c r="V965602" s="7"/>
      <c r="W965602" s="7"/>
    </row>
    <row r="965772" spans="22:23">
      <c r="V965772" s="7"/>
      <c r="W965772" s="7"/>
    </row>
    <row r="965942" spans="22:23">
      <c r="V965942" s="7"/>
      <c r="W965942" s="7"/>
    </row>
    <row r="966112" spans="22:23">
      <c r="V966112" s="7"/>
      <c r="W966112" s="7"/>
    </row>
    <row r="966282" spans="22:23">
      <c r="V966282" s="7"/>
      <c r="W966282" s="7"/>
    </row>
    <row r="966452" spans="22:23">
      <c r="V966452" s="7"/>
      <c r="W966452" s="7"/>
    </row>
    <row r="966622" spans="22:23">
      <c r="V966622" s="7"/>
      <c r="W966622" s="7"/>
    </row>
    <row r="966792" spans="22:23">
      <c r="V966792" s="7"/>
      <c r="W966792" s="7"/>
    </row>
    <row r="966962" spans="22:23">
      <c r="V966962" s="7"/>
      <c r="W966962" s="7"/>
    </row>
    <row r="967132" spans="22:23">
      <c r="V967132" s="7"/>
      <c r="W967132" s="7"/>
    </row>
    <row r="967302" spans="22:23">
      <c r="V967302" s="7"/>
      <c r="W967302" s="7"/>
    </row>
    <row r="967472" spans="22:23">
      <c r="V967472" s="7"/>
      <c r="W967472" s="7"/>
    </row>
    <row r="967642" spans="22:23">
      <c r="V967642" s="7"/>
      <c r="W967642" s="7"/>
    </row>
    <row r="967812" spans="22:23">
      <c r="V967812" s="7"/>
      <c r="W967812" s="7"/>
    </row>
    <row r="967982" spans="22:23">
      <c r="V967982" s="7"/>
      <c r="W967982" s="7"/>
    </row>
    <row r="968152" spans="22:23">
      <c r="V968152" s="7"/>
      <c r="W968152" s="7"/>
    </row>
    <row r="968322" spans="22:23">
      <c r="V968322" s="7"/>
      <c r="W968322" s="7"/>
    </row>
    <row r="968492" spans="22:23">
      <c r="V968492" s="7"/>
      <c r="W968492" s="7"/>
    </row>
    <row r="968662" spans="22:23">
      <c r="V968662" s="7"/>
      <c r="W968662" s="7"/>
    </row>
    <row r="968832" spans="22:23">
      <c r="V968832" s="7"/>
      <c r="W968832" s="7"/>
    </row>
    <row r="969002" spans="22:23">
      <c r="V969002" s="7"/>
      <c r="W969002" s="7"/>
    </row>
    <row r="969172" spans="22:23">
      <c r="V969172" s="7"/>
      <c r="W969172" s="7"/>
    </row>
    <row r="969342" spans="22:23">
      <c r="V969342" s="7"/>
      <c r="W969342" s="7"/>
    </row>
    <row r="969512" spans="22:23">
      <c r="V969512" s="7"/>
      <c r="W969512" s="7"/>
    </row>
    <row r="969682" spans="22:23">
      <c r="V969682" s="7"/>
      <c r="W969682" s="7"/>
    </row>
    <row r="969852" spans="22:23">
      <c r="V969852" s="7"/>
      <c r="W969852" s="7"/>
    </row>
    <row r="970022" spans="22:23">
      <c r="V970022" s="7"/>
      <c r="W970022" s="7"/>
    </row>
    <row r="970192" spans="22:23">
      <c r="V970192" s="7"/>
      <c r="W970192" s="7"/>
    </row>
    <row r="970362" spans="22:23">
      <c r="V970362" s="7"/>
      <c r="W970362" s="7"/>
    </row>
    <row r="970532" spans="22:23">
      <c r="V970532" s="7"/>
      <c r="W970532" s="7"/>
    </row>
    <row r="970702" spans="22:23">
      <c r="V970702" s="7"/>
      <c r="W970702" s="7"/>
    </row>
    <row r="970872" spans="22:23">
      <c r="V970872" s="7"/>
      <c r="W970872" s="7"/>
    </row>
    <row r="971042" spans="22:23">
      <c r="V971042" s="7"/>
      <c r="W971042" s="7"/>
    </row>
    <row r="971212" spans="22:23">
      <c r="V971212" s="7"/>
      <c r="W971212" s="7"/>
    </row>
    <row r="971382" spans="22:23">
      <c r="V971382" s="7"/>
      <c r="W971382" s="7"/>
    </row>
    <row r="971552" spans="22:23">
      <c r="V971552" s="7"/>
      <c r="W971552" s="7"/>
    </row>
    <row r="971722" spans="22:23">
      <c r="V971722" s="7"/>
      <c r="W971722" s="7"/>
    </row>
    <row r="971892" spans="22:23">
      <c r="V971892" s="7"/>
      <c r="W971892" s="7"/>
    </row>
    <row r="972062" spans="22:23">
      <c r="V972062" s="7"/>
      <c r="W972062" s="7"/>
    </row>
    <row r="972232" spans="22:23">
      <c r="V972232" s="7"/>
      <c r="W972232" s="7"/>
    </row>
    <row r="972402" spans="22:23">
      <c r="V972402" s="7"/>
      <c r="W972402" s="7"/>
    </row>
    <row r="972572" spans="22:23">
      <c r="V972572" s="7"/>
      <c r="W972572" s="7"/>
    </row>
    <row r="972742" spans="22:23">
      <c r="V972742" s="7"/>
      <c r="W972742" s="7"/>
    </row>
    <row r="972912" spans="22:23">
      <c r="V972912" s="7"/>
      <c r="W972912" s="7"/>
    </row>
    <row r="973082" spans="22:23">
      <c r="V973082" s="7"/>
      <c r="W973082" s="7"/>
    </row>
    <row r="973252" spans="22:23">
      <c r="V973252" s="7"/>
      <c r="W973252" s="7"/>
    </row>
    <row r="973422" spans="22:23">
      <c r="V973422" s="7"/>
      <c r="W973422" s="7"/>
    </row>
    <row r="973592" spans="22:23">
      <c r="V973592" s="7"/>
      <c r="W973592" s="7"/>
    </row>
    <row r="973762" spans="22:23">
      <c r="V973762" s="7"/>
      <c r="W973762" s="7"/>
    </row>
    <row r="973932" spans="22:23">
      <c r="V973932" s="7"/>
      <c r="W973932" s="7"/>
    </row>
    <row r="974102" spans="22:23">
      <c r="V974102" s="7"/>
      <c r="W974102" s="7"/>
    </row>
    <row r="974272" spans="22:23">
      <c r="V974272" s="7"/>
      <c r="W974272" s="7"/>
    </row>
    <row r="974442" spans="22:23">
      <c r="V974442" s="7"/>
      <c r="W974442" s="7"/>
    </row>
    <row r="974612" spans="22:23">
      <c r="V974612" s="7"/>
      <c r="W974612" s="7"/>
    </row>
    <row r="974782" spans="22:23">
      <c r="V974782" s="7"/>
      <c r="W974782" s="7"/>
    </row>
    <row r="974952" spans="22:23">
      <c r="V974952" s="7"/>
      <c r="W974952" s="7"/>
    </row>
    <row r="975122" spans="22:23">
      <c r="V975122" s="7"/>
      <c r="W975122" s="7"/>
    </row>
    <row r="975292" spans="22:23">
      <c r="V975292" s="7"/>
      <c r="W975292" s="7"/>
    </row>
    <row r="975462" spans="22:23">
      <c r="V975462" s="7"/>
      <c r="W975462" s="7"/>
    </row>
    <row r="975632" spans="22:23">
      <c r="V975632" s="7"/>
      <c r="W975632" s="7"/>
    </row>
    <row r="975802" spans="22:23">
      <c r="V975802" s="7"/>
      <c r="W975802" s="7"/>
    </row>
    <row r="975972" spans="22:23">
      <c r="V975972" s="7"/>
      <c r="W975972" s="7"/>
    </row>
    <row r="976142" spans="22:23">
      <c r="V976142" s="7"/>
      <c r="W976142" s="7"/>
    </row>
    <row r="976312" spans="22:23">
      <c r="V976312" s="7"/>
      <c r="W976312" s="7"/>
    </row>
    <row r="976482" spans="22:23">
      <c r="V976482" s="7"/>
      <c r="W976482" s="7"/>
    </row>
    <row r="976652" spans="22:23">
      <c r="V976652" s="7"/>
      <c r="W976652" s="7"/>
    </row>
    <row r="976822" spans="22:23">
      <c r="V976822" s="7"/>
      <c r="W976822" s="7"/>
    </row>
    <row r="976992" spans="22:23">
      <c r="V976992" s="7"/>
      <c r="W976992" s="7"/>
    </row>
    <row r="977162" spans="22:23">
      <c r="V977162" s="7"/>
      <c r="W977162" s="7"/>
    </row>
    <row r="977332" spans="22:23">
      <c r="V977332" s="7"/>
      <c r="W977332" s="7"/>
    </row>
    <row r="977502" spans="22:23">
      <c r="V977502" s="7"/>
      <c r="W977502" s="7"/>
    </row>
    <row r="977672" spans="22:23">
      <c r="V977672" s="7"/>
      <c r="W977672" s="7"/>
    </row>
    <row r="977842" spans="22:23">
      <c r="V977842" s="7"/>
      <c r="W977842" s="7"/>
    </row>
    <row r="978012" spans="22:23">
      <c r="V978012" s="7"/>
      <c r="W978012" s="7"/>
    </row>
    <row r="978182" spans="22:23">
      <c r="V978182" s="7"/>
      <c r="W978182" s="7"/>
    </row>
    <row r="978352" spans="22:23">
      <c r="V978352" s="7"/>
      <c r="W978352" s="7"/>
    </row>
    <row r="978522" spans="22:23">
      <c r="V978522" s="7"/>
      <c r="W978522" s="7"/>
    </row>
    <row r="978692" spans="22:23">
      <c r="V978692" s="7"/>
      <c r="W978692" s="7"/>
    </row>
    <row r="978862" spans="22:23">
      <c r="V978862" s="7"/>
      <c r="W978862" s="7"/>
    </row>
    <row r="979032" spans="22:23">
      <c r="V979032" s="7"/>
      <c r="W979032" s="7"/>
    </row>
    <row r="979202" spans="22:23">
      <c r="V979202" s="7"/>
      <c r="W979202" s="7"/>
    </row>
    <row r="979372" spans="22:23">
      <c r="V979372" s="7"/>
      <c r="W979372" s="7"/>
    </row>
    <row r="979542" spans="22:23">
      <c r="V979542" s="7"/>
      <c r="W979542" s="7"/>
    </row>
    <row r="979712" spans="22:23">
      <c r="V979712" s="7"/>
      <c r="W979712" s="7"/>
    </row>
    <row r="979882" spans="22:23">
      <c r="V979882" s="7"/>
      <c r="W979882" s="7"/>
    </row>
    <row r="980052" spans="22:23">
      <c r="V980052" s="7"/>
      <c r="W980052" s="7"/>
    </row>
    <row r="980222" spans="22:23">
      <c r="V980222" s="7"/>
      <c r="W980222" s="7"/>
    </row>
    <row r="980392" spans="22:23">
      <c r="V980392" s="7"/>
      <c r="W980392" s="7"/>
    </row>
    <row r="980562" spans="22:23">
      <c r="V980562" s="7"/>
      <c r="W980562" s="7"/>
    </row>
    <row r="980732" spans="22:23">
      <c r="V980732" s="7"/>
      <c r="W980732" s="7"/>
    </row>
    <row r="980902" spans="22:23">
      <c r="V980902" s="7"/>
      <c r="W980902" s="7"/>
    </row>
    <row r="981072" spans="22:23">
      <c r="V981072" s="7"/>
      <c r="W981072" s="7"/>
    </row>
    <row r="981242" spans="22:23">
      <c r="V981242" s="7"/>
      <c r="W981242" s="7"/>
    </row>
    <row r="981412" spans="22:23">
      <c r="V981412" s="7"/>
      <c r="W981412" s="7"/>
    </row>
    <row r="981582" spans="22:23">
      <c r="V981582" s="7"/>
      <c r="W981582" s="7"/>
    </row>
    <row r="981752" spans="22:23">
      <c r="V981752" s="7"/>
      <c r="W981752" s="7"/>
    </row>
    <row r="981922" spans="22:23">
      <c r="V981922" s="7"/>
      <c r="W981922" s="7"/>
    </row>
    <row r="982092" spans="22:23">
      <c r="V982092" s="7"/>
      <c r="W982092" s="7"/>
    </row>
    <row r="982262" spans="22:23">
      <c r="V982262" s="7"/>
      <c r="W982262" s="7"/>
    </row>
    <row r="982432" spans="22:23">
      <c r="V982432" s="7"/>
      <c r="W982432" s="7"/>
    </row>
    <row r="982602" spans="22:23">
      <c r="V982602" s="7"/>
      <c r="W982602" s="7"/>
    </row>
    <row r="982772" spans="22:23">
      <c r="V982772" s="7"/>
      <c r="W982772" s="7"/>
    </row>
    <row r="982942" spans="22:23">
      <c r="V982942" s="7"/>
      <c r="W982942" s="7"/>
    </row>
    <row r="983112" spans="22:23">
      <c r="V983112" s="7"/>
      <c r="W983112" s="7"/>
    </row>
    <row r="983282" spans="22:23">
      <c r="V983282" s="7"/>
      <c r="W983282" s="7"/>
    </row>
    <row r="983452" spans="22:23">
      <c r="V983452" s="7"/>
      <c r="W983452" s="7"/>
    </row>
    <row r="983622" spans="22:23">
      <c r="V983622" s="7"/>
      <c r="W983622" s="7"/>
    </row>
    <row r="983792" spans="22:23">
      <c r="V983792" s="7"/>
      <c r="W983792" s="7"/>
    </row>
    <row r="983962" spans="22:23">
      <c r="V983962" s="7"/>
      <c r="W983962" s="7"/>
    </row>
    <row r="984132" spans="22:23">
      <c r="V984132" s="7"/>
      <c r="W984132" s="7"/>
    </row>
    <row r="984302" spans="22:23">
      <c r="V984302" s="7"/>
      <c r="W984302" s="7"/>
    </row>
    <row r="984472" spans="22:23">
      <c r="V984472" s="7"/>
      <c r="W984472" s="7"/>
    </row>
    <row r="984642" spans="22:23">
      <c r="V984642" s="7"/>
      <c r="W984642" s="7"/>
    </row>
    <row r="984812" spans="22:23">
      <c r="V984812" s="7"/>
      <c r="W984812" s="7"/>
    </row>
    <row r="984982" spans="22:23">
      <c r="V984982" s="7"/>
      <c r="W984982" s="7"/>
    </row>
    <row r="985152" spans="22:23">
      <c r="V985152" s="7"/>
      <c r="W985152" s="7"/>
    </row>
    <row r="985322" spans="22:23">
      <c r="V985322" s="7"/>
      <c r="W985322" s="7"/>
    </row>
    <row r="985492" spans="22:23">
      <c r="V985492" s="7"/>
      <c r="W985492" s="7"/>
    </row>
    <row r="985662" spans="22:23">
      <c r="V985662" s="7"/>
      <c r="W985662" s="7"/>
    </row>
    <row r="985832" spans="22:23">
      <c r="V985832" s="7"/>
      <c r="W985832" s="7"/>
    </row>
    <row r="986002" spans="22:23">
      <c r="V986002" s="7"/>
      <c r="W986002" s="7"/>
    </row>
    <row r="986172" spans="22:23">
      <c r="V986172" s="7"/>
      <c r="W986172" s="7"/>
    </row>
    <row r="986342" spans="22:23">
      <c r="V986342" s="7"/>
      <c r="W986342" s="7"/>
    </row>
    <row r="986512" spans="22:23">
      <c r="V986512" s="7"/>
      <c r="W986512" s="7"/>
    </row>
    <row r="986682" spans="22:23">
      <c r="V986682" s="7"/>
      <c r="W986682" s="7"/>
    </row>
    <row r="986852" spans="22:23">
      <c r="V986852" s="7"/>
      <c r="W986852" s="7"/>
    </row>
    <row r="987022" spans="22:23">
      <c r="V987022" s="7"/>
      <c r="W987022" s="7"/>
    </row>
    <row r="987192" spans="22:23">
      <c r="V987192" s="7"/>
      <c r="W987192" s="7"/>
    </row>
    <row r="987362" spans="22:23">
      <c r="V987362" s="7"/>
      <c r="W987362" s="7"/>
    </row>
    <row r="987532" spans="22:23">
      <c r="V987532" s="7"/>
      <c r="W987532" s="7"/>
    </row>
    <row r="987702" spans="22:23">
      <c r="V987702" s="7"/>
      <c r="W987702" s="7"/>
    </row>
    <row r="987872" spans="22:23">
      <c r="V987872" s="7"/>
      <c r="W987872" s="7"/>
    </row>
    <row r="988042" spans="22:23">
      <c r="V988042" s="7"/>
      <c r="W988042" s="7"/>
    </row>
    <row r="988212" spans="22:23">
      <c r="V988212" s="7"/>
      <c r="W988212" s="7"/>
    </row>
    <row r="988382" spans="22:23">
      <c r="V988382" s="7"/>
      <c r="W988382" s="7"/>
    </row>
    <row r="988552" spans="22:23">
      <c r="V988552" s="7"/>
      <c r="W988552" s="7"/>
    </row>
    <row r="988722" spans="22:23">
      <c r="V988722" s="7"/>
      <c r="W988722" s="7"/>
    </row>
    <row r="988892" spans="22:23">
      <c r="V988892" s="7"/>
      <c r="W988892" s="7"/>
    </row>
    <row r="989062" spans="22:23">
      <c r="V989062" s="7"/>
      <c r="W989062" s="7"/>
    </row>
    <row r="989232" spans="22:23">
      <c r="V989232" s="7"/>
      <c r="W989232" s="7"/>
    </row>
    <row r="989402" spans="22:23">
      <c r="V989402" s="7"/>
      <c r="W989402" s="7"/>
    </row>
    <row r="989572" spans="22:23">
      <c r="V989572" s="7"/>
      <c r="W989572" s="7"/>
    </row>
    <row r="989742" spans="22:23">
      <c r="V989742" s="7"/>
      <c r="W989742" s="7"/>
    </row>
    <row r="989912" spans="22:23">
      <c r="V989912" s="7"/>
      <c r="W989912" s="7"/>
    </row>
    <row r="990082" spans="22:23">
      <c r="V990082" s="7"/>
      <c r="W990082" s="7"/>
    </row>
    <row r="990252" spans="22:23">
      <c r="V990252" s="7"/>
      <c r="W990252" s="7"/>
    </row>
    <row r="990422" spans="22:23">
      <c r="V990422" s="7"/>
      <c r="W990422" s="7"/>
    </row>
    <row r="990592" spans="22:23">
      <c r="V990592" s="7"/>
      <c r="W990592" s="7"/>
    </row>
    <row r="990762" spans="22:23">
      <c r="V990762" s="7"/>
      <c r="W990762" s="7"/>
    </row>
    <row r="990932" spans="22:23">
      <c r="V990932" s="7"/>
      <c r="W990932" s="7"/>
    </row>
    <row r="991102" spans="22:23">
      <c r="V991102" s="7"/>
      <c r="W991102" s="7"/>
    </row>
    <row r="991272" spans="22:23">
      <c r="V991272" s="7"/>
      <c r="W991272" s="7"/>
    </row>
    <row r="991442" spans="22:23">
      <c r="V991442" s="7"/>
      <c r="W991442" s="7"/>
    </row>
    <row r="991612" spans="22:23">
      <c r="V991612" s="7"/>
      <c r="W991612" s="7"/>
    </row>
    <row r="991782" spans="22:23">
      <c r="V991782" s="7"/>
      <c r="W991782" s="7"/>
    </row>
    <row r="991952" spans="22:23">
      <c r="V991952" s="7"/>
      <c r="W991952" s="7"/>
    </row>
    <row r="992122" spans="22:23">
      <c r="V992122" s="7"/>
      <c r="W992122" s="7"/>
    </row>
    <row r="992292" spans="22:23">
      <c r="V992292" s="7"/>
      <c r="W992292" s="7"/>
    </row>
    <row r="992462" spans="22:23">
      <c r="V992462" s="7"/>
      <c r="W992462" s="7"/>
    </row>
    <row r="992632" spans="22:23">
      <c r="V992632" s="7"/>
      <c r="W992632" s="7"/>
    </row>
    <row r="992802" spans="22:23">
      <c r="V992802" s="7"/>
      <c r="W992802" s="7"/>
    </row>
    <row r="992972" spans="22:23">
      <c r="V992972" s="7"/>
      <c r="W992972" s="7"/>
    </row>
    <row r="993142" spans="22:23">
      <c r="V993142" s="7"/>
      <c r="W993142" s="7"/>
    </row>
    <row r="993312" spans="22:23">
      <c r="V993312" s="7"/>
      <c r="W993312" s="7"/>
    </row>
    <row r="993482" spans="22:23">
      <c r="V993482" s="7"/>
      <c r="W993482" s="7"/>
    </row>
    <row r="993652" spans="22:23">
      <c r="V993652" s="7"/>
      <c r="W993652" s="7"/>
    </row>
    <row r="993822" spans="22:23">
      <c r="V993822" s="7"/>
      <c r="W993822" s="7"/>
    </row>
    <row r="993992" spans="22:23">
      <c r="V993992" s="7"/>
      <c r="W993992" s="7"/>
    </row>
    <row r="994162" spans="22:23">
      <c r="V994162" s="7"/>
      <c r="W994162" s="7"/>
    </row>
    <row r="994332" spans="22:23">
      <c r="V994332" s="7"/>
      <c r="W994332" s="7"/>
    </row>
    <row r="994502" spans="22:23">
      <c r="V994502" s="7"/>
      <c r="W994502" s="7"/>
    </row>
    <row r="994672" spans="22:23">
      <c r="V994672" s="7"/>
      <c r="W994672" s="7"/>
    </row>
    <row r="994842" spans="22:23">
      <c r="V994842" s="7"/>
      <c r="W994842" s="7"/>
    </row>
    <row r="995012" spans="22:23">
      <c r="V995012" s="7"/>
      <c r="W995012" s="7"/>
    </row>
    <row r="995182" spans="22:23">
      <c r="V995182" s="7"/>
      <c r="W995182" s="7"/>
    </row>
    <row r="995352" spans="22:23">
      <c r="V995352" s="7"/>
      <c r="W995352" s="7"/>
    </row>
    <row r="995522" spans="22:23">
      <c r="V995522" s="7"/>
      <c r="W995522" s="7"/>
    </row>
    <row r="995692" spans="22:23">
      <c r="V995692" s="7"/>
      <c r="W995692" s="7"/>
    </row>
    <row r="995862" spans="22:23">
      <c r="V995862" s="7"/>
      <c r="W995862" s="7"/>
    </row>
    <row r="996032" spans="22:23">
      <c r="V996032" s="7"/>
      <c r="W996032" s="7"/>
    </row>
    <row r="996202" spans="22:23">
      <c r="V996202" s="7"/>
      <c r="W996202" s="7"/>
    </row>
    <row r="996372" spans="22:23">
      <c r="V996372" s="7"/>
      <c r="W996372" s="7"/>
    </row>
    <row r="996542" spans="22:23">
      <c r="V996542" s="7"/>
      <c r="W996542" s="7"/>
    </row>
    <row r="996712" spans="22:23">
      <c r="V996712" s="7"/>
      <c r="W996712" s="7"/>
    </row>
    <row r="996882" spans="22:23">
      <c r="V996882" s="7"/>
      <c r="W996882" s="7"/>
    </row>
    <row r="997052" spans="22:23">
      <c r="V997052" s="7"/>
      <c r="W997052" s="7"/>
    </row>
    <row r="997222" spans="22:23">
      <c r="V997222" s="7"/>
      <c r="W997222" s="7"/>
    </row>
    <row r="997392" spans="22:23">
      <c r="V997392" s="7"/>
      <c r="W997392" s="7"/>
    </row>
    <row r="997562" spans="22:23">
      <c r="V997562" s="7"/>
      <c r="W997562" s="7"/>
    </row>
    <row r="997732" spans="22:23">
      <c r="V997732" s="7"/>
      <c r="W997732" s="7"/>
    </row>
    <row r="997902" spans="22:23">
      <c r="V997902" s="7"/>
      <c r="W997902" s="7"/>
    </row>
    <row r="998072" spans="22:23">
      <c r="V998072" s="7"/>
      <c r="W998072" s="7"/>
    </row>
    <row r="998242" spans="22:23">
      <c r="V998242" s="7"/>
      <c r="W998242" s="7"/>
    </row>
    <row r="998412" spans="22:23">
      <c r="V998412" s="7"/>
      <c r="W998412" s="7"/>
    </row>
    <row r="998582" spans="22:23">
      <c r="V998582" s="7"/>
      <c r="W998582" s="7"/>
    </row>
    <row r="998752" spans="22:23">
      <c r="V998752" s="7"/>
      <c r="W998752" s="7"/>
    </row>
    <row r="998922" spans="22:23">
      <c r="V998922" s="7"/>
      <c r="W998922" s="7"/>
    </row>
    <row r="999092" spans="22:23">
      <c r="V999092" s="7"/>
      <c r="W999092" s="7"/>
    </row>
    <row r="999262" spans="22:23">
      <c r="V999262" s="7"/>
      <c r="W999262" s="7"/>
    </row>
    <row r="999432" spans="22:23">
      <c r="V999432" s="7"/>
      <c r="W999432" s="7"/>
    </row>
    <row r="999602" spans="22:23">
      <c r="V999602" s="7"/>
      <c r="W999602" s="7"/>
    </row>
    <row r="999772" spans="22:23">
      <c r="V999772" s="7"/>
      <c r="W999772" s="7"/>
    </row>
    <row r="999942" spans="22:23">
      <c r="V999942" s="7"/>
      <c r="W999942" s="7"/>
    </row>
    <row r="1000112" spans="22:23">
      <c r="V1000112" s="7"/>
      <c r="W1000112" s="7"/>
    </row>
    <row r="1000282" spans="22:23">
      <c r="V1000282" s="7"/>
      <c r="W1000282" s="7"/>
    </row>
    <row r="1000452" spans="22:23">
      <c r="V1000452" s="7"/>
      <c r="W1000452" s="7"/>
    </row>
    <row r="1000622" spans="22:23">
      <c r="V1000622" s="7"/>
      <c r="W1000622" s="7"/>
    </row>
    <row r="1000792" spans="22:23">
      <c r="V1000792" s="7"/>
      <c r="W1000792" s="7"/>
    </row>
    <row r="1000962" spans="22:23">
      <c r="V1000962" s="7"/>
      <c r="W1000962" s="7"/>
    </row>
    <row r="1001132" spans="22:23">
      <c r="V1001132" s="7"/>
      <c r="W1001132" s="7"/>
    </row>
    <row r="1001302" spans="22:23">
      <c r="V1001302" s="7"/>
      <c r="W1001302" s="7"/>
    </row>
    <row r="1001472" spans="22:23">
      <c r="V1001472" s="7"/>
      <c r="W1001472" s="7"/>
    </row>
    <row r="1001642" spans="22:23">
      <c r="V1001642" s="7"/>
      <c r="W1001642" s="7"/>
    </row>
    <row r="1001812" spans="22:23">
      <c r="V1001812" s="7"/>
      <c r="W1001812" s="7"/>
    </row>
    <row r="1001982" spans="22:23">
      <c r="V1001982" s="7"/>
      <c r="W1001982" s="7"/>
    </row>
    <row r="1002152" spans="22:23">
      <c r="V1002152" s="7"/>
      <c r="W1002152" s="7"/>
    </row>
    <row r="1002322" spans="22:23">
      <c r="V1002322" s="7"/>
      <c r="W1002322" s="7"/>
    </row>
    <row r="1002492" spans="22:23">
      <c r="V1002492" s="7"/>
      <c r="W1002492" s="7"/>
    </row>
    <row r="1002662" spans="22:23">
      <c r="V1002662" s="7"/>
      <c r="W1002662" s="7"/>
    </row>
    <row r="1002832" spans="22:23">
      <c r="V1002832" s="7"/>
      <c r="W1002832" s="7"/>
    </row>
    <row r="1003002" spans="22:23">
      <c r="V1003002" s="7"/>
      <c r="W1003002" s="7"/>
    </row>
    <row r="1003172" spans="22:23">
      <c r="V1003172" s="7"/>
      <c r="W1003172" s="7"/>
    </row>
    <row r="1003342" spans="22:23">
      <c r="V1003342" s="7"/>
      <c r="W1003342" s="7"/>
    </row>
    <row r="1003512" spans="22:23">
      <c r="V1003512" s="7"/>
      <c r="W1003512" s="7"/>
    </row>
    <row r="1003682" spans="22:23">
      <c r="V1003682" s="7"/>
      <c r="W1003682" s="7"/>
    </row>
    <row r="1003852" spans="22:23">
      <c r="V1003852" s="7"/>
      <c r="W1003852" s="7"/>
    </row>
    <row r="1004022" spans="22:23">
      <c r="V1004022" s="7"/>
      <c r="W1004022" s="7"/>
    </row>
    <row r="1004192" spans="22:23">
      <c r="V1004192" s="7"/>
      <c r="W1004192" s="7"/>
    </row>
    <row r="1004362" spans="22:23">
      <c r="V1004362" s="7"/>
      <c r="W1004362" s="7"/>
    </row>
    <row r="1004532" spans="22:23">
      <c r="V1004532" s="7"/>
      <c r="W1004532" s="7"/>
    </row>
    <row r="1004702" spans="22:23">
      <c r="V1004702" s="7"/>
      <c r="W1004702" s="7"/>
    </row>
    <row r="1004872" spans="22:23">
      <c r="V1004872" s="7"/>
      <c r="W1004872" s="7"/>
    </row>
    <row r="1005042" spans="22:23">
      <c r="V1005042" s="7"/>
      <c r="W1005042" s="7"/>
    </row>
    <row r="1005212" spans="22:23">
      <c r="V1005212" s="7"/>
      <c r="W1005212" s="7"/>
    </row>
    <row r="1005382" spans="22:23">
      <c r="V1005382" s="7"/>
      <c r="W1005382" s="7"/>
    </row>
    <row r="1005552" spans="22:23">
      <c r="V1005552" s="7"/>
      <c r="W1005552" s="7"/>
    </row>
    <row r="1005722" spans="22:23">
      <c r="V1005722" s="7"/>
      <c r="W1005722" s="7"/>
    </row>
    <row r="1005892" spans="22:23">
      <c r="V1005892" s="7"/>
      <c r="W1005892" s="7"/>
    </row>
    <row r="1006062" spans="22:23">
      <c r="V1006062" s="7"/>
      <c r="W1006062" s="7"/>
    </row>
    <row r="1006232" spans="22:23">
      <c r="V1006232" s="7"/>
      <c r="W1006232" s="7"/>
    </row>
    <row r="1006402" spans="22:23">
      <c r="V1006402" s="7"/>
      <c r="W1006402" s="7"/>
    </row>
    <row r="1006572" spans="22:23">
      <c r="V1006572" s="7"/>
      <c r="W1006572" s="7"/>
    </row>
    <row r="1006742" spans="22:23">
      <c r="V1006742" s="7"/>
      <c r="W1006742" s="7"/>
    </row>
    <row r="1006912" spans="22:23">
      <c r="V1006912" s="7"/>
      <c r="W1006912" s="7"/>
    </row>
    <row r="1007082" spans="22:23">
      <c r="V1007082" s="7"/>
      <c r="W1007082" s="7"/>
    </row>
    <row r="1007252" spans="22:23">
      <c r="V1007252" s="7"/>
      <c r="W1007252" s="7"/>
    </row>
    <row r="1007422" spans="22:23">
      <c r="V1007422" s="7"/>
      <c r="W1007422" s="7"/>
    </row>
    <row r="1007592" spans="22:23">
      <c r="V1007592" s="7"/>
      <c r="W1007592" s="7"/>
    </row>
    <row r="1007762" spans="22:23">
      <c r="V1007762" s="7"/>
      <c r="W1007762" s="7"/>
    </row>
    <row r="1007932" spans="22:23">
      <c r="V1007932" s="7"/>
      <c r="W1007932" s="7"/>
    </row>
    <row r="1008102" spans="22:23">
      <c r="V1008102" s="7"/>
      <c r="W1008102" s="7"/>
    </row>
    <row r="1008272" spans="22:23">
      <c r="V1008272" s="7"/>
      <c r="W1008272" s="7"/>
    </row>
    <row r="1008442" spans="22:23">
      <c r="V1008442" s="7"/>
      <c r="W1008442" s="7"/>
    </row>
    <row r="1008612" spans="22:23">
      <c r="V1008612" s="7"/>
      <c r="W1008612" s="7"/>
    </row>
    <row r="1008782" spans="22:23">
      <c r="V1008782" s="7"/>
      <c r="W1008782" s="7"/>
    </row>
    <row r="1008952" spans="22:23">
      <c r="V1008952" s="7"/>
      <c r="W1008952" s="7"/>
    </row>
    <row r="1009122" spans="22:23">
      <c r="V1009122" s="7"/>
      <c r="W1009122" s="7"/>
    </row>
    <row r="1009292" spans="22:23">
      <c r="V1009292" s="7"/>
      <c r="W1009292" s="7"/>
    </row>
    <row r="1009462" spans="22:23">
      <c r="V1009462" s="7"/>
      <c r="W1009462" s="7"/>
    </row>
    <row r="1009632" spans="22:23">
      <c r="V1009632" s="7"/>
      <c r="W1009632" s="7"/>
    </row>
    <row r="1009802" spans="22:23">
      <c r="V1009802" s="7"/>
      <c r="W1009802" s="7"/>
    </row>
    <row r="1009972" spans="22:23">
      <c r="V1009972" s="7"/>
      <c r="W1009972" s="7"/>
    </row>
    <row r="1010142" spans="22:23">
      <c r="V1010142" s="7"/>
      <c r="W1010142" s="7"/>
    </row>
    <row r="1010312" spans="22:23">
      <c r="V1010312" s="7"/>
      <c r="W1010312" s="7"/>
    </row>
    <row r="1010482" spans="22:23">
      <c r="V1010482" s="7"/>
      <c r="W1010482" s="7"/>
    </row>
    <row r="1010652" spans="22:23">
      <c r="V1010652" s="7"/>
      <c r="W1010652" s="7"/>
    </row>
    <row r="1010822" spans="22:23">
      <c r="V1010822" s="7"/>
      <c r="W1010822" s="7"/>
    </row>
    <row r="1010992" spans="22:23">
      <c r="V1010992" s="7"/>
      <c r="W1010992" s="7"/>
    </row>
    <row r="1011162" spans="22:23">
      <c r="V1011162" s="7"/>
      <c r="W1011162" s="7"/>
    </row>
    <row r="1011332" spans="22:23">
      <c r="V1011332" s="7"/>
      <c r="W1011332" s="7"/>
    </row>
    <row r="1011502" spans="22:23">
      <c r="V1011502" s="7"/>
      <c r="W1011502" s="7"/>
    </row>
    <row r="1011672" spans="22:23">
      <c r="V1011672" s="7"/>
      <c r="W1011672" s="7"/>
    </row>
    <row r="1011842" spans="22:23">
      <c r="V1011842" s="7"/>
      <c r="W1011842" s="7"/>
    </row>
    <row r="1012012" spans="22:23">
      <c r="V1012012" s="7"/>
      <c r="W1012012" s="7"/>
    </row>
    <row r="1012182" spans="22:23">
      <c r="V1012182" s="7"/>
      <c r="W1012182" s="7"/>
    </row>
    <row r="1012352" spans="22:23">
      <c r="V1012352" s="7"/>
      <c r="W1012352" s="7"/>
    </row>
    <row r="1012522" spans="22:23">
      <c r="V1012522" s="7"/>
      <c r="W1012522" s="7"/>
    </row>
    <row r="1012692" spans="22:23">
      <c r="V1012692" s="7"/>
      <c r="W1012692" s="7"/>
    </row>
    <row r="1012862" spans="22:23">
      <c r="V1012862" s="7"/>
      <c r="W1012862" s="7"/>
    </row>
    <row r="1013032" spans="22:23">
      <c r="V1013032" s="7"/>
      <c r="W1013032" s="7"/>
    </row>
    <row r="1013202" spans="22:23">
      <c r="V1013202" s="7"/>
      <c r="W1013202" s="7"/>
    </row>
    <row r="1013372" spans="22:23">
      <c r="V1013372" s="7"/>
      <c r="W1013372" s="7"/>
    </row>
    <row r="1013542" spans="22:23">
      <c r="V1013542" s="7"/>
      <c r="W1013542" s="7"/>
    </row>
    <row r="1013712" spans="22:23">
      <c r="V1013712" s="7"/>
      <c r="W1013712" s="7"/>
    </row>
    <row r="1013882" spans="22:23">
      <c r="V1013882" s="7"/>
      <c r="W1013882" s="7"/>
    </row>
    <row r="1014052" spans="22:23">
      <c r="V1014052" s="7"/>
      <c r="W1014052" s="7"/>
    </row>
    <row r="1014222" spans="22:23">
      <c r="V1014222" s="7"/>
      <c r="W1014222" s="7"/>
    </row>
    <row r="1014392" spans="22:23">
      <c r="V1014392" s="7"/>
      <c r="W1014392" s="7"/>
    </row>
    <row r="1014562" spans="22:23">
      <c r="V1014562" s="7"/>
      <c r="W1014562" s="7"/>
    </row>
    <row r="1014732" spans="22:23">
      <c r="V1014732" s="7"/>
      <c r="W1014732" s="7"/>
    </row>
    <row r="1014902" spans="22:23">
      <c r="V1014902" s="7"/>
      <c r="W1014902" s="7"/>
    </row>
    <row r="1015072" spans="22:23">
      <c r="V1015072" s="7"/>
      <c r="W1015072" s="7"/>
    </row>
    <row r="1015242" spans="22:23">
      <c r="V1015242" s="7"/>
      <c r="W1015242" s="7"/>
    </row>
    <row r="1015412" spans="22:23">
      <c r="V1015412" s="7"/>
      <c r="W1015412" s="7"/>
    </row>
    <row r="1015582" spans="22:23">
      <c r="V1015582" s="7"/>
      <c r="W1015582" s="7"/>
    </row>
    <row r="1015752" spans="22:23">
      <c r="V1015752" s="7"/>
      <c r="W1015752" s="7"/>
    </row>
    <row r="1015922" spans="22:23">
      <c r="V1015922" s="7"/>
      <c r="W1015922" s="7"/>
    </row>
    <row r="1016092" spans="22:23">
      <c r="V1016092" s="7"/>
      <c r="W1016092" s="7"/>
    </row>
    <row r="1016262" spans="22:23">
      <c r="V1016262" s="7"/>
      <c r="W1016262" s="7"/>
    </row>
    <row r="1016432" spans="22:23">
      <c r="V1016432" s="7"/>
      <c r="W1016432" s="7"/>
    </row>
    <row r="1016602" spans="22:23">
      <c r="V1016602" s="7"/>
      <c r="W1016602" s="7"/>
    </row>
    <row r="1016772" spans="22:23">
      <c r="V1016772" s="7"/>
      <c r="W1016772" s="7"/>
    </row>
    <row r="1016942" spans="22:23">
      <c r="V1016942" s="7"/>
      <c r="W1016942" s="7"/>
    </row>
    <row r="1017112" spans="22:23">
      <c r="V1017112" s="7"/>
      <c r="W1017112" s="7"/>
    </row>
    <row r="1017282" spans="22:23">
      <c r="V1017282" s="7"/>
      <c r="W1017282" s="7"/>
    </row>
    <row r="1017452" spans="22:23">
      <c r="V1017452" s="7"/>
      <c r="W1017452" s="7"/>
    </row>
    <row r="1017622" spans="22:23">
      <c r="V1017622" s="7"/>
      <c r="W1017622" s="7"/>
    </row>
    <row r="1017792" spans="22:23">
      <c r="V1017792" s="7"/>
      <c r="W1017792" s="7"/>
    </row>
    <row r="1017962" spans="22:23">
      <c r="V1017962" s="7"/>
      <c r="W1017962" s="7"/>
    </row>
    <row r="1018132" spans="22:23">
      <c r="V1018132" s="7"/>
      <c r="W1018132" s="7"/>
    </row>
    <row r="1018302" spans="22:23">
      <c r="V1018302" s="7"/>
      <c r="W1018302" s="7"/>
    </row>
    <row r="1018472" spans="22:23">
      <c r="V1018472" s="7"/>
      <c r="W1018472" s="7"/>
    </row>
    <row r="1018642" spans="22:23">
      <c r="V1018642" s="7"/>
      <c r="W1018642" s="7"/>
    </row>
    <row r="1018812" spans="22:23">
      <c r="V1018812" s="7"/>
      <c r="W1018812" s="7"/>
    </row>
    <row r="1018982" spans="22:23">
      <c r="V1018982" s="7"/>
      <c r="W1018982" s="7"/>
    </row>
    <row r="1019152" spans="22:23">
      <c r="V1019152" s="7"/>
      <c r="W1019152" s="7"/>
    </row>
    <row r="1019322" spans="22:23">
      <c r="V1019322" s="7"/>
      <c r="W1019322" s="7"/>
    </row>
    <row r="1019492" spans="22:23">
      <c r="V1019492" s="7"/>
      <c r="W1019492" s="7"/>
    </row>
    <row r="1019662" spans="22:23">
      <c r="V1019662" s="7"/>
      <c r="W1019662" s="7"/>
    </row>
    <row r="1019832" spans="22:23">
      <c r="V1019832" s="7"/>
      <c r="W1019832" s="7"/>
    </row>
    <row r="1020002" spans="22:23">
      <c r="V1020002" s="7"/>
      <c r="W1020002" s="7"/>
    </row>
    <row r="1020172" spans="22:23">
      <c r="V1020172" s="7"/>
      <c r="W1020172" s="7"/>
    </row>
    <row r="1020342" spans="22:23">
      <c r="V1020342" s="7"/>
      <c r="W1020342" s="7"/>
    </row>
    <row r="1020512" spans="22:23">
      <c r="V1020512" s="7"/>
      <c r="W1020512" s="7"/>
    </row>
    <row r="1020682" spans="22:23">
      <c r="V1020682" s="7"/>
      <c r="W1020682" s="7"/>
    </row>
    <row r="1020852" spans="22:23">
      <c r="V1020852" s="7"/>
      <c r="W1020852" s="7"/>
    </row>
    <row r="1021022" spans="22:23">
      <c r="V1021022" s="7"/>
      <c r="W1021022" s="7"/>
    </row>
    <row r="1021192" spans="22:23">
      <c r="V1021192" s="7"/>
      <c r="W1021192" s="7"/>
    </row>
    <row r="1021362" spans="22:23">
      <c r="V1021362" s="7"/>
      <c r="W1021362" s="7"/>
    </row>
    <row r="1021532" spans="22:23">
      <c r="V1021532" s="7"/>
      <c r="W1021532" s="7"/>
    </row>
    <row r="1021702" spans="22:23">
      <c r="V1021702" s="7"/>
      <c r="W1021702" s="7"/>
    </row>
    <row r="1021872" spans="22:23">
      <c r="V1021872" s="7"/>
      <c r="W1021872" s="7"/>
    </row>
    <row r="1022042" spans="22:23">
      <c r="V1022042" s="7"/>
      <c r="W1022042" s="7"/>
    </row>
    <row r="1022212" spans="22:23">
      <c r="V1022212" s="7"/>
      <c r="W1022212" s="7"/>
    </row>
    <row r="1022382" spans="22:23">
      <c r="V1022382" s="7"/>
      <c r="W1022382" s="7"/>
    </row>
    <row r="1022552" spans="22:23">
      <c r="V1022552" s="7"/>
      <c r="W1022552" s="7"/>
    </row>
    <row r="1022722" spans="22:23">
      <c r="V1022722" s="7"/>
      <c r="W1022722" s="7"/>
    </row>
    <row r="1022892" spans="22:23">
      <c r="V1022892" s="7"/>
      <c r="W1022892" s="7"/>
    </row>
    <row r="1023062" spans="22:23">
      <c r="V1023062" s="7"/>
      <c r="W1023062" s="7"/>
    </row>
    <row r="1023232" spans="22:23">
      <c r="V1023232" s="7"/>
      <c r="W1023232" s="7"/>
    </row>
    <row r="1023402" spans="22:23">
      <c r="V1023402" s="7"/>
      <c r="W1023402" s="7"/>
    </row>
    <row r="1023572" spans="22:23">
      <c r="V1023572" s="7"/>
      <c r="W1023572" s="7"/>
    </row>
    <row r="1023742" spans="22:23">
      <c r="V1023742" s="7"/>
      <c r="W1023742" s="7"/>
    </row>
    <row r="1023912" spans="22:23">
      <c r="V1023912" s="7"/>
      <c r="W1023912" s="7"/>
    </row>
    <row r="1024082" spans="22:23">
      <c r="V1024082" s="7"/>
      <c r="W1024082" s="7"/>
    </row>
    <row r="1024252" spans="22:23">
      <c r="V1024252" s="7"/>
      <c r="W1024252" s="7"/>
    </row>
    <row r="1024422" spans="22:23">
      <c r="V1024422" s="7"/>
      <c r="W1024422" s="7"/>
    </row>
    <row r="1024592" spans="22:23">
      <c r="V1024592" s="7"/>
      <c r="W1024592" s="7"/>
    </row>
    <row r="1024762" spans="22:23">
      <c r="V1024762" s="7"/>
      <c r="W1024762" s="7"/>
    </row>
    <row r="1024932" spans="22:23">
      <c r="V1024932" s="7"/>
      <c r="W1024932" s="7"/>
    </row>
    <row r="1025102" spans="22:23">
      <c r="V1025102" s="7"/>
      <c r="W1025102" s="7"/>
    </row>
    <row r="1025272" spans="22:23">
      <c r="V1025272" s="7"/>
      <c r="W1025272" s="7"/>
    </row>
    <row r="1025442" spans="22:23">
      <c r="V1025442" s="7"/>
      <c r="W1025442" s="7"/>
    </row>
    <row r="1025612" spans="22:23">
      <c r="V1025612" s="7"/>
      <c r="W1025612" s="7"/>
    </row>
    <row r="1025782" spans="22:23">
      <c r="V1025782" s="7"/>
      <c r="W1025782" s="7"/>
    </row>
    <row r="1025952" spans="22:23">
      <c r="V1025952" s="7"/>
      <c r="W1025952" s="7"/>
    </row>
    <row r="1026122" spans="22:23">
      <c r="V1026122" s="7"/>
      <c r="W1026122" s="7"/>
    </row>
    <row r="1026292" spans="22:23">
      <c r="V1026292" s="7"/>
      <c r="W1026292" s="7"/>
    </row>
    <row r="1026462" spans="22:23">
      <c r="V1026462" s="7"/>
      <c r="W1026462" s="7"/>
    </row>
    <row r="1026632" spans="22:23">
      <c r="V1026632" s="7"/>
      <c r="W1026632" s="7"/>
    </row>
    <row r="1026802" spans="22:23">
      <c r="V1026802" s="7"/>
      <c r="W1026802" s="7"/>
    </row>
    <row r="1026972" spans="22:23">
      <c r="V1026972" s="7"/>
      <c r="W1026972" s="7"/>
    </row>
    <row r="1027142" spans="22:23">
      <c r="V1027142" s="7"/>
      <c r="W1027142" s="7"/>
    </row>
    <row r="1027312" spans="22:23">
      <c r="V1027312" s="7"/>
      <c r="W1027312" s="7"/>
    </row>
    <row r="1027482" spans="22:23">
      <c r="V1027482" s="7"/>
      <c r="W1027482" s="7"/>
    </row>
    <row r="1027652" spans="22:23">
      <c r="V1027652" s="7"/>
      <c r="W1027652" s="7"/>
    </row>
    <row r="1027822" spans="22:23">
      <c r="V1027822" s="7"/>
      <c r="W1027822" s="7"/>
    </row>
    <row r="1027992" spans="22:23">
      <c r="V1027992" s="7"/>
      <c r="W1027992" s="7"/>
    </row>
    <row r="1028162" spans="22:23">
      <c r="V1028162" s="7"/>
      <c r="W1028162" s="7"/>
    </row>
    <row r="1028332" spans="22:23">
      <c r="V1028332" s="7"/>
      <c r="W1028332" s="7"/>
    </row>
    <row r="1028502" spans="22:23">
      <c r="V1028502" s="7"/>
      <c r="W1028502" s="7"/>
    </row>
    <row r="1028672" spans="22:23">
      <c r="V1028672" s="7"/>
      <c r="W1028672" s="7"/>
    </row>
    <row r="1028842" spans="22:23">
      <c r="V1028842" s="7"/>
      <c r="W1028842" s="7"/>
    </row>
    <row r="1029012" spans="22:23">
      <c r="V1029012" s="7"/>
      <c r="W1029012" s="7"/>
    </row>
    <row r="1029182" spans="22:23">
      <c r="V1029182" s="7"/>
      <c r="W1029182" s="7"/>
    </row>
    <row r="1029352" spans="22:23">
      <c r="V1029352" s="7"/>
      <c r="W1029352" s="7"/>
    </row>
    <row r="1029522" spans="22:23">
      <c r="V1029522" s="7"/>
      <c r="W1029522" s="7"/>
    </row>
    <row r="1029692" spans="22:23">
      <c r="V1029692" s="7"/>
      <c r="W1029692" s="7"/>
    </row>
    <row r="1029862" spans="22:23">
      <c r="V1029862" s="7"/>
      <c r="W1029862" s="7"/>
    </row>
    <row r="1030032" spans="22:23">
      <c r="V1030032" s="7"/>
      <c r="W1030032" s="7"/>
    </row>
    <row r="1030202" spans="22:23">
      <c r="V1030202" s="7"/>
      <c r="W1030202" s="7"/>
    </row>
    <row r="1030372" spans="22:23">
      <c r="V1030372" s="7"/>
      <c r="W1030372" s="7"/>
    </row>
    <row r="1030542" spans="22:23">
      <c r="V1030542" s="7"/>
      <c r="W1030542" s="7"/>
    </row>
    <row r="1030712" spans="22:23">
      <c r="V1030712" s="7"/>
      <c r="W1030712" s="7"/>
    </row>
    <row r="1030882" spans="22:23">
      <c r="V1030882" s="7"/>
      <c r="W1030882" s="7"/>
    </row>
    <row r="1031052" spans="22:23">
      <c r="V1031052" s="7"/>
      <c r="W1031052" s="7"/>
    </row>
    <row r="1031222" spans="22:23">
      <c r="V1031222" s="7"/>
      <c r="W1031222" s="7"/>
    </row>
    <row r="1031392" spans="22:23">
      <c r="V1031392" s="7"/>
      <c r="W1031392" s="7"/>
    </row>
    <row r="1031562" spans="22:23">
      <c r="V1031562" s="7"/>
      <c r="W1031562" s="7"/>
    </row>
    <row r="1031732" spans="22:23">
      <c r="V1031732" s="7"/>
      <c r="W1031732" s="7"/>
    </row>
    <row r="1031902" spans="22:23">
      <c r="V1031902" s="7"/>
      <c r="W1031902" s="7"/>
    </row>
    <row r="1032072" spans="22:23">
      <c r="V1032072" s="7"/>
      <c r="W1032072" s="7"/>
    </row>
    <row r="1032242" spans="22:23">
      <c r="V1032242" s="7"/>
      <c r="W1032242" s="7"/>
    </row>
    <row r="1032412" spans="22:23">
      <c r="V1032412" s="7"/>
      <c r="W1032412" s="7"/>
    </row>
    <row r="1032582" spans="22:23">
      <c r="V1032582" s="7"/>
      <c r="W1032582" s="7"/>
    </row>
    <row r="1032752" spans="22:23">
      <c r="V1032752" s="7"/>
      <c r="W1032752" s="7"/>
    </row>
    <row r="1032922" spans="22:23">
      <c r="V1032922" s="7"/>
      <c r="W1032922" s="7"/>
    </row>
    <row r="1033092" spans="22:23">
      <c r="V1033092" s="7"/>
      <c r="W1033092" s="7"/>
    </row>
    <row r="1033262" spans="22:23">
      <c r="V1033262" s="7"/>
      <c r="W1033262" s="7"/>
    </row>
    <row r="1033432" spans="22:23">
      <c r="V1033432" s="7"/>
      <c r="W1033432" s="7"/>
    </row>
    <row r="1033602" spans="22:23">
      <c r="V1033602" s="7"/>
      <c r="W1033602" s="7"/>
    </row>
    <row r="1033772" spans="22:23">
      <c r="V1033772" s="7"/>
      <c r="W1033772" s="7"/>
    </row>
    <row r="1033942" spans="22:23">
      <c r="V1033942" s="7"/>
      <c r="W1033942" s="7"/>
    </row>
    <row r="1034112" spans="22:23">
      <c r="V1034112" s="7"/>
      <c r="W1034112" s="7"/>
    </row>
    <row r="1034282" spans="22:23">
      <c r="V1034282" s="7"/>
      <c r="W1034282" s="7"/>
    </row>
    <row r="1034452" spans="22:23">
      <c r="V1034452" s="7"/>
      <c r="W1034452" s="7"/>
    </row>
    <row r="1034622" spans="22:23">
      <c r="V1034622" s="7"/>
      <c r="W1034622" s="7"/>
    </row>
    <row r="1034792" spans="22:23">
      <c r="V1034792" s="7"/>
      <c r="W1034792" s="7"/>
    </row>
    <row r="1034962" spans="22:23">
      <c r="V1034962" s="7"/>
      <c r="W1034962" s="7"/>
    </row>
    <row r="1035132" spans="22:23">
      <c r="V1035132" s="7"/>
      <c r="W1035132" s="7"/>
    </row>
    <row r="1035302" spans="22:23">
      <c r="V1035302" s="7"/>
      <c r="W1035302" s="7"/>
    </row>
    <row r="1035472" spans="22:23">
      <c r="V1035472" s="7"/>
      <c r="W1035472" s="7"/>
    </row>
    <row r="1035642" spans="22:23">
      <c r="V1035642" s="7"/>
      <c r="W1035642" s="7"/>
    </row>
    <row r="1035812" spans="22:23">
      <c r="V1035812" s="7"/>
      <c r="W1035812" s="7"/>
    </row>
    <row r="1035982" spans="22:23">
      <c r="V1035982" s="7"/>
      <c r="W1035982" s="7"/>
    </row>
    <row r="1036152" spans="22:23">
      <c r="V1036152" s="7"/>
      <c r="W1036152" s="7"/>
    </row>
    <row r="1036322" spans="22:23">
      <c r="V1036322" s="7"/>
      <c r="W1036322" s="7"/>
    </row>
    <row r="1036492" spans="22:23">
      <c r="V1036492" s="7"/>
      <c r="W1036492" s="7"/>
    </row>
    <row r="1036662" spans="22:23">
      <c r="V1036662" s="7"/>
      <c r="W1036662" s="7"/>
    </row>
    <row r="1036832" spans="22:23">
      <c r="V1036832" s="7"/>
      <c r="W1036832" s="7"/>
    </row>
    <row r="1037002" spans="22:23">
      <c r="V1037002" s="7"/>
      <c r="W1037002" s="7"/>
    </row>
    <row r="1037172" spans="22:23">
      <c r="V1037172" s="7"/>
      <c r="W1037172" s="7"/>
    </row>
    <row r="1037342" spans="22:23">
      <c r="V1037342" s="7"/>
      <c r="W1037342" s="7"/>
    </row>
    <row r="1037512" spans="22:23">
      <c r="V1037512" s="7"/>
      <c r="W1037512" s="7"/>
    </row>
    <row r="1037682" spans="22:23">
      <c r="V1037682" s="7"/>
      <c r="W1037682" s="7"/>
    </row>
    <row r="1037852" spans="22:23">
      <c r="V1037852" s="7"/>
      <c r="W1037852" s="7"/>
    </row>
    <row r="1038022" spans="22:23">
      <c r="V1038022" s="7"/>
      <c r="W1038022" s="7"/>
    </row>
    <row r="1038192" spans="22:23">
      <c r="V1038192" s="7"/>
      <c r="W1038192" s="7"/>
    </row>
    <row r="1038362" spans="22:23">
      <c r="V1038362" s="7"/>
      <c r="W1038362" s="7"/>
    </row>
    <row r="1038532" spans="22:23">
      <c r="V1038532" s="7"/>
      <c r="W1038532" s="7"/>
    </row>
    <row r="1038702" spans="22:23">
      <c r="V1038702" s="7"/>
      <c r="W1038702" s="7"/>
    </row>
    <row r="1038872" spans="22:23">
      <c r="V1038872" s="7"/>
      <c r="W1038872" s="7"/>
    </row>
    <row r="1039042" spans="22:23">
      <c r="V1039042" s="7"/>
      <c r="W1039042" s="7"/>
    </row>
    <row r="1039212" spans="22:23">
      <c r="V1039212" s="7"/>
      <c r="W1039212" s="7"/>
    </row>
    <row r="1039382" spans="22:23">
      <c r="V1039382" s="7"/>
      <c r="W1039382" s="7"/>
    </row>
    <row r="1039552" spans="22:23">
      <c r="V1039552" s="7"/>
      <c r="W1039552" s="7"/>
    </row>
    <row r="1039722" spans="22:23">
      <c r="V1039722" s="7"/>
      <c r="W1039722" s="7"/>
    </row>
    <row r="1039892" spans="22:23">
      <c r="V1039892" s="7"/>
      <c r="W1039892" s="7"/>
    </row>
    <row r="1040062" spans="22:23">
      <c r="V1040062" s="7"/>
      <c r="W1040062" s="7"/>
    </row>
    <row r="1040232" spans="22:23">
      <c r="V1040232" s="7"/>
      <c r="W1040232" s="7"/>
    </row>
    <row r="1040402" spans="22:23">
      <c r="V1040402" s="7"/>
      <c r="W1040402" s="7"/>
    </row>
    <row r="1040572" spans="22:23">
      <c r="V1040572" s="7"/>
      <c r="W1040572" s="7"/>
    </row>
    <row r="1040742" spans="22:23">
      <c r="V1040742" s="7"/>
      <c r="W1040742" s="7"/>
    </row>
    <row r="1040912" spans="22:23">
      <c r="V1040912" s="7"/>
      <c r="W1040912" s="7"/>
    </row>
    <row r="1041082" spans="22:23">
      <c r="V1041082" s="7"/>
      <c r="W1041082" s="7"/>
    </row>
    <row r="1041252" spans="22:23">
      <c r="V1041252" s="7"/>
      <c r="W1041252" s="7"/>
    </row>
    <row r="1041422" spans="22:23">
      <c r="V1041422" s="7"/>
      <c r="W1041422" s="7"/>
    </row>
    <row r="1041592" spans="22:23">
      <c r="V1041592" s="7"/>
      <c r="W1041592" s="7"/>
    </row>
    <row r="1041762" spans="22:23">
      <c r="V1041762" s="7"/>
      <c r="W1041762" s="7"/>
    </row>
    <row r="1041932" spans="22:23">
      <c r="V1041932" s="7"/>
      <c r="W1041932" s="7"/>
    </row>
    <row r="1042102" spans="22:23">
      <c r="V1042102" s="7"/>
      <c r="W1042102" s="7"/>
    </row>
    <row r="1042272" spans="22:23">
      <c r="V1042272" s="7"/>
      <c r="W1042272" s="7"/>
    </row>
    <row r="1042442" spans="22:23">
      <c r="V1042442" s="7"/>
      <c r="W1042442" s="7"/>
    </row>
    <row r="1042612" spans="22:23">
      <c r="V1042612" s="7"/>
      <c r="W1042612" s="7"/>
    </row>
    <row r="1042782" spans="22:23">
      <c r="V1042782" s="7"/>
      <c r="W1042782" s="7"/>
    </row>
    <row r="1042952" spans="22:23">
      <c r="V1042952" s="7"/>
      <c r="W1042952" s="7"/>
    </row>
    <row r="1043122" spans="22:23">
      <c r="V1043122" s="7"/>
      <c r="W1043122" s="7"/>
    </row>
    <row r="1043292" spans="22:23">
      <c r="V1043292" s="7"/>
      <c r="W1043292" s="7"/>
    </row>
    <row r="1043462" spans="22:23">
      <c r="V1043462" s="7"/>
      <c r="W1043462" s="7"/>
    </row>
    <row r="1043632" spans="22:23">
      <c r="V1043632" s="7"/>
      <c r="W1043632" s="7"/>
    </row>
    <row r="1043802" spans="22:23">
      <c r="V1043802" s="7"/>
      <c r="W1043802" s="7"/>
    </row>
    <row r="1043972" spans="22:23">
      <c r="V1043972" s="7"/>
      <c r="W1043972" s="7"/>
    </row>
    <row r="1044142" spans="22:23">
      <c r="V1044142" s="7"/>
      <c r="W1044142" s="7"/>
    </row>
    <row r="1044312" spans="22:23">
      <c r="V1044312" s="7"/>
      <c r="W1044312" s="7"/>
    </row>
    <row r="1044482" spans="22:23">
      <c r="V1044482" s="7"/>
      <c r="W1044482" s="7"/>
    </row>
    <row r="1044652" spans="22:23">
      <c r="V1044652" s="7"/>
      <c r="W1044652" s="7"/>
    </row>
    <row r="1044822" spans="22:23">
      <c r="V1044822" s="7"/>
      <c r="W1044822" s="7"/>
    </row>
    <row r="1044992" spans="22:23">
      <c r="V1044992" s="7"/>
      <c r="W1044992" s="7"/>
    </row>
    <row r="1045162" spans="22:23">
      <c r="V1045162" s="7"/>
      <c r="W1045162" s="7"/>
    </row>
    <row r="1045332" spans="22:23">
      <c r="V1045332" s="7"/>
      <c r="W1045332" s="7"/>
    </row>
    <row r="1045502" spans="22:23">
      <c r="V1045502" s="7"/>
      <c r="W1045502" s="7"/>
    </row>
    <row r="1045672" spans="22:23">
      <c r="V1045672" s="7"/>
      <c r="W1045672" s="7"/>
    </row>
    <row r="1045842" spans="22:23">
      <c r="V1045842" s="7"/>
      <c r="W1045842" s="7"/>
    </row>
    <row r="1046012" spans="22:23">
      <c r="V1046012" s="7"/>
      <c r="W1046012" s="7"/>
    </row>
    <row r="1046182" spans="22:23">
      <c r="V1046182" s="7"/>
      <c r="W1046182" s="7"/>
    </row>
    <row r="1046352" spans="22:23">
      <c r="V1046352" s="7"/>
      <c r="W1046352" s="7"/>
    </row>
    <row r="1046522" spans="22:23">
      <c r="V1046522" s="7"/>
      <c r="W1046522" s="7"/>
    </row>
    <row r="1046692" spans="22:23">
      <c r="V1046692" s="7"/>
      <c r="W1046692" s="7"/>
    </row>
    <row r="1046862" spans="22:23">
      <c r="V1046862" s="7"/>
      <c r="W1046862" s="7"/>
    </row>
    <row r="1047032" spans="22:23">
      <c r="V1047032" s="7"/>
      <c r="W1047032" s="7"/>
    </row>
    <row r="1047202" spans="22:23">
      <c r="V1047202" s="7"/>
      <c r="W1047202" s="7"/>
    </row>
    <row r="1047372" spans="22:23">
      <c r="V1047372" s="7"/>
      <c r="W1047372" s="7"/>
    </row>
    <row r="1047542" spans="22:23">
      <c r="V1047542" s="7"/>
      <c r="W1047542" s="7"/>
    </row>
    <row r="1047712" spans="22:23">
      <c r="V1047712" s="7"/>
      <c r="W1047712" s="7"/>
    </row>
    <row r="1047882" spans="22:23">
      <c r="V1047882" s="7"/>
      <c r="W1047882" s="7"/>
    </row>
    <row r="1048052" spans="22:23">
      <c r="V1048052" s="7"/>
      <c r="W1048052" s="7"/>
    </row>
    <row r="1048222" spans="22:23">
      <c r="V1048222" s="7"/>
      <c r="W1048222" s="7"/>
    </row>
    <row r="1048392" spans="22:23">
      <c r="V1048392" s="7"/>
      <c r="W1048392" s="7"/>
    </row>
    <row r="1048562" spans="22:23">
      <c r="V1048562" s="7"/>
      <c r="W1048562" s="7"/>
    </row>
  </sheetData>
  <mergeCells count="2">
    <mergeCell ref="I1:N1"/>
    <mergeCell ref="P1:T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71ADE-C131-471F-902B-9242559CE22E}">
  <sheetPr>
    <tabColor theme="6" tint="0.79998168889431442"/>
  </sheetPr>
  <dimension ref="A1:AK171"/>
  <sheetViews>
    <sheetView zoomScale="85" zoomScaleNormal="85" workbookViewId="0">
      <selection activeCell="F4" sqref="F4"/>
    </sheetView>
  </sheetViews>
  <sheetFormatPr baseColWidth="10" defaultRowHeight="14"/>
  <cols>
    <col min="1" max="1" width="24.36328125" style="1" bestFit="1" customWidth="1"/>
    <col min="2" max="2" width="17.7265625" style="1" bestFit="1" customWidth="1"/>
    <col min="3" max="3" width="25.36328125" style="1" bestFit="1" customWidth="1"/>
    <col min="4" max="4" width="18.36328125" style="1" bestFit="1" customWidth="1"/>
    <col min="5" max="5" width="26.7265625" style="1" bestFit="1" customWidth="1"/>
    <col min="6" max="6" width="26.7265625" style="1" customWidth="1"/>
    <col min="7" max="7" width="25.7265625" style="1" bestFit="1" customWidth="1"/>
    <col min="8" max="8" width="10.90625" style="1"/>
    <col min="9" max="9" width="10.90625" style="13"/>
    <col min="10" max="10" width="10.90625" style="2"/>
    <col min="11" max="11" width="12.90625" style="2" bestFit="1" customWidth="1"/>
    <col min="12" max="12" width="10.90625" style="2"/>
    <col min="13" max="13" width="25.6328125" style="2" bestFit="1" customWidth="1"/>
    <col min="14" max="14" width="25.36328125" style="2" bestFit="1" customWidth="1"/>
    <col min="15" max="15" width="25.453125" style="2" bestFit="1" customWidth="1"/>
    <col min="16" max="16" width="25.26953125" style="2" bestFit="1" customWidth="1"/>
    <col min="17" max="17" width="10.90625" style="12"/>
    <col min="18" max="18" width="2.7265625" style="2" customWidth="1"/>
    <col min="19" max="20" width="13.6328125" style="1" bestFit="1" customWidth="1"/>
    <col min="21" max="21" width="14.26953125" style="1" bestFit="1" customWidth="1"/>
    <col min="22" max="22" width="20" style="1" bestFit="1" customWidth="1"/>
    <col min="23" max="23" width="20.26953125" style="1" bestFit="1" customWidth="1"/>
    <col min="24" max="24" width="10.90625" style="1"/>
    <col min="25" max="25" width="2.7265625" style="2" customWidth="1"/>
    <col min="26" max="26" width="27.54296875" style="1" bestFit="1" customWidth="1"/>
    <col min="27" max="27" width="20.54296875" style="1" bestFit="1" customWidth="1"/>
    <col min="28" max="28" width="2.7265625" style="2" customWidth="1"/>
    <col min="29" max="29" width="24.08984375" style="1" bestFit="1" customWidth="1"/>
    <col min="30" max="30" width="13.36328125" style="1" bestFit="1" customWidth="1"/>
    <col min="31" max="31" width="16.90625" style="1" bestFit="1" customWidth="1"/>
    <col min="32" max="32" width="24.54296875" style="1" bestFit="1" customWidth="1"/>
    <col min="33" max="33" width="24.26953125" style="1" bestFit="1" customWidth="1"/>
    <col min="34" max="34" width="10.90625" style="1"/>
    <col min="35" max="35" width="2.7265625" style="2" customWidth="1"/>
    <col min="36" max="36" width="10.90625" style="1"/>
    <col min="37" max="37" width="2.7265625" style="2" customWidth="1"/>
    <col min="38" max="16384" width="10.90625" style="1"/>
  </cols>
  <sheetData>
    <row r="1" spans="1:37">
      <c r="A1" s="1" t="s">
        <v>14</v>
      </c>
      <c r="B1" s="1" t="s">
        <v>12</v>
      </c>
      <c r="D1" s="1" t="s">
        <v>13</v>
      </c>
      <c r="J1" s="61" t="s">
        <v>4</v>
      </c>
      <c r="K1" s="61"/>
      <c r="L1" s="61"/>
      <c r="M1" s="61"/>
      <c r="N1" s="61"/>
      <c r="O1" s="61"/>
      <c r="P1" s="61"/>
      <c r="Q1" s="61"/>
      <c r="R1" s="6"/>
      <c r="S1" s="62" t="s">
        <v>1</v>
      </c>
      <c r="T1" s="62"/>
      <c r="U1" s="62"/>
      <c r="V1" s="62"/>
      <c r="W1" s="62"/>
      <c r="Y1" s="6"/>
      <c r="Z1" s="62" t="s">
        <v>6</v>
      </c>
      <c r="AA1" s="62"/>
      <c r="AB1" s="6"/>
      <c r="AC1" s="62" t="s">
        <v>8</v>
      </c>
      <c r="AD1" s="62"/>
      <c r="AE1" s="62"/>
      <c r="AF1" s="62"/>
      <c r="AG1" s="62"/>
      <c r="AH1" s="62"/>
      <c r="AI1" s="6"/>
      <c r="AJ1" s="4" t="s">
        <v>9</v>
      </c>
      <c r="AK1" s="6"/>
    </row>
    <row r="2" spans="1:37">
      <c r="B2" s="1">
        <f>43399.56</f>
        <v>43399.56</v>
      </c>
      <c r="D2" s="1">
        <f>32600</f>
        <v>32600</v>
      </c>
      <c r="I2" s="14" t="s">
        <v>0</v>
      </c>
      <c r="J2" s="8" t="str" cm="1">
        <f t="array" ref="J2:P170">'[1]generators-p'!$B$1:$H$169</f>
        <v>ES_solar</v>
      </c>
      <c r="K2" s="8" t="str">
        <v>ES_wind</v>
      </c>
      <c r="L2" s="8" t="str">
        <v>ES_water</v>
      </c>
      <c r="M2" s="8" t="str">
        <v>ES_SRES_excedentes_solar</v>
      </c>
      <c r="N2" s="8" t="str">
        <v>ES_SRES_excedentes_wind</v>
      </c>
      <c r="O2" s="8" t="str">
        <v>ES_SRES_electrolyzer_solar</v>
      </c>
      <c r="P2" s="8" t="str">
        <v>ES_SRES_electrolyzer_wind</v>
      </c>
      <c r="Q2" s="9" t="s">
        <v>2</v>
      </c>
      <c r="R2" s="7"/>
      <c r="S2" s="3" t="str" cm="1">
        <f t="array" ref="S2:S170">'[1]links-p0'!$B$1:$B$169</f>
        <v>ES_turbina</v>
      </c>
      <c r="T2" s="3" t="str" cm="1">
        <f t="array" ref="T2:T170">'[1]links-p0'!$C$1:$C$169</f>
        <v>ES_pump</v>
      </c>
      <c r="U2" s="3" t="str" cm="1">
        <f t="array" ref="U2:W170">'[1]links-p0'!$D$1:$F$169</f>
        <v>ES_electrolyzer</v>
      </c>
      <c r="V2" s="3" t="str">
        <v>ES_SRES_electrolyzer</v>
      </c>
      <c r="W2" s="3" t="str">
        <v>ES_SRES_excedentes</v>
      </c>
      <c r="X2" s="10" t="s">
        <v>5</v>
      </c>
      <c r="Y2" s="7"/>
      <c r="Z2" s="3" t="str" cm="1">
        <f t="array" ref="Z2:AA170">'[1]storage_units-p'!$B$1:$C$169</f>
        <v>ES_electricity_market_battery</v>
      </c>
      <c r="AA2" s="3" t="str">
        <v>ES_hydrogen_storage</v>
      </c>
      <c r="AB2" s="7"/>
      <c r="AC2" s="11" t="str" cm="1">
        <f t="array" ref="AC2:AG170">'[1]buses-marginal_price'!$B$1:$F$169</f>
        <v>ES_electricity_market_bus</v>
      </c>
      <c r="AD2" s="11" t="str">
        <v>ES_water_bus</v>
      </c>
      <c r="AE2" s="11" t="str">
        <v>ES_hydrogen_bus</v>
      </c>
      <c r="AF2" s="11" t="str">
        <v>ES_SRES_excedentes_bus</v>
      </c>
      <c r="AG2" s="11" t="str">
        <v>ES_SRES_electrolyzer_bus</v>
      </c>
      <c r="AH2" s="10" t="s">
        <v>2</v>
      </c>
      <c r="AI2" s="7"/>
      <c r="AJ2" s="11" t="str" cm="1">
        <f t="array" ref="AJ2:AJ170">'[1]stores-p'!$B$1:$B$169</f>
        <v>ES_embalse</v>
      </c>
      <c r="AK2" s="7"/>
    </row>
    <row r="3" spans="1:37">
      <c r="A3" s="1" t="s">
        <v>11</v>
      </c>
      <c r="B3" s="1" t="s">
        <v>12</v>
      </c>
      <c r="C3" s="1" t="s">
        <v>15</v>
      </c>
      <c r="D3" s="1" t="s">
        <v>13</v>
      </c>
      <c r="E3" s="1" t="s">
        <v>16</v>
      </c>
      <c r="F3" s="1" t="s">
        <v>39</v>
      </c>
      <c r="G3" s="1" t="s">
        <v>17</v>
      </c>
      <c r="I3" s="13">
        <v>0</v>
      </c>
      <c r="J3" s="2">
        <v>0</v>
      </c>
      <c r="K3" s="2">
        <v>25257.631676891091</v>
      </c>
      <c r="L3" s="2">
        <v>492.98777132165452</v>
      </c>
      <c r="M3" s="2">
        <v>0</v>
      </c>
      <c r="N3" s="2">
        <v>5970.4387567924796</v>
      </c>
      <c r="O3" s="2">
        <v>0</v>
      </c>
      <c r="P3" s="2">
        <v>4484.7529207999996</v>
      </c>
      <c r="R3" s="6"/>
      <c r="S3" s="1">
        <v>2788.799047741923</v>
      </c>
      <c r="T3" s="1">
        <v>0</v>
      </c>
      <c r="U3" s="1">
        <v>10781.361550927521</v>
      </c>
      <c r="V3" s="1">
        <v>4484.7529207999996</v>
      </c>
      <c r="W3" s="1">
        <v>5970.4387567924796</v>
      </c>
      <c r="Y3" s="6"/>
      <c r="Z3" s="1">
        <v>0</v>
      </c>
      <c r="AA3" s="1">
        <v>0</v>
      </c>
      <c r="AB3" s="6"/>
      <c r="AC3" s="1">
        <v>9.9999999999999992E-2</v>
      </c>
      <c r="AD3" s="1">
        <v>8.4999999999999992E-2</v>
      </c>
      <c r="AE3" s="1">
        <v>0.14285714285714279</v>
      </c>
      <c r="AF3" s="1">
        <v>9.9999999999999992E-2</v>
      </c>
      <c r="AG3" s="1">
        <v>9.9999999999999992E-2</v>
      </c>
      <c r="AI3" s="6"/>
      <c r="AJ3" s="1">
        <v>2788.799047741923</v>
      </c>
      <c r="AK3" s="6"/>
    </row>
    <row r="4" spans="1:37">
      <c r="A4" s="13">
        <v>0</v>
      </c>
      <c r="B4" s="1">
        <f>N3+M3</f>
        <v>5970.4387567924796</v>
      </c>
      <c r="C4" s="15">
        <f>B4/$B$2</f>
        <v>0.137569108</v>
      </c>
      <c r="D4" s="1">
        <f>O3+P3</f>
        <v>4484.7529207999996</v>
      </c>
      <c r="E4" s="15">
        <f>D4/$D$2</f>
        <v>0.137569108</v>
      </c>
      <c r="F4" s="15"/>
      <c r="G4" s="1">
        <f>$B$2+$D$2-B4-D4</f>
        <v>65544.368322407507</v>
      </c>
      <c r="I4" s="13">
        <v>1</v>
      </c>
      <c r="J4" s="2">
        <v>0</v>
      </c>
      <c r="K4" s="2">
        <v>27028.785791072009</v>
      </c>
      <c r="L4" s="2">
        <v>492.98777132165452</v>
      </c>
      <c r="M4" s="2">
        <v>0</v>
      </c>
      <c r="N4" s="2">
        <v>6389.1069558870586</v>
      </c>
      <c r="O4" s="2">
        <v>0</v>
      </c>
      <c r="P4" s="2">
        <v>4799.2395950999999</v>
      </c>
      <c r="R4" s="6"/>
      <c r="S4" s="1">
        <v>0</v>
      </c>
      <c r="T4" s="1">
        <v>1921.1895819467341</v>
      </c>
      <c r="U4" s="1">
        <v>10390.127936333991</v>
      </c>
      <c r="V4" s="1">
        <v>4799.2395950999999</v>
      </c>
      <c r="W4" s="1">
        <v>6389.1069558870586</v>
      </c>
      <c r="Y4" s="6"/>
      <c r="Z4" s="1">
        <v>0</v>
      </c>
      <c r="AA4" s="1">
        <v>0</v>
      </c>
      <c r="AB4" s="6"/>
      <c r="AC4" s="1">
        <v>6.3749999999999987E-2</v>
      </c>
      <c r="AD4" s="1">
        <v>8.4999999999999992E-2</v>
      </c>
      <c r="AE4" s="1">
        <v>9.1071428571428567E-2</v>
      </c>
      <c r="AF4" s="1">
        <v>6.3749999999999987E-2</v>
      </c>
      <c r="AG4" s="1">
        <v>6.3749999999999987E-2</v>
      </c>
      <c r="AI4" s="6"/>
      <c r="AJ4" s="1">
        <v>-1440.89218646005</v>
      </c>
      <c r="AK4" s="6"/>
    </row>
    <row r="5" spans="1:37">
      <c r="A5" s="13">
        <v>1</v>
      </c>
      <c r="B5" s="1">
        <f t="shared" ref="B5:B68" si="0">N4+M4</f>
        <v>6389.1069558870586</v>
      </c>
      <c r="C5" s="15">
        <f t="shared" ref="C5:C68" si="1">B5/$B$2</f>
        <v>0.14721593849999998</v>
      </c>
      <c r="D5" s="1">
        <f t="shared" ref="D5:D68" si="2">O4+P4</f>
        <v>4799.2395950999999</v>
      </c>
      <c r="E5" s="15">
        <f t="shared" ref="E5:E68" si="3">D5/$D$2</f>
        <v>0.1472159385</v>
      </c>
      <c r="F5" s="15"/>
      <c r="G5" s="1">
        <f t="shared" ref="G5:G68" si="4">$B$2+$D$2-B5-D5</f>
        <v>64811.213449012947</v>
      </c>
      <c r="I5" s="13">
        <v>2</v>
      </c>
      <c r="J5" s="2">
        <v>0</v>
      </c>
      <c r="K5" s="2">
        <v>27489.942333941199</v>
      </c>
      <c r="L5" s="2">
        <v>492.98777132165452</v>
      </c>
      <c r="M5" s="2">
        <v>0</v>
      </c>
      <c r="N5" s="2">
        <v>6498.1158658163986</v>
      </c>
      <c r="O5" s="2">
        <v>0</v>
      </c>
      <c r="P5" s="2">
        <v>4881.1226939999997</v>
      </c>
      <c r="R5" s="6"/>
      <c r="S5" s="1">
        <v>0</v>
      </c>
      <c r="T5" s="1">
        <v>3783.7422947364162</v>
      </c>
      <c r="U5" s="1">
        <v>10312.143676342839</v>
      </c>
      <c r="V5" s="1">
        <v>4881.1226939999997</v>
      </c>
      <c r="W5" s="1">
        <v>6498.1158658163986</v>
      </c>
      <c r="Y5" s="6"/>
      <c r="Z5" s="1">
        <v>0</v>
      </c>
      <c r="AA5" s="1">
        <v>0</v>
      </c>
      <c r="AB5" s="6"/>
      <c r="AC5" s="1">
        <v>6.3749999999999987E-2</v>
      </c>
      <c r="AD5" s="1">
        <v>8.4999999999999992E-2</v>
      </c>
      <c r="AE5" s="1">
        <v>9.1071428571428567E-2</v>
      </c>
      <c r="AF5" s="1">
        <v>6.3749999999999987E-2</v>
      </c>
      <c r="AG5" s="1">
        <v>6.3749999999999987E-2</v>
      </c>
      <c r="AI5" s="6"/>
      <c r="AJ5" s="1">
        <v>-2837.8067210523118</v>
      </c>
      <c r="AK5" s="6"/>
    </row>
    <row r="6" spans="1:37">
      <c r="A6" s="13">
        <v>2</v>
      </c>
      <c r="B6" s="1">
        <f t="shared" si="0"/>
        <v>6498.1158658163986</v>
      </c>
      <c r="C6" s="15">
        <f t="shared" si="1"/>
        <v>0.14972768999999997</v>
      </c>
      <c r="D6" s="1">
        <f t="shared" si="2"/>
        <v>4881.1226939999997</v>
      </c>
      <c r="E6" s="15">
        <f t="shared" si="3"/>
        <v>0.14972769</v>
      </c>
      <c r="F6" s="15"/>
      <c r="G6" s="1">
        <f t="shared" si="4"/>
        <v>64620.321440183609</v>
      </c>
      <c r="I6" s="13">
        <v>3</v>
      </c>
      <c r="J6" s="2">
        <v>0</v>
      </c>
      <c r="K6" s="2">
        <v>28179.896186332571</v>
      </c>
      <c r="L6" s="2">
        <v>492.98777132165452</v>
      </c>
      <c r="M6" s="2">
        <v>0</v>
      </c>
      <c r="N6" s="2">
        <v>6661.2082441285193</v>
      </c>
      <c r="O6" s="2">
        <v>0</v>
      </c>
      <c r="P6" s="2">
        <v>5003.6311142000004</v>
      </c>
      <c r="R6" s="6"/>
      <c r="S6" s="1">
        <v>0</v>
      </c>
      <c r="T6" s="1">
        <v>5185.09829045476</v>
      </c>
      <c r="U6" s="1">
        <v>10370.927911327981</v>
      </c>
      <c r="V6" s="1">
        <v>5003.6311142000004</v>
      </c>
      <c r="W6" s="1">
        <v>6661.2082441285193</v>
      </c>
      <c r="Y6" s="6"/>
      <c r="Z6" s="1">
        <v>0</v>
      </c>
      <c r="AA6" s="1">
        <v>0</v>
      </c>
      <c r="AB6" s="6"/>
      <c r="AC6" s="1">
        <v>6.3749999999999987E-2</v>
      </c>
      <c r="AD6" s="1">
        <v>8.4999999999999992E-2</v>
      </c>
      <c r="AE6" s="1">
        <v>9.1071428571428567E-2</v>
      </c>
      <c r="AF6" s="1">
        <v>6.3749999999999987E-2</v>
      </c>
      <c r="AG6" s="1">
        <v>6.3749999999999987E-2</v>
      </c>
      <c r="AI6" s="6"/>
      <c r="AJ6" s="1">
        <v>-3888.82371784107</v>
      </c>
      <c r="AK6" s="6"/>
    </row>
    <row r="7" spans="1:37">
      <c r="A7" s="13">
        <v>3</v>
      </c>
      <c r="B7" s="1">
        <f t="shared" si="0"/>
        <v>6661.2082441285193</v>
      </c>
      <c r="C7" s="15">
        <f t="shared" si="1"/>
        <v>0.15348561699999999</v>
      </c>
      <c r="D7" s="1">
        <f t="shared" si="2"/>
        <v>5003.6311142000004</v>
      </c>
      <c r="E7" s="15">
        <f t="shared" si="3"/>
        <v>0.15348561700000002</v>
      </c>
      <c r="F7" s="15"/>
      <c r="G7" s="1">
        <f t="shared" si="4"/>
        <v>64334.720641671483</v>
      </c>
      <c r="I7" s="13">
        <v>4</v>
      </c>
      <c r="J7" s="2">
        <v>0</v>
      </c>
      <c r="K7" s="2">
        <v>29542.429586616421</v>
      </c>
      <c r="L7" s="2">
        <v>492.98777132165452</v>
      </c>
      <c r="M7" s="2">
        <v>0</v>
      </c>
      <c r="N7" s="2">
        <v>6983.28603529062</v>
      </c>
      <c r="O7" s="2">
        <v>0</v>
      </c>
      <c r="P7" s="2">
        <v>5245.5629677000006</v>
      </c>
      <c r="R7" s="6"/>
      <c r="S7" s="1">
        <v>0</v>
      </c>
      <c r="T7" s="1">
        <v>6765.8815992364198</v>
      </c>
      <c r="U7" s="1">
        <v>10238.602793992281</v>
      </c>
      <c r="V7" s="1">
        <v>5245.5629677000006</v>
      </c>
      <c r="W7" s="1">
        <v>6983.28603529062</v>
      </c>
      <c r="Y7" s="6"/>
      <c r="Z7" s="1">
        <v>0</v>
      </c>
      <c r="AA7" s="1">
        <v>0</v>
      </c>
      <c r="AB7" s="6"/>
      <c r="AC7" s="1">
        <v>6.3749999999999987E-2</v>
      </c>
      <c r="AD7" s="1">
        <v>8.4999999999999992E-2</v>
      </c>
      <c r="AE7" s="1">
        <v>9.1071428571428567E-2</v>
      </c>
      <c r="AF7" s="1">
        <v>6.3749999999999987E-2</v>
      </c>
      <c r="AG7" s="1">
        <v>6.3749999999999987E-2</v>
      </c>
      <c r="AI7" s="6"/>
      <c r="AJ7" s="1">
        <v>-5074.4111994273153</v>
      </c>
      <c r="AK7" s="6"/>
    </row>
    <row r="8" spans="1:37">
      <c r="A8" s="13">
        <v>4</v>
      </c>
      <c r="B8" s="1">
        <f t="shared" si="0"/>
        <v>6983.28603529062</v>
      </c>
      <c r="C8" s="15">
        <f t="shared" si="1"/>
        <v>0.16090683950000001</v>
      </c>
      <c r="D8" s="1">
        <f t="shared" si="2"/>
        <v>5245.5629677000006</v>
      </c>
      <c r="E8" s="15">
        <f t="shared" si="3"/>
        <v>0.16090683950000001</v>
      </c>
      <c r="F8" s="15"/>
      <c r="G8" s="1">
        <f t="shared" si="4"/>
        <v>63770.710997009381</v>
      </c>
      <c r="I8" s="13">
        <v>5</v>
      </c>
      <c r="J8" s="2">
        <v>0</v>
      </c>
      <c r="K8" s="2">
        <v>29719.55508683193</v>
      </c>
      <c r="L8" s="2">
        <v>492.98777132165452</v>
      </c>
      <c r="M8" s="2">
        <v>0</v>
      </c>
      <c r="N8" s="2">
        <v>7025.1552400058999</v>
      </c>
      <c r="O8" s="2">
        <v>0</v>
      </c>
      <c r="P8" s="2">
        <v>5277.0134264999997</v>
      </c>
      <c r="R8" s="6"/>
      <c r="S8" s="1">
        <v>0</v>
      </c>
      <c r="T8" s="1">
        <v>5853.9138554368747</v>
      </c>
      <c r="U8" s="1">
        <v>10366.094242722609</v>
      </c>
      <c r="V8" s="1">
        <v>5277.0134264999997</v>
      </c>
      <c r="W8" s="1">
        <v>7025.1552400058999</v>
      </c>
      <c r="Y8" s="6"/>
      <c r="Z8" s="1">
        <v>0</v>
      </c>
      <c r="AA8" s="1">
        <v>0</v>
      </c>
      <c r="AB8" s="6"/>
      <c r="AC8" s="1">
        <v>6.3749999999999987E-2</v>
      </c>
      <c r="AD8" s="1">
        <v>8.4999999999999992E-2</v>
      </c>
      <c r="AE8" s="1">
        <v>9.1071428571428567E-2</v>
      </c>
      <c r="AF8" s="1">
        <v>6.3749999999999987E-2</v>
      </c>
      <c r="AG8" s="1">
        <v>6.3749999999999987E-2</v>
      </c>
      <c r="AI8" s="6"/>
      <c r="AJ8" s="1">
        <v>-4390.4353915776564</v>
      </c>
      <c r="AK8" s="6"/>
    </row>
    <row r="9" spans="1:37">
      <c r="A9" s="13">
        <v>5</v>
      </c>
      <c r="B9" s="1">
        <f t="shared" si="0"/>
        <v>7025.1552400058999</v>
      </c>
      <c r="C9" s="15">
        <f t="shared" si="1"/>
        <v>0.1618715775</v>
      </c>
      <c r="D9" s="1">
        <f t="shared" si="2"/>
        <v>5277.0134264999997</v>
      </c>
      <c r="E9" s="15">
        <f t="shared" si="3"/>
        <v>0.1618715775</v>
      </c>
      <c r="F9" s="15"/>
      <c r="G9" s="1">
        <f t="shared" si="4"/>
        <v>63697.391333494095</v>
      </c>
      <c r="I9" s="13">
        <v>6</v>
      </c>
      <c r="J9" s="2">
        <v>0</v>
      </c>
      <c r="K9" s="2">
        <v>27790.974239529911</v>
      </c>
      <c r="L9" s="2">
        <v>492.98777132165452</v>
      </c>
      <c r="M9" s="2">
        <v>0</v>
      </c>
      <c r="N9" s="2">
        <v>6569.2742617875601</v>
      </c>
      <c r="O9" s="2">
        <v>0</v>
      </c>
      <c r="P9" s="2">
        <v>4934.5740126000001</v>
      </c>
      <c r="R9" s="6"/>
      <c r="S9" s="1">
        <v>0</v>
      </c>
      <c r="T9" s="1">
        <v>1209.007575439638</v>
      </c>
      <c r="U9" s="1">
        <v>10840.905697199491</v>
      </c>
      <c r="V9" s="1">
        <v>4934.5740126000001</v>
      </c>
      <c r="W9" s="1">
        <v>6569.2742617875601</v>
      </c>
      <c r="Y9" s="6"/>
      <c r="Z9" s="1">
        <v>0</v>
      </c>
      <c r="AA9" s="1">
        <v>0</v>
      </c>
      <c r="AB9" s="6"/>
      <c r="AC9" s="1">
        <v>6.3749999999999987E-2</v>
      </c>
      <c r="AD9" s="1">
        <v>8.4999999999999992E-2</v>
      </c>
      <c r="AE9" s="1">
        <v>9.1071428571428567E-2</v>
      </c>
      <c r="AF9" s="1">
        <v>6.3749999999999987E-2</v>
      </c>
      <c r="AG9" s="1">
        <v>6.3749999999999987E-2</v>
      </c>
      <c r="AI9" s="6"/>
      <c r="AJ9" s="1">
        <v>-906.75568157972884</v>
      </c>
      <c r="AK9" s="6"/>
    </row>
    <row r="10" spans="1:37">
      <c r="A10" s="13">
        <v>6</v>
      </c>
      <c r="B10" s="1">
        <f t="shared" si="0"/>
        <v>6569.2742617875601</v>
      </c>
      <c r="C10" s="15">
        <f t="shared" si="1"/>
        <v>0.15136730100000001</v>
      </c>
      <c r="D10" s="1">
        <f t="shared" si="2"/>
        <v>4934.5740126000001</v>
      </c>
      <c r="E10" s="15">
        <f t="shared" si="3"/>
        <v>0.15136730100000001</v>
      </c>
      <c r="F10" s="15"/>
      <c r="G10" s="1">
        <f t="shared" si="4"/>
        <v>64495.711725612433</v>
      </c>
      <c r="I10" s="13">
        <v>7</v>
      </c>
      <c r="J10" s="2">
        <v>0</v>
      </c>
      <c r="K10" s="2">
        <v>22521.545412595991</v>
      </c>
      <c r="L10" s="2">
        <v>492.98777132165452</v>
      </c>
      <c r="M10" s="2">
        <v>0</v>
      </c>
      <c r="N10" s="2">
        <v>5323.6783762766399</v>
      </c>
      <c r="O10" s="2">
        <v>0</v>
      </c>
      <c r="P10" s="2">
        <v>3998.9325944000002</v>
      </c>
      <c r="R10" s="6"/>
      <c r="S10" s="1">
        <v>9491.9676541744684</v>
      </c>
      <c r="T10" s="1">
        <v>0</v>
      </c>
      <c r="U10" s="1">
        <v>11834.170066242579</v>
      </c>
      <c r="V10" s="1">
        <v>3998.9325944000002</v>
      </c>
      <c r="W10" s="1">
        <v>5323.6783762766399</v>
      </c>
      <c r="Y10" s="6"/>
      <c r="Z10" s="1">
        <v>0</v>
      </c>
      <c r="AA10" s="1">
        <v>0</v>
      </c>
      <c r="AB10" s="6"/>
      <c r="AC10" s="1">
        <v>9.9999999999999992E-2</v>
      </c>
      <c r="AD10" s="1">
        <v>8.4999999999999992E-2</v>
      </c>
      <c r="AE10" s="1">
        <v>0.14285714285714279</v>
      </c>
      <c r="AF10" s="1">
        <v>9.9999999999999992E-2</v>
      </c>
      <c r="AG10" s="1">
        <v>9.9999999999999992E-2</v>
      </c>
      <c r="AI10" s="6"/>
      <c r="AJ10" s="1">
        <v>9491.9676541744684</v>
      </c>
      <c r="AK10" s="6"/>
    </row>
    <row r="11" spans="1:37">
      <c r="A11" s="13">
        <v>7</v>
      </c>
      <c r="B11" s="1">
        <f t="shared" si="0"/>
        <v>5323.6783762766399</v>
      </c>
      <c r="C11" s="15">
        <f t="shared" si="1"/>
        <v>0.12266664400000001</v>
      </c>
      <c r="D11" s="1">
        <f t="shared" si="2"/>
        <v>3998.9325944000002</v>
      </c>
      <c r="E11" s="15">
        <f t="shared" si="3"/>
        <v>0.12266664400000001</v>
      </c>
      <c r="F11" s="15"/>
      <c r="G11" s="1">
        <f t="shared" si="4"/>
        <v>66676.949029323354</v>
      </c>
      <c r="I11" s="13">
        <v>8</v>
      </c>
      <c r="J11" s="2">
        <v>1117.7385522</v>
      </c>
      <c r="K11" s="2">
        <v>17575.587941208789</v>
      </c>
      <c r="L11" s="2">
        <v>492.98777132165452</v>
      </c>
      <c r="M11" s="2">
        <v>205.88838063119999</v>
      </c>
      <c r="N11" s="2">
        <v>4154.5451592603004</v>
      </c>
      <c r="O11" s="2">
        <v>154.65505200000001</v>
      </c>
      <c r="P11" s="2">
        <v>3120.7268505000002</v>
      </c>
      <c r="R11" s="6"/>
      <c r="S11" s="1">
        <v>0</v>
      </c>
      <c r="T11" s="1">
        <v>0</v>
      </c>
      <c r="U11" s="1">
        <v>12607.299796813561</v>
      </c>
      <c r="V11" s="1">
        <v>3275.3819024999998</v>
      </c>
      <c r="W11" s="1">
        <v>4360.4335398915</v>
      </c>
      <c r="Y11" s="6"/>
      <c r="Z11" s="1">
        <v>10323.63387207616</v>
      </c>
      <c r="AA11" s="1">
        <v>0</v>
      </c>
      <c r="AB11" s="6"/>
      <c r="AC11" s="1">
        <v>0.1</v>
      </c>
      <c r="AD11" s="1">
        <v>8.4999999999999992E-2</v>
      </c>
      <c r="AE11" s="1">
        <v>0.1428571428571429</v>
      </c>
      <c r="AF11" s="1">
        <v>0.1</v>
      </c>
      <c r="AG11" s="1">
        <v>0.1</v>
      </c>
      <c r="AI11" s="6"/>
      <c r="AJ11" s="1">
        <v>0</v>
      </c>
      <c r="AK11" s="6"/>
    </row>
    <row r="12" spans="1:37">
      <c r="A12" s="13">
        <v>8</v>
      </c>
      <c r="B12" s="1">
        <f t="shared" si="0"/>
        <v>4360.4335398915</v>
      </c>
      <c r="C12" s="15">
        <f t="shared" si="1"/>
        <v>0.10047183750000001</v>
      </c>
      <c r="D12" s="1">
        <f t="shared" si="2"/>
        <v>3275.3819025000003</v>
      </c>
      <c r="E12" s="15">
        <f t="shared" si="3"/>
        <v>0.10047183750000001</v>
      </c>
      <c r="F12" s="15"/>
      <c r="G12" s="1">
        <f t="shared" si="4"/>
        <v>68363.744557608501</v>
      </c>
      <c r="I12" s="13">
        <v>9</v>
      </c>
      <c r="J12" s="2">
        <v>29843.77107658</v>
      </c>
      <c r="K12" s="2">
        <v>15116.88366045464</v>
      </c>
      <c r="L12" s="2">
        <v>492.98777132165452</v>
      </c>
      <c r="M12" s="2">
        <v>5497.2477121696802</v>
      </c>
      <c r="N12" s="2">
        <v>3573.352768893119</v>
      </c>
      <c r="O12" s="2">
        <v>4129.3108828000004</v>
      </c>
      <c r="P12" s="2">
        <v>2684.1585552000001</v>
      </c>
      <c r="R12" s="6"/>
      <c r="S12" s="1">
        <v>0</v>
      </c>
      <c r="T12" s="1">
        <v>13320.750632965201</v>
      </c>
      <c r="U12" s="1">
        <v>8359.7292517835849</v>
      </c>
      <c r="V12" s="1">
        <v>6813.4694380000001</v>
      </c>
      <c r="W12" s="1">
        <v>9070.6004810628001</v>
      </c>
      <c r="Y12" s="6"/>
      <c r="Z12" s="1">
        <v>0</v>
      </c>
      <c r="AA12" s="1">
        <v>0</v>
      </c>
      <c r="AB12" s="6"/>
      <c r="AC12" s="1">
        <v>0.01</v>
      </c>
      <c r="AD12" s="1">
        <v>8.4999999999999992E-2</v>
      </c>
      <c r="AE12" s="1">
        <v>1.428571428571429E-2</v>
      </c>
      <c r="AF12" s="1">
        <v>0.01</v>
      </c>
      <c r="AG12" s="1">
        <v>0.01</v>
      </c>
      <c r="AI12" s="6"/>
      <c r="AJ12" s="1">
        <v>-9990.5629747239</v>
      </c>
      <c r="AK12" s="6"/>
    </row>
    <row r="13" spans="1:37">
      <c r="A13" s="13">
        <v>9</v>
      </c>
      <c r="B13" s="1">
        <f t="shared" si="0"/>
        <v>9070.6004810628001</v>
      </c>
      <c r="C13" s="15">
        <f t="shared" si="1"/>
        <v>0.20900213000000001</v>
      </c>
      <c r="D13" s="1">
        <f t="shared" si="2"/>
        <v>6813.4694380000001</v>
      </c>
      <c r="E13" s="15">
        <f t="shared" si="3"/>
        <v>0.20900213000000001</v>
      </c>
      <c r="F13" s="15"/>
      <c r="G13" s="1">
        <f t="shared" si="4"/>
        <v>60115.49008093719</v>
      </c>
      <c r="I13" s="13">
        <v>10</v>
      </c>
      <c r="J13" s="2">
        <v>19840.926842953239</v>
      </c>
      <c r="K13" s="2">
        <v>14278.077359344319</v>
      </c>
      <c r="L13" s="2">
        <v>492.98777132165452</v>
      </c>
      <c r="M13" s="2">
        <v>13412.542987422899</v>
      </c>
      <c r="N13" s="2">
        <v>3375.0744143088</v>
      </c>
      <c r="O13" s="2">
        <v>10074.961621500001</v>
      </c>
      <c r="P13" s="2">
        <v>2535.2198480000002</v>
      </c>
      <c r="R13" s="6"/>
      <c r="S13" s="1">
        <v>0</v>
      </c>
      <c r="T13" s="1">
        <v>13320.750632965201</v>
      </c>
      <c r="U13" s="1">
        <v>2306.986742385714</v>
      </c>
      <c r="V13" s="1">
        <v>12610.181469499999</v>
      </c>
      <c r="W13" s="1">
        <v>16787.617401731699</v>
      </c>
      <c r="Y13" s="6"/>
      <c r="Z13" s="1">
        <v>0</v>
      </c>
      <c r="AA13" s="1">
        <v>0</v>
      </c>
      <c r="AB13" s="6"/>
      <c r="AC13" s="1">
        <v>0</v>
      </c>
      <c r="AD13" s="1">
        <v>8.4999999999999992E-2</v>
      </c>
      <c r="AE13" s="1">
        <v>0</v>
      </c>
      <c r="AF13" s="1">
        <v>0</v>
      </c>
      <c r="AG13" s="1">
        <v>0</v>
      </c>
      <c r="AI13" s="6"/>
      <c r="AJ13" s="1">
        <v>-9990.5629747239</v>
      </c>
      <c r="AK13" s="6"/>
    </row>
    <row r="14" spans="1:37">
      <c r="A14" s="13">
        <v>10</v>
      </c>
      <c r="B14" s="1">
        <f t="shared" si="0"/>
        <v>16787.617401731699</v>
      </c>
      <c r="C14" s="15">
        <f t="shared" si="1"/>
        <v>0.38681538249999997</v>
      </c>
      <c r="D14" s="1">
        <f t="shared" si="2"/>
        <v>12610.181469500001</v>
      </c>
      <c r="E14" s="15">
        <f t="shared" si="3"/>
        <v>0.38681538250000003</v>
      </c>
      <c r="F14" s="15"/>
      <c r="G14" s="1">
        <f t="shared" si="4"/>
        <v>46601.761128768303</v>
      </c>
      <c r="I14" s="13">
        <v>11</v>
      </c>
      <c r="J14" s="2">
        <v>12871.85205389871</v>
      </c>
      <c r="K14" s="2">
        <v>15129.93079804206</v>
      </c>
      <c r="L14" s="2">
        <v>492.98777132165452</v>
      </c>
      <c r="M14" s="2">
        <v>17808.400137877379</v>
      </c>
      <c r="N14" s="2">
        <v>3576.4368718254</v>
      </c>
      <c r="O14" s="2">
        <v>13376.9523123</v>
      </c>
      <c r="P14" s="2">
        <v>2686.4752090000002</v>
      </c>
      <c r="R14" s="6"/>
      <c r="S14" s="1">
        <v>0</v>
      </c>
      <c r="T14" s="1">
        <v>13320.750632965201</v>
      </c>
      <c r="U14" s="1">
        <v>0</v>
      </c>
      <c r="V14" s="1">
        <v>16063.4275213</v>
      </c>
      <c r="W14" s="1">
        <v>21384.83700970278</v>
      </c>
      <c r="Y14" s="6"/>
      <c r="Z14" s="1">
        <v>0</v>
      </c>
      <c r="AA14" s="1">
        <v>0</v>
      </c>
      <c r="AB14" s="6"/>
      <c r="AC14" s="1">
        <v>0</v>
      </c>
      <c r="AD14" s="1">
        <v>8.4999999999999992E-2</v>
      </c>
      <c r="AE14" s="1">
        <v>0</v>
      </c>
      <c r="AF14" s="1">
        <v>0</v>
      </c>
      <c r="AG14" s="1">
        <v>0</v>
      </c>
      <c r="AI14" s="6"/>
      <c r="AJ14" s="1">
        <v>-9990.5629747239</v>
      </c>
      <c r="AK14" s="6"/>
    </row>
    <row r="15" spans="1:37">
      <c r="A15" s="13">
        <v>11</v>
      </c>
      <c r="B15" s="1">
        <f t="shared" si="0"/>
        <v>21384.83700970278</v>
      </c>
      <c r="C15" s="15">
        <f t="shared" si="1"/>
        <v>0.49274317550000002</v>
      </c>
      <c r="D15" s="1">
        <f t="shared" si="2"/>
        <v>16063.4275213</v>
      </c>
      <c r="E15" s="15">
        <f t="shared" si="3"/>
        <v>0.49274317550000002</v>
      </c>
      <c r="F15" s="15"/>
      <c r="G15" s="1">
        <f t="shared" si="4"/>
        <v>38551.295468997218</v>
      </c>
      <c r="I15" s="13">
        <v>12</v>
      </c>
      <c r="J15" s="2">
        <v>9167.7375281383356</v>
      </c>
      <c r="K15" s="2">
        <v>17438.534795471169</v>
      </c>
      <c r="L15" s="2">
        <v>492.98777132165452</v>
      </c>
      <c r="M15" s="2">
        <v>19542.701217223199</v>
      </c>
      <c r="N15" s="2">
        <v>4122.1483208108393</v>
      </c>
      <c r="O15" s="2">
        <v>13970.45767381429</v>
      </c>
      <c r="P15" s="2">
        <v>3096.3916513999998</v>
      </c>
      <c r="R15" s="6"/>
      <c r="S15" s="1">
        <v>0</v>
      </c>
      <c r="T15" s="1">
        <v>13320.750632965201</v>
      </c>
      <c r="U15" s="1">
        <v>0</v>
      </c>
      <c r="V15" s="1">
        <v>17066.849325214291</v>
      </c>
      <c r="W15" s="1">
        <v>23664.849538034039</v>
      </c>
      <c r="Y15" s="6"/>
      <c r="Z15" s="1">
        <v>0</v>
      </c>
      <c r="AA15" s="1">
        <v>0</v>
      </c>
      <c r="AB15" s="6"/>
      <c r="AC15" s="1">
        <v>0</v>
      </c>
      <c r="AD15" s="1">
        <v>8.4999999999999992E-2</v>
      </c>
      <c r="AE15" s="1">
        <v>0</v>
      </c>
      <c r="AF15" s="1">
        <v>0</v>
      </c>
      <c r="AG15" s="1">
        <v>0</v>
      </c>
      <c r="AI15" s="6"/>
      <c r="AJ15" s="1">
        <v>-9990.5629747239</v>
      </c>
      <c r="AK15" s="6"/>
    </row>
    <row r="16" spans="1:37">
      <c r="A16" s="13">
        <v>12</v>
      </c>
      <c r="B16" s="1">
        <f t="shared" si="0"/>
        <v>23664.849538034039</v>
      </c>
      <c r="C16" s="15">
        <f t="shared" si="1"/>
        <v>0.545278559</v>
      </c>
      <c r="D16" s="1">
        <f t="shared" si="2"/>
        <v>17066.849325214291</v>
      </c>
      <c r="E16" s="15">
        <f t="shared" si="3"/>
        <v>0.52352298543602116</v>
      </c>
      <c r="F16" s="15"/>
      <c r="G16" s="1">
        <f t="shared" si="4"/>
        <v>35267.861136751671</v>
      </c>
      <c r="I16" s="13">
        <v>13</v>
      </c>
      <c r="J16" s="2">
        <v>7561.0097837054354</v>
      </c>
      <c r="K16" s="2">
        <v>19014.972457422769</v>
      </c>
      <c r="L16" s="2">
        <v>492.98777132165452</v>
      </c>
      <c r="M16" s="2">
        <v>19541.128482268141</v>
      </c>
      <c r="N16" s="2">
        <v>4494.7891382471998</v>
      </c>
      <c r="O16" s="2">
        <v>13690.544913214289</v>
      </c>
      <c r="P16" s="2">
        <v>3376.304412</v>
      </c>
      <c r="R16" s="6"/>
      <c r="S16" s="1">
        <v>0</v>
      </c>
      <c r="T16" s="1">
        <v>13320.750632965201</v>
      </c>
      <c r="U16" s="1">
        <v>0</v>
      </c>
      <c r="V16" s="1">
        <v>17066.849325214291</v>
      </c>
      <c r="W16" s="1">
        <v>24035.917620515342</v>
      </c>
      <c r="Y16" s="6"/>
      <c r="Z16" s="1">
        <v>0</v>
      </c>
      <c r="AA16" s="1">
        <v>0</v>
      </c>
      <c r="AB16" s="6"/>
      <c r="AC16" s="1">
        <v>0</v>
      </c>
      <c r="AD16" s="1">
        <v>8.4999999999999992E-2</v>
      </c>
      <c r="AE16" s="1">
        <v>0</v>
      </c>
      <c r="AF16" s="1">
        <v>0</v>
      </c>
      <c r="AG16" s="1">
        <v>0</v>
      </c>
      <c r="AI16" s="6"/>
      <c r="AJ16" s="1">
        <v>-9990.5629747239</v>
      </c>
      <c r="AK16" s="6"/>
    </row>
    <row r="17" spans="1:37">
      <c r="A17" s="13">
        <v>13</v>
      </c>
      <c r="B17" s="1">
        <f t="shared" si="0"/>
        <v>24035.917620515342</v>
      </c>
      <c r="C17" s="15">
        <f t="shared" si="1"/>
        <v>0.55382860150000002</v>
      </c>
      <c r="D17" s="1">
        <f t="shared" si="2"/>
        <v>17066.849325214291</v>
      </c>
      <c r="E17" s="15">
        <f t="shared" si="3"/>
        <v>0.52352298543602116</v>
      </c>
      <c r="F17" s="15"/>
      <c r="G17" s="1">
        <f t="shared" si="4"/>
        <v>34896.793054270369</v>
      </c>
      <c r="I17" s="13">
        <v>14</v>
      </c>
      <c r="J17" s="2">
        <v>58101.325701469978</v>
      </c>
      <c r="K17" s="2">
        <v>19653.986236669109</v>
      </c>
      <c r="L17" s="2">
        <v>492.98777132165452</v>
      </c>
      <c r="M17" s="2">
        <v>17997.1879851798</v>
      </c>
      <c r="N17" s="2">
        <v>4645.8402218381998</v>
      </c>
      <c r="O17" s="2">
        <v>13518.762133</v>
      </c>
      <c r="P17" s="2">
        <v>3489.7678970000002</v>
      </c>
      <c r="R17" s="6"/>
      <c r="S17" s="1">
        <v>0</v>
      </c>
      <c r="T17" s="1">
        <v>13320.750632965201</v>
      </c>
      <c r="U17" s="1">
        <v>93.244661414282746</v>
      </c>
      <c r="V17" s="1">
        <v>17008.530030000002</v>
      </c>
      <c r="W17" s="1">
        <v>22643.028207018</v>
      </c>
      <c r="Y17" s="6"/>
      <c r="Z17" s="1">
        <v>-43825.496622099257</v>
      </c>
      <c r="AA17" s="1">
        <v>0</v>
      </c>
      <c r="AB17" s="6"/>
      <c r="AC17" s="1">
        <v>0</v>
      </c>
      <c r="AD17" s="1">
        <v>8.4999999999999992E-2</v>
      </c>
      <c r="AE17" s="1">
        <v>0</v>
      </c>
      <c r="AF17" s="1">
        <v>0</v>
      </c>
      <c r="AG17" s="1">
        <v>0</v>
      </c>
      <c r="AI17" s="6"/>
      <c r="AJ17" s="1">
        <v>-9990.5629747239</v>
      </c>
      <c r="AK17" s="6"/>
    </row>
    <row r="18" spans="1:37">
      <c r="A18" s="13">
        <v>14</v>
      </c>
      <c r="B18" s="1">
        <f t="shared" si="0"/>
        <v>22643.028207018</v>
      </c>
      <c r="C18" s="15">
        <f t="shared" si="1"/>
        <v>0.52173405000000006</v>
      </c>
      <c r="D18" s="1">
        <f t="shared" si="2"/>
        <v>17008.530030000002</v>
      </c>
      <c r="E18" s="15">
        <f t="shared" si="3"/>
        <v>0.52173405000000006</v>
      </c>
      <c r="F18" s="15"/>
      <c r="G18" s="1">
        <f t="shared" si="4"/>
        <v>36348.001762981999</v>
      </c>
      <c r="I18" s="13">
        <v>15</v>
      </c>
      <c r="J18" s="2">
        <v>73973.410204579326</v>
      </c>
      <c r="K18" s="2">
        <v>19711.284638977831</v>
      </c>
      <c r="L18" s="2">
        <v>492.98777132165452</v>
      </c>
      <c r="M18" s="2">
        <v>15270.148509664919</v>
      </c>
      <c r="N18" s="2">
        <v>4659.3845084214599</v>
      </c>
      <c r="O18" s="2">
        <v>11470.3200082</v>
      </c>
      <c r="P18" s="2">
        <v>3499.9418191</v>
      </c>
      <c r="R18" s="6"/>
      <c r="S18" s="1">
        <v>0</v>
      </c>
      <c r="T18" s="1">
        <v>13320.750632965201</v>
      </c>
      <c r="U18" s="1">
        <v>0</v>
      </c>
      <c r="V18" s="1">
        <v>14970.261827300001</v>
      </c>
      <c r="W18" s="1">
        <v>19929.533018086378</v>
      </c>
      <c r="Y18" s="6"/>
      <c r="Z18" s="1">
        <v>-57427.040000000001</v>
      </c>
      <c r="AA18" s="1">
        <v>0</v>
      </c>
      <c r="AB18" s="6"/>
      <c r="AC18" s="1">
        <v>0</v>
      </c>
      <c r="AD18" s="1">
        <v>8.4999999999999992E-2</v>
      </c>
      <c r="AE18" s="1">
        <v>0</v>
      </c>
      <c r="AF18" s="1">
        <v>0</v>
      </c>
      <c r="AG18" s="1">
        <v>0</v>
      </c>
      <c r="AI18" s="6"/>
      <c r="AJ18" s="1">
        <v>-9990.5629747239</v>
      </c>
      <c r="AK18" s="6"/>
    </row>
    <row r="19" spans="1:37">
      <c r="A19" s="13">
        <v>15</v>
      </c>
      <c r="B19" s="1">
        <f t="shared" si="0"/>
        <v>19929.533018086378</v>
      </c>
      <c r="C19" s="15">
        <f t="shared" si="1"/>
        <v>0.45921048549999999</v>
      </c>
      <c r="D19" s="1">
        <f t="shared" si="2"/>
        <v>14970.261827300001</v>
      </c>
      <c r="E19" s="15">
        <f t="shared" si="3"/>
        <v>0.45921048550000004</v>
      </c>
      <c r="F19" s="15"/>
      <c r="G19" s="1">
        <f t="shared" si="4"/>
        <v>41099.765154613619</v>
      </c>
      <c r="I19" s="13">
        <v>16</v>
      </c>
      <c r="J19" s="2">
        <v>53981.474733825002</v>
      </c>
      <c r="K19" s="2">
        <v>18955.417524366439</v>
      </c>
      <c r="L19" s="2">
        <v>492.98777132165452</v>
      </c>
      <c r="M19" s="2">
        <v>9943.4330104796991</v>
      </c>
      <c r="N19" s="2">
        <v>4480.71144937176</v>
      </c>
      <c r="O19" s="2">
        <v>7469.1060495000002</v>
      </c>
      <c r="P19" s="2">
        <v>3365.7298196000002</v>
      </c>
      <c r="R19" s="6"/>
      <c r="S19" s="1">
        <v>0</v>
      </c>
      <c r="T19" s="1">
        <v>13320.750632965201</v>
      </c>
      <c r="U19" s="1">
        <v>4082.3323427857158</v>
      </c>
      <c r="V19" s="1">
        <v>10834.835869099999</v>
      </c>
      <c r="W19" s="1">
        <v>14424.144459851461</v>
      </c>
      <c r="Y19" s="6"/>
      <c r="Z19" s="1">
        <v>-26301.52651361364</v>
      </c>
      <c r="AA19" s="1">
        <v>0</v>
      </c>
      <c r="AB19" s="6"/>
      <c r="AC19" s="1">
        <v>0</v>
      </c>
      <c r="AD19" s="1">
        <v>8.4999999999999992E-2</v>
      </c>
      <c r="AE19" s="1">
        <v>0</v>
      </c>
      <c r="AF19" s="1">
        <v>0</v>
      </c>
      <c r="AG19" s="1">
        <v>0</v>
      </c>
      <c r="AI19" s="6"/>
      <c r="AJ19" s="1">
        <v>-9990.5629747239</v>
      </c>
      <c r="AK19" s="6"/>
    </row>
    <row r="20" spans="1:37">
      <c r="A20" s="13">
        <v>16</v>
      </c>
      <c r="B20" s="1">
        <f t="shared" si="0"/>
        <v>14424.144459851459</v>
      </c>
      <c r="C20" s="15">
        <f t="shared" si="1"/>
        <v>0.33235692849999998</v>
      </c>
      <c r="D20" s="1">
        <f t="shared" si="2"/>
        <v>10834.835869099999</v>
      </c>
      <c r="E20" s="15">
        <f t="shared" si="3"/>
        <v>0.33235692849999998</v>
      </c>
      <c r="F20" s="15"/>
      <c r="G20" s="1">
        <f t="shared" si="4"/>
        <v>50740.579671048545</v>
      </c>
      <c r="I20" s="13">
        <v>17</v>
      </c>
      <c r="J20" s="2">
        <v>12591.19372069</v>
      </c>
      <c r="K20" s="2">
        <v>15781.896243089581</v>
      </c>
      <c r="L20" s="2">
        <v>492.98777132165452</v>
      </c>
      <c r="M20" s="2">
        <v>2319.3084646352399</v>
      </c>
      <c r="N20" s="2">
        <v>3730.549490577479</v>
      </c>
      <c r="O20" s="2">
        <v>1742.1710254</v>
      </c>
      <c r="P20" s="2">
        <v>2802.2383958</v>
      </c>
      <c r="R20" s="6"/>
      <c r="S20" s="1">
        <v>8550.2299186781438</v>
      </c>
      <c r="T20" s="1">
        <v>0</v>
      </c>
      <c r="U20" s="1">
        <v>10614.23012119038</v>
      </c>
      <c r="V20" s="1">
        <v>4544.4094212</v>
      </c>
      <c r="W20" s="1">
        <v>6049.8579552127194</v>
      </c>
      <c r="Y20" s="6"/>
      <c r="Z20" s="1">
        <v>0</v>
      </c>
      <c r="AA20" s="1">
        <v>0</v>
      </c>
      <c r="AB20" s="6"/>
      <c r="AC20" s="1">
        <v>9.9999999999999992E-2</v>
      </c>
      <c r="AD20" s="1">
        <v>8.4999999999999992E-2</v>
      </c>
      <c r="AE20" s="1">
        <v>0.14285714285714279</v>
      </c>
      <c r="AF20" s="1">
        <v>9.9999999999999992E-2</v>
      </c>
      <c r="AG20" s="1">
        <v>9.9999999999999992E-2</v>
      </c>
      <c r="AI20" s="6"/>
      <c r="AJ20" s="1">
        <v>8550.2299186781438</v>
      </c>
      <c r="AK20" s="6"/>
    </row>
    <row r="21" spans="1:37">
      <c r="A21" s="13">
        <v>17</v>
      </c>
      <c r="B21" s="1">
        <f t="shared" si="0"/>
        <v>6049.8579552127194</v>
      </c>
      <c r="C21" s="15">
        <f t="shared" si="1"/>
        <v>0.13939906199999999</v>
      </c>
      <c r="D21" s="1">
        <f t="shared" si="2"/>
        <v>4544.4094212</v>
      </c>
      <c r="E21" s="15">
        <f t="shared" si="3"/>
        <v>0.13939906199999999</v>
      </c>
      <c r="F21" s="15"/>
      <c r="G21" s="1">
        <f t="shared" si="4"/>
        <v>65405.29262358728</v>
      </c>
      <c r="I21" s="13">
        <v>18</v>
      </c>
      <c r="J21" s="2">
        <v>0.96953515000000012</v>
      </c>
      <c r="K21" s="2">
        <v>14593.714336832239</v>
      </c>
      <c r="L21" s="2">
        <v>492.98777132165452</v>
      </c>
      <c r="M21" s="2">
        <v>0.17858918939999999</v>
      </c>
      <c r="N21" s="2">
        <v>3449.6851801786202</v>
      </c>
      <c r="O21" s="2">
        <v>0.13414899999999999</v>
      </c>
      <c r="P21" s="2">
        <v>2591.2644476999999</v>
      </c>
      <c r="R21" s="6"/>
      <c r="S21" s="1">
        <v>25140.2664733333</v>
      </c>
      <c r="T21" s="1">
        <v>0</v>
      </c>
      <c r="U21" s="1">
        <v>13948.771924947379</v>
      </c>
      <c r="V21" s="1">
        <v>2591.3985966999999</v>
      </c>
      <c r="W21" s="1">
        <v>3449.8637693680198</v>
      </c>
      <c r="Y21" s="6"/>
      <c r="Z21" s="1">
        <v>10911.771009942169</v>
      </c>
      <c r="AA21" s="1">
        <v>0</v>
      </c>
      <c r="AB21" s="6"/>
      <c r="AC21" s="1">
        <v>0.1</v>
      </c>
      <c r="AD21" s="1">
        <v>8.4999999999999992E-2</v>
      </c>
      <c r="AE21" s="1">
        <v>0.1428571428571429</v>
      </c>
      <c r="AF21" s="1">
        <v>0.1</v>
      </c>
      <c r="AG21" s="1">
        <v>0.1</v>
      </c>
      <c r="AI21" s="6"/>
      <c r="AJ21" s="1">
        <v>25140.2664733333</v>
      </c>
      <c r="AK21" s="6"/>
    </row>
    <row r="22" spans="1:37">
      <c r="A22" s="13">
        <v>18</v>
      </c>
      <c r="B22" s="1">
        <f t="shared" si="0"/>
        <v>3449.8637693680203</v>
      </c>
      <c r="C22" s="15">
        <f t="shared" si="1"/>
        <v>7.949075450000001E-2</v>
      </c>
      <c r="D22" s="1">
        <f t="shared" si="2"/>
        <v>2591.3985966999999</v>
      </c>
      <c r="E22" s="15">
        <f t="shared" si="3"/>
        <v>7.9490754499999997E-2</v>
      </c>
      <c r="F22" s="15"/>
      <c r="G22" s="1">
        <f t="shared" si="4"/>
        <v>69958.297633931972</v>
      </c>
      <c r="I22" s="13">
        <v>19</v>
      </c>
      <c r="J22" s="2">
        <v>0</v>
      </c>
      <c r="K22" s="2">
        <v>14223.344761290769</v>
      </c>
      <c r="L22" s="2">
        <v>492.98777132165452</v>
      </c>
      <c r="M22" s="2">
        <v>0</v>
      </c>
      <c r="N22" s="2">
        <v>3362.1366365765398</v>
      </c>
      <c r="O22" s="2">
        <v>0</v>
      </c>
      <c r="P22" s="2">
        <v>2525.5015109000001</v>
      </c>
      <c r="R22" s="6"/>
      <c r="S22" s="1">
        <v>0</v>
      </c>
      <c r="T22" s="1">
        <v>0</v>
      </c>
      <c r="U22" s="1">
        <v>13731.95669393258</v>
      </c>
      <c r="V22" s="1">
        <v>2525.5015109000001</v>
      </c>
      <c r="W22" s="1">
        <v>3362.1366365765398</v>
      </c>
      <c r="Y22" s="6"/>
      <c r="Z22" s="1">
        <v>32980.463524743624</v>
      </c>
      <c r="AA22" s="1">
        <v>0</v>
      </c>
      <c r="AB22" s="6"/>
      <c r="AC22" s="1">
        <v>0.1</v>
      </c>
      <c r="AD22" s="1">
        <v>8.4999999999999992E-2</v>
      </c>
      <c r="AE22" s="1">
        <v>0.1428571428571429</v>
      </c>
      <c r="AF22" s="1">
        <v>0.1</v>
      </c>
      <c r="AG22" s="1">
        <v>0.1</v>
      </c>
      <c r="AI22" s="6"/>
      <c r="AJ22" s="1">
        <v>0</v>
      </c>
      <c r="AK22" s="6"/>
    </row>
    <row r="23" spans="1:37">
      <c r="A23" s="13">
        <v>19</v>
      </c>
      <c r="B23" s="1">
        <f t="shared" si="0"/>
        <v>3362.1366365765398</v>
      </c>
      <c r="C23" s="15">
        <f t="shared" si="1"/>
        <v>7.7469371499999995E-2</v>
      </c>
      <c r="D23" s="1">
        <f t="shared" si="2"/>
        <v>2525.5015109000001</v>
      </c>
      <c r="E23" s="15">
        <f t="shared" si="3"/>
        <v>7.7469371500000009E-2</v>
      </c>
      <c r="F23" s="15"/>
      <c r="G23" s="1">
        <f t="shared" si="4"/>
        <v>70111.921852523461</v>
      </c>
      <c r="I23" s="13">
        <v>20</v>
      </c>
      <c r="J23" s="2">
        <v>0</v>
      </c>
      <c r="K23" s="2">
        <v>14363.338713443911</v>
      </c>
      <c r="L23" s="2">
        <v>492.98777132165452</v>
      </c>
      <c r="M23" s="2">
        <v>0</v>
      </c>
      <c r="N23" s="2">
        <v>3395.2286274783</v>
      </c>
      <c r="O23" s="2">
        <v>0</v>
      </c>
      <c r="P23" s="2">
        <v>2550.3588804999999</v>
      </c>
      <c r="R23" s="6"/>
      <c r="S23" s="1">
        <v>24542.651428507641</v>
      </c>
      <c r="T23" s="1">
        <v>0</v>
      </c>
      <c r="U23" s="1">
        <v>13500.436023007711</v>
      </c>
      <c r="V23" s="1">
        <v>2550.3588804999999</v>
      </c>
      <c r="W23" s="1">
        <v>3395.2286274783</v>
      </c>
      <c r="Y23" s="6"/>
      <c r="Z23" s="1">
        <v>11126.061196532341</v>
      </c>
      <c r="AA23" s="1">
        <v>0</v>
      </c>
      <c r="AB23" s="6"/>
      <c r="AC23" s="1">
        <v>0.1</v>
      </c>
      <c r="AD23" s="1">
        <v>8.5000000000000006E-2</v>
      </c>
      <c r="AE23" s="1">
        <v>0.1428571428571429</v>
      </c>
      <c r="AF23" s="1">
        <v>0.1</v>
      </c>
      <c r="AG23" s="1">
        <v>0.1</v>
      </c>
      <c r="AI23" s="6"/>
      <c r="AJ23" s="1">
        <v>24542.651428507641</v>
      </c>
      <c r="AK23" s="6"/>
    </row>
    <row r="24" spans="1:37">
      <c r="A24" s="13">
        <v>20</v>
      </c>
      <c r="B24" s="1">
        <f t="shared" si="0"/>
        <v>3395.2286274783</v>
      </c>
      <c r="C24" s="15">
        <f t="shared" si="1"/>
        <v>7.823186750000001E-2</v>
      </c>
      <c r="D24" s="1">
        <f t="shared" si="2"/>
        <v>2550.3588804999999</v>
      </c>
      <c r="E24" s="15">
        <f t="shared" si="3"/>
        <v>7.8231867499999996E-2</v>
      </c>
      <c r="F24" s="15"/>
      <c r="G24" s="1">
        <f t="shared" si="4"/>
        <v>70053.972492021698</v>
      </c>
      <c r="I24" s="13">
        <v>21</v>
      </c>
      <c r="J24" s="2">
        <v>0</v>
      </c>
      <c r="K24" s="2">
        <v>14848.21623140177</v>
      </c>
      <c r="L24" s="2">
        <v>492.98777132165452</v>
      </c>
      <c r="M24" s="2">
        <v>0</v>
      </c>
      <c r="N24" s="2">
        <v>3509.8447388598602</v>
      </c>
      <c r="O24" s="2">
        <v>0</v>
      </c>
      <c r="P24" s="2">
        <v>2636.4538831</v>
      </c>
      <c r="R24" s="6"/>
      <c r="S24" s="1">
        <v>25140.2664733333</v>
      </c>
      <c r="T24" s="1">
        <v>0</v>
      </c>
      <c r="U24" s="1">
        <v>13125.7904890142</v>
      </c>
      <c r="V24" s="1">
        <v>2636.4538831</v>
      </c>
      <c r="W24" s="1">
        <v>3509.8447388598602</v>
      </c>
      <c r="Y24" s="6"/>
      <c r="Z24" s="1">
        <v>568.91110514206594</v>
      </c>
      <c r="AA24" s="1">
        <v>0</v>
      </c>
      <c r="AB24" s="6"/>
      <c r="AC24" s="1">
        <v>0.1</v>
      </c>
      <c r="AD24" s="1">
        <v>8.4999999999999992E-2</v>
      </c>
      <c r="AE24" s="1">
        <v>0.1428571428571429</v>
      </c>
      <c r="AF24" s="1">
        <v>0.1</v>
      </c>
      <c r="AG24" s="1">
        <v>0.1</v>
      </c>
      <c r="AI24" s="6"/>
      <c r="AJ24" s="1">
        <v>25140.2664733333</v>
      </c>
      <c r="AK24" s="6"/>
    </row>
    <row r="25" spans="1:37">
      <c r="A25" s="13">
        <v>21</v>
      </c>
      <c r="B25" s="1">
        <f t="shared" si="0"/>
        <v>3509.8447388598602</v>
      </c>
      <c r="C25" s="15">
        <f t="shared" si="1"/>
        <v>8.0872818500000013E-2</v>
      </c>
      <c r="D25" s="1">
        <f t="shared" si="2"/>
        <v>2636.4538831</v>
      </c>
      <c r="E25" s="15">
        <f t="shared" si="3"/>
        <v>8.0872818499999999E-2</v>
      </c>
      <c r="F25" s="15"/>
      <c r="G25" s="1">
        <f t="shared" si="4"/>
        <v>69853.261378040144</v>
      </c>
      <c r="I25" s="13">
        <v>22</v>
      </c>
      <c r="J25" s="2">
        <v>0</v>
      </c>
      <c r="K25" s="2">
        <v>15875.142067911909</v>
      </c>
      <c r="L25" s="2">
        <v>492.98777132165452</v>
      </c>
      <c r="M25" s="2">
        <v>0</v>
      </c>
      <c r="N25" s="2">
        <v>3752.5910855120401</v>
      </c>
      <c r="O25" s="2">
        <v>0</v>
      </c>
      <c r="P25" s="2">
        <v>2818.7951533999999</v>
      </c>
      <c r="R25" s="6"/>
      <c r="S25" s="1">
        <v>25140.2664733333</v>
      </c>
      <c r="T25" s="1">
        <v>0</v>
      </c>
      <c r="U25" s="1">
        <v>12811.42165750859</v>
      </c>
      <c r="V25" s="1">
        <v>2818.7951533999999</v>
      </c>
      <c r="W25" s="1">
        <v>3752.5910855120401</v>
      </c>
      <c r="Y25" s="6"/>
      <c r="Z25" s="1">
        <v>0</v>
      </c>
      <c r="AA25" s="1">
        <v>0</v>
      </c>
      <c r="AB25" s="6"/>
      <c r="AC25" s="1">
        <v>0.1</v>
      </c>
      <c r="AD25" s="1">
        <v>8.4999999999999992E-2</v>
      </c>
      <c r="AE25" s="1">
        <v>0.1428571428571429</v>
      </c>
      <c r="AF25" s="1">
        <v>0.1</v>
      </c>
      <c r="AG25" s="1">
        <v>0.1</v>
      </c>
      <c r="AI25" s="6"/>
      <c r="AJ25" s="1">
        <v>25140.2664733333</v>
      </c>
      <c r="AK25" s="6"/>
    </row>
    <row r="26" spans="1:37">
      <c r="A26" s="13">
        <v>22</v>
      </c>
      <c r="B26" s="1">
        <f t="shared" si="0"/>
        <v>3752.5910855120401</v>
      </c>
      <c r="C26" s="15">
        <f t="shared" si="1"/>
        <v>8.6466109000000013E-2</v>
      </c>
      <c r="D26" s="1">
        <f t="shared" si="2"/>
        <v>2818.7951533999999</v>
      </c>
      <c r="E26" s="15">
        <f t="shared" si="3"/>
        <v>8.6466108999999999E-2</v>
      </c>
      <c r="F26" s="15"/>
      <c r="G26" s="1">
        <f t="shared" si="4"/>
        <v>69428.17376108795</v>
      </c>
      <c r="I26" s="13">
        <v>23</v>
      </c>
      <c r="J26" s="2">
        <v>0</v>
      </c>
      <c r="K26" s="2">
        <v>16808.962166086068</v>
      </c>
      <c r="L26" s="2">
        <v>492.98777132165452</v>
      </c>
      <c r="M26" s="2">
        <v>0</v>
      </c>
      <c r="N26" s="2">
        <v>3973.3289510939398</v>
      </c>
      <c r="O26" s="2">
        <v>0</v>
      </c>
      <c r="P26" s="2">
        <v>2984.6045399</v>
      </c>
      <c r="R26" s="6"/>
      <c r="S26" s="1">
        <v>23352.82241173106</v>
      </c>
      <c r="T26" s="1">
        <v>0</v>
      </c>
      <c r="U26" s="1">
        <v>12528.713448501479</v>
      </c>
      <c r="V26" s="1">
        <v>2984.6045399</v>
      </c>
      <c r="W26" s="1">
        <v>3973.3289510939398</v>
      </c>
      <c r="Y26" s="6"/>
      <c r="Z26" s="1">
        <v>0</v>
      </c>
      <c r="AA26" s="1">
        <v>0</v>
      </c>
      <c r="AB26" s="6"/>
      <c r="AC26" s="1">
        <v>9.9999999999999992E-2</v>
      </c>
      <c r="AD26" s="1">
        <v>8.4999999999999992E-2</v>
      </c>
      <c r="AE26" s="1">
        <v>0.14285714285714279</v>
      </c>
      <c r="AF26" s="1">
        <v>9.9999999999999992E-2</v>
      </c>
      <c r="AG26" s="1">
        <v>9.9999999999999992E-2</v>
      </c>
      <c r="AI26" s="6"/>
      <c r="AJ26" s="1">
        <v>23352.82241173106</v>
      </c>
      <c r="AK26" s="6"/>
    </row>
    <row r="27" spans="1:37">
      <c r="A27" s="13">
        <v>23</v>
      </c>
      <c r="B27" s="1">
        <f t="shared" si="0"/>
        <v>3973.3289510939398</v>
      </c>
      <c r="C27" s="15">
        <f t="shared" si="1"/>
        <v>9.1552286499999996E-2</v>
      </c>
      <c r="D27" s="1">
        <f t="shared" si="2"/>
        <v>2984.6045399</v>
      </c>
      <c r="E27" s="15">
        <f t="shared" si="3"/>
        <v>9.1552286499999996E-2</v>
      </c>
      <c r="F27" s="15"/>
      <c r="G27" s="1">
        <f t="shared" si="4"/>
        <v>69041.626509006062</v>
      </c>
      <c r="I27" s="13">
        <v>24</v>
      </c>
      <c r="J27" s="2">
        <v>0</v>
      </c>
      <c r="K27" s="2">
        <v>17562.050500919151</v>
      </c>
      <c r="L27" s="2">
        <v>504.29117640389302</v>
      </c>
      <c r="M27" s="2">
        <v>0</v>
      </c>
      <c r="N27" s="2">
        <v>4151.3451578030399</v>
      </c>
      <c r="O27" s="2">
        <v>0</v>
      </c>
      <c r="P27" s="2">
        <v>3118.3231384000001</v>
      </c>
      <c r="R27" s="6"/>
      <c r="S27" s="1">
        <v>0</v>
      </c>
      <c r="T27" s="1">
        <v>0</v>
      </c>
      <c r="U27" s="1">
        <v>12236.092756836249</v>
      </c>
      <c r="V27" s="1">
        <v>3118.3231384000001</v>
      </c>
      <c r="W27" s="1">
        <v>4151.3451578030399</v>
      </c>
      <c r="Y27" s="6"/>
      <c r="Z27" s="1">
        <v>16594.18202352869</v>
      </c>
      <c r="AA27" s="1">
        <v>0</v>
      </c>
      <c r="AB27" s="6"/>
      <c r="AC27" s="1">
        <v>0.1</v>
      </c>
      <c r="AD27" s="1">
        <v>8.4999999999999992E-2</v>
      </c>
      <c r="AE27" s="1">
        <v>0.1428571428571429</v>
      </c>
      <c r="AF27" s="1">
        <v>0.1</v>
      </c>
      <c r="AG27" s="1">
        <v>0.1</v>
      </c>
      <c r="AI27" s="6"/>
      <c r="AJ27" s="1">
        <v>0</v>
      </c>
      <c r="AK27" s="6"/>
    </row>
    <row r="28" spans="1:37">
      <c r="A28" s="13">
        <v>24</v>
      </c>
      <c r="B28" s="1">
        <f t="shared" si="0"/>
        <v>4151.3451578030399</v>
      </c>
      <c r="C28" s="15">
        <f t="shared" si="1"/>
        <v>9.5654084E-2</v>
      </c>
      <c r="D28" s="1">
        <f t="shared" si="2"/>
        <v>3118.3231384000001</v>
      </c>
      <c r="E28" s="15">
        <f t="shared" si="3"/>
        <v>9.5654084E-2</v>
      </c>
      <c r="F28" s="15"/>
      <c r="G28" s="1">
        <f t="shared" si="4"/>
        <v>68729.891703796966</v>
      </c>
      <c r="I28" s="13">
        <v>25</v>
      </c>
      <c r="J28" s="2">
        <v>0</v>
      </c>
      <c r="K28" s="2">
        <v>16948.98696297015</v>
      </c>
      <c r="L28" s="2">
        <v>504.29117640389302</v>
      </c>
      <c r="M28" s="2">
        <v>0</v>
      </c>
      <c r="N28" s="2">
        <v>4006.4282331217801</v>
      </c>
      <c r="O28" s="2">
        <v>0</v>
      </c>
      <c r="P28" s="2">
        <v>3009.4673862999998</v>
      </c>
      <c r="R28" s="6"/>
      <c r="S28" s="1">
        <v>0</v>
      </c>
      <c r="T28" s="1">
        <v>0</v>
      </c>
      <c r="U28" s="1">
        <v>12179.03912124847</v>
      </c>
      <c r="V28" s="1">
        <v>3009.4673862999998</v>
      </c>
      <c r="W28" s="1">
        <v>4006.4282331217801</v>
      </c>
      <c r="Y28" s="6"/>
      <c r="Z28" s="1">
        <v>14343.824896978151</v>
      </c>
      <c r="AA28" s="1">
        <v>0</v>
      </c>
      <c r="AB28" s="6"/>
      <c r="AC28" s="1">
        <v>0.1</v>
      </c>
      <c r="AD28" s="1">
        <v>8.4999999999999992E-2</v>
      </c>
      <c r="AE28" s="1">
        <v>0.1428571428571429</v>
      </c>
      <c r="AF28" s="1">
        <v>0.1</v>
      </c>
      <c r="AG28" s="1">
        <v>0.1</v>
      </c>
      <c r="AI28" s="6"/>
      <c r="AJ28" s="1">
        <v>0</v>
      </c>
      <c r="AK28" s="6"/>
    </row>
    <row r="29" spans="1:37">
      <c r="A29" s="13">
        <v>25</v>
      </c>
      <c r="B29" s="1">
        <f t="shared" si="0"/>
        <v>4006.4282331217801</v>
      </c>
      <c r="C29" s="15">
        <f t="shared" si="1"/>
        <v>9.2314950500000006E-2</v>
      </c>
      <c r="D29" s="1">
        <f t="shared" si="2"/>
        <v>3009.4673862999998</v>
      </c>
      <c r="E29" s="15">
        <f t="shared" si="3"/>
        <v>9.2314950499999993E-2</v>
      </c>
      <c r="F29" s="15"/>
      <c r="G29" s="1">
        <f t="shared" si="4"/>
        <v>68983.664380578208</v>
      </c>
      <c r="I29" s="13">
        <v>26</v>
      </c>
      <c r="J29" s="2">
        <v>0</v>
      </c>
      <c r="K29" s="2">
        <v>16083.628397510431</v>
      </c>
      <c r="L29" s="2">
        <v>504.29117640389302</v>
      </c>
      <c r="M29" s="2">
        <v>0</v>
      </c>
      <c r="N29" s="2">
        <v>3801.8734124704802</v>
      </c>
      <c r="O29" s="2">
        <v>0</v>
      </c>
      <c r="P29" s="2">
        <v>2855.8140508000001</v>
      </c>
      <c r="R29" s="6"/>
      <c r="S29" s="1">
        <v>0</v>
      </c>
      <c r="T29" s="1">
        <v>0</v>
      </c>
      <c r="U29" s="1">
        <v>12253.04667356252</v>
      </c>
      <c r="V29" s="1">
        <v>2855.8140508000001</v>
      </c>
      <c r="W29" s="1">
        <v>3801.8734124704802</v>
      </c>
      <c r="Y29" s="6"/>
      <c r="Z29" s="1">
        <v>14333.586580797721</v>
      </c>
      <c r="AA29" s="1">
        <v>0</v>
      </c>
      <c r="AB29" s="6"/>
      <c r="AC29" s="1">
        <v>0.1</v>
      </c>
      <c r="AD29" s="1">
        <v>8.4999999999999992E-2</v>
      </c>
      <c r="AE29" s="1">
        <v>0.1428571428571429</v>
      </c>
      <c r="AF29" s="1">
        <v>0.1</v>
      </c>
      <c r="AG29" s="1">
        <v>0.1</v>
      </c>
      <c r="AI29" s="6"/>
      <c r="AJ29" s="1">
        <v>0</v>
      </c>
      <c r="AK29" s="6"/>
    </row>
    <row r="30" spans="1:37">
      <c r="A30" s="13">
        <v>26</v>
      </c>
      <c r="B30" s="1">
        <f t="shared" si="0"/>
        <v>3801.8734124704802</v>
      </c>
      <c r="C30" s="15">
        <f t="shared" si="1"/>
        <v>8.7601658000000013E-2</v>
      </c>
      <c r="D30" s="1">
        <f t="shared" si="2"/>
        <v>2855.8140508000001</v>
      </c>
      <c r="E30" s="15">
        <f t="shared" si="3"/>
        <v>8.7601657999999999E-2</v>
      </c>
      <c r="F30" s="15"/>
      <c r="G30" s="1">
        <f t="shared" si="4"/>
        <v>69341.872536729512</v>
      </c>
      <c r="I30" s="13">
        <v>27</v>
      </c>
      <c r="J30" s="2">
        <v>0</v>
      </c>
      <c r="K30" s="2">
        <v>15063.22677239256</v>
      </c>
      <c r="L30" s="2">
        <v>504.29117640389302</v>
      </c>
      <c r="M30" s="2">
        <v>0</v>
      </c>
      <c r="N30" s="2">
        <v>3560.6692691828998</v>
      </c>
      <c r="O30" s="2">
        <v>0</v>
      </c>
      <c r="P30" s="2">
        <v>2674.6312214999998</v>
      </c>
      <c r="R30" s="6"/>
      <c r="S30" s="1">
        <v>0</v>
      </c>
      <c r="T30" s="1">
        <v>0</v>
      </c>
      <c r="U30" s="1">
        <v>12442.41211812552</v>
      </c>
      <c r="V30" s="1">
        <v>2674.6312214999998</v>
      </c>
      <c r="W30" s="1">
        <v>3560.6692691828998</v>
      </c>
      <c r="Y30" s="6"/>
      <c r="Z30" s="1">
        <v>15423.55377248617</v>
      </c>
      <c r="AA30" s="1">
        <v>0</v>
      </c>
      <c r="AB30" s="6"/>
      <c r="AC30" s="1">
        <v>0.1</v>
      </c>
      <c r="AD30" s="1">
        <v>8.4999999999999992E-2</v>
      </c>
      <c r="AE30" s="1">
        <v>0.1428571428571429</v>
      </c>
      <c r="AF30" s="1">
        <v>0.1</v>
      </c>
      <c r="AG30" s="1">
        <v>0.1</v>
      </c>
      <c r="AI30" s="6"/>
      <c r="AJ30" s="1">
        <v>0</v>
      </c>
      <c r="AK30" s="6"/>
    </row>
    <row r="31" spans="1:37">
      <c r="A31" s="13">
        <v>27</v>
      </c>
      <c r="B31" s="1">
        <f t="shared" si="0"/>
        <v>3560.6692691828998</v>
      </c>
      <c r="C31" s="15">
        <f t="shared" si="1"/>
        <v>8.2043902500000002E-2</v>
      </c>
      <c r="D31" s="1">
        <f t="shared" si="2"/>
        <v>2674.6312214999998</v>
      </c>
      <c r="E31" s="15">
        <f t="shared" si="3"/>
        <v>8.2043902499999988E-2</v>
      </c>
      <c r="F31" s="15"/>
      <c r="G31" s="1">
        <f t="shared" si="4"/>
        <v>69764.259509317111</v>
      </c>
      <c r="I31" s="13">
        <v>28</v>
      </c>
      <c r="J31" s="2">
        <v>0</v>
      </c>
      <c r="K31" s="2">
        <v>14307.493685481089</v>
      </c>
      <c r="L31" s="2">
        <v>504.29117640389302</v>
      </c>
      <c r="M31" s="2">
        <v>0</v>
      </c>
      <c r="N31" s="2">
        <v>3382.0278918119998</v>
      </c>
      <c r="O31" s="2">
        <v>0</v>
      </c>
      <c r="P31" s="2">
        <v>2540.4430200000002</v>
      </c>
      <c r="R31" s="6"/>
      <c r="S31" s="1">
        <v>20356.0095379794</v>
      </c>
      <c r="T31" s="1">
        <v>0</v>
      </c>
      <c r="U31" s="1">
        <v>12575.93679714947</v>
      </c>
      <c r="V31" s="1">
        <v>2540.4430200000002</v>
      </c>
      <c r="W31" s="1">
        <v>3382.0278918119998</v>
      </c>
      <c r="Y31" s="6"/>
      <c r="Z31" s="1">
        <v>0</v>
      </c>
      <c r="AA31" s="1">
        <v>0</v>
      </c>
      <c r="AB31" s="6"/>
      <c r="AC31" s="1">
        <v>9.9999999999999992E-2</v>
      </c>
      <c r="AD31" s="1">
        <v>8.4999999999999992E-2</v>
      </c>
      <c r="AE31" s="1">
        <v>0.14285714285714279</v>
      </c>
      <c r="AF31" s="1">
        <v>9.9999999999999992E-2</v>
      </c>
      <c r="AG31" s="1">
        <v>9.9999999999999992E-2</v>
      </c>
      <c r="AI31" s="6"/>
      <c r="AJ31" s="1">
        <v>20356.0095379794</v>
      </c>
      <c r="AK31" s="6"/>
    </row>
    <row r="32" spans="1:37">
      <c r="A32" s="13">
        <v>28</v>
      </c>
      <c r="B32" s="1">
        <f t="shared" si="0"/>
        <v>3382.0278918119998</v>
      </c>
      <c r="C32" s="15">
        <f t="shared" si="1"/>
        <v>7.7927700000000003E-2</v>
      </c>
      <c r="D32" s="1">
        <f t="shared" si="2"/>
        <v>2540.4430200000002</v>
      </c>
      <c r="E32" s="15">
        <f t="shared" si="3"/>
        <v>7.7927700000000003E-2</v>
      </c>
      <c r="F32" s="15"/>
      <c r="G32" s="1">
        <f t="shared" si="4"/>
        <v>70077.08908818799</v>
      </c>
      <c r="I32" s="13">
        <v>29</v>
      </c>
      <c r="J32" s="2">
        <v>0</v>
      </c>
      <c r="K32" s="2">
        <v>13599.38045674861</v>
      </c>
      <c r="L32" s="2">
        <v>504.29117640389302</v>
      </c>
      <c r="M32" s="2">
        <v>0</v>
      </c>
      <c r="N32" s="2">
        <v>3214.6429715191798</v>
      </c>
      <c r="O32" s="2">
        <v>0</v>
      </c>
      <c r="P32" s="2">
        <v>2414.7102153000001</v>
      </c>
      <c r="R32" s="6"/>
      <c r="S32" s="1">
        <v>0</v>
      </c>
      <c r="T32" s="1">
        <v>0</v>
      </c>
      <c r="U32" s="1">
        <v>13045.818630082649</v>
      </c>
      <c r="V32" s="1">
        <v>2414.7102153000001</v>
      </c>
      <c r="W32" s="1">
        <v>3214.6429715191798</v>
      </c>
      <c r="Y32" s="6"/>
      <c r="Z32" s="1">
        <v>20874.73125945096</v>
      </c>
      <c r="AA32" s="1">
        <v>0</v>
      </c>
      <c r="AB32" s="6"/>
      <c r="AC32" s="1">
        <v>0.1</v>
      </c>
      <c r="AD32" s="1">
        <v>8.4999999999999992E-2</v>
      </c>
      <c r="AE32" s="1">
        <v>0.1428571428571429</v>
      </c>
      <c r="AF32" s="1">
        <v>0.1</v>
      </c>
      <c r="AG32" s="1">
        <v>0.1</v>
      </c>
      <c r="AI32" s="6"/>
      <c r="AJ32" s="1">
        <v>0</v>
      </c>
      <c r="AK32" s="6"/>
    </row>
    <row r="33" spans="1:37">
      <c r="A33" s="13">
        <v>29</v>
      </c>
      <c r="B33" s="1">
        <f t="shared" si="0"/>
        <v>3214.6429715191798</v>
      </c>
      <c r="C33" s="15">
        <f t="shared" si="1"/>
        <v>7.4070865499999999E-2</v>
      </c>
      <c r="D33" s="1">
        <f t="shared" si="2"/>
        <v>2414.7102153000001</v>
      </c>
      <c r="E33" s="15">
        <f t="shared" si="3"/>
        <v>7.4070865499999999E-2</v>
      </c>
      <c r="F33" s="15"/>
      <c r="G33" s="1">
        <f t="shared" si="4"/>
        <v>70370.206813180819</v>
      </c>
      <c r="I33" s="13">
        <v>30</v>
      </c>
      <c r="J33" s="2">
        <v>0</v>
      </c>
      <c r="K33" s="2">
        <v>12281.728618574811</v>
      </c>
      <c r="L33" s="2">
        <v>504.29117640389302</v>
      </c>
      <c r="M33" s="2">
        <v>0</v>
      </c>
      <c r="N33" s="2">
        <v>2903.1743546975399</v>
      </c>
      <c r="O33" s="2">
        <v>0</v>
      </c>
      <c r="P33" s="2">
        <v>2180.7475459000002</v>
      </c>
      <c r="R33" s="6"/>
      <c r="S33" s="1">
        <v>25140.2664733333</v>
      </c>
      <c r="T33" s="1">
        <v>0</v>
      </c>
      <c r="U33" s="1">
        <v>13525.752815036811</v>
      </c>
      <c r="V33" s="1">
        <v>2180.7475459000002</v>
      </c>
      <c r="W33" s="1">
        <v>2903.1743546975399</v>
      </c>
      <c r="Y33" s="6"/>
      <c r="Z33" s="1">
        <v>5253.5104776675162</v>
      </c>
      <c r="AA33" s="1">
        <v>0</v>
      </c>
      <c r="AB33" s="6"/>
      <c r="AC33" s="1">
        <v>0.1</v>
      </c>
      <c r="AD33" s="1">
        <v>8.4999999999999992E-2</v>
      </c>
      <c r="AE33" s="1">
        <v>0.1428571428571429</v>
      </c>
      <c r="AF33" s="1">
        <v>0.1</v>
      </c>
      <c r="AG33" s="1">
        <v>0.1</v>
      </c>
      <c r="AI33" s="6"/>
      <c r="AJ33" s="1">
        <v>25140.2664733333</v>
      </c>
      <c r="AK33" s="6"/>
    </row>
    <row r="34" spans="1:37">
      <c r="A34" s="13">
        <v>30</v>
      </c>
      <c r="B34" s="1">
        <f t="shared" si="0"/>
        <v>2903.1743546975399</v>
      </c>
      <c r="C34" s="15">
        <f t="shared" si="1"/>
        <v>6.68940965E-2</v>
      </c>
      <c r="D34" s="1">
        <f t="shared" si="2"/>
        <v>2180.7475459000002</v>
      </c>
      <c r="E34" s="15">
        <f t="shared" si="3"/>
        <v>6.68940965E-2</v>
      </c>
      <c r="F34" s="15"/>
      <c r="G34" s="1">
        <f t="shared" si="4"/>
        <v>70915.638099402466</v>
      </c>
      <c r="I34" s="13">
        <v>31</v>
      </c>
      <c r="J34" s="2">
        <v>0</v>
      </c>
      <c r="K34" s="2">
        <v>10580.61958356276</v>
      </c>
      <c r="L34" s="2">
        <v>504.29117640389302</v>
      </c>
      <c r="M34" s="2">
        <v>0</v>
      </c>
      <c r="N34" s="2">
        <v>2501.0635217385602</v>
      </c>
      <c r="O34" s="2">
        <v>0</v>
      </c>
      <c r="P34" s="2">
        <v>1878.6980976</v>
      </c>
      <c r="R34" s="6"/>
      <c r="S34" s="1">
        <v>0</v>
      </c>
      <c r="T34" s="1">
        <v>0</v>
      </c>
      <c r="U34" s="1">
        <v>13985.30862634086</v>
      </c>
      <c r="V34" s="1">
        <v>1878.6980976</v>
      </c>
      <c r="W34" s="1">
        <v>2501.0635217385602</v>
      </c>
      <c r="Y34" s="6"/>
      <c r="Z34" s="1">
        <v>25864.223453477669</v>
      </c>
      <c r="AA34" s="1">
        <v>0</v>
      </c>
      <c r="AB34" s="6"/>
      <c r="AC34" s="1">
        <v>0.1</v>
      </c>
      <c r="AD34" s="1">
        <v>8.4999999999999992E-2</v>
      </c>
      <c r="AE34" s="1">
        <v>0.1428571428571429</v>
      </c>
      <c r="AF34" s="1">
        <v>0.1</v>
      </c>
      <c r="AG34" s="1">
        <v>0.1</v>
      </c>
      <c r="AI34" s="6"/>
      <c r="AJ34" s="1">
        <v>0</v>
      </c>
      <c r="AK34" s="6"/>
    </row>
    <row r="35" spans="1:37">
      <c r="A35" s="13">
        <v>31</v>
      </c>
      <c r="B35" s="1">
        <f t="shared" si="0"/>
        <v>2501.0635217385602</v>
      </c>
      <c r="C35" s="15">
        <f t="shared" si="1"/>
        <v>5.7628776000000007E-2</v>
      </c>
      <c r="D35" s="1">
        <f t="shared" si="2"/>
        <v>1878.6980976</v>
      </c>
      <c r="E35" s="15">
        <f t="shared" si="3"/>
        <v>5.7628776E-2</v>
      </c>
      <c r="F35" s="15"/>
      <c r="G35" s="1">
        <f t="shared" si="4"/>
        <v>71619.798380661436</v>
      </c>
      <c r="I35" s="13">
        <v>32</v>
      </c>
      <c r="J35" s="2">
        <v>934.59348017000002</v>
      </c>
      <c r="K35" s="2">
        <v>10413.82697641188</v>
      </c>
      <c r="L35" s="2">
        <v>504.29117640389302</v>
      </c>
      <c r="M35" s="2">
        <v>172.15290445331999</v>
      </c>
      <c r="N35" s="2">
        <v>2461.6368225603001</v>
      </c>
      <c r="O35" s="2">
        <v>129.31432219999999</v>
      </c>
      <c r="P35" s="2">
        <v>1849.0823505000001</v>
      </c>
      <c r="R35" s="6"/>
      <c r="S35" s="1">
        <v>0</v>
      </c>
      <c r="T35" s="1">
        <v>0</v>
      </c>
      <c r="U35" s="1">
        <v>13941.73959106244</v>
      </c>
      <c r="V35" s="1">
        <v>1978.3966727</v>
      </c>
      <c r="W35" s="1">
        <v>2633.78972701362</v>
      </c>
      <c r="Y35" s="6"/>
      <c r="Z35" s="1">
        <v>26913.186928047609</v>
      </c>
      <c r="AA35" s="1">
        <v>0</v>
      </c>
      <c r="AB35" s="6"/>
      <c r="AC35" s="1">
        <v>0.1</v>
      </c>
      <c r="AD35" s="1">
        <v>8.4999999999999992E-2</v>
      </c>
      <c r="AE35" s="1">
        <v>0.1428571428571429</v>
      </c>
      <c r="AF35" s="1">
        <v>0.1</v>
      </c>
      <c r="AG35" s="1">
        <v>0.1</v>
      </c>
      <c r="AI35" s="6"/>
      <c r="AJ35" s="1">
        <v>0</v>
      </c>
      <c r="AK35" s="6"/>
    </row>
    <row r="36" spans="1:37">
      <c r="A36" s="13">
        <v>32</v>
      </c>
      <c r="B36" s="1">
        <f t="shared" si="0"/>
        <v>2633.78972701362</v>
      </c>
      <c r="C36" s="15">
        <f t="shared" si="1"/>
        <v>6.0687014500000004E-2</v>
      </c>
      <c r="D36" s="1">
        <f t="shared" si="2"/>
        <v>1978.3966727000002</v>
      </c>
      <c r="E36" s="15">
        <f t="shared" si="3"/>
        <v>6.0687014500000004E-2</v>
      </c>
      <c r="F36" s="15"/>
      <c r="G36" s="1">
        <f t="shared" si="4"/>
        <v>71387.373600286388</v>
      </c>
      <c r="I36" s="13">
        <v>33</v>
      </c>
      <c r="J36" s="2">
        <v>25897.408658640001</v>
      </c>
      <c r="K36" s="2">
        <v>9460.1706868510191</v>
      </c>
      <c r="L36" s="2">
        <v>504.29117640389302</v>
      </c>
      <c r="M36" s="2">
        <v>4770.32443837344</v>
      </c>
      <c r="N36" s="2">
        <v>2236.2100468162198</v>
      </c>
      <c r="O36" s="2">
        <v>3583.2754224</v>
      </c>
      <c r="P36" s="2">
        <v>1679.7508436999999</v>
      </c>
      <c r="R36" s="6"/>
      <c r="S36" s="1">
        <v>1222.757714932882</v>
      </c>
      <c r="T36" s="1">
        <v>0</v>
      </c>
      <c r="U36" s="1">
        <v>9717.6623847775227</v>
      </c>
      <c r="V36" s="1">
        <v>5263.0262660999997</v>
      </c>
      <c r="W36" s="1">
        <v>7006.5344851896598</v>
      </c>
      <c r="Y36" s="6"/>
      <c r="Z36" s="1">
        <v>0</v>
      </c>
      <c r="AA36" s="1">
        <v>0</v>
      </c>
      <c r="AB36" s="6"/>
      <c r="AC36" s="1">
        <v>9.9999999999999992E-2</v>
      </c>
      <c r="AD36" s="1">
        <v>8.4999999999999992E-2</v>
      </c>
      <c r="AE36" s="1">
        <v>0.14285714285714279</v>
      </c>
      <c r="AF36" s="1">
        <v>9.9999999999999992E-2</v>
      </c>
      <c r="AG36" s="1">
        <v>9.9999999999999992E-2</v>
      </c>
      <c r="AI36" s="6"/>
      <c r="AJ36" s="1">
        <v>1222.757714932882</v>
      </c>
      <c r="AK36" s="6"/>
    </row>
    <row r="37" spans="1:37">
      <c r="A37" s="13">
        <v>33</v>
      </c>
      <c r="B37" s="1">
        <f t="shared" si="0"/>
        <v>7006.5344851896598</v>
      </c>
      <c r="C37" s="15">
        <f t="shared" si="1"/>
        <v>0.16144252349999999</v>
      </c>
      <c r="D37" s="1">
        <f t="shared" si="2"/>
        <v>5263.0262660999997</v>
      </c>
      <c r="E37" s="15">
        <f t="shared" si="3"/>
        <v>0.16144252349999999</v>
      </c>
      <c r="F37" s="15"/>
      <c r="G37" s="1">
        <f t="shared" si="4"/>
        <v>63729.99924871033</v>
      </c>
      <c r="I37" s="13">
        <v>34</v>
      </c>
      <c r="J37" s="2">
        <v>38014.793215061058</v>
      </c>
      <c r="K37" s="2">
        <v>7941.8884700892058</v>
      </c>
      <c r="L37" s="2">
        <v>504.29117640389302</v>
      </c>
      <c r="M37" s="2">
        <v>12029.17704317328</v>
      </c>
      <c r="N37" s="2">
        <v>1877.3161051092</v>
      </c>
      <c r="O37" s="2">
        <v>9035.8328887999996</v>
      </c>
      <c r="P37" s="2">
        <v>1410.164182</v>
      </c>
      <c r="R37" s="6"/>
      <c r="S37" s="1">
        <v>0</v>
      </c>
      <c r="T37" s="1">
        <v>13320.750632965201</v>
      </c>
      <c r="U37" s="1">
        <v>4471.1443768714307</v>
      </c>
      <c r="V37" s="1">
        <v>10445.9970708</v>
      </c>
      <c r="W37" s="1">
        <v>13906.49314828248</v>
      </c>
      <c r="Y37" s="6"/>
      <c r="Z37" s="1">
        <v>0</v>
      </c>
      <c r="AA37" s="1">
        <v>0</v>
      </c>
      <c r="AB37" s="6"/>
      <c r="AC37" s="1">
        <v>0</v>
      </c>
      <c r="AD37" s="1">
        <v>8.4999999999999992E-2</v>
      </c>
      <c r="AE37" s="1">
        <v>0</v>
      </c>
      <c r="AF37" s="1">
        <v>0</v>
      </c>
      <c r="AG37" s="1">
        <v>0</v>
      </c>
      <c r="AI37" s="6"/>
      <c r="AJ37" s="1">
        <v>-9990.5629747239</v>
      </c>
      <c r="AK37" s="6"/>
    </row>
    <row r="38" spans="1:37">
      <c r="A38" s="13">
        <v>34</v>
      </c>
      <c r="B38" s="1">
        <f t="shared" si="0"/>
        <v>13906.49314828248</v>
      </c>
      <c r="C38" s="15">
        <f t="shared" si="1"/>
        <v>0.320429358</v>
      </c>
      <c r="D38" s="1">
        <f t="shared" si="2"/>
        <v>10445.9970708</v>
      </c>
      <c r="E38" s="15">
        <f t="shared" si="3"/>
        <v>0.320429358</v>
      </c>
      <c r="F38" s="15"/>
      <c r="G38" s="1">
        <f t="shared" si="4"/>
        <v>51647.069780917518</v>
      </c>
      <c r="I38" s="13">
        <v>35</v>
      </c>
      <c r="J38" s="2">
        <v>59078.062843018881</v>
      </c>
      <c r="K38" s="2">
        <v>7497.5158672407233</v>
      </c>
      <c r="L38" s="2">
        <v>504.29117640389302</v>
      </c>
      <c r="M38" s="2">
        <v>16446.1942566996</v>
      </c>
      <c r="N38" s="2">
        <v>1772.2746093568201</v>
      </c>
      <c r="O38" s="2">
        <v>12353.718166000001</v>
      </c>
      <c r="P38" s="2">
        <v>1331.2612446999999</v>
      </c>
      <c r="R38" s="6"/>
      <c r="S38" s="1">
        <v>0</v>
      </c>
      <c r="T38" s="1">
        <v>13320.750632965201</v>
      </c>
      <c r="U38" s="1">
        <v>3416.7685165000048</v>
      </c>
      <c r="V38" s="1">
        <v>13684.9794107</v>
      </c>
      <c r="W38" s="1">
        <v>18218.468866056421</v>
      </c>
      <c r="Y38" s="6"/>
      <c r="Z38" s="1">
        <v>-19083.373603254709</v>
      </c>
      <c r="AA38" s="1">
        <v>0</v>
      </c>
      <c r="AB38" s="6"/>
      <c r="AC38" s="1">
        <v>0</v>
      </c>
      <c r="AD38" s="1">
        <v>8.4999999999999992E-2</v>
      </c>
      <c r="AE38" s="1">
        <v>0</v>
      </c>
      <c r="AF38" s="1">
        <v>0</v>
      </c>
      <c r="AG38" s="1">
        <v>0</v>
      </c>
      <c r="AI38" s="6"/>
      <c r="AJ38" s="1">
        <v>-9990.5629747239</v>
      </c>
      <c r="AK38" s="6"/>
    </row>
    <row r="39" spans="1:37">
      <c r="A39" s="13">
        <v>35</v>
      </c>
      <c r="B39" s="1">
        <f t="shared" si="0"/>
        <v>18218.468866056421</v>
      </c>
      <c r="C39" s="15">
        <f t="shared" si="1"/>
        <v>0.41978464450000003</v>
      </c>
      <c r="D39" s="1">
        <f t="shared" si="2"/>
        <v>13684.9794107</v>
      </c>
      <c r="E39" s="15">
        <f t="shared" si="3"/>
        <v>0.41978464449999997</v>
      </c>
      <c r="F39" s="15"/>
      <c r="G39" s="1">
        <f t="shared" si="4"/>
        <v>44096.111723243579</v>
      </c>
      <c r="I39" s="13">
        <v>36</v>
      </c>
      <c r="J39" s="2">
        <v>91079.427793794268</v>
      </c>
      <c r="K39" s="2">
        <v>8021.6047494042296</v>
      </c>
      <c r="L39" s="2">
        <v>504.29117640389302</v>
      </c>
      <c r="M39" s="2">
        <v>18940.949348595241</v>
      </c>
      <c r="N39" s="2">
        <v>1896.1595647675799</v>
      </c>
      <c r="O39" s="2">
        <v>14227.6776254</v>
      </c>
      <c r="P39" s="2">
        <v>1424.3186293000001</v>
      </c>
      <c r="R39" s="6"/>
      <c r="S39" s="1">
        <v>0</v>
      </c>
      <c r="T39" s="1">
        <v>13320.750632965201</v>
      </c>
      <c r="U39" s="1">
        <v>0</v>
      </c>
      <c r="V39" s="1">
        <v>15651.9962547</v>
      </c>
      <c r="W39" s="1">
        <v>20837.108913362819</v>
      </c>
      <c r="Y39" s="6"/>
      <c r="Z39" s="1">
        <v>-57427.040000000001</v>
      </c>
      <c r="AA39" s="1">
        <v>0</v>
      </c>
      <c r="AB39" s="6"/>
      <c r="AC39" s="1">
        <v>0</v>
      </c>
      <c r="AD39" s="1">
        <v>8.4999999999999992E-2</v>
      </c>
      <c r="AE39" s="1">
        <v>0</v>
      </c>
      <c r="AF39" s="1">
        <v>0</v>
      </c>
      <c r="AG39" s="1">
        <v>0</v>
      </c>
      <c r="AI39" s="6"/>
      <c r="AJ39" s="1">
        <v>-9990.5629747239</v>
      </c>
      <c r="AK39" s="6"/>
    </row>
    <row r="40" spans="1:37">
      <c r="A40" s="13">
        <v>36</v>
      </c>
      <c r="B40" s="1">
        <f t="shared" si="0"/>
        <v>20837.108913362819</v>
      </c>
      <c r="C40" s="15">
        <f t="shared" si="1"/>
        <v>0.4801225845</v>
      </c>
      <c r="D40" s="1">
        <f t="shared" si="2"/>
        <v>15651.9962547</v>
      </c>
      <c r="E40" s="15">
        <f t="shared" si="3"/>
        <v>0.4801225845</v>
      </c>
      <c r="F40" s="15"/>
      <c r="G40" s="1">
        <f t="shared" si="4"/>
        <v>39510.454831937182</v>
      </c>
      <c r="I40" s="13">
        <v>37</v>
      </c>
      <c r="J40" s="2">
        <v>90000.214987103755</v>
      </c>
      <c r="K40" s="2">
        <v>8207.2718532950585</v>
      </c>
      <c r="L40" s="2">
        <v>504.29117640389302</v>
      </c>
      <c r="M40" s="2">
        <v>19655.803768949761</v>
      </c>
      <c r="N40" s="2">
        <v>1940.04784721274</v>
      </c>
      <c r="O40" s="2">
        <v>14764.647449599999</v>
      </c>
      <c r="P40" s="2">
        <v>1457.2857379</v>
      </c>
      <c r="R40" s="6"/>
      <c r="S40" s="1">
        <v>0</v>
      </c>
      <c r="T40" s="1">
        <v>13320.750632965201</v>
      </c>
      <c r="U40" s="1">
        <v>0</v>
      </c>
      <c r="V40" s="1">
        <v>16221.933187500001</v>
      </c>
      <c r="W40" s="1">
        <v>21595.851616162501</v>
      </c>
      <c r="Y40" s="6"/>
      <c r="Z40" s="1">
        <v>-57427.040000000001</v>
      </c>
      <c r="AA40" s="1">
        <v>0</v>
      </c>
      <c r="AB40" s="6"/>
      <c r="AC40" s="1">
        <v>0</v>
      </c>
      <c r="AD40" s="1">
        <v>8.4999999999999992E-2</v>
      </c>
      <c r="AE40" s="1">
        <v>0</v>
      </c>
      <c r="AF40" s="1">
        <v>0</v>
      </c>
      <c r="AG40" s="1">
        <v>0</v>
      </c>
      <c r="AI40" s="6"/>
      <c r="AJ40" s="1">
        <v>-9990.5629747239</v>
      </c>
      <c r="AK40" s="6"/>
    </row>
    <row r="41" spans="1:37">
      <c r="A41" s="13">
        <v>37</v>
      </c>
      <c r="B41" s="1">
        <f t="shared" si="0"/>
        <v>21595.851616162501</v>
      </c>
      <c r="C41" s="15">
        <f t="shared" si="1"/>
        <v>0.49760531250000006</v>
      </c>
      <c r="D41" s="1">
        <f t="shared" si="2"/>
        <v>16221.933187499999</v>
      </c>
      <c r="E41" s="15">
        <f t="shared" si="3"/>
        <v>0.49760531249999995</v>
      </c>
      <c r="F41" s="15"/>
      <c r="G41" s="1">
        <f t="shared" si="4"/>
        <v>38181.775196337498</v>
      </c>
      <c r="I41" s="13">
        <v>38</v>
      </c>
      <c r="J41" s="2">
        <v>90697.856360479796</v>
      </c>
      <c r="K41" s="2">
        <v>7701.0753018705727</v>
      </c>
      <c r="L41" s="2">
        <v>504.29117640389302</v>
      </c>
      <c r="M41" s="2">
        <v>18838.280485088279</v>
      </c>
      <c r="N41" s="2">
        <v>1820.39230912266</v>
      </c>
      <c r="O41" s="2">
        <v>14150.556913799999</v>
      </c>
      <c r="P41" s="2">
        <v>1367.4053211</v>
      </c>
      <c r="R41" s="6"/>
      <c r="S41" s="1">
        <v>0</v>
      </c>
      <c r="T41" s="1">
        <v>13320.750632965201</v>
      </c>
      <c r="U41" s="1">
        <v>0</v>
      </c>
      <c r="V41" s="1">
        <v>15517.9622349</v>
      </c>
      <c r="W41" s="1">
        <v>20658.672794210939</v>
      </c>
      <c r="Y41" s="6"/>
      <c r="Z41" s="1">
        <v>-57427.040000000001</v>
      </c>
      <c r="AA41" s="1">
        <v>0</v>
      </c>
      <c r="AB41" s="6"/>
      <c r="AC41" s="1">
        <v>0</v>
      </c>
      <c r="AD41" s="1">
        <v>8.4999999999999992E-2</v>
      </c>
      <c r="AE41" s="1">
        <v>0</v>
      </c>
      <c r="AF41" s="1">
        <v>0</v>
      </c>
      <c r="AG41" s="1">
        <v>0</v>
      </c>
      <c r="AI41" s="6"/>
      <c r="AJ41" s="1">
        <v>-9990.5629747239</v>
      </c>
      <c r="AK41" s="6"/>
    </row>
    <row r="42" spans="1:37">
      <c r="A42" s="13">
        <v>38</v>
      </c>
      <c r="B42" s="1">
        <f t="shared" si="0"/>
        <v>20658.672794210939</v>
      </c>
      <c r="C42" s="15">
        <f t="shared" si="1"/>
        <v>0.47601111150000003</v>
      </c>
      <c r="D42" s="1">
        <f t="shared" si="2"/>
        <v>15517.962234899998</v>
      </c>
      <c r="E42" s="15">
        <f t="shared" si="3"/>
        <v>0.47601111149999997</v>
      </c>
      <c r="F42" s="15"/>
      <c r="G42" s="1">
        <f t="shared" si="4"/>
        <v>39822.924970889057</v>
      </c>
      <c r="I42" s="13">
        <v>39</v>
      </c>
      <c r="J42" s="2">
        <v>86801.982486299996</v>
      </c>
      <c r="K42" s="2">
        <v>7208.4567662448699</v>
      </c>
      <c r="L42" s="2">
        <v>504.29117640389302</v>
      </c>
      <c r="M42" s="2">
        <v>15988.998119914801</v>
      </c>
      <c r="N42" s="2">
        <v>1703.9463637926001</v>
      </c>
      <c r="O42" s="2">
        <v>12010.290858</v>
      </c>
      <c r="P42" s="2">
        <v>1279.935821</v>
      </c>
      <c r="R42" s="6"/>
      <c r="S42" s="1">
        <v>0</v>
      </c>
      <c r="T42" s="1">
        <v>13320.750632965201</v>
      </c>
      <c r="U42" s="1">
        <v>1626.9147686714309</v>
      </c>
      <c r="V42" s="1">
        <v>13290.226678999999</v>
      </c>
      <c r="W42" s="1">
        <v>17692.944483707401</v>
      </c>
      <c r="Y42" s="6"/>
      <c r="Z42" s="1">
        <v>-51777.817881806041</v>
      </c>
      <c r="AA42" s="1">
        <v>0</v>
      </c>
      <c r="AB42" s="6"/>
      <c r="AC42" s="1">
        <v>0</v>
      </c>
      <c r="AD42" s="1">
        <v>8.4999999999999992E-2</v>
      </c>
      <c r="AE42" s="1">
        <v>0</v>
      </c>
      <c r="AF42" s="1">
        <v>0</v>
      </c>
      <c r="AG42" s="1">
        <v>0</v>
      </c>
      <c r="AI42" s="6"/>
      <c r="AJ42" s="1">
        <v>-9990.5629747239</v>
      </c>
      <c r="AK42" s="6"/>
    </row>
    <row r="43" spans="1:37">
      <c r="A43" s="13">
        <v>39</v>
      </c>
      <c r="B43" s="1">
        <f t="shared" si="0"/>
        <v>17692.944483707401</v>
      </c>
      <c r="C43" s="15">
        <f t="shared" si="1"/>
        <v>0.40767566500000002</v>
      </c>
      <c r="D43" s="1">
        <f t="shared" si="2"/>
        <v>13290.226678999999</v>
      </c>
      <c r="E43" s="15">
        <f t="shared" si="3"/>
        <v>0.40767566499999996</v>
      </c>
      <c r="F43" s="15"/>
      <c r="G43" s="1">
        <f t="shared" si="4"/>
        <v>45016.388837292601</v>
      </c>
      <c r="I43" s="13">
        <v>40</v>
      </c>
      <c r="J43" s="2">
        <v>56153.48521911</v>
      </c>
      <c r="K43" s="2">
        <v>6674.4703974418626</v>
      </c>
      <c r="L43" s="2">
        <v>504.29117640389302</v>
      </c>
      <c r="M43" s="2">
        <v>10343.519167165559</v>
      </c>
      <c r="N43" s="2">
        <v>1577.7218249013599</v>
      </c>
      <c r="O43" s="2">
        <v>7769.6346426</v>
      </c>
      <c r="P43" s="2">
        <v>1185.1210355999999</v>
      </c>
      <c r="R43" s="6"/>
      <c r="S43" s="1">
        <v>0</v>
      </c>
      <c r="T43" s="1">
        <v>13320.750632965201</v>
      </c>
      <c r="U43" s="1">
        <v>5962.3857694714316</v>
      </c>
      <c r="V43" s="1">
        <v>8954.7556781999992</v>
      </c>
      <c r="W43" s="1">
        <v>11921.24099206692</v>
      </c>
      <c r="Y43" s="6"/>
      <c r="Z43" s="1">
        <v>-13061.966382586041</v>
      </c>
      <c r="AA43" s="1">
        <v>0</v>
      </c>
      <c r="AB43" s="6"/>
      <c r="AC43" s="1">
        <v>0</v>
      </c>
      <c r="AD43" s="1">
        <v>8.4999999999999992E-2</v>
      </c>
      <c r="AE43" s="1">
        <v>0</v>
      </c>
      <c r="AF43" s="1">
        <v>0</v>
      </c>
      <c r="AG43" s="1">
        <v>0</v>
      </c>
      <c r="AI43" s="6"/>
      <c r="AJ43" s="1">
        <v>-9990.5629747239</v>
      </c>
      <c r="AK43" s="6"/>
    </row>
    <row r="44" spans="1:37">
      <c r="A44" s="13">
        <v>40</v>
      </c>
      <c r="B44" s="1">
        <f t="shared" si="0"/>
        <v>11921.24099206692</v>
      </c>
      <c r="C44" s="15">
        <f t="shared" si="1"/>
        <v>0.27468575700000003</v>
      </c>
      <c r="D44" s="1">
        <f t="shared" si="2"/>
        <v>8954.7556781999992</v>
      </c>
      <c r="E44" s="15">
        <f t="shared" si="3"/>
        <v>0.27468575699999997</v>
      </c>
      <c r="F44" s="15"/>
      <c r="G44" s="1">
        <f t="shared" si="4"/>
        <v>55123.563329733079</v>
      </c>
      <c r="I44" s="13">
        <v>41</v>
      </c>
      <c r="J44" s="2">
        <v>13159.578224445</v>
      </c>
      <c r="K44" s="2">
        <v>6746.0583557562222</v>
      </c>
      <c r="L44" s="2">
        <v>504.29117640389302</v>
      </c>
      <c r="M44" s="2">
        <v>2424.0053678812201</v>
      </c>
      <c r="N44" s="2">
        <v>1594.6438992394201</v>
      </c>
      <c r="O44" s="2">
        <v>1820.8151187000001</v>
      </c>
      <c r="P44" s="2">
        <v>1197.8322157</v>
      </c>
      <c r="R44" s="6"/>
      <c r="S44" s="1">
        <v>25140.2664733333</v>
      </c>
      <c r="T44" s="1">
        <v>0</v>
      </c>
      <c r="U44" s="1">
        <v>9866.9523004786315</v>
      </c>
      <c r="V44" s="1">
        <v>3018.6473344000001</v>
      </c>
      <c r="W44" s="1">
        <v>4018.6492671206402</v>
      </c>
      <c r="Y44" s="6"/>
      <c r="Z44" s="1">
        <v>0</v>
      </c>
      <c r="AA44" s="1">
        <v>0</v>
      </c>
      <c r="AB44" s="6"/>
      <c r="AC44" s="1">
        <v>0.1</v>
      </c>
      <c r="AD44" s="1">
        <v>8.4999999999999992E-2</v>
      </c>
      <c r="AE44" s="1">
        <v>0.1428571428571429</v>
      </c>
      <c r="AF44" s="1">
        <v>0.1</v>
      </c>
      <c r="AG44" s="1">
        <v>0.1</v>
      </c>
      <c r="AI44" s="6"/>
      <c r="AJ44" s="1">
        <v>25140.2664733333</v>
      </c>
      <c r="AK44" s="6"/>
    </row>
    <row r="45" spans="1:37">
      <c r="A45" s="13">
        <v>41</v>
      </c>
      <c r="B45" s="1">
        <f t="shared" si="0"/>
        <v>4018.6492671206402</v>
      </c>
      <c r="C45" s="15">
        <f t="shared" si="1"/>
        <v>9.2596544000000003E-2</v>
      </c>
      <c r="D45" s="1">
        <f t="shared" si="2"/>
        <v>3018.6473344000001</v>
      </c>
      <c r="E45" s="15">
        <f t="shared" si="3"/>
        <v>9.2596544000000003E-2</v>
      </c>
      <c r="F45" s="15"/>
      <c r="G45" s="1">
        <f t="shared" si="4"/>
        <v>68962.263398479365</v>
      </c>
      <c r="I45" s="13">
        <v>42</v>
      </c>
      <c r="J45" s="2">
        <v>1.9437825</v>
      </c>
      <c r="K45" s="2">
        <v>10613.07732868978</v>
      </c>
      <c r="L45" s="2">
        <v>504.29117640389302</v>
      </c>
      <c r="M45" s="2">
        <v>0.35804637</v>
      </c>
      <c r="N45" s="2">
        <v>2508.7359346529402</v>
      </c>
      <c r="O45" s="2">
        <v>0.26895000000000002</v>
      </c>
      <c r="P45" s="2">
        <v>1884.4613049</v>
      </c>
      <c r="R45" s="6"/>
      <c r="S45" s="1">
        <v>25140.2664733333</v>
      </c>
      <c r="T45" s="1">
        <v>0</v>
      </c>
      <c r="U45" s="1">
        <v>11011.991275192921</v>
      </c>
      <c r="V45" s="1">
        <v>1884.7302549000001</v>
      </c>
      <c r="W45" s="1">
        <v>2509.0939810229402</v>
      </c>
      <c r="Y45" s="6"/>
      <c r="Z45" s="1">
        <v>14014.965504243</v>
      </c>
      <c r="AA45" s="1">
        <v>0</v>
      </c>
      <c r="AB45" s="6"/>
      <c r="AC45" s="1">
        <v>0.1</v>
      </c>
      <c r="AD45" s="1">
        <v>8.4999999999999992E-2</v>
      </c>
      <c r="AE45" s="1">
        <v>0.1428571428571429</v>
      </c>
      <c r="AF45" s="1">
        <v>0.1</v>
      </c>
      <c r="AG45" s="1">
        <v>0.1</v>
      </c>
      <c r="AI45" s="6"/>
      <c r="AJ45" s="1">
        <v>25140.2664733333</v>
      </c>
      <c r="AK45" s="6"/>
    </row>
    <row r="46" spans="1:37">
      <c r="A46" s="13">
        <v>42</v>
      </c>
      <c r="B46" s="1">
        <f t="shared" si="0"/>
        <v>2509.0939810229402</v>
      </c>
      <c r="C46" s="15">
        <f t="shared" si="1"/>
        <v>5.7813811500000006E-2</v>
      </c>
      <c r="D46" s="1">
        <f t="shared" si="2"/>
        <v>1884.7302548999999</v>
      </c>
      <c r="E46" s="15">
        <f t="shared" si="3"/>
        <v>5.7813811499999992E-2</v>
      </c>
      <c r="F46" s="15"/>
      <c r="G46" s="1">
        <f t="shared" si="4"/>
        <v>71605.73576407705</v>
      </c>
      <c r="I46" s="13">
        <v>43</v>
      </c>
      <c r="J46" s="2">
        <v>0</v>
      </c>
      <c r="K46" s="2">
        <v>12693.764835624561</v>
      </c>
      <c r="L46" s="2">
        <v>504.29117640389302</v>
      </c>
      <c r="M46" s="2">
        <v>0</v>
      </c>
      <c r="N46" s="2">
        <v>3000.5721246447001</v>
      </c>
      <c r="O46" s="2">
        <v>0</v>
      </c>
      <c r="P46" s="2">
        <v>2253.9088244999998</v>
      </c>
      <c r="R46" s="6"/>
      <c r="S46" s="1">
        <v>0</v>
      </c>
      <c r="T46" s="1">
        <v>0</v>
      </c>
      <c r="U46" s="1">
        <v>10101.736185937531</v>
      </c>
      <c r="V46" s="1">
        <v>2253.9088244999998</v>
      </c>
      <c r="W46" s="1">
        <v>3000.5721246447001</v>
      </c>
      <c r="Y46" s="6"/>
      <c r="Z46" s="1">
        <v>24933.399049264379</v>
      </c>
      <c r="AA46" s="1">
        <v>0</v>
      </c>
      <c r="AB46" s="6"/>
      <c r="AC46" s="1">
        <v>0.1</v>
      </c>
      <c r="AD46" s="1">
        <v>8.4999999999999992E-2</v>
      </c>
      <c r="AE46" s="1">
        <v>0.1428571428571429</v>
      </c>
      <c r="AF46" s="1">
        <v>0.1</v>
      </c>
      <c r="AG46" s="1">
        <v>0.1</v>
      </c>
      <c r="AI46" s="6"/>
      <c r="AJ46" s="1">
        <v>0</v>
      </c>
      <c r="AK46" s="6"/>
    </row>
    <row r="47" spans="1:37">
      <c r="A47" s="13">
        <v>43</v>
      </c>
      <c r="B47" s="1">
        <f t="shared" si="0"/>
        <v>3000.5721246447001</v>
      </c>
      <c r="C47" s="15">
        <f t="shared" si="1"/>
        <v>6.913830750000001E-2</v>
      </c>
      <c r="D47" s="1">
        <f t="shared" si="2"/>
        <v>2253.9088244999998</v>
      </c>
      <c r="E47" s="15">
        <f t="shared" si="3"/>
        <v>6.9138307499999996E-2</v>
      </c>
      <c r="F47" s="15"/>
      <c r="G47" s="1">
        <f t="shared" si="4"/>
        <v>70745.079050855289</v>
      </c>
      <c r="I47" s="13">
        <v>44</v>
      </c>
      <c r="J47" s="2">
        <v>0</v>
      </c>
      <c r="K47" s="2">
        <v>11990.67975703404</v>
      </c>
      <c r="L47" s="2">
        <v>504.29117640389302</v>
      </c>
      <c r="M47" s="2">
        <v>0</v>
      </c>
      <c r="N47" s="2">
        <v>2834.3757664018199</v>
      </c>
      <c r="O47" s="2">
        <v>0</v>
      </c>
      <c r="P47" s="2">
        <v>2129.0688196999999</v>
      </c>
      <c r="R47" s="6"/>
      <c r="S47" s="1">
        <v>25140.2664733333</v>
      </c>
      <c r="T47" s="1">
        <v>0</v>
      </c>
      <c r="U47" s="1">
        <v>9966.8609421647288</v>
      </c>
      <c r="V47" s="1">
        <v>2129.0688196999999</v>
      </c>
      <c r="W47" s="1">
        <v>2834.3757664018199</v>
      </c>
      <c r="Y47" s="6"/>
      <c r="Z47" s="1">
        <v>9328.378739991671</v>
      </c>
      <c r="AA47" s="1">
        <v>0</v>
      </c>
      <c r="AB47" s="6"/>
      <c r="AC47" s="1">
        <v>0.1</v>
      </c>
      <c r="AD47" s="1">
        <v>8.4999999999999992E-2</v>
      </c>
      <c r="AE47" s="1">
        <v>0.1428571428571429</v>
      </c>
      <c r="AF47" s="1">
        <v>0.1</v>
      </c>
      <c r="AG47" s="1">
        <v>0.1</v>
      </c>
      <c r="AI47" s="6"/>
      <c r="AJ47" s="1">
        <v>25140.2664733333</v>
      </c>
      <c r="AK47" s="6"/>
    </row>
    <row r="48" spans="1:37">
      <c r="A48" s="13">
        <v>44</v>
      </c>
      <c r="B48" s="1">
        <f t="shared" si="0"/>
        <v>2834.3757664018199</v>
      </c>
      <c r="C48" s="15">
        <f t="shared" si="1"/>
        <v>6.5308859499999997E-2</v>
      </c>
      <c r="D48" s="1">
        <f t="shared" si="2"/>
        <v>2129.0688196999999</v>
      </c>
      <c r="E48" s="15">
        <f t="shared" si="3"/>
        <v>6.5308859499999997E-2</v>
      </c>
      <c r="F48" s="15"/>
      <c r="G48" s="1">
        <f t="shared" si="4"/>
        <v>71036.11541389818</v>
      </c>
      <c r="I48" s="13">
        <v>45</v>
      </c>
      <c r="J48" s="2">
        <v>0</v>
      </c>
      <c r="K48" s="2">
        <v>10467.98876334349</v>
      </c>
      <c r="L48" s="2">
        <v>504.29117640389302</v>
      </c>
      <c r="M48" s="2">
        <v>0</v>
      </c>
      <c r="N48" s="2">
        <v>2474.4396710605201</v>
      </c>
      <c r="O48" s="2">
        <v>0</v>
      </c>
      <c r="P48" s="2">
        <v>1858.6993342000001</v>
      </c>
      <c r="R48" s="6"/>
      <c r="S48" s="1">
        <v>25140.2664733333</v>
      </c>
      <c r="T48" s="1">
        <v>0</v>
      </c>
      <c r="U48" s="1">
        <v>9976.3702091951436</v>
      </c>
      <c r="V48" s="1">
        <v>1858.6993342000001</v>
      </c>
      <c r="W48" s="1">
        <v>2474.4396710605201</v>
      </c>
      <c r="Y48" s="6"/>
      <c r="Z48" s="1">
        <v>8627.907096053932</v>
      </c>
      <c r="AA48" s="1">
        <v>0</v>
      </c>
      <c r="AB48" s="6"/>
      <c r="AC48" s="1">
        <v>0.1</v>
      </c>
      <c r="AD48" s="1">
        <v>8.4999999999999992E-2</v>
      </c>
      <c r="AE48" s="1">
        <v>0.1428571428571429</v>
      </c>
      <c r="AF48" s="1">
        <v>0.1</v>
      </c>
      <c r="AG48" s="1">
        <v>0.1</v>
      </c>
      <c r="AI48" s="6"/>
      <c r="AJ48" s="1">
        <v>25140.2664733333</v>
      </c>
      <c r="AK48" s="6"/>
    </row>
    <row r="49" spans="1:37">
      <c r="A49" s="13">
        <v>45</v>
      </c>
      <c r="B49" s="1">
        <f t="shared" si="0"/>
        <v>2474.4396710605201</v>
      </c>
      <c r="C49" s="15">
        <f t="shared" si="1"/>
        <v>5.7015317000000003E-2</v>
      </c>
      <c r="D49" s="1">
        <f t="shared" si="2"/>
        <v>1858.6993342000001</v>
      </c>
      <c r="E49" s="15">
        <f t="shared" si="3"/>
        <v>5.7015317000000003E-2</v>
      </c>
      <c r="F49" s="15"/>
      <c r="G49" s="1">
        <f t="shared" si="4"/>
        <v>71666.42099473947</v>
      </c>
      <c r="I49" s="13">
        <v>46</v>
      </c>
      <c r="J49" s="2">
        <v>0</v>
      </c>
      <c r="K49" s="2">
        <v>9858.8226774680825</v>
      </c>
      <c r="L49" s="2">
        <v>504.29117640389302</v>
      </c>
      <c r="M49" s="2">
        <v>0</v>
      </c>
      <c r="N49" s="2">
        <v>2330.4440322389401</v>
      </c>
      <c r="O49" s="2">
        <v>0</v>
      </c>
      <c r="P49" s="2">
        <v>1750.5356148999999</v>
      </c>
      <c r="R49" s="6"/>
      <c r="S49" s="1">
        <v>25140.2664733333</v>
      </c>
      <c r="T49" s="1">
        <v>0</v>
      </c>
      <c r="U49" s="1">
        <v>9698.5611132966951</v>
      </c>
      <c r="V49" s="1">
        <v>1750.5356148999999</v>
      </c>
      <c r="W49" s="1">
        <v>2330.4440322389401</v>
      </c>
      <c r="Y49" s="6"/>
      <c r="Z49" s="1">
        <v>0</v>
      </c>
      <c r="AA49" s="1">
        <v>0</v>
      </c>
      <c r="AB49" s="6"/>
      <c r="AC49" s="1">
        <v>0.1</v>
      </c>
      <c r="AD49" s="1">
        <v>8.4999999999999992E-2</v>
      </c>
      <c r="AE49" s="1">
        <v>0.1428571428571429</v>
      </c>
      <c r="AF49" s="1">
        <v>0.1</v>
      </c>
      <c r="AG49" s="1">
        <v>0.1</v>
      </c>
      <c r="AI49" s="6"/>
      <c r="AJ49" s="1">
        <v>25140.2664733333</v>
      </c>
      <c r="AK49" s="6"/>
    </row>
    <row r="50" spans="1:37">
      <c r="A50" s="13">
        <v>46</v>
      </c>
      <c r="B50" s="1">
        <f t="shared" si="0"/>
        <v>2330.4440322389401</v>
      </c>
      <c r="C50" s="15">
        <f t="shared" si="1"/>
        <v>5.3697411500000007E-2</v>
      </c>
      <c r="D50" s="1">
        <f t="shared" si="2"/>
        <v>1750.5356148999999</v>
      </c>
      <c r="E50" s="15">
        <f t="shared" si="3"/>
        <v>5.36974115E-2</v>
      </c>
      <c r="F50" s="15"/>
      <c r="G50" s="1">
        <f t="shared" si="4"/>
        <v>71918.580352861056</v>
      </c>
      <c r="I50" s="13">
        <v>47</v>
      </c>
      <c r="J50" s="2">
        <v>0</v>
      </c>
      <c r="K50" s="2">
        <v>9494.3897946343404</v>
      </c>
      <c r="L50" s="2">
        <v>504.29117640389302</v>
      </c>
      <c r="M50" s="2">
        <v>0</v>
      </c>
      <c r="N50" s="2">
        <v>2244.2988134094599</v>
      </c>
      <c r="O50" s="2">
        <v>0</v>
      </c>
      <c r="P50" s="2">
        <v>1685.8267991</v>
      </c>
      <c r="R50" s="6"/>
      <c r="S50" s="1">
        <v>25140.2664733333</v>
      </c>
      <c r="T50" s="1">
        <v>0</v>
      </c>
      <c r="U50" s="1">
        <v>9658.1691487402659</v>
      </c>
      <c r="V50" s="1">
        <v>1685.8267991</v>
      </c>
      <c r="W50" s="1">
        <v>2244.2988134094599</v>
      </c>
      <c r="Y50" s="6"/>
      <c r="Z50" s="1">
        <v>4418.5218619592652</v>
      </c>
      <c r="AA50" s="1">
        <v>0</v>
      </c>
      <c r="AB50" s="6"/>
      <c r="AC50" s="1">
        <v>0.1</v>
      </c>
      <c r="AD50" s="1">
        <v>8.4999999999999992E-2</v>
      </c>
      <c r="AE50" s="1">
        <v>0.1428571428571429</v>
      </c>
      <c r="AF50" s="1">
        <v>0.1</v>
      </c>
      <c r="AG50" s="1">
        <v>0.1</v>
      </c>
      <c r="AI50" s="6"/>
      <c r="AJ50" s="1">
        <v>25140.2664733333</v>
      </c>
      <c r="AK50" s="6"/>
    </row>
    <row r="51" spans="1:37">
      <c r="A51" s="13">
        <v>47</v>
      </c>
      <c r="B51" s="1">
        <f t="shared" si="0"/>
        <v>2244.2988134094599</v>
      </c>
      <c r="C51" s="15">
        <f t="shared" si="1"/>
        <v>5.1712478499999999E-2</v>
      </c>
      <c r="D51" s="1">
        <f t="shared" si="2"/>
        <v>1685.8267991</v>
      </c>
      <c r="E51" s="15">
        <f t="shared" si="3"/>
        <v>5.1712478499999999E-2</v>
      </c>
      <c r="F51" s="15"/>
      <c r="G51" s="1">
        <f t="shared" si="4"/>
        <v>72069.434387490532</v>
      </c>
      <c r="I51" s="13">
        <v>48</v>
      </c>
      <c r="J51" s="2">
        <v>0</v>
      </c>
      <c r="K51" s="2">
        <v>9891.4066473124822</v>
      </c>
      <c r="L51" s="2">
        <v>523.59799917858891</v>
      </c>
      <c r="M51" s="2">
        <v>0</v>
      </c>
      <c r="N51" s="2">
        <v>2338.14628235082</v>
      </c>
      <c r="O51" s="2">
        <v>0</v>
      </c>
      <c r="P51" s="2">
        <v>1756.3212347000001</v>
      </c>
      <c r="R51" s="6"/>
      <c r="S51" s="1">
        <v>17776.2495303332</v>
      </c>
      <c r="T51" s="1">
        <v>0</v>
      </c>
      <c r="U51" s="1">
        <v>9428.3705044506914</v>
      </c>
      <c r="V51" s="1">
        <v>1756.3212347000001</v>
      </c>
      <c r="W51" s="1">
        <v>2338.14628235082</v>
      </c>
      <c r="Y51" s="6"/>
      <c r="Z51" s="1">
        <v>7157.4004748255848</v>
      </c>
      <c r="AA51" s="1">
        <v>0</v>
      </c>
      <c r="AB51" s="6"/>
      <c r="AC51" s="1">
        <v>9.9999999999999992E-2</v>
      </c>
      <c r="AD51" s="1">
        <v>8.4999999999999992E-2</v>
      </c>
      <c r="AE51" s="1">
        <v>0.14285714285714279</v>
      </c>
      <c r="AF51" s="1">
        <v>9.9999999999999992E-2</v>
      </c>
      <c r="AG51" s="1">
        <v>9.9999999999999992E-2</v>
      </c>
      <c r="AI51" s="6"/>
      <c r="AJ51" s="1">
        <v>17776.2495303332</v>
      </c>
      <c r="AK51" s="6"/>
    </row>
    <row r="52" spans="1:37">
      <c r="A52" s="13">
        <v>48</v>
      </c>
      <c r="B52" s="1">
        <f t="shared" si="0"/>
        <v>2338.14628235082</v>
      </c>
      <c r="C52" s="15">
        <f t="shared" si="1"/>
        <v>5.3874884500000005E-2</v>
      </c>
      <c r="D52" s="1">
        <f t="shared" si="2"/>
        <v>1756.3212347000001</v>
      </c>
      <c r="E52" s="15">
        <f t="shared" si="3"/>
        <v>5.3874884500000005E-2</v>
      </c>
      <c r="F52" s="15"/>
      <c r="G52" s="1">
        <f t="shared" si="4"/>
        <v>71905.092482949185</v>
      </c>
      <c r="I52" s="13">
        <v>49</v>
      </c>
      <c r="J52" s="2">
        <v>0</v>
      </c>
      <c r="K52" s="2">
        <v>10235.357435405689</v>
      </c>
      <c r="L52" s="2">
        <v>523.59799917858891</v>
      </c>
      <c r="M52" s="2">
        <v>0</v>
      </c>
      <c r="N52" s="2">
        <v>2419.4499113660399</v>
      </c>
      <c r="O52" s="2">
        <v>0</v>
      </c>
      <c r="P52" s="2">
        <v>1817.3932434000001</v>
      </c>
      <c r="R52" s="6"/>
      <c r="S52" s="1">
        <v>23246.413818464949</v>
      </c>
      <c r="T52" s="1">
        <v>0</v>
      </c>
      <c r="U52" s="1">
        <v>9223.5286022855253</v>
      </c>
      <c r="V52" s="1">
        <v>1817.3932434000001</v>
      </c>
      <c r="W52" s="1">
        <v>2419.4499113660399</v>
      </c>
      <c r="Y52" s="6"/>
      <c r="Z52" s="1">
        <v>0</v>
      </c>
      <c r="AA52" s="1">
        <v>0</v>
      </c>
      <c r="AB52" s="6"/>
      <c r="AC52" s="1">
        <v>9.9999999999999992E-2</v>
      </c>
      <c r="AD52" s="1">
        <v>8.4999999999999992E-2</v>
      </c>
      <c r="AE52" s="1">
        <v>0.14285714285714279</v>
      </c>
      <c r="AF52" s="1">
        <v>9.9999999999999992E-2</v>
      </c>
      <c r="AG52" s="1">
        <v>9.9999999999999992E-2</v>
      </c>
      <c r="AI52" s="6"/>
      <c r="AJ52" s="1">
        <v>23246.413818464949</v>
      </c>
      <c r="AK52" s="6"/>
    </row>
    <row r="53" spans="1:37">
      <c r="A53" s="13">
        <v>49</v>
      </c>
      <c r="B53" s="1">
        <f t="shared" si="0"/>
        <v>2419.4499113660399</v>
      </c>
      <c r="C53" s="15">
        <f t="shared" si="1"/>
        <v>5.5748259000000001E-2</v>
      </c>
      <c r="D53" s="1">
        <f t="shared" si="2"/>
        <v>1817.3932434000001</v>
      </c>
      <c r="E53" s="15">
        <f t="shared" si="3"/>
        <v>5.5748259000000001E-2</v>
      </c>
      <c r="F53" s="15"/>
      <c r="G53" s="1">
        <f t="shared" si="4"/>
        <v>71762.716845233954</v>
      </c>
      <c r="I53" s="13">
        <v>50</v>
      </c>
      <c r="J53" s="2">
        <v>0</v>
      </c>
      <c r="K53" s="2">
        <v>10420.05283847216</v>
      </c>
      <c r="L53" s="2">
        <v>523.59799917858891</v>
      </c>
      <c r="M53" s="2">
        <v>0</v>
      </c>
      <c r="N53" s="2">
        <v>2463.1085016399002</v>
      </c>
      <c r="O53" s="2">
        <v>0</v>
      </c>
      <c r="P53" s="2">
        <v>1850.1878165000001</v>
      </c>
      <c r="R53" s="6"/>
      <c r="S53" s="1">
        <v>0</v>
      </c>
      <c r="T53" s="1">
        <v>0</v>
      </c>
      <c r="U53" s="1">
        <v>9080.2166978166788</v>
      </c>
      <c r="V53" s="1">
        <v>1850.1878165000001</v>
      </c>
      <c r="W53" s="1">
        <v>2463.1085016399002</v>
      </c>
      <c r="Y53" s="6"/>
      <c r="Z53" s="1">
        <v>18326.221252146031</v>
      </c>
      <c r="AA53" s="1">
        <v>0</v>
      </c>
      <c r="AB53" s="6"/>
      <c r="AC53" s="1">
        <v>0.1</v>
      </c>
      <c r="AD53" s="1">
        <v>8.4999999999999992E-2</v>
      </c>
      <c r="AE53" s="1">
        <v>0.1428571428571429</v>
      </c>
      <c r="AF53" s="1">
        <v>0.1</v>
      </c>
      <c r="AG53" s="1">
        <v>0.1</v>
      </c>
      <c r="AI53" s="6"/>
      <c r="AJ53" s="1">
        <v>0</v>
      </c>
      <c r="AK53" s="6"/>
    </row>
    <row r="54" spans="1:37">
      <c r="A54" s="13">
        <v>50</v>
      </c>
      <c r="B54" s="1">
        <f t="shared" si="0"/>
        <v>2463.1085016399002</v>
      </c>
      <c r="C54" s="15">
        <f t="shared" si="1"/>
        <v>5.6754227500000004E-2</v>
      </c>
      <c r="D54" s="1">
        <f t="shared" si="2"/>
        <v>1850.1878165000001</v>
      </c>
      <c r="E54" s="15">
        <f t="shared" si="3"/>
        <v>5.6754227500000004E-2</v>
      </c>
      <c r="F54" s="15"/>
      <c r="G54" s="1">
        <f t="shared" si="4"/>
        <v>71686.263681860102</v>
      </c>
      <c r="I54" s="13">
        <v>51</v>
      </c>
      <c r="J54" s="2">
        <v>0</v>
      </c>
      <c r="K54" s="2">
        <v>10021.14830662054</v>
      </c>
      <c r="L54" s="2">
        <v>523.59799917858891</v>
      </c>
      <c r="M54" s="2">
        <v>0</v>
      </c>
      <c r="N54" s="2">
        <v>2368.8148201223999</v>
      </c>
      <c r="O54" s="2">
        <v>0</v>
      </c>
      <c r="P54" s="2">
        <v>1779.3582039999999</v>
      </c>
      <c r="R54" s="6"/>
      <c r="S54" s="1">
        <v>0</v>
      </c>
      <c r="T54" s="1">
        <v>0</v>
      </c>
      <c r="U54" s="1">
        <v>9029.5294862179271</v>
      </c>
      <c r="V54" s="1">
        <v>1779.3582039999999</v>
      </c>
      <c r="W54" s="1">
        <v>2368.8148201223999</v>
      </c>
      <c r="Y54" s="6"/>
      <c r="Z54" s="1">
        <v>18411.3512326364</v>
      </c>
      <c r="AA54" s="1">
        <v>0</v>
      </c>
      <c r="AB54" s="6"/>
      <c r="AC54" s="1">
        <v>0.1</v>
      </c>
      <c r="AD54" s="1">
        <v>8.4999999999999992E-2</v>
      </c>
      <c r="AE54" s="1">
        <v>0.1428571428571429</v>
      </c>
      <c r="AF54" s="1">
        <v>0.1</v>
      </c>
      <c r="AG54" s="1">
        <v>0.1</v>
      </c>
      <c r="AI54" s="6"/>
      <c r="AJ54" s="1">
        <v>0</v>
      </c>
      <c r="AK54" s="6"/>
    </row>
    <row r="55" spans="1:37">
      <c r="A55" s="13">
        <v>51</v>
      </c>
      <c r="B55" s="1">
        <f t="shared" si="0"/>
        <v>2368.8148201223999</v>
      </c>
      <c r="C55" s="15">
        <f t="shared" si="1"/>
        <v>5.4581539999999998E-2</v>
      </c>
      <c r="D55" s="1">
        <f t="shared" si="2"/>
        <v>1779.3582039999999</v>
      </c>
      <c r="E55" s="15">
        <f t="shared" si="3"/>
        <v>5.4581539999999998E-2</v>
      </c>
      <c r="F55" s="15"/>
      <c r="G55" s="1">
        <f t="shared" si="4"/>
        <v>71851.386975877598</v>
      </c>
      <c r="I55" s="13">
        <v>52</v>
      </c>
      <c r="J55" s="2">
        <v>0</v>
      </c>
      <c r="K55" s="2">
        <v>9615.3276700540955</v>
      </c>
      <c r="L55" s="2">
        <v>523.59799917858891</v>
      </c>
      <c r="M55" s="2">
        <v>0</v>
      </c>
      <c r="N55" s="2">
        <v>2272.8862988794799</v>
      </c>
      <c r="O55" s="2">
        <v>0</v>
      </c>
      <c r="P55" s="2">
        <v>1707.3005658</v>
      </c>
      <c r="R55" s="6"/>
      <c r="S55" s="1">
        <v>0</v>
      </c>
      <c r="T55" s="1">
        <v>0</v>
      </c>
      <c r="U55" s="1">
        <v>9094.8461724924655</v>
      </c>
      <c r="V55" s="1">
        <v>1707.3005658</v>
      </c>
      <c r="W55" s="1">
        <v>2272.8862988794799</v>
      </c>
      <c r="Y55" s="6"/>
      <c r="Z55" s="1">
        <v>13115.484268210301</v>
      </c>
      <c r="AA55" s="1">
        <v>0</v>
      </c>
      <c r="AB55" s="6"/>
      <c r="AC55" s="1">
        <v>0.1</v>
      </c>
      <c r="AD55" s="1">
        <v>8.4999999999999992E-2</v>
      </c>
      <c r="AE55" s="1">
        <v>0.1428571428571429</v>
      </c>
      <c r="AF55" s="1">
        <v>0.1</v>
      </c>
      <c r="AG55" s="1">
        <v>0.1</v>
      </c>
      <c r="AI55" s="6"/>
      <c r="AJ55" s="1">
        <v>0</v>
      </c>
      <c r="AK55" s="6"/>
    </row>
    <row r="56" spans="1:37">
      <c r="A56" s="13">
        <v>52</v>
      </c>
      <c r="B56" s="1">
        <f t="shared" si="0"/>
        <v>2272.8862988794799</v>
      </c>
      <c r="C56" s="15">
        <f t="shared" si="1"/>
        <v>5.2371183000000002E-2</v>
      </c>
      <c r="D56" s="1">
        <f t="shared" si="2"/>
        <v>1707.3005658</v>
      </c>
      <c r="E56" s="15">
        <f t="shared" si="3"/>
        <v>5.2371183000000002E-2</v>
      </c>
      <c r="F56" s="15"/>
      <c r="G56" s="1">
        <f t="shared" si="4"/>
        <v>72019.373135320508</v>
      </c>
      <c r="I56" s="13">
        <v>53</v>
      </c>
      <c r="J56" s="2">
        <v>0</v>
      </c>
      <c r="K56" s="2">
        <v>9302.575684706675</v>
      </c>
      <c r="L56" s="2">
        <v>523.59799917858891</v>
      </c>
      <c r="M56" s="2">
        <v>0</v>
      </c>
      <c r="N56" s="2">
        <v>2198.9574919957199</v>
      </c>
      <c r="O56" s="2">
        <v>0</v>
      </c>
      <c r="P56" s="2">
        <v>1651.7682262000001</v>
      </c>
      <c r="R56" s="6"/>
      <c r="S56" s="1">
        <v>0</v>
      </c>
      <c r="T56" s="1">
        <v>0</v>
      </c>
      <c r="U56" s="1">
        <v>9085.9707061770769</v>
      </c>
      <c r="V56" s="1">
        <v>1651.7682262000001</v>
      </c>
      <c r="W56" s="1">
        <v>2198.9574919957199</v>
      </c>
      <c r="Y56" s="6"/>
      <c r="Z56" s="1">
        <v>22344.447764336099</v>
      </c>
      <c r="AA56" s="1">
        <v>0</v>
      </c>
      <c r="AB56" s="6"/>
      <c r="AC56" s="1">
        <v>0.1</v>
      </c>
      <c r="AD56" s="1">
        <v>8.4999999999999992E-2</v>
      </c>
      <c r="AE56" s="1">
        <v>0.1428571428571429</v>
      </c>
      <c r="AF56" s="1">
        <v>0.1</v>
      </c>
      <c r="AG56" s="1">
        <v>0.1</v>
      </c>
      <c r="AI56" s="6"/>
      <c r="AJ56" s="1">
        <v>0</v>
      </c>
      <c r="AK56" s="6"/>
    </row>
    <row r="57" spans="1:37">
      <c r="A57" s="13">
        <v>53</v>
      </c>
      <c r="B57" s="1">
        <f t="shared" si="0"/>
        <v>2198.9574919957199</v>
      </c>
      <c r="C57" s="15">
        <f t="shared" si="1"/>
        <v>5.0667736999999997E-2</v>
      </c>
      <c r="D57" s="1">
        <f t="shared" si="2"/>
        <v>1651.7682262000001</v>
      </c>
      <c r="E57" s="15">
        <f t="shared" si="3"/>
        <v>5.0667737000000004E-2</v>
      </c>
      <c r="F57" s="15"/>
      <c r="G57" s="1">
        <f t="shared" si="4"/>
        <v>72148.834281804273</v>
      </c>
      <c r="I57" s="13">
        <v>54</v>
      </c>
      <c r="J57" s="2">
        <v>0</v>
      </c>
      <c r="K57" s="2">
        <v>8594.9043801847329</v>
      </c>
      <c r="L57" s="2">
        <v>523.59799917858891</v>
      </c>
      <c r="M57" s="2">
        <v>0</v>
      </c>
      <c r="N57" s="2">
        <v>2031.67703444382</v>
      </c>
      <c r="O57" s="2">
        <v>0</v>
      </c>
      <c r="P57" s="2">
        <v>1526.1138897000001</v>
      </c>
      <c r="R57" s="6"/>
      <c r="S57" s="1">
        <v>25140.2664733333</v>
      </c>
      <c r="T57" s="1">
        <v>0</v>
      </c>
      <c r="U57" s="1">
        <v>9217.9041665350087</v>
      </c>
      <c r="V57" s="1">
        <v>1526.1138897000001</v>
      </c>
      <c r="W57" s="1">
        <v>2031.67703444382</v>
      </c>
      <c r="Y57" s="6"/>
      <c r="Z57" s="1">
        <v>5130.8199303945612</v>
      </c>
      <c r="AA57" s="1">
        <v>0</v>
      </c>
      <c r="AB57" s="6"/>
      <c r="AC57" s="1">
        <v>0.1</v>
      </c>
      <c r="AD57" s="1">
        <v>8.4999999999999992E-2</v>
      </c>
      <c r="AE57" s="1">
        <v>0.1428571428571429</v>
      </c>
      <c r="AF57" s="1">
        <v>0.1</v>
      </c>
      <c r="AG57" s="1">
        <v>0.1</v>
      </c>
      <c r="AI57" s="6"/>
      <c r="AJ57" s="1">
        <v>25140.2664733333</v>
      </c>
      <c r="AK57" s="6"/>
    </row>
    <row r="58" spans="1:37">
      <c r="A58" s="13">
        <v>54</v>
      </c>
      <c r="B58" s="1">
        <f t="shared" si="0"/>
        <v>2031.67703444382</v>
      </c>
      <c r="C58" s="15">
        <f t="shared" si="1"/>
        <v>4.6813309500000004E-2</v>
      </c>
      <c r="D58" s="1">
        <f t="shared" si="2"/>
        <v>1526.1138897000001</v>
      </c>
      <c r="E58" s="15">
        <f t="shared" si="3"/>
        <v>4.6813309500000004E-2</v>
      </c>
      <c r="F58" s="15"/>
      <c r="G58" s="1">
        <f t="shared" si="4"/>
        <v>72441.769075856166</v>
      </c>
      <c r="I58" s="13">
        <v>55</v>
      </c>
      <c r="J58" s="2">
        <v>0</v>
      </c>
      <c r="K58" s="2">
        <v>7391.5416337173328</v>
      </c>
      <c r="L58" s="2">
        <v>523.59799917858891</v>
      </c>
      <c r="M58" s="2">
        <v>0</v>
      </c>
      <c r="N58" s="2">
        <v>1747.22425312614</v>
      </c>
      <c r="O58" s="2">
        <v>0</v>
      </c>
      <c r="P58" s="2">
        <v>1312.4444269000001</v>
      </c>
      <c r="R58" s="6"/>
      <c r="S58" s="1">
        <v>0</v>
      </c>
      <c r="T58" s="1">
        <v>0</v>
      </c>
      <c r="U58" s="1">
        <v>9533.0715310307733</v>
      </c>
      <c r="V58" s="1">
        <v>1312.4444269000001</v>
      </c>
      <c r="W58" s="1">
        <v>1747.22425312614</v>
      </c>
      <c r="Y58" s="6"/>
      <c r="Z58" s="1">
        <v>27968.055824280749</v>
      </c>
      <c r="AA58" s="1">
        <v>0</v>
      </c>
      <c r="AB58" s="6"/>
      <c r="AC58" s="1">
        <v>0.1</v>
      </c>
      <c r="AD58" s="1">
        <v>8.4999999999999992E-2</v>
      </c>
      <c r="AE58" s="1">
        <v>0.1428571428571429</v>
      </c>
      <c r="AF58" s="1">
        <v>0.1</v>
      </c>
      <c r="AG58" s="1">
        <v>0.1</v>
      </c>
      <c r="AI58" s="6"/>
      <c r="AJ58" s="1">
        <v>0</v>
      </c>
      <c r="AK58" s="6"/>
    </row>
    <row r="59" spans="1:37">
      <c r="A59" s="13">
        <v>55</v>
      </c>
      <c r="B59" s="1">
        <f t="shared" si="0"/>
        <v>1747.22425312614</v>
      </c>
      <c r="C59" s="15">
        <f t="shared" si="1"/>
        <v>4.02590315E-2</v>
      </c>
      <c r="D59" s="1">
        <f t="shared" si="2"/>
        <v>1312.4444269000001</v>
      </c>
      <c r="E59" s="15">
        <f t="shared" si="3"/>
        <v>4.02590315E-2</v>
      </c>
      <c r="F59" s="15"/>
      <c r="G59" s="1">
        <f t="shared" si="4"/>
        <v>72939.89131997386</v>
      </c>
      <c r="I59" s="13">
        <v>56</v>
      </c>
      <c r="J59" s="2">
        <v>1193.34297388</v>
      </c>
      <c r="K59" s="2">
        <v>7084.5452200831733</v>
      </c>
      <c r="L59" s="2">
        <v>523.59799917858891</v>
      </c>
      <c r="M59" s="2">
        <v>219.81477864048</v>
      </c>
      <c r="N59" s="2">
        <v>1674.6559573490399</v>
      </c>
      <c r="O59" s="2">
        <v>165.11600079999999</v>
      </c>
      <c r="P59" s="2">
        <v>1257.9340483999999</v>
      </c>
      <c r="R59" s="6"/>
      <c r="S59" s="1">
        <v>0</v>
      </c>
      <c r="T59" s="1">
        <v>0</v>
      </c>
      <c r="U59" s="1">
        <v>9702.0812315233761</v>
      </c>
      <c r="V59" s="1">
        <v>1423.0500492000001</v>
      </c>
      <c r="W59" s="1">
        <v>1894.4707359895201</v>
      </c>
      <c r="Y59" s="6"/>
      <c r="Z59" s="1">
        <v>32175.262982392091</v>
      </c>
      <c r="AA59" s="1">
        <v>0</v>
      </c>
      <c r="AB59" s="6"/>
      <c r="AC59" s="1">
        <v>0.1</v>
      </c>
      <c r="AD59" s="1">
        <v>8.4999999999999992E-2</v>
      </c>
      <c r="AE59" s="1">
        <v>0.1428571428571429</v>
      </c>
      <c r="AF59" s="1">
        <v>0.1</v>
      </c>
      <c r="AG59" s="1">
        <v>0.1</v>
      </c>
      <c r="AI59" s="6"/>
      <c r="AJ59" s="1">
        <v>0</v>
      </c>
      <c r="AK59" s="6"/>
    </row>
    <row r="60" spans="1:37">
      <c r="A60" s="13">
        <v>56</v>
      </c>
      <c r="B60" s="1">
        <f t="shared" si="0"/>
        <v>1894.4707359895199</v>
      </c>
      <c r="C60" s="15">
        <f t="shared" si="1"/>
        <v>4.3651841999999996E-2</v>
      </c>
      <c r="D60" s="1">
        <f t="shared" si="2"/>
        <v>1423.0500491999999</v>
      </c>
      <c r="E60" s="15">
        <f t="shared" si="3"/>
        <v>4.3651841999999996E-2</v>
      </c>
      <c r="F60" s="15"/>
      <c r="G60" s="1">
        <f t="shared" si="4"/>
        <v>72682.039214810473</v>
      </c>
      <c r="I60" s="13">
        <v>57</v>
      </c>
      <c r="J60" s="2">
        <v>28362.336328615002</v>
      </c>
      <c r="K60" s="2">
        <v>5839.1482657304832</v>
      </c>
      <c r="L60" s="2">
        <v>523.59799917858891</v>
      </c>
      <c r="M60" s="2">
        <v>5224.3661866385391</v>
      </c>
      <c r="N60" s="2">
        <v>1380.2670637671599</v>
      </c>
      <c r="O60" s="2">
        <v>3924.3332808999999</v>
      </c>
      <c r="P60" s="2">
        <v>1036.8009786</v>
      </c>
      <c r="R60" s="6"/>
      <c r="S60" s="1">
        <v>0</v>
      </c>
      <c r="T60" s="1">
        <v>766.76110824608804</v>
      </c>
      <c r="U60" s="1">
        <v>6012.2190556836831</v>
      </c>
      <c r="V60" s="1">
        <v>4961.1342594999996</v>
      </c>
      <c r="W60" s="1">
        <v>6604.6332504056991</v>
      </c>
      <c r="Y60" s="6"/>
      <c r="Z60" s="1">
        <v>0</v>
      </c>
      <c r="AA60" s="1">
        <v>0</v>
      </c>
      <c r="AB60" s="6"/>
      <c r="AC60" s="1">
        <v>6.3749999999999987E-2</v>
      </c>
      <c r="AD60" s="1">
        <v>8.4999999999999992E-2</v>
      </c>
      <c r="AE60" s="1">
        <v>9.1071428571428567E-2</v>
      </c>
      <c r="AF60" s="1">
        <v>6.3749999999999987E-2</v>
      </c>
      <c r="AG60" s="1">
        <v>6.3749999999999987E-2</v>
      </c>
      <c r="AI60" s="6"/>
      <c r="AJ60" s="1">
        <v>-575.07083118456603</v>
      </c>
      <c r="AK60" s="6"/>
    </row>
    <row r="61" spans="1:37">
      <c r="A61" s="13">
        <v>57</v>
      </c>
      <c r="B61" s="1">
        <f t="shared" si="0"/>
        <v>6604.6332504056991</v>
      </c>
      <c r="C61" s="15">
        <f t="shared" si="1"/>
        <v>0.15218203249999998</v>
      </c>
      <c r="D61" s="1">
        <f t="shared" si="2"/>
        <v>4961.1342594999996</v>
      </c>
      <c r="E61" s="15">
        <f t="shared" si="3"/>
        <v>0.15218203249999998</v>
      </c>
      <c r="F61" s="15"/>
      <c r="G61" s="1">
        <f t="shared" si="4"/>
        <v>64433.792490094304</v>
      </c>
      <c r="I61" s="13">
        <v>58</v>
      </c>
      <c r="J61" s="2">
        <v>53283.9911433542</v>
      </c>
      <c r="K61" s="2">
        <v>2940.658342457637</v>
      </c>
      <c r="L61" s="2">
        <v>523.59799917858891</v>
      </c>
      <c r="M61" s="2">
        <v>12385.38275103456</v>
      </c>
      <c r="N61" s="2">
        <v>695.11745055486006</v>
      </c>
      <c r="O61" s="2">
        <v>9303.4002576000003</v>
      </c>
      <c r="P61" s="2">
        <v>522.14420810000001</v>
      </c>
      <c r="R61" s="6"/>
      <c r="S61" s="1">
        <v>0</v>
      </c>
      <c r="T61" s="1">
        <v>13320.750632965201</v>
      </c>
      <c r="U61" s="1">
        <v>4594.2550124000018</v>
      </c>
      <c r="V61" s="1">
        <v>9825.5444657000007</v>
      </c>
      <c r="W61" s="1">
        <v>13080.500201589421</v>
      </c>
      <c r="Y61" s="6"/>
      <c r="Z61" s="1">
        <v>-2293.3330412146379</v>
      </c>
      <c r="AA61" s="1">
        <v>0</v>
      </c>
      <c r="AB61" s="6"/>
      <c r="AC61" s="1">
        <v>0</v>
      </c>
      <c r="AD61" s="1">
        <v>8.4999999999999992E-2</v>
      </c>
      <c r="AE61" s="1">
        <v>0</v>
      </c>
      <c r="AF61" s="1">
        <v>0</v>
      </c>
      <c r="AG61" s="1">
        <v>0</v>
      </c>
      <c r="AI61" s="6"/>
      <c r="AJ61" s="1">
        <v>-9990.5629747239</v>
      </c>
      <c r="AK61" s="6"/>
    </row>
    <row r="62" spans="1:37">
      <c r="A62" s="13">
        <v>58</v>
      </c>
      <c r="B62" s="1">
        <f t="shared" si="0"/>
        <v>13080.500201589421</v>
      </c>
      <c r="C62" s="15">
        <f t="shared" si="1"/>
        <v>0.3013970695</v>
      </c>
      <c r="D62" s="1">
        <f t="shared" si="2"/>
        <v>9825.5444657000007</v>
      </c>
      <c r="E62" s="15">
        <f t="shared" si="3"/>
        <v>0.3013970695</v>
      </c>
      <c r="F62" s="15"/>
      <c r="G62" s="1">
        <f t="shared" si="4"/>
        <v>53093.51533271058</v>
      </c>
      <c r="I62" s="13">
        <v>59</v>
      </c>
      <c r="J62" s="2">
        <v>90010.904453039999</v>
      </c>
      <c r="K62" s="2">
        <v>1417.5837174260389</v>
      </c>
      <c r="L62" s="2">
        <v>523.59799917858891</v>
      </c>
      <c r="M62" s="2">
        <v>16580.084242875841</v>
      </c>
      <c r="N62" s="2">
        <v>335.09067183294002</v>
      </c>
      <c r="O62" s="2">
        <v>12454.290926400001</v>
      </c>
      <c r="P62" s="2">
        <v>251.7066049</v>
      </c>
      <c r="R62" s="6"/>
      <c r="S62" s="1">
        <v>0</v>
      </c>
      <c r="T62" s="1">
        <v>13320.750632965201</v>
      </c>
      <c r="U62" s="1">
        <v>2176.191785971429</v>
      </c>
      <c r="V62" s="1">
        <v>12705.9975313</v>
      </c>
      <c r="W62" s="1">
        <v>16915.174914708779</v>
      </c>
      <c r="Y62" s="6"/>
      <c r="Z62" s="1">
        <v>-43768.519665416767</v>
      </c>
      <c r="AA62" s="1">
        <v>0</v>
      </c>
      <c r="AB62" s="6"/>
      <c r="AC62" s="1">
        <v>0</v>
      </c>
      <c r="AD62" s="1">
        <v>8.4999999999999992E-2</v>
      </c>
      <c r="AE62" s="1">
        <v>0</v>
      </c>
      <c r="AF62" s="1">
        <v>0</v>
      </c>
      <c r="AG62" s="1">
        <v>0</v>
      </c>
      <c r="AI62" s="6"/>
      <c r="AJ62" s="1">
        <v>-9990.5629747239</v>
      </c>
      <c r="AK62" s="6"/>
    </row>
    <row r="63" spans="1:37">
      <c r="A63" s="13">
        <v>59</v>
      </c>
      <c r="B63" s="1">
        <f t="shared" si="0"/>
        <v>16915.174914708779</v>
      </c>
      <c r="C63" s="15">
        <f t="shared" si="1"/>
        <v>0.3897545255</v>
      </c>
      <c r="D63" s="1">
        <f t="shared" si="2"/>
        <v>12705.997531300001</v>
      </c>
      <c r="E63" s="15">
        <f t="shared" si="3"/>
        <v>0.38975452550000006</v>
      </c>
      <c r="F63" s="15"/>
      <c r="G63" s="1">
        <f t="shared" si="4"/>
        <v>46378.387553991211</v>
      </c>
      <c r="I63" s="13">
        <v>60</v>
      </c>
      <c r="J63" s="2">
        <v>100591.7547266717</v>
      </c>
      <c r="K63" s="2">
        <v>1047.830302104984</v>
      </c>
      <c r="L63" s="2">
        <v>523.59799917858891</v>
      </c>
      <c r="M63" s="2">
        <v>18674.709626627158</v>
      </c>
      <c r="N63" s="2">
        <v>247.68777715421999</v>
      </c>
      <c r="O63" s="2">
        <v>14027.6890786</v>
      </c>
      <c r="P63" s="2">
        <v>186.0530737</v>
      </c>
      <c r="R63" s="6"/>
      <c r="S63" s="1">
        <v>0</v>
      </c>
      <c r="T63" s="1">
        <v>13320.750632965201</v>
      </c>
      <c r="U63" s="1">
        <v>633.52179877142987</v>
      </c>
      <c r="V63" s="1">
        <v>14213.742152299999</v>
      </c>
      <c r="W63" s="1">
        <v>18922.397403781379</v>
      </c>
      <c r="Y63" s="6"/>
      <c r="Z63" s="1">
        <v>-57427.040000000001</v>
      </c>
      <c r="AA63" s="1">
        <v>0</v>
      </c>
      <c r="AB63" s="6"/>
      <c r="AC63" s="1">
        <v>0</v>
      </c>
      <c r="AD63" s="1">
        <v>8.4999999999999992E-2</v>
      </c>
      <c r="AE63" s="1">
        <v>0</v>
      </c>
      <c r="AF63" s="1">
        <v>0</v>
      </c>
      <c r="AG63" s="1">
        <v>0</v>
      </c>
      <c r="AI63" s="6"/>
      <c r="AJ63" s="1">
        <v>-9990.5629747239</v>
      </c>
      <c r="AK63" s="6"/>
    </row>
    <row r="64" spans="1:37">
      <c r="A64" s="13">
        <v>60</v>
      </c>
      <c r="B64" s="1">
        <f t="shared" si="0"/>
        <v>18922.397403781379</v>
      </c>
      <c r="C64" s="15">
        <f t="shared" si="1"/>
        <v>0.43600436049999997</v>
      </c>
      <c r="D64" s="1">
        <f t="shared" si="2"/>
        <v>14213.742152300001</v>
      </c>
      <c r="E64" s="15">
        <f t="shared" si="3"/>
        <v>0.43600436050000002</v>
      </c>
      <c r="F64" s="15"/>
      <c r="G64" s="1">
        <f t="shared" si="4"/>
        <v>42863.420443918621</v>
      </c>
      <c r="I64" s="13">
        <v>61</v>
      </c>
      <c r="J64" s="2">
        <v>99891.925207034277</v>
      </c>
      <c r="K64" s="2">
        <v>948.78805466085657</v>
      </c>
      <c r="L64" s="2">
        <v>523.59799917858891</v>
      </c>
      <c r="M64" s="2">
        <v>18990.764470252019</v>
      </c>
      <c r="N64" s="2">
        <v>224.2760147109</v>
      </c>
      <c r="O64" s="2">
        <v>14265.096736699999</v>
      </c>
      <c r="P64" s="2">
        <v>168.46710150000001</v>
      </c>
      <c r="R64" s="6"/>
      <c r="S64" s="1">
        <v>0</v>
      </c>
      <c r="T64" s="1">
        <v>13320.750632965201</v>
      </c>
      <c r="U64" s="1">
        <v>413.70011287142921</v>
      </c>
      <c r="V64" s="1">
        <v>14433.5638382</v>
      </c>
      <c r="W64" s="1">
        <v>19215.040484962919</v>
      </c>
      <c r="Y64" s="6"/>
      <c r="Z64" s="1">
        <v>-57427.040000000001</v>
      </c>
      <c r="AA64" s="1">
        <v>0</v>
      </c>
      <c r="AB64" s="6"/>
      <c r="AC64" s="1">
        <v>0</v>
      </c>
      <c r="AD64" s="1">
        <v>8.4999999999999992E-2</v>
      </c>
      <c r="AE64" s="1">
        <v>0</v>
      </c>
      <c r="AF64" s="1">
        <v>0</v>
      </c>
      <c r="AG64" s="1">
        <v>0</v>
      </c>
      <c r="AI64" s="6"/>
      <c r="AJ64" s="1">
        <v>-9990.5629747239</v>
      </c>
      <c r="AK64" s="6"/>
    </row>
    <row r="65" spans="1:37">
      <c r="A65" s="13">
        <v>61</v>
      </c>
      <c r="B65" s="1">
        <f t="shared" si="0"/>
        <v>19215.040484962919</v>
      </c>
      <c r="C65" s="15">
        <f t="shared" si="1"/>
        <v>0.44274735700000001</v>
      </c>
      <c r="D65" s="1">
        <f t="shared" si="2"/>
        <v>14433.5638382</v>
      </c>
      <c r="E65" s="15">
        <f t="shared" si="3"/>
        <v>0.44274735700000001</v>
      </c>
      <c r="F65" s="15"/>
      <c r="G65" s="1">
        <f t="shared" si="4"/>
        <v>42350.955676837082</v>
      </c>
      <c r="I65" s="13">
        <v>62</v>
      </c>
      <c r="J65" s="2">
        <v>96419.360859484994</v>
      </c>
      <c r="K65" s="2">
        <v>937.12635957142493</v>
      </c>
      <c r="L65" s="2">
        <v>523.59799917858891</v>
      </c>
      <c r="M65" s="2">
        <v>17760.52729842906</v>
      </c>
      <c r="N65" s="2">
        <v>221.51940485838</v>
      </c>
      <c r="O65" s="2">
        <v>13340.9921651</v>
      </c>
      <c r="P65" s="2">
        <v>166.39644730000001</v>
      </c>
      <c r="R65" s="6"/>
      <c r="S65" s="1">
        <v>0</v>
      </c>
      <c r="T65" s="1">
        <v>13320.750632965201</v>
      </c>
      <c r="U65" s="1">
        <v>1374.8007048714301</v>
      </c>
      <c r="V65" s="1">
        <v>13507.3886124</v>
      </c>
      <c r="W65" s="1">
        <v>17982.04670328744</v>
      </c>
      <c r="Y65" s="6"/>
      <c r="Z65" s="1">
        <v>-55738.297954472328</v>
      </c>
      <c r="AA65" s="1">
        <v>0</v>
      </c>
      <c r="AB65" s="6"/>
      <c r="AC65" s="1">
        <v>0</v>
      </c>
      <c r="AD65" s="1">
        <v>8.4999999999999992E-2</v>
      </c>
      <c r="AE65" s="1">
        <v>0</v>
      </c>
      <c r="AF65" s="1">
        <v>0</v>
      </c>
      <c r="AG65" s="1">
        <v>0</v>
      </c>
      <c r="AI65" s="6"/>
      <c r="AJ65" s="1">
        <v>-9990.5629747239</v>
      </c>
      <c r="AK65" s="6"/>
    </row>
    <row r="66" spans="1:37">
      <c r="A66" s="13">
        <v>62</v>
      </c>
      <c r="B66" s="1">
        <f t="shared" si="0"/>
        <v>17982.04670328744</v>
      </c>
      <c r="C66" s="15">
        <f t="shared" si="1"/>
        <v>0.41433707400000003</v>
      </c>
      <c r="D66" s="1">
        <f t="shared" si="2"/>
        <v>13507.3886124</v>
      </c>
      <c r="E66" s="15">
        <f t="shared" si="3"/>
        <v>0.41433707400000003</v>
      </c>
      <c r="F66" s="15"/>
      <c r="G66" s="1">
        <f t="shared" si="4"/>
        <v>44510.124684312555</v>
      </c>
      <c r="I66" s="13">
        <v>63</v>
      </c>
      <c r="J66" s="2">
        <v>81064.360290885001</v>
      </c>
      <c r="K66" s="2">
        <v>1015.341620447234</v>
      </c>
      <c r="L66" s="2">
        <v>523.59799917858891</v>
      </c>
      <c r="M66" s="2">
        <v>14932.12328978346</v>
      </c>
      <c r="N66" s="2">
        <v>240.00805141398001</v>
      </c>
      <c r="O66" s="2">
        <v>11216.4090891</v>
      </c>
      <c r="P66" s="2">
        <v>180.2843733</v>
      </c>
      <c r="R66" s="6"/>
      <c r="S66" s="1">
        <v>0</v>
      </c>
      <c r="T66" s="1">
        <v>13320.750632965201</v>
      </c>
      <c r="U66" s="1">
        <v>2751.7794122000018</v>
      </c>
      <c r="V66" s="1">
        <v>11396.6934624</v>
      </c>
      <c r="W66" s="1">
        <v>15172.131341197441</v>
      </c>
      <c r="Y66" s="6"/>
      <c r="Z66" s="1">
        <v>-39550.047206543051</v>
      </c>
      <c r="AA66" s="1">
        <v>0</v>
      </c>
      <c r="AB66" s="6"/>
      <c r="AC66" s="1">
        <v>0</v>
      </c>
      <c r="AD66" s="1">
        <v>8.4999999999999992E-2</v>
      </c>
      <c r="AE66" s="1">
        <v>0</v>
      </c>
      <c r="AF66" s="1">
        <v>0</v>
      </c>
      <c r="AG66" s="1">
        <v>0</v>
      </c>
      <c r="AI66" s="6"/>
      <c r="AJ66" s="1">
        <v>-9990.5629747239</v>
      </c>
      <c r="AK66" s="6"/>
    </row>
    <row r="67" spans="1:37">
      <c r="A67" s="13">
        <v>63</v>
      </c>
      <c r="B67" s="1">
        <f t="shared" si="0"/>
        <v>15172.131341197441</v>
      </c>
      <c r="C67" s="15">
        <f t="shared" si="1"/>
        <v>0.34959182400000005</v>
      </c>
      <c r="D67" s="1">
        <f t="shared" si="2"/>
        <v>11396.6934624</v>
      </c>
      <c r="E67" s="15">
        <f t="shared" si="3"/>
        <v>0.349591824</v>
      </c>
      <c r="F67" s="15"/>
      <c r="G67" s="1">
        <f t="shared" si="4"/>
        <v>49430.735196402558</v>
      </c>
      <c r="I67" s="13">
        <v>64</v>
      </c>
      <c r="J67" s="2">
        <v>51965.445019035003</v>
      </c>
      <c r="K67" s="2">
        <v>908.720932771256</v>
      </c>
      <c r="L67" s="2">
        <v>523.59799917858891</v>
      </c>
      <c r="M67" s="2">
        <v>9572.0786428008596</v>
      </c>
      <c r="N67" s="2">
        <v>214.80488533254001</v>
      </c>
      <c r="O67" s="2">
        <v>7190.1596181000004</v>
      </c>
      <c r="P67" s="2">
        <v>161.3527709</v>
      </c>
      <c r="R67" s="6"/>
      <c r="S67" s="1">
        <v>0</v>
      </c>
      <c r="T67" s="1">
        <v>13320.750632965201</v>
      </c>
      <c r="U67" s="1">
        <v>7023.2108461530388</v>
      </c>
      <c r="V67" s="1">
        <v>7351.5123890000004</v>
      </c>
      <c r="W67" s="1">
        <v>9786.8835281333995</v>
      </c>
      <c r="Y67" s="6"/>
      <c r="Z67" s="1">
        <v>0</v>
      </c>
      <c r="AA67" s="1">
        <v>0</v>
      </c>
      <c r="AB67" s="6"/>
      <c r="AC67" s="1">
        <v>0</v>
      </c>
      <c r="AD67" s="1">
        <v>8.4999999999999992E-2</v>
      </c>
      <c r="AE67" s="1">
        <v>0</v>
      </c>
      <c r="AF67" s="1">
        <v>0</v>
      </c>
      <c r="AG67" s="1">
        <v>0</v>
      </c>
      <c r="AI67" s="6"/>
      <c r="AJ67" s="1">
        <v>-9990.5629747239</v>
      </c>
      <c r="AK67" s="6"/>
    </row>
    <row r="68" spans="1:37">
      <c r="A68" s="13">
        <v>64</v>
      </c>
      <c r="B68" s="1">
        <f t="shared" si="0"/>
        <v>9786.8835281333995</v>
      </c>
      <c r="C68" s="15">
        <f t="shared" si="1"/>
        <v>0.22550651499999999</v>
      </c>
      <c r="D68" s="1">
        <f t="shared" si="2"/>
        <v>7351.5123890000004</v>
      </c>
      <c r="E68" s="15">
        <f t="shared" si="3"/>
        <v>0.22550651500000002</v>
      </c>
      <c r="F68" s="15"/>
      <c r="G68" s="1">
        <f t="shared" si="4"/>
        <v>58861.164082866591</v>
      </c>
      <c r="I68" s="13">
        <v>65</v>
      </c>
      <c r="J68" s="2">
        <v>12525.413529179999</v>
      </c>
      <c r="K68" s="2">
        <v>1632.2207250531701</v>
      </c>
      <c r="L68" s="2">
        <v>523.59799917858891</v>
      </c>
      <c r="M68" s="2">
        <v>2307.1916980792798</v>
      </c>
      <c r="N68" s="2">
        <v>385.82690575115993</v>
      </c>
      <c r="O68" s="2">
        <v>1733.0693988</v>
      </c>
      <c r="P68" s="2">
        <v>289.81761859999989</v>
      </c>
      <c r="R68" s="6"/>
      <c r="S68" s="1">
        <v>25140.2664733333</v>
      </c>
      <c r="T68" s="1">
        <v>0</v>
      </c>
      <c r="U68" s="1">
        <v>7124.5824602223383</v>
      </c>
      <c r="V68" s="1">
        <v>2022.8870174000001</v>
      </c>
      <c r="W68" s="1">
        <v>2693.01860383044</v>
      </c>
      <c r="Y68" s="6"/>
      <c r="Z68" s="1">
        <v>6743.1081105789781</v>
      </c>
      <c r="AA68" s="1">
        <v>1528</v>
      </c>
      <c r="AB68" s="6"/>
      <c r="AC68" s="1">
        <v>15.62</v>
      </c>
      <c r="AD68" s="1">
        <v>8.4999999999999992E-2</v>
      </c>
      <c r="AE68" s="1">
        <v>22.31428571428572</v>
      </c>
      <c r="AF68" s="1">
        <v>15.62</v>
      </c>
      <c r="AG68" s="1">
        <v>15.62</v>
      </c>
      <c r="AI68" s="6"/>
      <c r="AJ68" s="1">
        <v>25140.2664733333</v>
      </c>
      <c r="AK68" s="6"/>
    </row>
    <row r="69" spans="1:37">
      <c r="A69" s="13">
        <v>65</v>
      </c>
      <c r="B69" s="1">
        <f t="shared" ref="B69:B132" si="5">N68+M68</f>
        <v>2693.0186038304396</v>
      </c>
      <c r="C69" s="15">
        <f t="shared" ref="C69:C132" si="6">B69/$B$2</f>
        <v>6.2051748999999996E-2</v>
      </c>
      <c r="D69" s="1">
        <f t="shared" ref="D69:D132" si="7">O68+P68</f>
        <v>2022.8870173999999</v>
      </c>
      <c r="E69" s="15">
        <f t="shared" ref="E69:E132" si="8">D69/$D$2</f>
        <v>6.2051748999999996E-2</v>
      </c>
      <c r="F69" s="15"/>
      <c r="G69" s="1">
        <f t="shared" ref="G69:G132" si="9">$B$2+$D$2-B69-D69</f>
        <v>71283.654378769555</v>
      </c>
      <c r="I69" s="13">
        <v>66</v>
      </c>
      <c r="J69" s="2">
        <v>4.5237119999999997</v>
      </c>
      <c r="K69" s="2">
        <v>2969.6079584393642</v>
      </c>
      <c r="L69" s="2">
        <v>523.59799917858891</v>
      </c>
      <c r="M69" s="2">
        <v>0.83327155199999992</v>
      </c>
      <c r="N69" s="2">
        <v>701.96060637654</v>
      </c>
      <c r="O69" s="2">
        <v>0.62591999999999992</v>
      </c>
      <c r="P69" s="2">
        <v>527.28451089999999</v>
      </c>
      <c r="R69" s="6"/>
      <c r="S69" s="1">
        <v>25140.2664733333</v>
      </c>
      <c r="T69" s="1">
        <v>0</v>
      </c>
      <c r="U69" s="1">
        <v>9841.389870055591</v>
      </c>
      <c r="V69" s="1">
        <v>527.91043089999994</v>
      </c>
      <c r="W69" s="1">
        <v>702.79387792854004</v>
      </c>
      <c r="Y69" s="6"/>
      <c r="Z69" s="1">
        <v>31788.52909859351</v>
      </c>
      <c r="AA69" s="1">
        <v>1528</v>
      </c>
      <c r="AB69" s="6"/>
      <c r="AC69" s="1">
        <v>15.62</v>
      </c>
      <c r="AD69" s="1">
        <v>8.4999999999999992E-2</v>
      </c>
      <c r="AE69" s="1">
        <v>22.31428571428572</v>
      </c>
      <c r="AF69" s="1">
        <v>15.62</v>
      </c>
      <c r="AG69" s="1">
        <v>15.62</v>
      </c>
      <c r="AI69" s="6"/>
      <c r="AJ69" s="1">
        <v>25140.2664733333</v>
      </c>
      <c r="AK69" s="6"/>
    </row>
    <row r="70" spans="1:37">
      <c r="A70" s="13">
        <v>66</v>
      </c>
      <c r="B70" s="1">
        <f t="shared" si="5"/>
        <v>702.79387792854004</v>
      </c>
      <c r="C70" s="15">
        <f t="shared" si="6"/>
        <v>1.61935715E-2</v>
      </c>
      <c r="D70" s="1">
        <f t="shared" si="7"/>
        <v>527.91043089999994</v>
      </c>
      <c r="E70" s="15">
        <f t="shared" si="8"/>
        <v>1.6193571499999997E-2</v>
      </c>
      <c r="F70" s="15"/>
      <c r="G70" s="1">
        <f t="shared" si="9"/>
        <v>74768.855691171455</v>
      </c>
      <c r="I70" s="13">
        <v>67</v>
      </c>
      <c r="J70" s="2">
        <v>0</v>
      </c>
      <c r="K70" s="2">
        <v>3032.5158789883521</v>
      </c>
      <c r="L70" s="2">
        <v>523.59799917858891</v>
      </c>
      <c r="M70" s="2">
        <v>0</v>
      </c>
      <c r="N70" s="2">
        <v>716.8308797164799</v>
      </c>
      <c r="O70" s="2">
        <v>0</v>
      </c>
      <c r="P70" s="2">
        <v>538.45446079999999</v>
      </c>
      <c r="R70" s="6"/>
      <c r="S70" s="1">
        <v>25140.2664733333</v>
      </c>
      <c r="T70" s="1">
        <v>0</v>
      </c>
      <c r="U70" s="1">
        <v>9393.8006295616924</v>
      </c>
      <c r="V70" s="1">
        <v>538.45446079999999</v>
      </c>
      <c r="W70" s="1">
        <v>716.8308797164799</v>
      </c>
      <c r="Y70" s="6"/>
      <c r="Z70" s="1">
        <v>19407.18836934496</v>
      </c>
      <c r="AA70" s="1">
        <v>1528</v>
      </c>
      <c r="AB70" s="6"/>
      <c r="AC70" s="1">
        <v>15.62</v>
      </c>
      <c r="AD70" s="1">
        <v>8.4999999999999992E-2</v>
      </c>
      <c r="AE70" s="1">
        <v>22.31428571428572</v>
      </c>
      <c r="AF70" s="1">
        <v>15.62</v>
      </c>
      <c r="AG70" s="1">
        <v>15.62</v>
      </c>
      <c r="AI70" s="6"/>
      <c r="AJ70" s="1">
        <v>25140.2664733333</v>
      </c>
      <c r="AK70" s="6"/>
    </row>
    <row r="71" spans="1:37">
      <c r="A71" s="13">
        <v>67</v>
      </c>
      <c r="B71" s="1">
        <f t="shared" si="5"/>
        <v>716.8308797164799</v>
      </c>
      <c r="C71" s="15">
        <f t="shared" si="6"/>
        <v>1.6517008E-2</v>
      </c>
      <c r="D71" s="1">
        <f t="shared" si="7"/>
        <v>538.45446079999999</v>
      </c>
      <c r="E71" s="15">
        <f t="shared" si="8"/>
        <v>1.6517008E-2</v>
      </c>
      <c r="F71" s="15"/>
      <c r="G71" s="1">
        <f t="shared" si="9"/>
        <v>74744.274659483519</v>
      </c>
      <c r="I71" s="13">
        <v>68</v>
      </c>
      <c r="J71" s="2">
        <v>0</v>
      </c>
      <c r="K71" s="2">
        <v>1997.8308484510681</v>
      </c>
      <c r="L71" s="2">
        <v>523.59799917858891</v>
      </c>
      <c r="M71" s="2">
        <v>0</v>
      </c>
      <c r="N71" s="2">
        <v>472.25040255935988</v>
      </c>
      <c r="O71" s="2">
        <v>0</v>
      </c>
      <c r="P71" s="2">
        <v>354.7354656</v>
      </c>
      <c r="R71" s="6"/>
      <c r="S71" s="1">
        <v>25140.2664733333</v>
      </c>
      <c r="T71" s="1">
        <v>0</v>
      </c>
      <c r="U71" s="1">
        <v>9397.07954873983</v>
      </c>
      <c r="V71" s="1">
        <v>354.7354656</v>
      </c>
      <c r="W71" s="1">
        <v>472.25040255935988</v>
      </c>
      <c r="Y71" s="6"/>
      <c r="Z71" s="1">
        <v>20967.621423647932</v>
      </c>
      <c r="AA71" s="1">
        <v>1528</v>
      </c>
      <c r="AB71" s="6"/>
      <c r="AC71" s="1">
        <v>15.62</v>
      </c>
      <c r="AD71" s="1">
        <v>8.4999999999999992E-2</v>
      </c>
      <c r="AE71" s="1">
        <v>22.31428571428572</v>
      </c>
      <c r="AF71" s="1">
        <v>15.62</v>
      </c>
      <c r="AG71" s="1">
        <v>15.62</v>
      </c>
      <c r="AI71" s="6"/>
      <c r="AJ71" s="1">
        <v>25140.2664733333</v>
      </c>
      <c r="AK71" s="6"/>
    </row>
    <row r="72" spans="1:37">
      <c r="A72" s="13">
        <v>68</v>
      </c>
      <c r="B72" s="1">
        <f t="shared" si="5"/>
        <v>472.25040255935988</v>
      </c>
      <c r="C72" s="15">
        <f t="shared" si="6"/>
        <v>1.0881455999999998E-2</v>
      </c>
      <c r="D72" s="1">
        <f t="shared" si="7"/>
        <v>354.7354656</v>
      </c>
      <c r="E72" s="15">
        <f t="shared" si="8"/>
        <v>1.0881455999999999E-2</v>
      </c>
      <c r="F72" s="15"/>
      <c r="G72" s="1">
        <f t="shared" si="9"/>
        <v>75172.574131840636</v>
      </c>
      <c r="I72" s="13">
        <v>69</v>
      </c>
      <c r="J72" s="2">
        <v>0</v>
      </c>
      <c r="K72" s="2">
        <v>1605.3004353277749</v>
      </c>
      <c r="L72" s="2">
        <v>523.59799917858891</v>
      </c>
      <c r="M72" s="2">
        <v>0</v>
      </c>
      <c r="N72" s="2">
        <v>379.46344526616002</v>
      </c>
      <c r="O72" s="2">
        <v>0</v>
      </c>
      <c r="P72" s="2">
        <v>285.03764360000002</v>
      </c>
      <c r="R72" s="6"/>
      <c r="S72" s="1">
        <v>25140.2664733333</v>
      </c>
      <c r="T72" s="1">
        <v>0</v>
      </c>
      <c r="U72" s="1">
        <v>9547.3054119284534</v>
      </c>
      <c r="V72" s="1">
        <v>285.03764360000002</v>
      </c>
      <c r="W72" s="1">
        <v>379.46344526616002</v>
      </c>
      <c r="Y72" s="6"/>
      <c r="Z72" s="1">
        <v>21658.81372590478</v>
      </c>
      <c r="AA72" s="1">
        <v>1528</v>
      </c>
      <c r="AB72" s="6"/>
      <c r="AC72" s="1">
        <v>15.62</v>
      </c>
      <c r="AD72" s="1">
        <v>8.4999999999999992E-2</v>
      </c>
      <c r="AE72" s="1">
        <v>22.31428571428572</v>
      </c>
      <c r="AF72" s="1">
        <v>15.62</v>
      </c>
      <c r="AG72" s="1">
        <v>15.62</v>
      </c>
      <c r="AI72" s="6"/>
      <c r="AJ72" s="1">
        <v>25140.2664733333</v>
      </c>
      <c r="AK72" s="6"/>
    </row>
    <row r="73" spans="1:37">
      <c r="A73" s="13">
        <v>69</v>
      </c>
      <c r="B73" s="1">
        <f t="shared" si="5"/>
        <v>379.46344526616002</v>
      </c>
      <c r="C73" s="15">
        <f t="shared" si="6"/>
        <v>8.7434860000000017E-3</v>
      </c>
      <c r="D73" s="1">
        <f t="shared" si="7"/>
        <v>285.03764360000002</v>
      </c>
      <c r="E73" s="15">
        <f t="shared" si="8"/>
        <v>8.743486E-3</v>
      </c>
      <c r="F73" s="15"/>
      <c r="G73" s="1">
        <f t="shared" si="9"/>
        <v>75335.058911133849</v>
      </c>
      <c r="I73" s="13">
        <v>70</v>
      </c>
      <c r="J73" s="2">
        <v>0</v>
      </c>
      <c r="K73" s="2">
        <v>1718.6635425074569</v>
      </c>
      <c r="L73" s="2">
        <v>523.59799917858891</v>
      </c>
      <c r="M73" s="2">
        <v>0</v>
      </c>
      <c r="N73" s="2">
        <v>406.26039508925999</v>
      </c>
      <c r="O73" s="2">
        <v>0</v>
      </c>
      <c r="P73" s="2">
        <v>305.16643210000001</v>
      </c>
      <c r="R73" s="6"/>
      <c r="S73" s="1">
        <v>25140.2664733333</v>
      </c>
      <c r="T73" s="1">
        <v>0</v>
      </c>
      <c r="U73" s="1">
        <v>9551.1925078562836</v>
      </c>
      <c r="V73" s="1">
        <v>305.16643210000001</v>
      </c>
      <c r="W73" s="1">
        <v>406.26039508925999</v>
      </c>
      <c r="Y73" s="6"/>
      <c r="Z73" s="1">
        <v>18309.638809829819</v>
      </c>
      <c r="AA73" s="1">
        <v>1528</v>
      </c>
      <c r="AB73" s="6"/>
      <c r="AC73" s="1">
        <v>15.62</v>
      </c>
      <c r="AD73" s="1">
        <v>8.4999999999999992E-2</v>
      </c>
      <c r="AE73" s="1">
        <v>22.31428571428572</v>
      </c>
      <c r="AF73" s="1">
        <v>15.62</v>
      </c>
      <c r="AG73" s="1">
        <v>15.62</v>
      </c>
      <c r="AI73" s="6"/>
      <c r="AJ73" s="1">
        <v>25140.2664733333</v>
      </c>
      <c r="AK73" s="6"/>
    </row>
    <row r="74" spans="1:37">
      <c r="A74" s="13">
        <v>70</v>
      </c>
      <c r="B74" s="1">
        <f t="shared" si="5"/>
        <v>406.26039508925999</v>
      </c>
      <c r="C74" s="15">
        <f t="shared" si="6"/>
        <v>9.3609334999999998E-3</v>
      </c>
      <c r="D74" s="1">
        <f t="shared" si="7"/>
        <v>305.16643210000001</v>
      </c>
      <c r="E74" s="15">
        <f t="shared" si="8"/>
        <v>9.3609334999999998E-3</v>
      </c>
      <c r="F74" s="15"/>
      <c r="G74" s="1">
        <f t="shared" si="9"/>
        <v>75288.133172810733</v>
      </c>
      <c r="I74" s="13">
        <v>71</v>
      </c>
      <c r="J74" s="2">
        <v>0</v>
      </c>
      <c r="K74" s="2">
        <v>1784.441950829415</v>
      </c>
      <c r="L74" s="2">
        <v>523.59799917858891</v>
      </c>
      <c r="M74" s="2">
        <v>0</v>
      </c>
      <c r="N74" s="2">
        <v>421.80919885001998</v>
      </c>
      <c r="O74" s="2">
        <v>0</v>
      </c>
      <c r="P74" s="2">
        <v>316.84606669999999</v>
      </c>
      <c r="R74" s="6"/>
      <c r="S74" s="1">
        <v>25140.2664733333</v>
      </c>
      <c r="T74" s="1">
        <v>0</v>
      </c>
      <c r="U74" s="1">
        <v>9372.6060741813053</v>
      </c>
      <c r="V74" s="1">
        <v>316.84606669999999</v>
      </c>
      <c r="W74" s="1">
        <v>421.80919885001998</v>
      </c>
      <c r="Y74" s="6"/>
      <c r="Z74" s="1">
        <v>13396.106422989969</v>
      </c>
      <c r="AA74" s="1">
        <v>1528</v>
      </c>
      <c r="AB74" s="6"/>
      <c r="AC74" s="1">
        <v>15.62</v>
      </c>
      <c r="AD74" s="1">
        <v>8.4999999999999992E-2</v>
      </c>
      <c r="AE74" s="1">
        <v>22.31428571428572</v>
      </c>
      <c r="AF74" s="1">
        <v>15.62</v>
      </c>
      <c r="AG74" s="1">
        <v>15.62</v>
      </c>
      <c r="AI74" s="6"/>
      <c r="AJ74" s="1">
        <v>25140.2664733333</v>
      </c>
      <c r="AK74" s="6"/>
    </row>
    <row r="75" spans="1:37">
      <c r="A75" s="13">
        <v>71</v>
      </c>
      <c r="B75" s="1">
        <f t="shared" si="5"/>
        <v>421.80919885001998</v>
      </c>
      <c r="C75" s="15">
        <f t="shared" si="6"/>
        <v>9.7192045000000001E-3</v>
      </c>
      <c r="D75" s="1">
        <f t="shared" si="7"/>
        <v>316.84606669999999</v>
      </c>
      <c r="E75" s="15">
        <f t="shared" si="8"/>
        <v>9.7192045000000001E-3</v>
      </c>
      <c r="F75" s="15"/>
      <c r="G75" s="1">
        <f t="shared" si="9"/>
        <v>75260.90473444997</v>
      </c>
      <c r="I75" s="13">
        <v>72</v>
      </c>
      <c r="J75" s="2">
        <v>0</v>
      </c>
      <c r="K75" s="2">
        <v>2092.8097615930119</v>
      </c>
      <c r="L75" s="2">
        <v>528.22556770218978</v>
      </c>
      <c r="M75" s="2">
        <v>0</v>
      </c>
      <c r="N75" s="2">
        <v>494.70166764053999</v>
      </c>
      <c r="O75" s="2">
        <v>0</v>
      </c>
      <c r="P75" s="2">
        <v>371.59995090000001</v>
      </c>
      <c r="R75" s="6"/>
      <c r="S75" s="1">
        <v>25140.2664733333</v>
      </c>
      <c r="T75" s="1">
        <v>0</v>
      </c>
      <c r="U75" s="1">
        <v>9263.4798626008651</v>
      </c>
      <c r="V75" s="1">
        <v>371.59995090000001</v>
      </c>
      <c r="W75" s="1">
        <v>494.70166764053999</v>
      </c>
      <c r="Y75" s="6"/>
      <c r="Z75" s="1">
        <v>10279.990363331821</v>
      </c>
      <c r="AA75" s="1">
        <v>1528</v>
      </c>
      <c r="AB75" s="6"/>
      <c r="AC75" s="1">
        <v>15.62</v>
      </c>
      <c r="AD75" s="1">
        <v>8.4999999999999992E-2</v>
      </c>
      <c r="AE75" s="1">
        <v>22.31428571428572</v>
      </c>
      <c r="AF75" s="1">
        <v>15.62</v>
      </c>
      <c r="AG75" s="1">
        <v>15.62</v>
      </c>
      <c r="AI75" s="6"/>
      <c r="AJ75" s="1">
        <v>25140.2664733333</v>
      </c>
      <c r="AK75" s="6"/>
    </row>
    <row r="76" spans="1:37">
      <c r="A76" s="13">
        <v>72</v>
      </c>
      <c r="B76" s="1">
        <f t="shared" si="5"/>
        <v>494.70166764053999</v>
      </c>
      <c r="C76" s="15">
        <f t="shared" si="6"/>
        <v>1.13987715E-2</v>
      </c>
      <c r="D76" s="1">
        <f t="shared" si="7"/>
        <v>371.59995090000001</v>
      </c>
      <c r="E76" s="15">
        <f t="shared" si="8"/>
        <v>1.13987715E-2</v>
      </c>
      <c r="F76" s="15"/>
      <c r="G76" s="1">
        <f t="shared" si="9"/>
        <v>75133.258381459469</v>
      </c>
      <c r="I76" s="13">
        <v>73</v>
      </c>
      <c r="J76" s="2">
        <v>0</v>
      </c>
      <c r="K76" s="2">
        <v>2453.948776001735</v>
      </c>
      <c r="L76" s="2">
        <v>528.22556770218978</v>
      </c>
      <c r="M76" s="2">
        <v>0</v>
      </c>
      <c r="N76" s="2">
        <v>580.06827666384004</v>
      </c>
      <c r="O76" s="2">
        <v>0</v>
      </c>
      <c r="P76" s="2">
        <v>435.72390639999998</v>
      </c>
      <c r="R76" s="6"/>
      <c r="S76" s="1">
        <v>25140.2664733333</v>
      </c>
      <c r="T76" s="1">
        <v>0</v>
      </c>
      <c r="U76" s="1">
        <v>9301.450395289392</v>
      </c>
      <c r="V76" s="1">
        <v>435.72390639999998</v>
      </c>
      <c r="W76" s="1">
        <v>580.06827666384004</v>
      </c>
      <c r="Y76" s="6"/>
      <c r="Z76" s="1">
        <v>8046.6007619483207</v>
      </c>
      <c r="AA76" s="1">
        <v>1528</v>
      </c>
      <c r="AB76" s="6"/>
      <c r="AC76" s="1">
        <v>15.62</v>
      </c>
      <c r="AD76" s="1">
        <v>8.4999999999999992E-2</v>
      </c>
      <c r="AE76" s="1">
        <v>22.31428571428572</v>
      </c>
      <c r="AF76" s="1">
        <v>15.62</v>
      </c>
      <c r="AG76" s="1">
        <v>15.62</v>
      </c>
      <c r="AI76" s="6"/>
      <c r="AJ76" s="1">
        <v>25140.2664733333</v>
      </c>
      <c r="AK76" s="6"/>
    </row>
    <row r="77" spans="1:37">
      <c r="A77" s="13">
        <v>73</v>
      </c>
      <c r="B77" s="1">
        <f t="shared" si="5"/>
        <v>580.06827666384004</v>
      </c>
      <c r="C77" s="15">
        <f t="shared" si="6"/>
        <v>1.3365764000000002E-2</v>
      </c>
      <c r="D77" s="1">
        <f t="shared" si="7"/>
        <v>435.72390639999998</v>
      </c>
      <c r="E77" s="15">
        <f t="shared" si="8"/>
        <v>1.3365763999999999E-2</v>
      </c>
      <c r="F77" s="15"/>
      <c r="G77" s="1">
        <f t="shared" si="9"/>
        <v>74983.767816936161</v>
      </c>
      <c r="I77" s="13">
        <v>74</v>
      </c>
      <c r="J77" s="2">
        <v>0</v>
      </c>
      <c r="K77" s="2">
        <v>2997.363626294346</v>
      </c>
      <c r="L77" s="2">
        <v>528.22556770218978</v>
      </c>
      <c r="M77" s="2">
        <v>0</v>
      </c>
      <c r="N77" s="2">
        <v>708.52153485954</v>
      </c>
      <c r="O77" s="2">
        <v>0</v>
      </c>
      <c r="P77" s="2">
        <v>532.21281590000001</v>
      </c>
      <c r="R77" s="6"/>
      <c r="S77" s="1">
        <v>25140.2664733333</v>
      </c>
      <c r="T77" s="1">
        <v>0</v>
      </c>
      <c r="U77" s="1">
        <v>9189.5181598272793</v>
      </c>
      <c r="V77" s="1">
        <v>532.21281590000001</v>
      </c>
      <c r="W77" s="1">
        <v>708.52153485954</v>
      </c>
      <c r="Y77" s="6"/>
      <c r="Z77" s="1">
        <v>6237.6478222578999</v>
      </c>
      <c r="AA77" s="1">
        <v>1528</v>
      </c>
      <c r="AB77" s="6"/>
      <c r="AC77" s="1">
        <v>15.62</v>
      </c>
      <c r="AD77" s="1">
        <v>8.4999999999999992E-2</v>
      </c>
      <c r="AE77" s="1">
        <v>22.31428571428572</v>
      </c>
      <c r="AF77" s="1">
        <v>15.62</v>
      </c>
      <c r="AG77" s="1">
        <v>15.62</v>
      </c>
      <c r="AI77" s="6"/>
      <c r="AJ77" s="1">
        <v>25140.2664733333</v>
      </c>
      <c r="AK77" s="6"/>
    </row>
    <row r="78" spans="1:37">
      <c r="A78" s="13">
        <v>74</v>
      </c>
      <c r="B78" s="1">
        <f t="shared" si="5"/>
        <v>708.52153485954</v>
      </c>
      <c r="C78" s="15">
        <f t="shared" si="6"/>
        <v>1.63255465E-2</v>
      </c>
      <c r="D78" s="1">
        <f t="shared" si="7"/>
        <v>532.21281590000001</v>
      </c>
      <c r="E78" s="15">
        <f t="shared" si="8"/>
        <v>1.63255465E-2</v>
      </c>
      <c r="F78" s="15"/>
      <c r="G78" s="1">
        <f t="shared" si="9"/>
        <v>74758.825649240462</v>
      </c>
      <c r="I78" s="13">
        <v>75</v>
      </c>
      <c r="J78" s="2">
        <v>0</v>
      </c>
      <c r="K78" s="2">
        <v>3725.395207229572</v>
      </c>
      <c r="L78" s="2">
        <v>528.22556770218978</v>
      </c>
      <c r="M78" s="2">
        <v>0</v>
      </c>
      <c r="N78" s="2">
        <v>880.61478661763988</v>
      </c>
      <c r="O78" s="2">
        <v>0</v>
      </c>
      <c r="P78" s="2">
        <v>661.48232940000003</v>
      </c>
      <c r="R78" s="6"/>
      <c r="S78" s="1">
        <v>25140.2664733333</v>
      </c>
      <c r="T78" s="1">
        <v>0</v>
      </c>
      <c r="U78" s="1">
        <v>8986.3779883810021</v>
      </c>
      <c r="V78" s="1">
        <v>661.48232940000003</v>
      </c>
      <c r="W78" s="1">
        <v>880.61478661763988</v>
      </c>
      <c r="Y78" s="6"/>
      <c r="Z78" s="1">
        <v>4784.7137968382958</v>
      </c>
      <c r="AA78" s="1">
        <v>1528</v>
      </c>
      <c r="AB78" s="6"/>
      <c r="AC78" s="1">
        <v>15.62</v>
      </c>
      <c r="AD78" s="1">
        <v>8.4999999999999992E-2</v>
      </c>
      <c r="AE78" s="1">
        <v>22.31428571428572</v>
      </c>
      <c r="AF78" s="1">
        <v>15.62</v>
      </c>
      <c r="AG78" s="1">
        <v>15.62</v>
      </c>
      <c r="AI78" s="6"/>
      <c r="AJ78" s="1">
        <v>25140.2664733333</v>
      </c>
      <c r="AK78" s="6"/>
    </row>
    <row r="79" spans="1:37">
      <c r="A79" s="13">
        <v>75</v>
      </c>
      <c r="B79" s="1">
        <f t="shared" si="5"/>
        <v>880.61478661763988</v>
      </c>
      <c r="C79" s="15">
        <f t="shared" si="6"/>
        <v>2.0290869E-2</v>
      </c>
      <c r="D79" s="1">
        <f t="shared" si="7"/>
        <v>661.48232940000003</v>
      </c>
      <c r="E79" s="15">
        <f t="shared" si="8"/>
        <v>2.0290869E-2</v>
      </c>
      <c r="F79" s="15"/>
      <c r="G79" s="1">
        <f t="shared" si="9"/>
        <v>74457.462883982356</v>
      </c>
      <c r="I79" s="13">
        <v>76</v>
      </c>
      <c r="J79" s="2">
        <v>0</v>
      </c>
      <c r="K79" s="2">
        <v>4680.1631923013483</v>
      </c>
      <c r="L79" s="2">
        <v>528.22556770218978</v>
      </c>
      <c r="M79" s="2">
        <v>0</v>
      </c>
      <c r="N79" s="2">
        <v>1106.30434669752</v>
      </c>
      <c r="O79" s="2">
        <v>0</v>
      </c>
      <c r="P79" s="2">
        <v>831.0112292</v>
      </c>
      <c r="R79" s="6"/>
      <c r="S79" s="1">
        <v>25140.2664733333</v>
      </c>
      <c r="T79" s="1">
        <v>0</v>
      </c>
      <c r="U79" s="1">
        <v>8904.648466632394</v>
      </c>
      <c r="V79" s="1">
        <v>831.0112292</v>
      </c>
      <c r="W79" s="1">
        <v>1106.30434669752</v>
      </c>
      <c r="Y79" s="6"/>
      <c r="Z79" s="1">
        <v>4271.3939214280326</v>
      </c>
      <c r="AA79" s="1">
        <v>1528</v>
      </c>
      <c r="AB79" s="6"/>
      <c r="AC79" s="1">
        <v>15.62</v>
      </c>
      <c r="AD79" s="1">
        <v>8.4999999999999992E-2</v>
      </c>
      <c r="AE79" s="1">
        <v>22.31428571428572</v>
      </c>
      <c r="AF79" s="1">
        <v>15.62</v>
      </c>
      <c r="AG79" s="1">
        <v>15.62</v>
      </c>
      <c r="AI79" s="6"/>
      <c r="AJ79" s="1">
        <v>25140.2664733333</v>
      </c>
      <c r="AK79" s="6"/>
    </row>
    <row r="80" spans="1:37">
      <c r="A80" s="13">
        <v>76</v>
      </c>
      <c r="B80" s="1">
        <f t="shared" si="5"/>
        <v>1106.30434669752</v>
      </c>
      <c r="C80" s="15">
        <f t="shared" si="6"/>
        <v>2.5491142000000001E-2</v>
      </c>
      <c r="D80" s="1">
        <f t="shared" si="7"/>
        <v>831.0112292</v>
      </c>
      <c r="E80" s="15">
        <f t="shared" si="8"/>
        <v>2.5491142000000001E-2</v>
      </c>
      <c r="F80" s="15"/>
      <c r="G80" s="1">
        <f t="shared" si="9"/>
        <v>74062.244424102479</v>
      </c>
      <c r="I80" s="13">
        <v>77</v>
      </c>
      <c r="J80" s="2">
        <v>0</v>
      </c>
      <c r="K80" s="2">
        <v>5450.4992397167543</v>
      </c>
      <c r="L80" s="2">
        <v>528.22556770218978</v>
      </c>
      <c r="M80" s="2">
        <v>0</v>
      </c>
      <c r="N80" s="2">
        <v>1288.39759487214</v>
      </c>
      <c r="O80" s="2">
        <v>0</v>
      </c>
      <c r="P80" s="2">
        <v>967.79233690000001</v>
      </c>
      <c r="R80" s="6"/>
      <c r="S80" s="1">
        <v>25140.2664733333</v>
      </c>
      <c r="T80" s="1">
        <v>0</v>
      </c>
      <c r="U80" s="1">
        <v>9018.6342980148092</v>
      </c>
      <c r="V80" s="1">
        <v>967.79233690000001</v>
      </c>
      <c r="W80" s="1">
        <v>1288.39759487214</v>
      </c>
      <c r="Y80" s="6"/>
      <c r="Z80" s="1">
        <v>0</v>
      </c>
      <c r="AA80" s="1">
        <v>1528</v>
      </c>
      <c r="AB80" s="6"/>
      <c r="AC80" s="1">
        <v>15.62</v>
      </c>
      <c r="AD80" s="1">
        <v>8.4999999999999992E-2</v>
      </c>
      <c r="AE80" s="1">
        <v>22.31428571428572</v>
      </c>
      <c r="AF80" s="1">
        <v>15.62</v>
      </c>
      <c r="AG80" s="1">
        <v>15.62</v>
      </c>
      <c r="AI80" s="6"/>
      <c r="AJ80" s="1">
        <v>25140.2664733333</v>
      </c>
      <c r="AK80" s="6"/>
    </row>
    <row r="81" spans="1:37">
      <c r="A81" s="13">
        <v>77</v>
      </c>
      <c r="B81" s="1">
        <f t="shared" si="5"/>
        <v>1288.39759487214</v>
      </c>
      <c r="C81" s="15">
        <f t="shared" si="6"/>
        <v>2.9686881500000002E-2</v>
      </c>
      <c r="D81" s="1">
        <f t="shared" si="7"/>
        <v>967.79233690000001</v>
      </c>
      <c r="E81" s="15">
        <f t="shared" si="8"/>
        <v>2.9686881500000002E-2</v>
      </c>
      <c r="F81" s="15"/>
      <c r="G81" s="1">
        <f t="shared" si="9"/>
        <v>73743.370068227858</v>
      </c>
      <c r="I81" s="13">
        <v>78</v>
      </c>
      <c r="J81" s="2">
        <v>0</v>
      </c>
      <c r="K81" s="2">
        <v>6064.3819072317219</v>
      </c>
      <c r="L81" s="2">
        <v>528.22556770218978</v>
      </c>
      <c r="M81" s="2">
        <v>0</v>
      </c>
      <c r="N81" s="2">
        <v>1433.50814669034</v>
      </c>
      <c r="O81" s="2">
        <v>0</v>
      </c>
      <c r="P81" s="2">
        <v>1076.7935339000001</v>
      </c>
      <c r="R81" s="6"/>
      <c r="S81" s="1">
        <v>25140.2664733333</v>
      </c>
      <c r="T81" s="1">
        <v>0</v>
      </c>
      <c r="U81" s="1">
        <v>9142.5426322119238</v>
      </c>
      <c r="V81" s="1">
        <v>1076.7935339000001</v>
      </c>
      <c r="W81" s="1">
        <v>1433.50814669034</v>
      </c>
      <c r="Y81" s="6"/>
      <c r="Z81" s="1">
        <v>10356.332726990089</v>
      </c>
      <c r="AA81" s="1">
        <v>1528</v>
      </c>
      <c r="AB81" s="6"/>
      <c r="AC81" s="1">
        <v>15.62</v>
      </c>
      <c r="AD81" s="1">
        <v>8.4999999999999992E-2</v>
      </c>
      <c r="AE81" s="1">
        <v>22.31428571428572</v>
      </c>
      <c r="AF81" s="1">
        <v>15.62</v>
      </c>
      <c r="AG81" s="1">
        <v>15.62</v>
      </c>
      <c r="AI81" s="6"/>
      <c r="AJ81" s="1">
        <v>25140.2664733333</v>
      </c>
      <c r="AK81" s="6"/>
    </row>
    <row r="82" spans="1:37">
      <c r="A82" s="13">
        <v>78</v>
      </c>
      <c r="B82" s="1">
        <f t="shared" si="5"/>
        <v>1433.50814669034</v>
      </c>
      <c r="C82" s="15">
        <f t="shared" si="6"/>
        <v>3.3030476500000003E-2</v>
      </c>
      <c r="D82" s="1">
        <f t="shared" si="7"/>
        <v>1076.7935339000001</v>
      </c>
      <c r="E82" s="15">
        <f t="shared" si="8"/>
        <v>3.3030476500000003E-2</v>
      </c>
      <c r="F82" s="15"/>
      <c r="G82" s="1">
        <f t="shared" si="9"/>
        <v>73489.258319409666</v>
      </c>
      <c r="I82" s="13">
        <v>79</v>
      </c>
      <c r="J82" s="2">
        <v>0</v>
      </c>
      <c r="K82" s="2">
        <v>6423.2157370017594</v>
      </c>
      <c r="L82" s="2">
        <v>528.22556770218978</v>
      </c>
      <c r="M82" s="2">
        <v>0</v>
      </c>
      <c r="N82" s="2">
        <v>1518.3298525380601</v>
      </c>
      <c r="O82" s="2">
        <v>0</v>
      </c>
      <c r="P82" s="2">
        <v>1140.5081800999999</v>
      </c>
      <c r="R82" s="6"/>
      <c r="S82" s="1">
        <v>25140.2664733333</v>
      </c>
      <c r="T82" s="1">
        <v>0</v>
      </c>
      <c r="U82" s="1">
        <v>9386.2169345227194</v>
      </c>
      <c r="V82" s="1">
        <v>1140.5081800999999</v>
      </c>
      <c r="W82" s="1">
        <v>1518.3298525380601</v>
      </c>
      <c r="Y82" s="6"/>
      <c r="Z82" s="1">
        <v>15637.91852716884</v>
      </c>
      <c r="AA82" s="1">
        <v>1528</v>
      </c>
      <c r="AB82" s="6"/>
      <c r="AC82" s="1">
        <v>15.62</v>
      </c>
      <c r="AD82" s="1">
        <v>8.4999999999999992E-2</v>
      </c>
      <c r="AE82" s="1">
        <v>22.31428571428572</v>
      </c>
      <c r="AF82" s="1">
        <v>15.62</v>
      </c>
      <c r="AG82" s="1">
        <v>15.62</v>
      </c>
      <c r="AI82" s="6"/>
      <c r="AJ82" s="1">
        <v>25140.2664733333</v>
      </c>
      <c r="AK82" s="6"/>
    </row>
    <row r="83" spans="1:37">
      <c r="A83" s="13">
        <v>79</v>
      </c>
      <c r="B83" s="1">
        <f t="shared" si="5"/>
        <v>1518.3298525380601</v>
      </c>
      <c r="C83" s="15">
        <f t="shared" si="6"/>
        <v>3.4984913500000006E-2</v>
      </c>
      <c r="D83" s="1">
        <f t="shared" si="7"/>
        <v>1140.5081800999999</v>
      </c>
      <c r="E83" s="15">
        <f t="shared" si="8"/>
        <v>3.4984913499999999E-2</v>
      </c>
      <c r="F83" s="15"/>
      <c r="G83" s="1">
        <f t="shared" si="9"/>
        <v>73340.721967361926</v>
      </c>
      <c r="I83" s="13">
        <v>80</v>
      </c>
      <c r="J83" s="2">
        <v>808.16055977500002</v>
      </c>
      <c r="K83" s="2">
        <v>7229.6280938422078</v>
      </c>
      <c r="L83" s="2">
        <v>528.22556770218978</v>
      </c>
      <c r="M83" s="2">
        <v>148.86385426589999</v>
      </c>
      <c r="N83" s="2">
        <v>1708.9508755551001</v>
      </c>
      <c r="O83" s="2">
        <v>111.8205265</v>
      </c>
      <c r="P83" s="2">
        <v>1283.6950085000001</v>
      </c>
      <c r="R83" s="6"/>
      <c r="S83" s="1">
        <v>25140.2664733333</v>
      </c>
      <c r="T83" s="1">
        <v>0</v>
      </c>
      <c r="U83" s="1">
        <v>9407.7828829474129</v>
      </c>
      <c r="V83" s="1">
        <v>1395.515535</v>
      </c>
      <c r="W83" s="1">
        <v>1857.8147298209999</v>
      </c>
      <c r="Y83" s="6"/>
      <c r="Z83" s="1">
        <v>14066.612099880849</v>
      </c>
      <c r="AA83" s="1">
        <v>1528</v>
      </c>
      <c r="AB83" s="6"/>
      <c r="AC83" s="1">
        <v>15.62</v>
      </c>
      <c r="AD83" s="1">
        <v>8.4999999999999992E-2</v>
      </c>
      <c r="AE83" s="1">
        <v>22.31428571428572</v>
      </c>
      <c r="AF83" s="1">
        <v>15.62</v>
      </c>
      <c r="AG83" s="1">
        <v>15.62</v>
      </c>
      <c r="AI83" s="6"/>
      <c r="AJ83" s="1">
        <v>25140.2664733333</v>
      </c>
      <c r="AK83" s="6"/>
    </row>
    <row r="84" spans="1:37">
      <c r="A84" s="13">
        <v>80</v>
      </c>
      <c r="B84" s="1">
        <f t="shared" si="5"/>
        <v>1857.8147298210001</v>
      </c>
      <c r="C84" s="15">
        <f t="shared" si="6"/>
        <v>4.2807225000000004E-2</v>
      </c>
      <c r="D84" s="1">
        <f t="shared" si="7"/>
        <v>1395.515535</v>
      </c>
      <c r="E84" s="15">
        <f t="shared" si="8"/>
        <v>4.2807224999999997E-2</v>
      </c>
      <c r="F84" s="15"/>
      <c r="G84" s="1">
        <f t="shared" si="9"/>
        <v>72746.229735179004</v>
      </c>
      <c r="I84" s="13">
        <v>81</v>
      </c>
      <c r="J84" s="2">
        <v>17541.952262035</v>
      </c>
      <c r="K84" s="2">
        <v>8348.136342899068</v>
      </c>
      <c r="L84" s="2">
        <v>528.22556770218978</v>
      </c>
      <c r="M84" s="2">
        <v>3231.2423484288602</v>
      </c>
      <c r="N84" s="2">
        <v>1973.3456171282401</v>
      </c>
      <c r="O84" s="2">
        <v>2427.1789981000002</v>
      </c>
      <c r="P84" s="2">
        <v>1482.2976804</v>
      </c>
      <c r="R84" s="6"/>
      <c r="S84" s="1">
        <v>15065.552038168151</v>
      </c>
      <c r="T84" s="1">
        <v>0</v>
      </c>
      <c r="U84" s="1">
        <v>9783.2936906362775</v>
      </c>
      <c r="V84" s="1">
        <v>3909.4766785000002</v>
      </c>
      <c r="W84" s="1">
        <v>5204.5879655570998</v>
      </c>
      <c r="Y84" s="6"/>
      <c r="Z84" s="1">
        <v>0</v>
      </c>
      <c r="AA84" s="1">
        <v>0</v>
      </c>
      <c r="AB84" s="6"/>
      <c r="AC84" s="1">
        <v>9.9999999999999992E-2</v>
      </c>
      <c r="AD84" s="1">
        <v>8.4999999999999992E-2</v>
      </c>
      <c r="AE84" s="1">
        <v>0.14285714285714279</v>
      </c>
      <c r="AF84" s="1">
        <v>9.9999999999999992E-2</v>
      </c>
      <c r="AG84" s="1">
        <v>9.9999999999999992E-2</v>
      </c>
      <c r="AI84" s="6"/>
      <c r="AJ84" s="1">
        <v>15065.552038168151</v>
      </c>
      <c r="AK84" s="6"/>
    </row>
    <row r="85" spans="1:37">
      <c r="A85" s="13">
        <v>81</v>
      </c>
      <c r="B85" s="1">
        <f t="shared" si="5"/>
        <v>5204.5879655571007</v>
      </c>
      <c r="C85" s="15">
        <f t="shared" si="6"/>
        <v>0.11992259750000002</v>
      </c>
      <c r="D85" s="1">
        <f t="shared" si="7"/>
        <v>3909.4766785000002</v>
      </c>
      <c r="E85" s="15">
        <f t="shared" si="8"/>
        <v>0.11992259750000001</v>
      </c>
      <c r="F85" s="15"/>
      <c r="G85" s="1">
        <f t="shared" si="9"/>
        <v>66885.495355942898</v>
      </c>
      <c r="I85" s="13">
        <v>82</v>
      </c>
      <c r="J85" s="2">
        <v>42818.540351174997</v>
      </c>
      <c r="K85" s="2">
        <v>9234.8761820860545</v>
      </c>
      <c r="L85" s="2">
        <v>528.22556770218978</v>
      </c>
      <c r="M85" s="2">
        <v>7887.2111161803005</v>
      </c>
      <c r="N85" s="2">
        <v>2182.9545769389001</v>
      </c>
      <c r="O85" s="2">
        <v>5924.5550505000001</v>
      </c>
      <c r="P85" s="2">
        <v>1639.7474815</v>
      </c>
      <c r="R85" s="6"/>
      <c r="S85" s="1">
        <v>0</v>
      </c>
      <c r="T85" s="1">
        <v>13320.750632965201</v>
      </c>
      <c r="U85" s="1">
        <v>6431.9941611172453</v>
      </c>
      <c r="V85" s="1">
        <v>7564.3025319999997</v>
      </c>
      <c r="W85" s="1">
        <v>10070.165693119199</v>
      </c>
      <c r="Y85" s="6"/>
      <c r="Z85" s="1">
        <v>0</v>
      </c>
      <c r="AA85" s="1">
        <v>0</v>
      </c>
      <c r="AB85" s="6"/>
      <c r="AC85" s="1">
        <v>6.9999999999999993E-3</v>
      </c>
      <c r="AD85" s="1">
        <v>8.4999999999999992E-2</v>
      </c>
      <c r="AE85" s="1">
        <v>0.01</v>
      </c>
      <c r="AF85" s="1">
        <v>6.9999999999999993E-3</v>
      </c>
      <c r="AG85" s="1">
        <v>6.9999999999999993E-3</v>
      </c>
      <c r="AI85" s="6"/>
      <c r="AJ85" s="1">
        <v>-9990.5629747239</v>
      </c>
      <c r="AK85" s="6"/>
    </row>
    <row r="86" spans="1:37">
      <c r="A86" s="13">
        <v>82</v>
      </c>
      <c r="B86" s="1">
        <f t="shared" si="5"/>
        <v>10070.165693119201</v>
      </c>
      <c r="C86" s="15">
        <f t="shared" si="6"/>
        <v>0.23203382000000003</v>
      </c>
      <c r="D86" s="1">
        <f t="shared" si="7"/>
        <v>7564.3025319999997</v>
      </c>
      <c r="E86" s="15">
        <f t="shared" si="8"/>
        <v>0.23203382</v>
      </c>
      <c r="F86" s="15"/>
      <c r="G86" s="1">
        <f t="shared" si="9"/>
        <v>58365.091774880799</v>
      </c>
      <c r="I86" s="13">
        <v>83</v>
      </c>
      <c r="J86" s="2">
        <v>38368.101147900117</v>
      </c>
      <c r="K86" s="2">
        <v>10602.74259962927</v>
      </c>
      <c r="L86" s="2">
        <v>528.22556770218978</v>
      </c>
      <c r="M86" s="2">
        <v>11343.04859628474</v>
      </c>
      <c r="N86" s="2">
        <v>2506.29299512032</v>
      </c>
      <c r="O86" s="2">
        <v>8520.4408578999992</v>
      </c>
      <c r="P86" s="2">
        <v>1882.6262672</v>
      </c>
      <c r="R86" s="6"/>
      <c r="S86" s="1">
        <v>0</v>
      </c>
      <c r="T86" s="1">
        <v>13320.750632965201</v>
      </c>
      <c r="U86" s="1">
        <v>6698.62727367143</v>
      </c>
      <c r="V86" s="1">
        <v>10403.0671251</v>
      </c>
      <c r="W86" s="1">
        <v>13849.34159140506</v>
      </c>
      <c r="Y86" s="6"/>
      <c r="Z86" s="1">
        <v>0</v>
      </c>
      <c r="AA86" s="1">
        <v>0</v>
      </c>
      <c r="AB86" s="6"/>
      <c r="AC86" s="1">
        <v>0</v>
      </c>
      <c r="AD86" s="1">
        <v>8.4999999999999992E-2</v>
      </c>
      <c r="AE86" s="1">
        <v>0</v>
      </c>
      <c r="AF86" s="1">
        <v>0</v>
      </c>
      <c r="AG86" s="1">
        <v>0</v>
      </c>
      <c r="AI86" s="6"/>
      <c r="AJ86" s="1">
        <v>-9990.5629747239</v>
      </c>
      <c r="AK86" s="6"/>
    </row>
    <row r="87" spans="1:37">
      <c r="A87" s="13">
        <v>83</v>
      </c>
      <c r="B87" s="1">
        <f t="shared" si="5"/>
        <v>13849.34159140506</v>
      </c>
      <c r="C87" s="15">
        <f t="shared" si="6"/>
        <v>0.31911248850000001</v>
      </c>
      <c r="D87" s="1">
        <f t="shared" si="7"/>
        <v>10403.067125099999</v>
      </c>
      <c r="E87" s="15">
        <f t="shared" si="8"/>
        <v>0.31911248849999996</v>
      </c>
      <c r="F87" s="15"/>
      <c r="G87" s="1">
        <f t="shared" si="9"/>
        <v>51747.151283494939</v>
      </c>
      <c r="I87" s="13">
        <v>84</v>
      </c>
      <c r="J87" s="2">
        <v>29841.842870426579</v>
      </c>
      <c r="K87" s="2">
        <v>12693.81780410596</v>
      </c>
      <c r="L87" s="2">
        <v>528.22556770218978</v>
      </c>
      <c r="M87" s="2">
        <v>13464.065469469861</v>
      </c>
      <c r="N87" s="2">
        <v>3000.584645417759</v>
      </c>
      <c r="O87" s="2">
        <v>10113.6632331</v>
      </c>
      <c r="P87" s="2">
        <v>2253.9182295999999</v>
      </c>
      <c r="R87" s="6"/>
      <c r="S87" s="1">
        <v>0</v>
      </c>
      <c r="T87" s="1">
        <v>13320.750632965201</v>
      </c>
      <c r="U87" s="1">
        <v>2479.6557241571459</v>
      </c>
      <c r="V87" s="1">
        <v>12367.5814627</v>
      </c>
      <c r="W87" s="1">
        <v>16464.65011488762</v>
      </c>
      <c r="Y87" s="6"/>
      <c r="Z87" s="1">
        <v>0</v>
      </c>
      <c r="AA87" s="1">
        <v>0</v>
      </c>
      <c r="AB87" s="6"/>
      <c r="AC87" s="1">
        <v>0</v>
      </c>
      <c r="AD87" s="1">
        <v>8.4999999999999992E-2</v>
      </c>
      <c r="AE87" s="1">
        <v>0</v>
      </c>
      <c r="AF87" s="1">
        <v>0</v>
      </c>
      <c r="AG87" s="1">
        <v>0</v>
      </c>
      <c r="AI87" s="6"/>
      <c r="AJ87" s="1">
        <v>-9990.5629747239</v>
      </c>
      <c r="AK87" s="6"/>
    </row>
    <row r="88" spans="1:37">
      <c r="A88" s="13">
        <v>84</v>
      </c>
      <c r="B88" s="1">
        <f t="shared" si="5"/>
        <v>16464.65011488762</v>
      </c>
      <c r="C88" s="15">
        <f t="shared" si="6"/>
        <v>0.37937366449999999</v>
      </c>
      <c r="D88" s="1">
        <f t="shared" si="7"/>
        <v>12367.5814627</v>
      </c>
      <c r="E88" s="15">
        <f t="shared" si="8"/>
        <v>0.37937366449999999</v>
      </c>
      <c r="F88" s="15"/>
      <c r="G88" s="1">
        <f t="shared" si="9"/>
        <v>47167.328422412378</v>
      </c>
      <c r="I88" s="13">
        <v>85</v>
      </c>
      <c r="J88" s="2">
        <v>25854.485326488171</v>
      </c>
      <c r="K88" s="2">
        <v>14935.23885635787</v>
      </c>
      <c r="L88" s="2">
        <v>528.22556770218978</v>
      </c>
      <c r="M88" s="2">
        <v>13886.88609506568</v>
      </c>
      <c r="N88" s="2">
        <v>3530.4152840084398</v>
      </c>
      <c r="O88" s="2">
        <v>10431.269042800001</v>
      </c>
      <c r="P88" s="2">
        <v>2651.9056473999999</v>
      </c>
      <c r="R88" s="6"/>
      <c r="S88" s="1">
        <v>0</v>
      </c>
      <c r="T88" s="1">
        <v>13320.750632965201</v>
      </c>
      <c r="U88" s="1">
        <v>1764.0624966571499</v>
      </c>
      <c r="V88" s="1">
        <v>13083.1746902</v>
      </c>
      <c r="W88" s="1">
        <v>17417.301379074121</v>
      </c>
      <c r="Y88" s="6"/>
      <c r="Z88" s="1">
        <v>0</v>
      </c>
      <c r="AA88" s="1">
        <v>0</v>
      </c>
      <c r="AB88" s="6"/>
      <c r="AC88" s="1">
        <v>0</v>
      </c>
      <c r="AD88" s="1">
        <v>8.4999999999999992E-2</v>
      </c>
      <c r="AE88" s="1">
        <v>0</v>
      </c>
      <c r="AF88" s="1">
        <v>0</v>
      </c>
      <c r="AG88" s="1">
        <v>0</v>
      </c>
      <c r="AI88" s="6"/>
      <c r="AJ88" s="1">
        <v>-9990.5629747239</v>
      </c>
      <c r="AK88" s="6"/>
    </row>
    <row r="89" spans="1:37">
      <c r="A89" s="13">
        <v>85</v>
      </c>
      <c r="B89" s="1">
        <f t="shared" si="5"/>
        <v>17417.301379074121</v>
      </c>
      <c r="C89" s="15">
        <f t="shared" si="6"/>
        <v>0.40132437700000001</v>
      </c>
      <c r="D89" s="1">
        <f t="shared" si="7"/>
        <v>13083.174690200001</v>
      </c>
      <c r="E89" s="15">
        <f t="shared" si="8"/>
        <v>0.40132437700000007</v>
      </c>
      <c r="F89" s="15"/>
      <c r="G89" s="1">
        <f t="shared" si="9"/>
        <v>45499.083930725872</v>
      </c>
      <c r="I89" s="13">
        <v>86</v>
      </c>
      <c r="J89" s="2">
        <v>23803.3175513897</v>
      </c>
      <c r="K89" s="2">
        <v>17302.695151216511</v>
      </c>
      <c r="L89" s="2">
        <v>528.22556770218978</v>
      </c>
      <c r="M89" s="2">
        <v>12762.630844060741</v>
      </c>
      <c r="N89" s="2">
        <v>4090.0383317532001</v>
      </c>
      <c r="O89" s="2">
        <v>9586.7738179000007</v>
      </c>
      <c r="P89" s="2">
        <v>3072.2719219999999</v>
      </c>
      <c r="R89" s="6"/>
      <c r="S89" s="1">
        <v>0</v>
      </c>
      <c r="T89" s="1">
        <v>13320.750632965201</v>
      </c>
      <c r="U89" s="1">
        <v>2223.1168131571449</v>
      </c>
      <c r="V89" s="1">
        <v>12659.045739900001</v>
      </c>
      <c r="W89" s="1">
        <v>16852.669175813939</v>
      </c>
      <c r="Y89" s="6"/>
      <c r="Z89" s="1">
        <v>0</v>
      </c>
      <c r="AA89" s="1">
        <v>0</v>
      </c>
      <c r="AB89" s="6"/>
      <c r="AC89" s="1">
        <v>0</v>
      </c>
      <c r="AD89" s="1">
        <v>8.4999999999999992E-2</v>
      </c>
      <c r="AE89" s="1">
        <v>0</v>
      </c>
      <c r="AF89" s="1">
        <v>0</v>
      </c>
      <c r="AG89" s="1">
        <v>0</v>
      </c>
      <c r="AI89" s="6"/>
      <c r="AJ89" s="1">
        <v>-9990.5629747239</v>
      </c>
      <c r="AK89" s="6"/>
    </row>
    <row r="90" spans="1:37">
      <c r="A90" s="13">
        <v>86</v>
      </c>
      <c r="B90" s="1">
        <f t="shared" si="5"/>
        <v>16852.669175813942</v>
      </c>
      <c r="C90" s="15">
        <f t="shared" si="6"/>
        <v>0.38831428650000005</v>
      </c>
      <c r="D90" s="1">
        <f t="shared" si="7"/>
        <v>12659.045739900001</v>
      </c>
      <c r="E90" s="15">
        <f t="shared" si="8"/>
        <v>0.38831428649999999</v>
      </c>
      <c r="F90" s="15"/>
      <c r="G90" s="1">
        <f t="shared" si="9"/>
        <v>46487.845084286055</v>
      </c>
      <c r="I90" s="13">
        <v>87</v>
      </c>
      <c r="J90" s="2">
        <v>37767.016213478579</v>
      </c>
      <c r="K90" s="2">
        <v>19055.53493100328</v>
      </c>
      <c r="L90" s="2">
        <v>528.22556770218978</v>
      </c>
      <c r="M90" s="2">
        <v>10834.33778937378</v>
      </c>
      <c r="N90" s="2">
        <v>4504.3773596384399</v>
      </c>
      <c r="O90" s="2">
        <v>8138.3178062999996</v>
      </c>
      <c r="P90" s="2">
        <v>3383.5066974000001</v>
      </c>
      <c r="R90" s="6"/>
      <c r="S90" s="1">
        <v>0</v>
      </c>
      <c r="T90" s="1">
        <v>13320.750632965201</v>
      </c>
      <c r="U90" s="1">
        <v>3395.2634155428632</v>
      </c>
      <c r="V90" s="1">
        <v>11521.8245037</v>
      </c>
      <c r="W90" s="1">
        <v>15338.71514901222</v>
      </c>
      <c r="Y90" s="6"/>
      <c r="Z90" s="1">
        <v>-10022.41219366149</v>
      </c>
      <c r="AA90" s="1">
        <v>0</v>
      </c>
      <c r="AB90" s="6"/>
      <c r="AC90" s="1">
        <v>0</v>
      </c>
      <c r="AD90" s="1">
        <v>8.4999999999999992E-2</v>
      </c>
      <c r="AE90" s="1">
        <v>0</v>
      </c>
      <c r="AF90" s="1">
        <v>0</v>
      </c>
      <c r="AG90" s="1">
        <v>0</v>
      </c>
      <c r="AI90" s="6"/>
      <c r="AJ90" s="1">
        <v>-9990.5629747239</v>
      </c>
      <c r="AK90" s="6"/>
    </row>
    <row r="91" spans="1:37">
      <c r="A91" s="13">
        <v>87</v>
      </c>
      <c r="B91" s="1">
        <f t="shared" si="5"/>
        <v>15338.71514901222</v>
      </c>
      <c r="C91" s="15">
        <f t="shared" si="6"/>
        <v>0.35343019949999999</v>
      </c>
      <c r="D91" s="1">
        <f t="shared" si="7"/>
        <v>11521.8245037</v>
      </c>
      <c r="E91" s="15">
        <f t="shared" si="8"/>
        <v>0.35343019949999999</v>
      </c>
      <c r="F91" s="15"/>
      <c r="G91" s="1">
        <f t="shared" si="9"/>
        <v>49139.020347287777</v>
      </c>
      <c r="I91" s="13">
        <v>88</v>
      </c>
      <c r="J91" s="2">
        <v>40800.48073843</v>
      </c>
      <c r="K91" s="2">
        <v>19502.5647707022</v>
      </c>
      <c r="L91" s="2">
        <v>528.22556770218978</v>
      </c>
      <c r="M91" s="2">
        <v>7515.4828395922796</v>
      </c>
      <c r="N91" s="2">
        <v>4610.0469772226998</v>
      </c>
      <c r="O91" s="2">
        <v>5645.3277538000002</v>
      </c>
      <c r="P91" s="2">
        <v>3462.8814545</v>
      </c>
      <c r="R91" s="6"/>
      <c r="S91" s="1">
        <v>0</v>
      </c>
      <c r="T91" s="1">
        <v>13320.750632965201</v>
      </c>
      <c r="U91" s="1">
        <v>5808.8787109428586</v>
      </c>
      <c r="V91" s="1">
        <v>9108.2092083000007</v>
      </c>
      <c r="W91" s="1">
        <v>12125.52981681498</v>
      </c>
      <c r="Y91" s="6"/>
      <c r="Z91" s="1">
        <v>-10227.035549741309</v>
      </c>
      <c r="AA91" s="1">
        <v>0</v>
      </c>
      <c r="AB91" s="6"/>
      <c r="AC91" s="1">
        <v>0</v>
      </c>
      <c r="AD91" s="1">
        <v>8.4999999999999992E-2</v>
      </c>
      <c r="AE91" s="1">
        <v>0</v>
      </c>
      <c r="AF91" s="1">
        <v>0</v>
      </c>
      <c r="AG91" s="1">
        <v>0</v>
      </c>
      <c r="AI91" s="6"/>
      <c r="AJ91" s="1">
        <v>-9990.5629747239</v>
      </c>
      <c r="AK91" s="6"/>
    </row>
    <row r="92" spans="1:37">
      <c r="A92" s="13">
        <v>88</v>
      </c>
      <c r="B92" s="1">
        <f t="shared" si="5"/>
        <v>12125.529816814978</v>
      </c>
      <c r="C92" s="15">
        <f t="shared" si="6"/>
        <v>0.27939292049999997</v>
      </c>
      <c r="D92" s="1">
        <f t="shared" si="7"/>
        <v>9108.2092083000007</v>
      </c>
      <c r="E92" s="15">
        <f t="shared" si="8"/>
        <v>0.27939292050000003</v>
      </c>
      <c r="F92" s="15"/>
      <c r="G92" s="1">
        <f t="shared" si="9"/>
        <v>54765.82097488502</v>
      </c>
      <c r="I92" s="13">
        <v>89</v>
      </c>
      <c r="J92" s="2">
        <v>12182.816208914999</v>
      </c>
      <c r="K92" s="2">
        <v>18779.82452991965</v>
      </c>
      <c r="L92" s="2">
        <v>528.22556770218978</v>
      </c>
      <c r="M92" s="2">
        <v>2244.0849837773399</v>
      </c>
      <c r="N92" s="2">
        <v>4439.2045007837996</v>
      </c>
      <c r="O92" s="2">
        <v>1685.6661789</v>
      </c>
      <c r="P92" s="2">
        <v>3334.551473</v>
      </c>
      <c r="R92" s="6"/>
      <c r="S92" s="1">
        <v>10237.920013637669</v>
      </c>
      <c r="T92" s="1">
        <v>0</v>
      </c>
      <c r="U92" s="1">
        <v>9602.2758026899955</v>
      </c>
      <c r="V92" s="1">
        <v>5020.2176519000004</v>
      </c>
      <c r="W92" s="1">
        <v>6683.289484561139</v>
      </c>
      <c r="Y92" s="6"/>
      <c r="Z92" s="1">
        <v>0</v>
      </c>
      <c r="AA92" s="1">
        <v>0</v>
      </c>
      <c r="AB92" s="6"/>
      <c r="AC92" s="1">
        <v>9.9999999999999992E-2</v>
      </c>
      <c r="AD92" s="1">
        <v>8.4999999999999992E-2</v>
      </c>
      <c r="AE92" s="1">
        <v>0.14285714285714279</v>
      </c>
      <c r="AF92" s="1">
        <v>9.9999999999999992E-2</v>
      </c>
      <c r="AG92" s="1">
        <v>9.9999999999999992E-2</v>
      </c>
      <c r="AI92" s="6"/>
      <c r="AJ92" s="1">
        <v>10237.920013637669</v>
      </c>
      <c r="AK92" s="6"/>
    </row>
    <row r="93" spans="1:37">
      <c r="A93" s="13">
        <v>89</v>
      </c>
      <c r="B93" s="1">
        <f t="shared" si="5"/>
        <v>6683.289484561139</v>
      </c>
      <c r="C93" s="15">
        <f t="shared" si="6"/>
        <v>0.15399440649999999</v>
      </c>
      <c r="D93" s="1">
        <f t="shared" si="7"/>
        <v>5020.2176519000004</v>
      </c>
      <c r="E93" s="15">
        <f t="shared" si="8"/>
        <v>0.15399440650000001</v>
      </c>
      <c r="F93" s="15"/>
      <c r="G93" s="1">
        <f t="shared" si="9"/>
        <v>64296.052863538855</v>
      </c>
      <c r="I93" s="13">
        <v>90</v>
      </c>
      <c r="J93" s="2">
        <v>9.0827655000000007</v>
      </c>
      <c r="K93" s="2">
        <v>20441.524096769612</v>
      </c>
      <c r="L93" s="2">
        <v>528.22556770218978</v>
      </c>
      <c r="M93" s="2">
        <v>1.6730530379999999</v>
      </c>
      <c r="N93" s="2">
        <v>4831.9996615883401</v>
      </c>
      <c r="O93" s="2">
        <v>1.2567299999999999</v>
      </c>
      <c r="P93" s="2">
        <v>3629.6033639000002</v>
      </c>
      <c r="R93" s="6"/>
      <c r="S93" s="1">
        <v>25140.2664733333</v>
      </c>
      <c r="T93" s="1">
        <v>0</v>
      </c>
      <c r="U93" s="1">
        <v>11171.76038566251</v>
      </c>
      <c r="V93" s="1">
        <v>3630.8600938999998</v>
      </c>
      <c r="W93" s="1">
        <v>4833.6727146263402</v>
      </c>
      <c r="Y93" s="6"/>
      <c r="Z93" s="1">
        <v>0</v>
      </c>
      <c r="AA93" s="1">
        <v>0</v>
      </c>
      <c r="AB93" s="6"/>
      <c r="AC93" s="1">
        <v>0.1</v>
      </c>
      <c r="AD93" s="1">
        <v>8.4999999999999992E-2</v>
      </c>
      <c r="AE93" s="1">
        <v>0.1428571428571429</v>
      </c>
      <c r="AF93" s="1">
        <v>0.1</v>
      </c>
      <c r="AG93" s="1">
        <v>0.1</v>
      </c>
      <c r="AI93" s="6"/>
      <c r="AJ93" s="1">
        <v>25140.2664733333</v>
      </c>
      <c r="AK93" s="6"/>
    </row>
    <row r="94" spans="1:37">
      <c r="A94" s="13">
        <v>90</v>
      </c>
      <c r="B94" s="1">
        <f t="shared" si="5"/>
        <v>4833.6727146263402</v>
      </c>
      <c r="C94" s="15">
        <f t="shared" si="6"/>
        <v>0.1113760765</v>
      </c>
      <c r="D94" s="1">
        <f t="shared" si="7"/>
        <v>3630.8600939000003</v>
      </c>
      <c r="E94" s="15">
        <f t="shared" si="8"/>
        <v>0.1113760765</v>
      </c>
      <c r="F94" s="15"/>
      <c r="G94" s="1">
        <f t="shared" si="9"/>
        <v>67535.027191473651</v>
      </c>
      <c r="I94" s="13">
        <v>91</v>
      </c>
      <c r="J94" s="2">
        <v>0</v>
      </c>
      <c r="K94" s="2">
        <v>23384.874651799371</v>
      </c>
      <c r="L94" s="2">
        <v>528.22556770218978</v>
      </c>
      <c r="M94" s="2">
        <v>0</v>
      </c>
      <c r="N94" s="2">
        <v>5527.7535015912599</v>
      </c>
      <c r="O94" s="2">
        <v>0</v>
      </c>
      <c r="P94" s="2">
        <v>4152.2256021000003</v>
      </c>
      <c r="R94" s="6"/>
      <c r="S94" s="1">
        <v>2895.618847894948</v>
      </c>
      <c r="T94" s="1">
        <v>0</v>
      </c>
      <c r="U94" s="1">
        <v>10135.87156793909</v>
      </c>
      <c r="V94" s="1">
        <v>4152.2256021000003</v>
      </c>
      <c r="W94" s="1">
        <v>5527.7535015912599</v>
      </c>
      <c r="Y94" s="6"/>
      <c r="Z94" s="1">
        <v>16277.70882613556</v>
      </c>
      <c r="AA94" s="1">
        <v>0</v>
      </c>
      <c r="AB94" s="6"/>
      <c r="AC94" s="1">
        <v>0.1</v>
      </c>
      <c r="AD94" s="1">
        <v>8.5000000000000006E-2</v>
      </c>
      <c r="AE94" s="1">
        <v>0.1428571428571429</v>
      </c>
      <c r="AF94" s="1">
        <v>0.1</v>
      </c>
      <c r="AG94" s="1">
        <v>0.1</v>
      </c>
      <c r="AI94" s="6"/>
      <c r="AJ94" s="1">
        <v>2895.618847894948</v>
      </c>
      <c r="AK94" s="6"/>
    </row>
    <row r="95" spans="1:37">
      <c r="A95" s="13">
        <v>91</v>
      </c>
      <c r="B95" s="1">
        <f t="shared" si="5"/>
        <v>5527.7535015912599</v>
      </c>
      <c r="C95" s="15">
        <f t="shared" si="6"/>
        <v>0.1273688835</v>
      </c>
      <c r="D95" s="1">
        <f t="shared" si="7"/>
        <v>4152.2256021000003</v>
      </c>
      <c r="E95" s="15">
        <f t="shared" si="8"/>
        <v>0.1273688835</v>
      </c>
      <c r="F95" s="15"/>
      <c r="G95" s="1">
        <f t="shared" si="9"/>
        <v>66319.580896308733</v>
      </c>
      <c r="I95" s="13">
        <v>92</v>
      </c>
      <c r="J95" s="2">
        <v>0</v>
      </c>
      <c r="K95" s="2">
        <v>25246.37105510366</v>
      </c>
      <c r="L95" s="2">
        <v>528.22556770218978</v>
      </c>
      <c r="M95" s="2">
        <v>0</v>
      </c>
      <c r="N95" s="2">
        <v>5967.7769532787806</v>
      </c>
      <c r="O95" s="2">
        <v>0</v>
      </c>
      <c r="P95" s="2">
        <v>4482.7534813000002</v>
      </c>
      <c r="R95" s="6"/>
      <c r="S95" s="1">
        <v>16606.57885950377</v>
      </c>
      <c r="T95" s="1">
        <v>0</v>
      </c>
      <c r="U95" s="1">
        <v>9449.6186066628306</v>
      </c>
      <c r="V95" s="1">
        <v>4482.7534813000002</v>
      </c>
      <c r="W95" s="1">
        <v>5967.7769532787806</v>
      </c>
      <c r="Y95" s="6"/>
      <c r="Z95" s="1">
        <v>0</v>
      </c>
      <c r="AA95" s="1">
        <v>0</v>
      </c>
      <c r="AB95" s="6"/>
      <c r="AC95" s="1">
        <v>9.9999999999999992E-2</v>
      </c>
      <c r="AD95" s="1">
        <v>8.4999999999999992E-2</v>
      </c>
      <c r="AE95" s="1">
        <v>0.14285714285714279</v>
      </c>
      <c r="AF95" s="1">
        <v>9.9999999999999992E-2</v>
      </c>
      <c r="AG95" s="1">
        <v>9.9999999999999992E-2</v>
      </c>
      <c r="AI95" s="6"/>
      <c r="AJ95" s="1">
        <v>16606.57885950377</v>
      </c>
      <c r="AK95" s="6"/>
    </row>
    <row r="96" spans="1:37">
      <c r="A96" s="13">
        <v>92</v>
      </c>
      <c r="B96" s="1">
        <f t="shared" si="5"/>
        <v>5967.7769532787806</v>
      </c>
      <c r="C96" s="15">
        <f t="shared" si="6"/>
        <v>0.13750777550000001</v>
      </c>
      <c r="D96" s="1">
        <f t="shared" si="7"/>
        <v>4482.7534813000002</v>
      </c>
      <c r="E96" s="15">
        <f t="shared" si="8"/>
        <v>0.13750777550000001</v>
      </c>
      <c r="F96" s="15"/>
      <c r="G96" s="1">
        <f t="shared" si="9"/>
        <v>65549.029565421224</v>
      </c>
      <c r="I96" s="13">
        <v>93</v>
      </c>
      <c r="J96" s="2">
        <v>0</v>
      </c>
      <c r="K96" s="2">
        <v>26455.499012262731</v>
      </c>
      <c r="L96" s="2">
        <v>528.22556770218978</v>
      </c>
      <c r="M96" s="2">
        <v>0</v>
      </c>
      <c r="N96" s="2">
        <v>6253.5925241800196</v>
      </c>
      <c r="O96" s="2">
        <v>0</v>
      </c>
      <c r="P96" s="2">
        <v>4697.4466167</v>
      </c>
      <c r="R96" s="6"/>
      <c r="S96" s="1">
        <v>11442.62167486167</v>
      </c>
      <c r="T96" s="1">
        <v>0</v>
      </c>
      <c r="U96" s="1">
        <v>9134.2525277773584</v>
      </c>
      <c r="V96" s="1">
        <v>4697.4466167</v>
      </c>
      <c r="W96" s="1">
        <v>6253.5925241800196</v>
      </c>
      <c r="Y96" s="6"/>
      <c r="Z96" s="1">
        <v>0</v>
      </c>
      <c r="AA96" s="1">
        <v>0</v>
      </c>
      <c r="AB96" s="6"/>
      <c r="AC96" s="1">
        <v>9.9999999999999992E-2</v>
      </c>
      <c r="AD96" s="1">
        <v>8.4999999999999992E-2</v>
      </c>
      <c r="AE96" s="1">
        <v>0.14285714285714279</v>
      </c>
      <c r="AF96" s="1">
        <v>9.9999999999999992E-2</v>
      </c>
      <c r="AG96" s="1">
        <v>9.9999999999999992E-2</v>
      </c>
      <c r="AI96" s="6"/>
      <c r="AJ96" s="1">
        <v>11442.62167486167</v>
      </c>
      <c r="AK96" s="6"/>
    </row>
    <row r="97" spans="1:37">
      <c r="A97" s="13">
        <v>93</v>
      </c>
      <c r="B97" s="1">
        <f t="shared" si="5"/>
        <v>6253.5925241800196</v>
      </c>
      <c r="C97" s="15">
        <f t="shared" si="6"/>
        <v>0.1440934545</v>
      </c>
      <c r="D97" s="1">
        <f t="shared" si="7"/>
        <v>4697.4466167</v>
      </c>
      <c r="E97" s="15">
        <f t="shared" si="8"/>
        <v>0.1440934545</v>
      </c>
      <c r="F97" s="15"/>
      <c r="G97" s="1">
        <f t="shared" si="9"/>
        <v>65048.520859119984</v>
      </c>
      <c r="I97" s="13">
        <v>94</v>
      </c>
      <c r="J97" s="2">
        <v>0</v>
      </c>
      <c r="K97" s="2">
        <v>29327.556745317321</v>
      </c>
      <c r="L97" s="2">
        <v>528.22556770218978</v>
      </c>
      <c r="M97" s="2">
        <v>0</v>
      </c>
      <c r="N97" s="2">
        <v>6932.4940546375792</v>
      </c>
      <c r="O97" s="2">
        <v>0</v>
      </c>
      <c r="P97" s="2">
        <v>5207.4100792999998</v>
      </c>
      <c r="R97" s="6"/>
      <c r="S97" s="1">
        <v>3610.9349538360452</v>
      </c>
      <c r="T97" s="1">
        <v>0</v>
      </c>
      <c r="U97" s="1">
        <v>8664.2620784177325</v>
      </c>
      <c r="V97" s="1">
        <v>5207.4100792999998</v>
      </c>
      <c r="W97" s="1">
        <v>6932.4940546375792</v>
      </c>
      <c r="Y97" s="6"/>
      <c r="Z97" s="1">
        <v>0</v>
      </c>
      <c r="AA97" s="1">
        <v>0</v>
      </c>
      <c r="AB97" s="6"/>
      <c r="AC97" s="1">
        <v>9.9999999999999992E-2</v>
      </c>
      <c r="AD97" s="1">
        <v>8.4999999999999992E-2</v>
      </c>
      <c r="AE97" s="1">
        <v>0.14285714285714279</v>
      </c>
      <c r="AF97" s="1">
        <v>9.9999999999999992E-2</v>
      </c>
      <c r="AG97" s="1">
        <v>9.9999999999999992E-2</v>
      </c>
      <c r="AI97" s="6"/>
      <c r="AJ97" s="1">
        <v>3610.9349538360452</v>
      </c>
      <c r="AK97" s="6"/>
    </row>
    <row r="98" spans="1:37">
      <c r="A98" s="13">
        <v>94</v>
      </c>
      <c r="B98" s="1">
        <f t="shared" si="5"/>
        <v>6932.4940546375792</v>
      </c>
      <c r="C98" s="15">
        <f t="shared" si="6"/>
        <v>0.15973650549999999</v>
      </c>
      <c r="D98" s="1">
        <f t="shared" si="7"/>
        <v>5207.4100792999998</v>
      </c>
      <c r="E98" s="15">
        <f t="shared" si="8"/>
        <v>0.15973650549999999</v>
      </c>
      <c r="F98" s="15"/>
      <c r="G98" s="1">
        <f t="shared" si="9"/>
        <v>63859.655866062429</v>
      </c>
      <c r="I98" s="13">
        <v>95</v>
      </c>
      <c r="J98" s="2">
        <v>0</v>
      </c>
      <c r="K98" s="2">
        <v>32495.56085894713</v>
      </c>
      <c r="L98" s="2">
        <v>528.22556770218978</v>
      </c>
      <c r="M98" s="2">
        <v>0</v>
      </c>
      <c r="N98" s="2">
        <v>7681.3518566538596</v>
      </c>
      <c r="O98" s="2">
        <v>0</v>
      </c>
      <c r="P98" s="2">
        <v>5769.9218731000001</v>
      </c>
      <c r="R98" s="6"/>
      <c r="S98" s="1">
        <v>0</v>
      </c>
      <c r="T98" s="1">
        <v>3344.3370124642502</v>
      </c>
      <c r="U98" s="1">
        <v>8664.4722708389345</v>
      </c>
      <c r="V98" s="1">
        <v>5769.9218731000001</v>
      </c>
      <c r="W98" s="1">
        <v>7681.3518566538596</v>
      </c>
      <c r="Y98" s="6"/>
      <c r="Z98" s="1">
        <v>0</v>
      </c>
      <c r="AA98" s="1">
        <v>0</v>
      </c>
      <c r="AB98" s="6"/>
      <c r="AC98" s="1">
        <v>6.3749999999999987E-2</v>
      </c>
      <c r="AD98" s="1">
        <v>8.4999999999999992E-2</v>
      </c>
      <c r="AE98" s="1">
        <v>9.1071428571428567E-2</v>
      </c>
      <c r="AF98" s="1">
        <v>6.3749999999999987E-2</v>
      </c>
      <c r="AG98" s="1">
        <v>6.3749999999999987E-2</v>
      </c>
      <c r="AI98" s="6"/>
      <c r="AJ98" s="1">
        <v>-2508.2527593481868</v>
      </c>
      <c r="AK98" s="6"/>
    </row>
    <row r="99" spans="1:37">
      <c r="A99" s="13">
        <v>95</v>
      </c>
      <c r="B99" s="1">
        <f t="shared" si="5"/>
        <v>7681.3518566538596</v>
      </c>
      <c r="C99" s="15">
        <f t="shared" si="6"/>
        <v>0.1769914685</v>
      </c>
      <c r="D99" s="1">
        <f t="shared" si="7"/>
        <v>5769.9218731000001</v>
      </c>
      <c r="E99" s="15">
        <f t="shared" si="8"/>
        <v>0.1769914685</v>
      </c>
      <c r="F99" s="15"/>
      <c r="G99" s="1">
        <f t="shared" si="9"/>
        <v>62548.286270246143</v>
      </c>
      <c r="I99" s="13">
        <v>96</v>
      </c>
      <c r="J99" s="2">
        <v>0</v>
      </c>
      <c r="K99" s="2">
        <v>33692.350464731819</v>
      </c>
      <c r="L99" s="2">
        <v>534.40830269683704</v>
      </c>
      <c r="M99" s="2">
        <v>0</v>
      </c>
      <c r="N99" s="2">
        <v>7964.2508686241999</v>
      </c>
      <c r="O99" s="2">
        <v>0</v>
      </c>
      <c r="P99" s="2">
        <v>5982.424207</v>
      </c>
      <c r="R99" s="6"/>
      <c r="S99" s="1">
        <v>0</v>
      </c>
      <c r="T99" s="1">
        <v>5528.7405300690261</v>
      </c>
      <c r="U99" s="1">
        <v>9348.7531044686602</v>
      </c>
      <c r="V99" s="1">
        <v>5982.424207</v>
      </c>
      <c r="W99" s="1">
        <v>7964.2508686241999</v>
      </c>
      <c r="Y99" s="6"/>
      <c r="Z99" s="1">
        <v>0</v>
      </c>
      <c r="AA99" s="1">
        <v>0</v>
      </c>
      <c r="AB99" s="6"/>
      <c r="AC99" s="1">
        <v>6.3749999999999987E-2</v>
      </c>
      <c r="AD99" s="1">
        <v>8.4999999999999992E-2</v>
      </c>
      <c r="AE99" s="1">
        <v>9.1071428571428567E-2</v>
      </c>
      <c r="AF99" s="1">
        <v>6.3749999999999987E-2</v>
      </c>
      <c r="AG99" s="1">
        <v>6.3749999999999987E-2</v>
      </c>
      <c r="AI99" s="6"/>
      <c r="AJ99" s="1">
        <v>-4146.5553975517696</v>
      </c>
      <c r="AK99" s="6"/>
    </row>
    <row r="100" spans="1:37">
      <c r="A100" s="13">
        <v>96</v>
      </c>
      <c r="B100" s="1">
        <f t="shared" si="5"/>
        <v>7964.2508686241999</v>
      </c>
      <c r="C100" s="15">
        <f t="shared" si="6"/>
        <v>0.18350994500000001</v>
      </c>
      <c r="D100" s="1">
        <f t="shared" si="7"/>
        <v>5982.424207</v>
      </c>
      <c r="E100" s="15">
        <f t="shared" si="8"/>
        <v>0.18350994500000001</v>
      </c>
      <c r="F100" s="15"/>
      <c r="G100" s="1">
        <f t="shared" si="9"/>
        <v>62052.884924375801</v>
      </c>
      <c r="I100" s="13">
        <v>97</v>
      </c>
      <c r="J100" s="2">
        <v>0</v>
      </c>
      <c r="K100" s="2">
        <v>31442.18988844772</v>
      </c>
      <c r="L100" s="2">
        <v>534.40830269683704</v>
      </c>
      <c r="M100" s="2">
        <v>0</v>
      </c>
      <c r="N100" s="2">
        <v>7432.3543675779592</v>
      </c>
      <c r="O100" s="2">
        <v>0</v>
      </c>
      <c r="P100" s="2">
        <v>5582.8849965999998</v>
      </c>
      <c r="R100" s="6"/>
      <c r="S100" s="1">
        <v>0</v>
      </c>
      <c r="T100" s="1">
        <v>2268.185165016288</v>
      </c>
      <c r="U100" s="1">
        <v>10207.713004955511</v>
      </c>
      <c r="V100" s="1">
        <v>5582.8849965999998</v>
      </c>
      <c r="W100" s="1">
        <v>7432.3543675779592</v>
      </c>
      <c r="Y100" s="6"/>
      <c r="Z100" s="1">
        <v>0</v>
      </c>
      <c r="AA100" s="1">
        <v>0</v>
      </c>
      <c r="AB100" s="6"/>
      <c r="AC100" s="1">
        <v>6.3749999999999987E-2</v>
      </c>
      <c r="AD100" s="1">
        <v>8.4999999999999992E-2</v>
      </c>
      <c r="AE100" s="1">
        <v>9.1071428571428567E-2</v>
      </c>
      <c r="AF100" s="1">
        <v>6.3749999999999987E-2</v>
      </c>
      <c r="AG100" s="1">
        <v>6.3749999999999987E-2</v>
      </c>
      <c r="AI100" s="6"/>
      <c r="AJ100" s="1">
        <v>-1701.138873762216</v>
      </c>
      <c r="AK100" s="6"/>
    </row>
    <row r="101" spans="1:37">
      <c r="A101" s="13">
        <v>97</v>
      </c>
      <c r="B101" s="1">
        <f t="shared" si="5"/>
        <v>7432.3543675779592</v>
      </c>
      <c r="C101" s="15">
        <f t="shared" si="6"/>
        <v>0.171254141</v>
      </c>
      <c r="D101" s="1">
        <f t="shared" si="7"/>
        <v>5582.8849965999998</v>
      </c>
      <c r="E101" s="15">
        <f t="shared" si="8"/>
        <v>0.171254141</v>
      </c>
      <c r="F101" s="15"/>
      <c r="G101" s="1">
        <f t="shared" si="9"/>
        <v>62984.320635822034</v>
      </c>
      <c r="I101" s="13">
        <v>98</v>
      </c>
      <c r="J101" s="2">
        <v>0</v>
      </c>
      <c r="K101" s="2">
        <v>30725.5670023684</v>
      </c>
      <c r="L101" s="2">
        <v>534.40830269683704</v>
      </c>
      <c r="M101" s="2">
        <v>0</v>
      </c>
      <c r="N101" s="2">
        <v>7262.9579210786997</v>
      </c>
      <c r="O101" s="2">
        <v>0</v>
      </c>
      <c r="P101" s="2">
        <v>5455.6412145000004</v>
      </c>
      <c r="R101" s="6"/>
      <c r="S101" s="1">
        <v>0</v>
      </c>
      <c r="T101" s="1">
        <v>2224.0893737137048</v>
      </c>
      <c r="U101" s="1">
        <v>10446.289185705429</v>
      </c>
      <c r="V101" s="1">
        <v>5455.6412145000004</v>
      </c>
      <c r="W101" s="1">
        <v>7262.9579210786997</v>
      </c>
      <c r="Y101" s="6"/>
      <c r="Z101" s="1">
        <v>0</v>
      </c>
      <c r="AA101" s="1">
        <v>0</v>
      </c>
      <c r="AB101" s="6"/>
      <c r="AC101" s="1">
        <v>6.3749999999999987E-2</v>
      </c>
      <c r="AD101" s="1">
        <v>8.4999999999999992E-2</v>
      </c>
      <c r="AE101" s="1">
        <v>9.1071428571428567E-2</v>
      </c>
      <c r="AF101" s="1">
        <v>6.3749999999999987E-2</v>
      </c>
      <c r="AG101" s="1">
        <v>6.3749999999999987E-2</v>
      </c>
      <c r="AI101" s="6"/>
      <c r="AJ101" s="1">
        <v>-1668.0670302852791</v>
      </c>
      <c r="AK101" s="6"/>
    </row>
    <row r="102" spans="1:37">
      <c r="A102" s="13">
        <v>98</v>
      </c>
      <c r="B102" s="1">
        <f t="shared" si="5"/>
        <v>7262.9579210786997</v>
      </c>
      <c r="C102" s="15">
        <f t="shared" si="6"/>
        <v>0.16735095750000001</v>
      </c>
      <c r="D102" s="1">
        <f t="shared" si="7"/>
        <v>5455.6412145000004</v>
      </c>
      <c r="E102" s="15">
        <f t="shared" si="8"/>
        <v>0.16735095750000001</v>
      </c>
      <c r="F102" s="15"/>
      <c r="G102" s="1">
        <f t="shared" si="9"/>
        <v>63280.960864421293</v>
      </c>
      <c r="I102" s="13">
        <v>99</v>
      </c>
      <c r="J102" s="2">
        <v>0</v>
      </c>
      <c r="K102" s="2">
        <v>32808.221044500096</v>
      </c>
      <c r="L102" s="2">
        <v>534.40830269683704</v>
      </c>
      <c r="M102" s="2">
        <v>0</v>
      </c>
      <c r="N102" s="2">
        <v>7755.2589637576202</v>
      </c>
      <c r="O102" s="2">
        <v>0</v>
      </c>
      <c r="P102" s="2">
        <v>5825.4379127000002</v>
      </c>
      <c r="R102" s="6"/>
      <c r="S102" s="1">
        <v>0</v>
      </c>
      <c r="T102" s="1">
        <v>5094.9215352267202</v>
      </c>
      <c r="U102" s="1">
        <v>10189.034350030541</v>
      </c>
      <c r="V102" s="1">
        <v>5825.4379127000002</v>
      </c>
      <c r="W102" s="1">
        <v>7755.2589637576202</v>
      </c>
      <c r="Y102" s="6"/>
      <c r="Z102" s="1">
        <v>0</v>
      </c>
      <c r="AA102" s="1">
        <v>0</v>
      </c>
      <c r="AB102" s="6"/>
      <c r="AC102" s="1">
        <v>6.3749999999999987E-2</v>
      </c>
      <c r="AD102" s="1">
        <v>8.4999999999999992E-2</v>
      </c>
      <c r="AE102" s="1">
        <v>9.1071428571428567E-2</v>
      </c>
      <c r="AF102" s="1">
        <v>6.3749999999999987E-2</v>
      </c>
      <c r="AG102" s="1">
        <v>6.3749999999999987E-2</v>
      </c>
      <c r="AI102" s="6"/>
      <c r="AJ102" s="1">
        <v>-3821.1911514200401</v>
      </c>
      <c r="AK102" s="6"/>
    </row>
    <row r="103" spans="1:37">
      <c r="A103" s="13">
        <v>99</v>
      </c>
      <c r="B103" s="1">
        <f t="shared" si="5"/>
        <v>7755.2589637576202</v>
      </c>
      <c r="C103" s="15">
        <f t="shared" si="6"/>
        <v>0.17869441450000001</v>
      </c>
      <c r="D103" s="1">
        <f t="shared" si="7"/>
        <v>5825.4379127000002</v>
      </c>
      <c r="E103" s="15">
        <f t="shared" si="8"/>
        <v>0.17869441450000001</v>
      </c>
      <c r="F103" s="15"/>
      <c r="G103" s="1">
        <f t="shared" si="9"/>
        <v>62418.863123542382</v>
      </c>
      <c r="I103" s="13">
        <v>100</v>
      </c>
      <c r="J103" s="2">
        <v>0</v>
      </c>
      <c r="K103" s="2">
        <v>38083.80541485174</v>
      </c>
      <c r="L103" s="2">
        <v>534.40830269683704</v>
      </c>
      <c r="M103" s="2">
        <v>0</v>
      </c>
      <c r="N103" s="2">
        <v>9002.3099063166592</v>
      </c>
      <c r="O103" s="2">
        <v>0</v>
      </c>
      <c r="P103" s="2">
        <v>6762.1723111000001</v>
      </c>
      <c r="R103" s="6"/>
      <c r="S103" s="1">
        <v>0</v>
      </c>
      <c r="T103" s="1">
        <v>11290.358127784601</v>
      </c>
      <c r="U103" s="1">
        <v>9374.1833141663756</v>
      </c>
      <c r="V103" s="1">
        <v>6762.1723111000001</v>
      </c>
      <c r="W103" s="1">
        <v>9002.3099063166592</v>
      </c>
      <c r="Y103" s="6"/>
      <c r="Z103" s="1">
        <v>0</v>
      </c>
      <c r="AA103" s="1">
        <v>0</v>
      </c>
      <c r="AB103" s="6"/>
      <c r="AC103" s="1">
        <v>6.3749999999999987E-2</v>
      </c>
      <c r="AD103" s="1">
        <v>8.4999999999999992E-2</v>
      </c>
      <c r="AE103" s="1">
        <v>9.1071428571428567E-2</v>
      </c>
      <c r="AF103" s="1">
        <v>6.3749999999999987E-2</v>
      </c>
      <c r="AG103" s="1">
        <v>6.3749999999999987E-2</v>
      </c>
      <c r="AI103" s="6"/>
      <c r="AJ103" s="1">
        <v>-8467.76859583845</v>
      </c>
      <c r="AK103" s="6"/>
    </row>
    <row r="104" spans="1:37">
      <c r="A104" s="13">
        <v>100</v>
      </c>
      <c r="B104" s="1">
        <f t="shared" si="5"/>
        <v>9002.3099063166592</v>
      </c>
      <c r="C104" s="15">
        <f t="shared" si="6"/>
        <v>0.20742859850000001</v>
      </c>
      <c r="D104" s="1">
        <f t="shared" si="7"/>
        <v>6762.1723111000001</v>
      </c>
      <c r="E104" s="15">
        <f t="shared" si="8"/>
        <v>0.20742859850000001</v>
      </c>
      <c r="F104" s="15"/>
      <c r="G104" s="1">
        <f t="shared" si="9"/>
        <v>60235.077782583336</v>
      </c>
      <c r="I104" s="13">
        <v>101</v>
      </c>
      <c r="J104" s="2">
        <v>0</v>
      </c>
      <c r="K104" s="2">
        <v>43215.925984419227</v>
      </c>
      <c r="L104" s="2">
        <v>534.40830269683704</v>
      </c>
      <c r="M104" s="2">
        <v>0</v>
      </c>
      <c r="N104" s="2">
        <v>10215.448649689501</v>
      </c>
      <c r="O104" s="2">
        <v>0</v>
      </c>
      <c r="P104" s="2">
        <v>7673.4332324999996</v>
      </c>
      <c r="R104" s="6"/>
      <c r="S104" s="1">
        <v>0</v>
      </c>
      <c r="T104" s="1">
        <v>13320.750632965201</v>
      </c>
      <c r="U104" s="1">
        <v>8723.6342555504743</v>
      </c>
      <c r="V104" s="1">
        <v>7673.4332324999996</v>
      </c>
      <c r="W104" s="1">
        <v>10215.448649689501</v>
      </c>
      <c r="Y104" s="6"/>
      <c r="Z104" s="1">
        <v>0</v>
      </c>
      <c r="AA104" s="1">
        <v>0</v>
      </c>
      <c r="AB104" s="6"/>
      <c r="AC104" s="1">
        <v>0.01</v>
      </c>
      <c r="AD104" s="1">
        <v>8.4999999999999992E-2</v>
      </c>
      <c r="AE104" s="1">
        <v>1.428571428571429E-2</v>
      </c>
      <c r="AF104" s="1">
        <v>0.01</v>
      </c>
      <c r="AG104" s="1">
        <v>0.01</v>
      </c>
      <c r="AI104" s="6"/>
      <c r="AJ104" s="1">
        <v>-9990.5629747239</v>
      </c>
      <c r="AK104" s="6"/>
    </row>
    <row r="105" spans="1:37">
      <c r="A105" s="13">
        <v>101</v>
      </c>
      <c r="B105" s="1">
        <f t="shared" si="5"/>
        <v>10215.448649689501</v>
      </c>
      <c r="C105" s="15">
        <f t="shared" si="6"/>
        <v>0.23538138750000004</v>
      </c>
      <c r="D105" s="1">
        <f t="shared" si="7"/>
        <v>7673.4332324999996</v>
      </c>
      <c r="E105" s="15">
        <f t="shared" si="8"/>
        <v>0.23538138749999998</v>
      </c>
      <c r="F105" s="15"/>
      <c r="G105" s="1">
        <f t="shared" si="9"/>
        <v>58110.678117810501</v>
      </c>
      <c r="I105" s="13">
        <v>102</v>
      </c>
      <c r="J105" s="2">
        <v>0</v>
      </c>
      <c r="K105" s="2">
        <v>45676.77452477238</v>
      </c>
      <c r="L105" s="2">
        <v>534.40830269683704</v>
      </c>
      <c r="M105" s="2">
        <v>0</v>
      </c>
      <c r="N105" s="2">
        <v>10797.14790351792</v>
      </c>
      <c r="O105" s="2">
        <v>0</v>
      </c>
      <c r="P105" s="2">
        <v>8110.3822632000001</v>
      </c>
      <c r="R105" s="6"/>
      <c r="S105" s="1">
        <v>0</v>
      </c>
      <c r="T105" s="1">
        <v>13320.750632965201</v>
      </c>
      <c r="U105" s="1">
        <v>8463.0167031328529</v>
      </c>
      <c r="V105" s="1">
        <v>8110.3822632000001</v>
      </c>
      <c r="W105" s="1">
        <v>10797.14790351792</v>
      </c>
      <c r="Y105" s="6"/>
      <c r="Z105" s="1">
        <v>0</v>
      </c>
      <c r="AA105" s="1">
        <v>0</v>
      </c>
      <c r="AB105" s="6"/>
      <c r="AC105" s="1">
        <v>0.01</v>
      </c>
      <c r="AD105" s="1">
        <v>8.4999999999999992E-2</v>
      </c>
      <c r="AE105" s="1">
        <v>1.428571428571429E-2</v>
      </c>
      <c r="AF105" s="1">
        <v>0.01</v>
      </c>
      <c r="AG105" s="1">
        <v>0.01</v>
      </c>
      <c r="AI105" s="6"/>
      <c r="AJ105" s="1">
        <v>-9990.5629747239</v>
      </c>
      <c r="AK105" s="6"/>
    </row>
    <row r="106" spans="1:37">
      <c r="A106" s="13">
        <v>102</v>
      </c>
      <c r="B106" s="1">
        <f t="shared" si="5"/>
        <v>10797.14790351792</v>
      </c>
      <c r="C106" s="15">
        <f t="shared" si="6"/>
        <v>0.24878473200000001</v>
      </c>
      <c r="D106" s="1">
        <f t="shared" si="7"/>
        <v>8110.3822632000001</v>
      </c>
      <c r="E106" s="15">
        <f t="shared" si="8"/>
        <v>0.24878473200000001</v>
      </c>
      <c r="F106" s="15"/>
      <c r="G106" s="1">
        <f t="shared" si="9"/>
        <v>57092.029833282075</v>
      </c>
      <c r="I106" s="13">
        <v>103</v>
      </c>
      <c r="J106" s="2">
        <v>0</v>
      </c>
      <c r="K106" s="2">
        <v>47147.468462484481</v>
      </c>
      <c r="L106" s="2">
        <v>534.40830269683704</v>
      </c>
      <c r="M106" s="2">
        <v>0</v>
      </c>
      <c r="N106" s="2">
        <v>11144.79285287118</v>
      </c>
      <c r="O106" s="2">
        <v>0</v>
      </c>
      <c r="P106" s="2">
        <v>8371.5191352999991</v>
      </c>
      <c r="R106" s="6"/>
      <c r="S106" s="1">
        <v>0</v>
      </c>
      <c r="T106" s="1">
        <v>13320.750632965201</v>
      </c>
      <c r="U106" s="1">
        <v>8377.9584557517337</v>
      </c>
      <c r="V106" s="1">
        <v>8371.5191352999991</v>
      </c>
      <c r="W106" s="1">
        <v>11144.79285287118</v>
      </c>
      <c r="Y106" s="6"/>
      <c r="Z106" s="1">
        <v>0</v>
      </c>
      <c r="AA106" s="1">
        <v>0</v>
      </c>
      <c r="AB106" s="6"/>
      <c r="AC106" s="1">
        <v>0.01</v>
      </c>
      <c r="AD106" s="1">
        <v>8.4999999999999992E-2</v>
      </c>
      <c r="AE106" s="1">
        <v>1.428571428571429E-2</v>
      </c>
      <c r="AF106" s="1">
        <v>0.01</v>
      </c>
      <c r="AG106" s="1">
        <v>0.01</v>
      </c>
      <c r="AI106" s="6"/>
      <c r="AJ106" s="1">
        <v>-9990.5629747239</v>
      </c>
      <c r="AK106" s="6"/>
    </row>
    <row r="107" spans="1:37">
      <c r="A107" s="13">
        <v>103</v>
      </c>
      <c r="B107" s="1">
        <f t="shared" si="5"/>
        <v>11144.79285287118</v>
      </c>
      <c r="C107" s="15">
        <f t="shared" si="6"/>
        <v>0.25679506550000003</v>
      </c>
      <c r="D107" s="1">
        <f t="shared" si="7"/>
        <v>8371.5191352999991</v>
      </c>
      <c r="E107" s="15">
        <f t="shared" si="8"/>
        <v>0.25679506549999997</v>
      </c>
      <c r="F107" s="15"/>
      <c r="G107" s="1">
        <f t="shared" si="9"/>
        <v>56483.248011828822</v>
      </c>
      <c r="I107" s="13">
        <v>104</v>
      </c>
      <c r="J107" s="2">
        <v>589.20041164499992</v>
      </c>
      <c r="K107" s="2">
        <v>49863.399898306299</v>
      </c>
      <c r="L107" s="2">
        <v>534.40830269683704</v>
      </c>
      <c r="M107" s="2">
        <v>108.53121097242</v>
      </c>
      <c r="N107" s="2">
        <v>11786.789003288461</v>
      </c>
      <c r="O107" s="2">
        <v>81.524270699999988</v>
      </c>
      <c r="P107" s="2">
        <v>8853.7607640999995</v>
      </c>
      <c r="R107" s="6"/>
      <c r="S107" s="1">
        <v>0</v>
      </c>
      <c r="T107" s="1">
        <v>13320.750632965201</v>
      </c>
      <c r="U107" s="1">
        <v>8013.1828942806878</v>
      </c>
      <c r="V107" s="1">
        <v>8935.2850347999993</v>
      </c>
      <c r="W107" s="1">
        <v>11895.320214260881</v>
      </c>
      <c r="Y107" s="6"/>
      <c r="Z107" s="1">
        <v>0</v>
      </c>
      <c r="AA107" s="1">
        <v>0</v>
      </c>
      <c r="AB107" s="6"/>
      <c r="AC107" s="1">
        <v>0.01</v>
      </c>
      <c r="AD107" s="1">
        <v>8.4999999999999992E-2</v>
      </c>
      <c r="AE107" s="1">
        <v>1.428571428571429E-2</v>
      </c>
      <c r="AF107" s="1">
        <v>0.01</v>
      </c>
      <c r="AG107" s="1">
        <v>0.01</v>
      </c>
      <c r="AI107" s="6"/>
      <c r="AJ107" s="1">
        <v>-9990.5629747239</v>
      </c>
      <c r="AK107" s="6"/>
    </row>
    <row r="108" spans="1:37">
      <c r="A108" s="13">
        <v>104</v>
      </c>
      <c r="B108" s="1">
        <f t="shared" si="5"/>
        <v>11895.320214260881</v>
      </c>
      <c r="C108" s="15">
        <f t="shared" si="6"/>
        <v>0.27408849800000001</v>
      </c>
      <c r="D108" s="1">
        <f t="shared" si="7"/>
        <v>8935.2850347999993</v>
      </c>
      <c r="E108" s="15">
        <f t="shared" si="8"/>
        <v>0.27408849799999996</v>
      </c>
      <c r="F108" s="15"/>
      <c r="G108" s="1">
        <f t="shared" si="9"/>
        <v>55168.95475093912</v>
      </c>
      <c r="I108" s="13">
        <v>105</v>
      </c>
      <c r="J108" s="2">
        <v>0</v>
      </c>
      <c r="K108" s="2">
        <v>45133.374810822534</v>
      </c>
      <c r="L108" s="2">
        <v>534.40830269683704</v>
      </c>
      <c r="M108" s="2">
        <v>2923.1597218788602</v>
      </c>
      <c r="N108" s="2">
        <v>12492.71309618178</v>
      </c>
      <c r="O108" s="2">
        <v>2195.7597480999998</v>
      </c>
      <c r="P108" s="2">
        <v>9384.0224863000003</v>
      </c>
      <c r="R108" s="6"/>
      <c r="S108" s="1">
        <v>0</v>
      </c>
      <c r="T108" s="1">
        <v>13320.750632965201</v>
      </c>
      <c r="U108" s="1">
        <v>4809.5402986148083</v>
      </c>
      <c r="V108" s="1">
        <v>11579.7822344</v>
      </c>
      <c r="W108" s="1">
        <v>15415.872818060639</v>
      </c>
      <c r="Y108" s="6"/>
      <c r="Z108" s="1">
        <v>0</v>
      </c>
      <c r="AA108" s="1">
        <v>0</v>
      </c>
      <c r="AB108" s="6"/>
      <c r="AC108" s="1">
        <v>0</v>
      </c>
      <c r="AD108" s="1">
        <v>8.4999999999999992E-2</v>
      </c>
      <c r="AE108" s="1">
        <v>0</v>
      </c>
      <c r="AF108" s="1">
        <v>0</v>
      </c>
      <c r="AG108" s="1">
        <v>0</v>
      </c>
      <c r="AI108" s="6"/>
      <c r="AJ108" s="1">
        <v>-9990.5629747239</v>
      </c>
      <c r="AK108" s="6"/>
    </row>
    <row r="109" spans="1:37">
      <c r="A109" s="13">
        <v>105</v>
      </c>
      <c r="B109" s="1">
        <f t="shared" si="5"/>
        <v>15415.872818060641</v>
      </c>
      <c r="C109" s="15">
        <f t="shared" si="6"/>
        <v>0.35520804400000006</v>
      </c>
      <c r="D109" s="1">
        <f t="shared" si="7"/>
        <v>11579.7822344</v>
      </c>
      <c r="E109" s="15">
        <f t="shared" si="8"/>
        <v>0.355208044</v>
      </c>
      <c r="F109" s="15"/>
      <c r="G109" s="1">
        <f t="shared" si="9"/>
        <v>49003.904947539355</v>
      </c>
      <c r="I109" s="13">
        <v>106</v>
      </c>
      <c r="J109" s="2">
        <v>0</v>
      </c>
      <c r="K109" s="2">
        <v>34090.060201689863</v>
      </c>
      <c r="L109" s="2">
        <v>534.40830269683704</v>
      </c>
      <c r="M109" s="2">
        <v>8311.0190383665595</v>
      </c>
      <c r="N109" s="2">
        <v>13356.598090211941</v>
      </c>
      <c r="O109" s="2">
        <v>6242.9024775999997</v>
      </c>
      <c r="P109" s="2">
        <v>10032.938069899999</v>
      </c>
      <c r="R109" s="6"/>
      <c r="S109" s="1">
        <v>0</v>
      </c>
      <c r="T109" s="1">
        <v>13320.750632965201</v>
      </c>
      <c r="U109" s="1">
        <v>0</v>
      </c>
      <c r="V109" s="1">
        <v>16275.8405475</v>
      </c>
      <c r="W109" s="1">
        <v>21667.617128578499</v>
      </c>
      <c r="Y109" s="6"/>
      <c r="Z109" s="1">
        <v>0</v>
      </c>
      <c r="AA109" s="1">
        <v>0</v>
      </c>
      <c r="AB109" s="6"/>
      <c r="AC109" s="1">
        <v>0</v>
      </c>
      <c r="AD109" s="1">
        <v>8.4999999999999992E-2</v>
      </c>
      <c r="AE109" s="1">
        <v>0</v>
      </c>
      <c r="AF109" s="1">
        <v>0</v>
      </c>
      <c r="AG109" s="1">
        <v>0</v>
      </c>
      <c r="AI109" s="6"/>
      <c r="AJ109" s="1">
        <v>-9990.5629747239</v>
      </c>
      <c r="AK109" s="6"/>
    </row>
    <row r="110" spans="1:37">
      <c r="A110" s="13">
        <v>106</v>
      </c>
      <c r="B110" s="1">
        <f t="shared" si="5"/>
        <v>21667.617128578502</v>
      </c>
      <c r="C110" s="15">
        <f t="shared" si="6"/>
        <v>0.4992589125000001</v>
      </c>
      <c r="D110" s="1">
        <f t="shared" si="7"/>
        <v>16275.8405475</v>
      </c>
      <c r="E110" s="15">
        <f t="shared" si="8"/>
        <v>0.49925891249999999</v>
      </c>
      <c r="F110" s="15"/>
      <c r="G110" s="1">
        <f t="shared" si="9"/>
        <v>38056.102323921499</v>
      </c>
      <c r="I110" s="13">
        <v>107</v>
      </c>
      <c r="J110" s="2">
        <v>0</v>
      </c>
      <c r="K110" s="2">
        <v>29652.981795430649</v>
      </c>
      <c r="L110" s="2">
        <v>534.40830269683704</v>
      </c>
      <c r="M110" s="2">
        <v>12692.55810978276</v>
      </c>
      <c r="N110" s="2">
        <v>13976.56642505496</v>
      </c>
      <c r="O110" s="2">
        <v>6603.0343429428558</v>
      </c>
      <c r="P110" s="2">
        <v>10498.633291599999</v>
      </c>
      <c r="R110" s="6"/>
      <c r="S110" s="1">
        <v>0</v>
      </c>
      <c r="T110" s="1">
        <v>13320.750632965201</v>
      </c>
      <c r="U110" s="1">
        <v>0</v>
      </c>
      <c r="V110" s="1">
        <v>17101.66763454286</v>
      </c>
      <c r="W110" s="1">
        <v>26669.12453483772</v>
      </c>
      <c r="Y110" s="6"/>
      <c r="Z110" s="1">
        <v>0</v>
      </c>
      <c r="AA110" s="1">
        <v>0</v>
      </c>
      <c r="AB110" s="6"/>
      <c r="AC110" s="1">
        <v>0</v>
      </c>
      <c r="AD110" s="1">
        <v>8.4999999999999992E-2</v>
      </c>
      <c r="AE110" s="1">
        <v>0</v>
      </c>
      <c r="AF110" s="1">
        <v>0</v>
      </c>
      <c r="AG110" s="1">
        <v>0</v>
      </c>
      <c r="AI110" s="6"/>
      <c r="AJ110" s="1">
        <v>-9990.5629747239</v>
      </c>
      <c r="AK110" s="6"/>
    </row>
    <row r="111" spans="1:37">
      <c r="A111" s="13">
        <v>107</v>
      </c>
      <c r="B111" s="1">
        <f t="shared" si="5"/>
        <v>26669.12453483772</v>
      </c>
      <c r="C111" s="15">
        <f t="shared" si="6"/>
        <v>0.61450218700000003</v>
      </c>
      <c r="D111" s="1">
        <f t="shared" si="7"/>
        <v>17101.667634542857</v>
      </c>
      <c r="E111" s="15">
        <f t="shared" si="8"/>
        <v>0.52459103173444344</v>
      </c>
      <c r="F111" s="15"/>
      <c r="G111" s="1">
        <f t="shared" si="9"/>
        <v>32228.767830619421</v>
      </c>
      <c r="I111" s="13">
        <v>108</v>
      </c>
      <c r="J111" s="2">
        <v>0</v>
      </c>
      <c r="K111" s="2">
        <v>26490.236944244571</v>
      </c>
      <c r="L111" s="2">
        <v>534.40830269683704</v>
      </c>
      <c r="M111" s="2">
        <v>15805.43395215288</v>
      </c>
      <c r="N111" s="2">
        <v>14546.736433870919</v>
      </c>
      <c r="O111" s="2">
        <v>3920.2884044428588</v>
      </c>
      <c r="P111" s="2">
        <v>10926.922018200001</v>
      </c>
      <c r="R111" s="6"/>
      <c r="S111" s="1">
        <v>0</v>
      </c>
      <c r="T111" s="1">
        <v>13320.750632965201</v>
      </c>
      <c r="U111" s="1">
        <v>0</v>
      </c>
      <c r="V111" s="1">
        <v>14847.21042264286</v>
      </c>
      <c r="W111" s="1">
        <v>30352.170386023801</v>
      </c>
      <c r="Y111" s="6"/>
      <c r="Z111" s="1">
        <v>0</v>
      </c>
      <c r="AA111" s="1">
        <v>0</v>
      </c>
      <c r="AB111" s="6"/>
      <c r="AC111" s="1">
        <v>0</v>
      </c>
      <c r="AD111" s="1">
        <v>8.4999999999999992E-2</v>
      </c>
      <c r="AE111" s="1">
        <v>0</v>
      </c>
      <c r="AF111" s="1">
        <v>0</v>
      </c>
      <c r="AG111" s="1">
        <v>0</v>
      </c>
      <c r="AI111" s="6"/>
      <c r="AJ111" s="1">
        <v>-9990.5629747239</v>
      </c>
      <c r="AK111" s="6"/>
    </row>
    <row r="112" spans="1:37">
      <c r="A112" s="13">
        <v>108</v>
      </c>
      <c r="B112" s="1">
        <f t="shared" si="5"/>
        <v>30352.170386023798</v>
      </c>
      <c r="C112" s="15">
        <f t="shared" si="6"/>
        <v>0.69936585500000004</v>
      </c>
      <c r="D112" s="1">
        <f t="shared" si="7"/>
        <v>14847.21042264286</v>
      </c>
      <c r="E112" s="15">
        <f t="shared" si="8"/>
        <v>0.45543590253505706</v>
      </c>
      <c r="F112" s="15"/>
      <c r="G112" s="1">
        <f t="shared" si="9"/>
        <v>30800.17919133334</v>
      </c>
      <c r="I112" s="13">
        <v>109</v>
      </c>
      <c r="J112" s="2">
        <v>0</v>
      </c>
      <c r="K112" s="2">
        <v>24648.050227220308</v>
      </c>
      <c r="L112" s="2">
        <v>534.40830269683704</v>
      </c>
      <c r="M112" s="2">
        <v>17241.55210498206</v>
      </c>
      <c r="N112" s="2">
        <v>14942.461998066001</v>
      </c>
      <c r="O112" s="2">
        <v>5842.5671583571457</v>
      </c>
      <c r="P112" s="2">
        <v>11224.17511</v>
      </c>
      <c r="R112" s="6"/>
      <c r="S112" s="1">
        <v>0</v>
      </c>
      <c r="T112" s="1">
        <v>13320.750632965201</v>
      </c>
      <c r="U112" s="1">
        <v>0</v>
      </c>
      <c r="V112" s="1">
        <v>17066.742268357149</v>
      </c>
      <c r="W112" s="1">
        <v>32184.014103048059</v>
      </c>
      <c r="Y112" s="6"/>
      <c r="Z112" s="1">
        <v>0</v>
      </c>
      <c r="AA112" s="1">
        <v>0</v>
      </c>
      <c r="AB112" s="6"/>
      <c r="AC112" s="1">
        <v>0</v>
      </c>
      <c r="AD112" s="1">
        <v>8.4999999999999992E-2</v>
      </c>
      <c r="AE112" s="1">
        <v>0</v>
      </c>
      <c r="AF112" s="1">
        <v>0</v>
      </c>
      <c r="AG112" s="1">
        <v>0</v>
      </c>
      <c r="AI112" s="6"/>
      <c r="AJ112" s="1">
        <v>-9990.5629747239</v>
      </c>
      <c r="AK112" s="6"/>
    </row>
    <row r="113" spans="1:37">
      <c r="A113" s="13">
        <v>109</v>
      </c>
      <c r="B113" s="1">
        <f t="shared" si="5"/>
        <v>32184.014103048059</v>
      </c>
      <c r="C113" s="15">
        <f t="shared" si="6"/>
        <v>0.74157466350000001</v>
      </c>
      <c r="D113" s="1">
        <f t="shared" si="7"/>
        <v>17066.742268357146</v>
      </c>
      <c r="E113" s="15">
        <f t="shared" si="8"/>
        <v>0.52351970148334803</v>
      </c>
      <c r="F113" s="15"/>
      <c r="G113" s="1">
        <f t="shared" si="9"/>
        <v>26748.803628594793</v>
      </c>
      <c r="I113" s="13">
        <v>110</v>
      </c>
      <c r="J113" s="2">
        <v>0</v>
      </c>
      <c r="K113" s="2">
        <v>23943.36660071693</v>
      </c>
      <c r="L113" s="2">
        <v>534.40830269683704</v>
      </c>
      <c r="M113" s="2">
        <v>16962.68727741174</v>
      </c>
      <c r="N113" s="2">
        <v>15117.680452139701</v>
      </c>
      <c r="O113" s="2">
        <v>5745.8754850428559</v>
      </c>
      <c r="P113" s="2">
        <v>11355.792149499999</v>
      </c>
      <c r="R113" s="6"/>
      <c r="S113" s="1">
        <v>0</v>
      </c>
      <c r="T113" s="1">
        <v>13320.750632965201</v>
      </c>
      <c r="U113" s="1">
        <v>0</v>
      </c>
      <c r="V113" s="1">
        <v>17101.66763454286</v>
      </c>
      <c r="W113" s="1">
        <v>32080.367729551439</v>
      </c>
      <c r="Y113" s="6"/>
      <c r="Z113" s="1">
        <v>0</v>
      </c>
      <c r="AA113" s="1">
        <v>0</v>
      </c>
      <c r="AB113" s="6"/>
      <c r="AC113" s="1">
        <v>0</v>
      </c>
      <c r="AD113" s="1">
        <v>8.4999999999999992E-2</v>
      </c>
      <c r="AE113" s="1">
        <v>0</v>
      </c>
      <c r="AF113" s="1">
        <v>0</v>
      </c>
      <c r="AG113" s="1">
        <v>0</v>
      </c>
      <c r="AI113" s="6"/>
      <c r="AJ113" s="1">
        <v>-9990.5629747239</v>
      </c>
      <c r="AK113" s="6"/>
    </row>
    <row r="114" spans="1:37">
      <c r="A114" s="13">
        <v>110</v>
      </c>
      <c r="B114" s="1">
        <f t="shared" si="5"/>
        <v>32080.367729551443</v>
      </c>
      <c r="C114" s="15">
        <f t="shared" si="6"/>
        <v>0.73918647400000015</v>
      </c>
      <c r="D114" s="1">
        <f t="shared" si="7"/>
        <v>17101.667634542857</v>
      </c>
      <c r="E114" s="15">
        <f t="shared" si="8"/>
        <v>0.52459103173444344</v>
      </c>
      <c r="F114" s="15"/>
      <c r="G114" s="1">
        <f t="shared" si="9"/>
        <v>26817.524635905698</v>
      </c>
      <c r="I114" s="13">
        <v>111</v>
      </c>
      <c r="J114" s="2">
        <v>0</v>
      </c>
      <c r="K114" s="2">
        <v>26727.394215368531</v>
      </c>
      <c r="L114" s="2">
        <v>534.40830269683704</v>
      </c>
      <c r="M114" s="2">
        <v>14237.426641362361</v>
      </c>
      <c r="N114" s="2">
        <v>14917.48047353748</v>
      </c>
      <c r="O114" s="2">
        <v>5931.183004942859</v>
      </c>
      <c r="P114" s="2">
        <v>11205.409995800001</v>
      </c>
      <c r="R114" s="6"/>
      <c r="S114" s="1">
        <v>0</v>
      </c>
      <c r="T114" s="1">
        <v>13320.750632965201</v>
      </c>
      <c r="U114" s="1">
        <v>0</v>
      </c>
      <c r="V114" s="1">
        <v>17136.593000742861</v>
      </c>
      <c r="W114" s="1">
        <v>29154.907114899841</v>
      </c>
      <c r="Y114" s="6"/>
      <c r="Z114" s="1">
        <v>0</v>
      </c>
      <c r="AA114" s="1">
        <v>0</v>
      </c>
      <c r="AB114" s="6"/>
      <c r="AC114" s="1">
        <v>0</v>
      </c>
      <c r="AD114" s="1">
        <v>8.4999999999999992E-2</v>
      </c>
      <c r="AE114" s="1">
        <v>0</v>
      </c>
      <c r="AF114" s="1">
        <v>0</v>
      </c>
      <c r="AG114" s="1">
        <v>0</v>
      </c>
      <c r="AI114" s="6"/>
      <c r="AJ114" s="1">
        <v>-9990.5629747239</v>
      </c>
      <c r="AK114" s="6"/>
    </row>
    <row r="115" spans="1:37">
      <c r="A115" s="13">
        <v>111</v>
      </c>
      <c r="B115" s="1">
        <f t="shared" si="5"/>
        <v>29154.907114899841</v>
      </c>
      <c r="C115" s="15">
        <f t="shared" si="6"/>
        <v>0.67177886400000009</v>
      </c>
      <c r="D115" s="1">
        <f t="shared" si="7"/>
        <v>17136.593000742861</v>
      </c>
      <c r="E115" s="15">
        <f t="shared" si="8"/>
        <v>0.52566236198597738</v>
      </c>
      <c r="F115" s="15"/>
      <c r="G115" s="1">
        <f t="shared" si="9"/>
        <v>29708.059884357295</v>
      </c>
      <c r="I115" s="13">
        <v>112</v>
      </c>
      <c r="J115" s="2">
        <v>0</v>
      </c>
      <c r="K115" s="2">
        <v>32702.751617874481</v>
      </c>
      <c r="L115" s="2">
        <v>534.40830269683704</v>
      </c>
      <c r="M115" s="2">
        <v>9295.3890228775199</v>
      </c>
      <c r="N115" s="2">
        <v>14608.47768951636</v>
      </c>
      <c r="O115" s="2">
        <v>3943.761594428574</v>
      </c>
      <c r="P115" s="2">
        <v>10973.2995606</v>
      </c>
      <c r="R115" s="6"/>
      <c r="S115" s="1">
        <v>0</v>
      </c>
      <c r="T115" s="1">
        <v>13320.750632965201</v>
      </c>
      <c r="U115" s="1">
        <v>0</v>
      </c>
      <c r="V115" s="1">
        <v>14917.06115502857</v>
      </c>
      <c r="W115" s="1">
        <v>23903.866712393879</v>
      </c>
      <c r="Y115" s="6"/>
      <c r="Z115" s="1">
        <v>0</v>
      </c>
      <c r="AA115" s="1">
        <v>0</v>
      </c>
      <c r="AB115" s="6"/>
      <c r="AC115" s="1">
        <v>0</v>
      </c>
      <c r="AD115" s="1">
        <v>8.4999999999999992E-2</v>
      </c>
      <c r="AE115" s="1">
        <v>0</v>
      </c>
      <c r="AF115" s="1">
        <v>0</v>
      </c>
      <c r="AG115" s="1">
        <v>0</v>
      </c>
      <c r="AI115" s="6"/>
      <c r="AJ115" s="1">
        <v>-9990.5629747239</v>
      </c>
      <c r="AK115" s="6"/>
    </row>
    <row r="116" spans="1:37">
      <c r="A116" s="13">
        <v>112</v>
      </c>
      <c r="B116" s="1">
        <f t="shared" si="5"/>
        <v>23903.866712393879</v>
      </c>
      <c r="C116" s="15">
        <f t="shared" si="6"/>
        <v>0.55078592300000007</v>
      </c>
      <c r="D116" s="1">
        <f t="shared" si="7"/>
        <v>14917.061155028574</v>
      </c>
      <c r="E116" s="15">
        <f t="shared" si="8"/>
        <v>0.45757856303768629</v>
      </c>
      <c r="F116" s="15"/>
      <c r="G116" s="1">
        <f t="shared" si="9"/>
        <v>37178.632132577543</v>
      </c>
      <c r="I116" s="13">
        <v>113</v>
      </c>
      <c r="J116" s="2">
        <v>0</v>
      </c>
      <c r="K116" s="2">
        <v>47202.060339290299</v>
      </c>
      <c r="L116" s="2">
        <v>534.40830269683704</v>
      </c>
      <c r="M116" s="2">
        <v>2488.1565576939001</v>
      </c>
      <c r="N116" s="2">
        <v>13247.64282213876</v>
      </c>
      <c r="O116" s="2">
        <v>1869.0029065000001</v>
      </c>
      <c r="P116" s="2">
        <v>9951.0952646000005</v>
      </c>
      <c r="R116" s="6"/>
      <c r="S116" s="1">
        <v>0</v>
      </c>
      <c r="T116" s="1">
        <v>13320.750632965201</v>
      </c>
      <c r="U116" s="1">
        <v>4091.0673888545998</v>
      </c>
      <c r="V116" s="1">
        <v>11820.0981711</v>
      </c>
      <c r="W116" s="1">
        <v>15735.799379832661</v>
      </c>
      <c r="Y116" s="6"/>
      <c r="Z116" s="1">
        <v>0</v>
      </c>
      <c r="AA116" s="1">
        <v>0</v>
      </c>
      <c r="AB116" s="6"/>
      <c r="AC116" s="1">
        <v>0</v>
      </c>
      <c r="AD116" s="1">
        <v>8.4999999999999992E-2</v>
      </c>
      <c r="AE116" s="1">
        <v>0</v>
      </c>
      <c r="AF116" s="1">
        <v>0</v>
      </c>
      <c r="AG116" s="1">
        <v>0</v>
      </c>
      <c r="AI116" s="6"/>
      <c r="AJ116" s="1">
        <v>-9990.5629747239</v>
      </c>
      <c r="AK116" s="6"/>
    </row>
    <row r="117" spans="1:37">
      <c r="A117" s="13">
        <v>113</v>
      </c>
      <c r="B117" s="1">
        <f t="shared" si="5"/>
        <v>15735.799379832661</v>
      </c>
      <c r="C117" s="15">
        <f t="shared" si="6"/>
        <v>0.36257969850000005</v>
      </c>
      <c r="D117" s="1">
        <f t="shared" si="7"/>
        <v>11820.0981711</v>
      </c>
      <c r="E117" s="15">
        <f t="shared" si="8"/>
        <v>0.36257969849999999</v>
      </c>
      <c r="F117" s="15"/>
      <c r="G117" s="1">
        <f t="shared" si="9"/>
        <v>48443.662449067335</v>
      </c>
      <c r="I117" s="13">
        <v>114</v>
      </c>
      <c r="J117" s="2">
        <v>15.96776092</v>
      </c>
      <c r="K117" s="2">
        <v>49015.923932807389</v>
      </c>
      <c r="L117" s="2">
        <v>534.40830269683704</v>
      </c>
      <c r="M117" s="2">
        <v>2.9412749803199998</v>
      </c>
      <c r="N117" s="2">
        <v>11586.46129978116</v>
      </c>
      <c r="O117" s="2">
        <v>2.2093672</v>
      </c>
      <c r="P117" s="2">
        <v>8703.2826685999989</v>
      </c>
      <c r="R117" s="6"/>
      <c r="S117" s="1">
        <v>0</v>
      </c>
      <c r="T117" s="1">
        <v>7587.6582110913587</v>
      </c>
      <c r="U117" s="1">
        <v>8218.1980299814968</v>
      </c>
      <c r="V117" s="1">
        <v>8705.4920357999981</v>
      </c>
      <c r="W117" s="1">
        <v>11589.40257476148</v>
      </c>
      <c r="Y117" s="6"/>
      <c r="Z117" s="1">
        <v>0</v>
      </c>
      <c r="AA117" s="1">
        <v>0</v>
      </c>
      <c r="AB117" s="6"/>
      <c r="AC117" s="1">
        <v>6.3749999999999987E-2</v>
      </c>
      <c r="AD117" s="1">
        <v>8.4999999999999992E-2</v>
      </c>
      <c r="AE117" s="1">
        <v>9.1071428571428567E-2</v>
      </c>
      <c r="AF117" s="1">
        <v>6.3749999999999987E-2</v>
      </c>
      <c r="AG117" s="1">
        <v>6.3749999999999987E-2</v>
      </c>
      <c r="AI117" s="6"/>
      <c r="AJ117" s="1">
        <v>-5690.743658318519</v>
      </c>
      <c r="AK117" s="6"/>
    </row>
    <row r="118" spans="1:37">
      <c r="A118" s="13">
        <v>114</v>
      </c>
      <c r="B118" s="1">
        <f t="shared" si="5"/>
        <v>11589.40257476148</v>
      </c>
      <c r="C118" s="15">
        <f t="shared" si="6"/>
        <v>0.267039633</v>
      </c>
      <c r="D118" s="1">
        <f t="shared" si="7"/>
        <v>8705.4920357999981</v>
      </c>
      <c r="E118" s="15">
        <f t="shared" si="8"/>
        <v>0.26703963299999994</v>
      </c>
      <c r="F118" s="15"/>
      <c r="G118" s="1">
        <f t="shared" si="9"/>
        <v>55704.665389438524</v>
      </c>
      <c r="I118" s="13">
        <v>115</v>
      </c>
      <c r="J118" s="2">
        <v>0</v>
      </c>
      <c r="K118" s="2">
        <v>44376.945800292582</v>
      </c>
      <c r="L118" s="2">
        <v>534.40830269683704</v>
      </c>
      <c r="M118" s="2">
        <v>0</v>
      </c>
      <c r="N118" s="2">
        <v>10489.89234238284</v>
      </c>
      <c r="O118" s="2">
        <v>0</v>
      </c>
      <c r="P118" s="2">
        <v>7879.5842714</v>
      </c>
      <c r="R118" s="6"/>
      <c r="S118" s="1">
        <v>0</v>
      </c>
      <c r="T118" s="1">
        <v>1713.372875964882</v>
      </c>
      <c r="U118" s="1">
        <v>8800.6092574137474</v>
      </c>
      <c r="V118" s="1">
        <v>7879.5842714</v>
      </c>
      <c r="W118" s="1">
        <v>10489.89234238284</v>
      </c>
      <c r="Y118" s="6"/>
      <c r="Z118" s="1">
        <v>0</v>
      </c>
      <c r="AA118" s="1">
        <v>0</v>
      </c>
      <c r="AB118" s="6"/>
      <c r="AC118" s="1">
        <v>6.3749999999999987E-2</v>
      </c>
      <c r="AD118" s="1">
        <v>8.4999999999999992E-2</v>
      </c>
      <c r="AE118" s="1">
        <v>9.1071428571428567E-2</v>
      </c>
      <c r="AF118" s="1">
        <v>6.3749999999999987E-2</v>
      </c>
      <c r="AG118" s="1">
        <v>6.3749999999999987E-2</v>
      </c>
      <c r="AI118" s="6"/>
      <c r="AJ118" s="1">
        <v>-1285.029656973662</v>
      </c>
      <c r="AK118" s="6"/>
    </row>
    <row r="119" spans="1:37">
      <c r="A119" s="13">
        <v>115</v>
      </c>
      <c r="B119" s="1">
        <f t="shared" si="5"/>
        <v>10489.89234238284</v>
      </c>
      <c r="C119" s="15">
        <f t="shared" si="6"/>
        <v>0.24170503900000001</v>
      </c>
      <c r="D119" s="1">
        <f t="shared" si="7"/>
        <v>7879.5842714</v>
      </c>
      <c r="E119" s="15">
        <f t="shared" si="8"/>
        <v>0.24170503900000001</v>
      </c>
      <c r="F119" s="15"/>
      <c r="G119" s="1">
        <f t="shared" si="9"/>
        <v>57630.083386217157</v>
      </c>
      <c r="I119" s="13">
        <v>116</v>
      </c>
      <c r="J119" s="2">
        <v>0</v>
      </c>
      <c r="K119" s="2">
        <v>43141.369496151427</v>
      </c>
      <c r="L119" s="2">
        <v>534.40830269683704</v>
      </c>
      <c r="M119" s="2">
        <v>0</v>
      </c>
      <c r="N119" s="2">
        <v>10197.82486956558</v>
      </c>
      <c r="O119" s="2">
        <v>0</v>
      </c>
      <c r="P119" s="2">
        <v>7660.1949592999999</v>
      </c>
      <c r="R119" s="6"/>
      <c r="S119" s="1">
        <v>0</v>
      </c>
      <c r="T119" s="1">
        <v>2166.224095199721</v>
      </c>
      <c r="U119" s="1">
        <v>8846.7957176437394</v>
      </c>
      <c r="V119" s="1">
        <v>7660.1949592999999</v>
      </c>
      <c r="W119" s="1">
        <v>10197.82486956558</v>
      </c>
      <c r="Y119" s="6"/>
      <c r="Z119" s="1">
        <v>0</v>
      </c>
      <c r="AA119" s="1">
        <v>0</v>
      </c>
      <c r="AB119" s="6"/>
      <c r="AC119" s="1">
        <v>6.3749999999999987E-2</v>
      </c>
      <c r="AD119" s="1">
        <v>8.4999999999999992E-2</v>
      </c>
      <c r="AE119" s="1">
        <v>9.1071428571428567E-2</v>
      </c>
      <c r="AF119" s="1">
        <v>6.3749999999999987E-2</v>
      </c>
      <c r="AG119" s="1">
        <v>6.3749999999999987E-2</v>
      </c>
      <c r="AI119" s="6"/>
      <c r="AJ119" s="1">
        <v>-1624.668071399791</v>
      </c>
      <c r="AK119" s="6"/>
    </row>
    <row r="120" spans="1:37">
      <c r="A120" s="13">
        <v>116</v>
      </c>
      <c r="B120" s="1">
        <f t="shared" si="5"/>
        <v>10197.82486956558</v>
      </c>
      <c r="C120" s="15">
        <f t="shared" si="6"/>
        <v>0.23497530550000001</v>
      </c>
      <c r="D120" s="1">
        <f t="shared" si="7"/>
        <v>7660.1949592999999</v>
      </c>
      <c r="E120" s="15">
        <f t="shared" si="8"/>
        <v>0.23497530550000001</v>
      </c>
      <c r="F120" s="15"/>
      <c r="G120" s="1">
        <f t="shared" si="9"/>
        <v>58141.540171134417</v>
      </c>
      <c r="I120" s="13">
        <v>117</v>
      </c>
      <c r="J120" s="2">
        <v>0</v>
      </c>
      <c r="K120" s="2">
        <v>43170.125414566843</v>
      </c>
      <c r="L120" s="2">
        <v>534.40830269683704</v>
      </c>
      <c r="M120" s="2">
        <v>0</v>
      </c>
      <c r="N120" s="2">
        <v>10204.62223885146</v>
      </c>
      <c r="O120" s="2">
        <v>0</v>
      </c>
      <c r="P120" s="2">
        <v>7665.3008690999995</v>
      </c>
      <c r="R120" s="6"/>
      <c r="S120" s="1">
        <v>0</v>
      </c>
      <c r="T120" s="1">
        <v>5156.26896379965</v>
      </c>
      <c r="U120" s="1">
        <v>8703.2862879941458</v>
      </c>
      <c r="V120" s="1">
        <v>7665.3008690999995</v>
      </c>
      <c r="W120" s="1">
        <v>10204.62223885146</v>
      </c>
      <c r="Y120" s="6"/>
      <c r="Z120" s="1">
        <v>0</v>
      </c>
      <c r="AA120" s="1">
        <v>0</v>
      </c>
      <c r="AB120" s="6"/>
      <c r="AC120" s="1">
        <v>6.3749999999999987E-2</v>
      </c>
      <c r="AD120" s="1">
        <v>8.4999999999999992E-2</v>
      </c>
      <c r="AE120" s="1">
        <v>9.1071428571428567E-2</v>
      </c>
      <c r="AF120" s="1">
        <v>6.3749999999999987E-2</v>
      </c>
      <c r="AG120" s="1">
        <v>6.3749999999999987E-2</v>
      </c>
      <c r="AI120" s="6"/>
      <c r="AJ120" s="1">
        <v>-3867.201722849738</v>
      </c>
      <c r="AK120" s="6"/>
    </row>
    <row r="121" spans="1:37">
      <c r="A121" s="13">
        <v>117</v>
      </c>
      <c r="B121" s="1">
        <f t="shared" si="5"/>
        <v>10204.62223885146</v>
      </c>
      <c r="C121" s="15">
        <f t="shared" si="6"/>
        <v>0.2351319285</v>
      </c>
      <c r="D121" s="1">
        <f t="shared" si="7"/>
        <v>7665.3008690999995</v>
      </c>
      <c r="E121" s="15">
        <f t="shared" si="8"/>
        <v>0.23513192849999998</v>
      </c>
      <c r="F121" s="15"/>
      <c r="G121" s="1">
        <f t="shared" si="9"/>
        <v>58129.63689204854</v>
      </c>
      <c r="I121" s="13">
        <v>118</v>
      </c>
      <c r="J121" s="2">
        <v>0</v>
      </c>
      <c r="K121" s="2">
        <v>43085.999807524313</v>
      </c>
      <c r="L121" s="2">
        <v>534.40830269683704</v>
      </c>
      <c r="M121" s="2">
        <v>0</v>
      </c>
      <c r="N121" s="2">
        <v>10184.736495360121</v>
      </c>
      <c r="O121" s="2">
        <v>0</v>
      </c>
      <c r="P121" s="2">
        <v>7650.3635002000001</v>
      </c>
      <c r="R121" s="6"/>
      <c r="S121" s="1">
        <v>0</v>
      </c>
      <c r="T121" s="1">
        <v>7286.0345964062344</v>
      </c>
      <c r="U121" s="1">
        <v>8617.5754002661197</v>
      </c>
      <c r="V121" s="1">
        <v>7650.3635002000001</v>
      </c>
      <c r="W121" s="1">
        <v>10184.736495360121</v>
      </c>
      <c r="Y121" s="6"/>
      <c r="Z121" s="1">
        <v>0</v>
      </c>
      <c r="AA121" s="1">
        <v>0</v>
      </c>
      <c r="AB121" s="6"/>
      <c r="AC121" s="1">
        <v>6.3749999999999987E-2</v>
      </c>
      <c r="AD121" s="1">
        <v>8.4999999999999992E-2</v>
      </c>
      <c r="AE121" s="1">
        <v>9.1071428571428567E-2</v>
      </c>
      <c r="AF121" s="1">
        <v>6.3749999999999987E-2</v>
      </c>
      <c r="AG121" s="1">
        <v>6.3749999999999987E-2</v>
      </c>
      <c r="AI121" s="6"/>
      <c r="AJ121" s="1">
        <v>-5464.5259473046754</v>
      </c>
      <c r="AK121" s="6"/>
    </row>
    <row r="122" spans="1:37">
      <c r="A122" s="13">
        <v>118</v>
      </c>
      <c r="B122" s="1">
        <f t="shared" si="5"/>
        <v>10184.736495360121</v>
      </c>
      <c r="C122" s="15">
        <f t="shared" si="6"/>
        <v>0.23467372700000003</v>
      </c>
      <c r="D122" s="1">
        <f t="shared" si="7"/>
        <v>7650.3635002000001</v>
      </c>
      <c r="E122" s="15">
        <f t="shared" si="8"/>
        <v>0.234673727</v>
      </c>
      <c r="F122" s="15"/>
      <c r="G122" s="1">
        <f t="shared" si="9"/>
        <v>58164.460004439876</v>
      </c>
      <c r="I122" s="13">
        <v>119</v>
      </c>
      <c r="J122" s="2">
        <v>0</v>
      </c>
      <c r="K122" s="2">
        <v>43948.385436640448</v>
      </c>
      <c r="L122" s="2">
        <v>534.40830269683704</v>
      </c>
      <c r="M122" s="2">
        <v>0</v>
      </c>
      <c r="N122" s="2">
        <v>10388.58856863612</v>
      </c>
      <c r="O122" s="2">
        <v>0</v>
      </c>
      <c r="P122" s="2">
        <v>7803.4889602000003</v>
      </c>
      <c r="R122" s="6"/>
      <c r="S122" s="1">
        <v>0</v>
      </c>
      <c r="T122" s="1">
        <v>11434.70126723437</v>
      </c>
      <c r="U122" s="1">
        <v>8450.4829307483069</v>
      </c>
      <c r="V122" s="1">
        <v>7803.4889602000003</v>
      </c>
      <c r="W122" s="1">
        <v>10388.58856863612</v>
      </c>
      <c r="Y122" s="6"/>
      <c r="Z122" s="1">
        <v>0</v>
      </c>
      <c r="AA122" s="1">
        <v>0</v>
      </c>
      <c r="AB122" s="6"/>
      <c r="AC122" s="1">
        <v>6.3749999999999987E-2</v>
      </c>
      <c r="AD122" s="1">
        <v>8.4999999999999992E-2</v>
      </c>
      <c r="AE122" s="1">
        <v>9.1071428571428567E-2</v>
      </c>
      <c r="AF122" s="1">
        <v>6.3749999999999987E-2</v>
      </c>
      <c r="AG122" s="1">
        <v>6.3749999999999987E-2</v>
      </c>
      <c r="AI122" s="6"/>
      <c r="AJ122" s="1">
        <v>-8576.0259504257792</v>
      </c>
      <c r="AK122" s="6"/>
    </row>
    <row r="123" spans="1:37">
      <c r="A123" s="13">
        <v>119</v>
      </c>
      <c r="B123" s="1">
        <f t="shared" si="5"/>
        <v>10388.58856863612</v>
      </c>
      <c r="C123" s="15">
        <f t="shared" si="6"/>
        <v>0.23937082700000001</v>
      </c>
      <c r="D123" s="1">
        <f t="shared" si="7"/>
        <v>7803.4889602000003</v>
      </c>
      <c r="E123" s="15">
        <f t="shared" si="8"/>
        <v>0.23937082700000001</v>
      </c>
      <c r="F123" s="15"/>
      <c r="G123" s="1">
        <f t="shared" si="9"/>
        <v>57807.482471163879</v>
      </c>
      <c r="I123" s="13">
        <v>120</v>
      </c>
      <c r="J123" s="2">
        <v>0</v>
      </c>
      <c r="K123" s="2">
        <v>45259.381238917129</v>
      </c>
      <c r="L123" s="2">
        <v>540.59103769148419</v>
      </c>
      <c r="M123" s="2">
        <v>0</v>
      </c>
      <c r="N123" s="2">
        <v>10698.48382120908</v>
      </c>
      <c r="O123" s="2">
        <v>0</v>
      </c>
      <c r="P123" s="2">
        <v>8036.2697817999997</v>
      </c>
      <c r="R123" s="6"/>
      <c r="S123" s="1">
        <v>0</v>
      </c>
      <c r="T123" s="1">
        <v>13320.750632965201</v>
      </c>
      <c r="U123" s="1">
        <v>8742.8401651434779</v>
      </c>
      <c r="V123" s="1">
        <v>8036.2697817999997</v>
      </c>
      <c r="W123" s="1">
        <v>10698.48382120908</v>
      </c>
      <c r="Y123" s="6"/>
      <c r="Z123" s="1">
        <v>0</v>
      </c>
      <c r="AA123" s="1">
        <v>0</v>
      </c>
      <c r="AB123" s="6"/>
      <c r="AC123" s="1">
        <v>0.01</v>
      </c>
      <c r="AD123" s="1">
        <v>8.4999999999999992E-2</v>
      </c>
      <c r="AE123" s="1">
        <v>1.428571428571429E-2</v>
      </c>
      <c r="AF123" s="1">
        <v>0.01</v>
      </c>
      <c r="AG123" s="1">
        <v>0.01</v>
      </c>
      <c r="AI123" s="6"/>
      <c r="AJ123" s="1">
        <v>-9990.5629747239</v>
      </c>
      <c r="AK123" s="6"/>
    </row>
    <row r="124" spans="1:37">
      <c r="A124" s="13">
        <v>120</v>
      </c>
      <c r="B124" s="1">
        <f t="shared" si="5"/>
        <v>10698.48382120908</v>
      </c>
      <c r="C124" s="15">
        <f t="shared" si="6"/>
        <v>0.24651134300000002</v>
      </c>
      <c r="D124" s="1">
        <f t="shared" si="7"/>
        <v>8036.2697817999997</v>
      </c>
      <c r="E124" s="15">
        <f t="shared" si="8"/>
        <v>0.24651134299999999</v>
      </c>
      <c r="F124" s="15"/>
      <c r="G124" s="1">
        <f t="shared" si="9"/>
        <v>57264.806396990913</v>
      </c>
      <c r="I124" s="13">
        <v>121</v>
      </c>
      <c r="J124" s="2">
        <v>0</v>
      </c>
      <c r="K124" s="2">
        <v>45336.453592351907</v>
      </c>
      <c r="L124" s="2">
        <v>540.59103769148419</v>
      </c>
      <c r="M124" s="2">
        <v>0</v>
      </c>
      <c r="N124" s="2">
        <v>10716.702305503681</v>
      </c>
      <c r="O124" s="2">
        <v>0</v>
      </c>
      <c r="P124" s="2">
        <v>8049.9547727999998</v>
      </c>
      <c r="R124" s="6"/>
      <c r="S124" s="1">
        <v>0</v>
      </c>
      <c r="T124" s="1">
        <v>13320.750632965201</v>
      </c>
      <c r="U124" s="1">
        <v>10017.715015073411</v>
      </c>
      <c r="V124" s="1">
        <v>8049.9547727999998</v>
      </c>
      <c r="W124" s="1">
        <v>10716.702305503681</v>
      </c>
      <c r="Y124" s="6"/>
      <c r="Z124" s="1">
        <v>0</v>
      </c>
      <c r="AA124" s="1">
        <v>0</v>
      </c>
      <c r="AB124" s="6"/>
      <c r="AC124" s="1">
        <v>0</v>
      </c>
      <c r="AD124" s="1">
        <v>8.4999999999999992E-2</v>
      </c>
      <c r="AE124" s="1">
        <v>0</v>
      </c>
      <c r="AF124" s="1">
        <v>0</v>
      </c>
      <c r="AG124" s="1">
        <v>0</v>
      </c>
      <c r="AI124" s="6"/>
      <c r="AJ124" s="1">
        <v>-9990.5629747239</v>
      </c>
      <c r="AK124" s="6"/>
    </row>
    <row r="125" spans="1:37">
      <c r="A125" s="13">
        <v>121</v>
      </c>
      <c r="B125" s="1">
        <f t="shared" si="5"/>
        <v>10716.702305503681</v>
      </c>
      <c r="C125" s="15">
        <f t="shared" si="6"/>
        <v>0.24693112800000003</v>
      </c>
      <c r="D125" s="1">
        <f t="shared" si="7"/>
        <v>8049.9547727999998</v>
      </c>
      <c r="E125" s="15">
        <f t="shared" si="8"/>
        <v>0.246931128</v>
      </c>
      <c r="F125" s="15"/>
      <c r="G125" s="1">
        <f t="shared" si="9"/>
        <v>57232.90292169631</v>
      </c>
      <c r="I125" s="13">
        <v>122</v>
      </c>
      <c r="J125" s="2">
        <v>0</v>
      </c>
      <c r="K125" s="2">
        <v>43980.981821342502</v>
      </c>
      <c r="L125" s="2">
        <v>540.59103769148419</v>
      </c>
      <c r="M125" s="2">
        <v>0</v>
      </c>
      <c r="N125" s="2">
        <v>10574.054505117239</v>
      </c>
      <c r="O125" s="2">
        <v>0</v>
      </c>
      <c r="P125" s="2">
        <v>7942.8034954000004</v>
      </c>
      <c r="R125" s="6"/>
      <c r="S125" s="1">
        <v>0</v>
      </c>
      <c r="T125" s="1">
        <v>13320.750632965201</v>
      </c>
      <c r="U125" s="1">
        <v>10938.66704294742</v>
      </c>
      <c r="V125" s="1">
        <v>7942.8034954000004</v>
      </c>
      <c r="W125" s="1">
        <v>10574.054505117239</v>
      </c>
      <c r="Y125" s="6"/>
      <c r="Z125" s="1">
        <v>0</v>
      </c>
      <c r="AA125" s="1">
        <v>0</v>
      </c>
      <c r="AB125" s="6"/>
      <c r="AC125" s="1">
        <v>0</v>
      </c>
      <c r="AD125" s="1">
        <v>8.4999999999999992E-2</v>
      </c>
      <c r="AE125" s="1">
        <v>0</v>
      </c>
      <c r="AF125" s="1">
        <v>0</v>
      </c>
      <c r="AG125" s="1">
        <v>0</v>
      </c>
      <c r="AI125" s="6"/>
      <c r="AJ125" s="1">
        <v>-9990.5629747239</v>
      </c>
      <c r="AK125" s="6"/>
    </row>
    <row r="126" spans="1:37">
      <c r="A126" s="13">
        <v>122</v>
      </c>
      <c r="B126" s="1">
        <f t="shared" si="5"/>
        <v>10574.054505117239</v>
      </c>
      <c r="C126" s="15">
        <f t="shared" si="6"/>
        <v>0.24364427899999999</v>
      </c>
      <c r="D126" s="1">
        <f t="shared" si="7"/>
        <v>7942.8034954000004</v>
      </c>
      <c r="E126" s="15">
        <f t="shared" si="8"/>
        <v>0.24364427900000002</v>
      </c>
      <c r="F126" s="15"/>
      <c r="G126" s="1">
        <f t="shared" si="9"/>
        <v>57482.701999482757</v>
      </c>
      <c r="I126" s="13">
        <v>123</v>
      </c>
      <c r="J126" s="2">
        <v>0</v>
      </c>
      <c r="K126" s="2">
        <v>42700.649045682017</v>
      </c>
      <c r="L126" s="2">
        <v>540.59103769148419</v>
      </c>
      <c r="M126" s="2">
        <v>0</v>
      </c>
      <c r="N126" s="2">
        <v>10546.773433202339</v>
      </c>
      <c r="O126" s="2">
        <v>0</v>
      </c>
      <c r="P126" s="2">
        <v>7922.3110538999999</v>
      </c>
      <c r="R126" s="6"/>
      <c r="S126" s="1">
        <v>0</v>
      </c>
      <c r="T126" s="1">
        <v>13320.750632965201</v>
      </c>
      <c r="U126" s="1">
        <v>10853.97888361064</v>
      </c>
      <c r="V126" s="1">
        <v>7922.3110538999999</v>
      </c>
      <c r="W126" s="1">
        <v>10546.773433202339</v>
      </c>
      <c r="Y126" s="6"/>
      <c r="Z126" s="1">
        <v>0</v>
      </c>
      <c r="AA126" s="1">
        <v>0</v>
      </c>
      <c r="AB126" s="6"/>
      <c r="AC126" s="1">
        <v>0</v>
      </c>
      <c r="AD126" s="1">
        <v>8.4999999999999992E-2</v>
      </c>
      <c r="AE126" s="1">
        <v>0</v>
      </c>
      <c r="AF126" s="1">
        <v>0</v>
      </c>
      <c r="AG126" s="1">
        <v>0</v>
      </c>
      <c r="AI126" s="6"/>
      <c r="AJ126" s="1">
        <v>-9990.5629747239</v>
      </c>
      <c r="AK126" s="6"/>
    </row>
    <row r="127" spans="1:37">
      <c r="A127" s="13">
        <v>123</v>
      </c>
      <c r="B127" s="1">
        <f t="shared" si="5"/>
        <v>10546.773433202339</v>
      </c>
      <c r="C127" s="15">
        <f t="shared" si="6"/>
        <v>0.2430156765</v>
      </c>
      <c r="D127" s="1">
        <f t="shared" si="7"/>
        <v>7922.3110538999999</v>
      </c>
      <c r="E127" s="15">
        <f t="shared" si="8"/>
        <v>0.2430156765</v>
      </c>
      <c r="F127" s="15"/>
      <c r="G127" s="1">
        <f t="shared" si="9"/>
        <v>57530.475512897661</v>
      </c>
      <c r="I127" s="13">
        <v>124</v>
      </c>
      <c r="J127" s="2">
        <v>0</v>
      </c>
      <c r="K127" s="2">
        <v>41707.58048185704</v>
      </c>
      <c r="L127" s="2">
        <v>540.59103769148419</v>
      </c>
      <c r="M127" s="2">
        <v>0</v>
      </c>
      <c r="N127" s="2">
        <v>10510.33451163294</v>
      </c>
      <c r="O127" s="2">
        <v>0</v>
      </c>
      <c r="P127" s="2">
        <v>7894.9396049000006</v>
      </c>
      <c r="R127" s="6"/>
      <c r="S127" s="1">
        <v>0</v>
      </c>
      <c r="T127" s="1">
        <v>13320.750632965201</v>
      </c>
      <c r="U127" s="1">
        <v>10807.98139821626</v>
      </c>
      <c r="V127" s="1">
        <v>7894.9396049000006</v>
      </c>
      <c r="W127" s="1">
        <v>10510.33451163294</v>
      </c>
      <c r="Y127" s="6"/>
      <c r="Z127" s="1">
        <v>0</v>
      </c>
      <c r="AA127" s="1">
        <v>0</v>
      </c>
      <c r="AB127" s="6"/>
      <c r="AC127" s="1">
        <v>0</v>
      </c>
      <c r="AD127" s="1">
        <v>8.4999999999999992E-2</v>
      </c>
      <c r="AE127" s="1">
        <v>0</v>
      </c>
      <c r="AF127" s="1">
        <v>0</v>
      </c>
      <c r="AG127" s="1">
        <v>0</v>
      </c>
      <c r="AI127" s="6"/>
      <c r="AJ127" s="1">
        <v>-9990.5629747239</v>
      </c>
      <c r="AK127" s="6"/>
    </row>
    <row r="128" spans="1:37">
      <c r="A128" s="13">
        <v>124</v>
      </c>
      <c r="B128" s="1">
        <f t="shared" si="5"/>
        <v>10510.33451163294</v>
      </c>
      <c r="C128" s="15">
        <f t="shared" si="6"/>
        <v>0.24217606150000001</v>
      </c>
      <c r="D128" s="1">
        <f t="shared" si="7"/>
        <v>7894.9396049000006</v>
      </c>
      <c r="E128" s="15">
        <f t="shared" si="8"/>
        <v>0.24217606150000001</v>
      </c>
      <c r="F128" s="15"/>
      <c r="G128" s="1">
        <f t="shared" si="9"/>
        <v>57594.285883467055</v>
      </c>
      <c r="I128" s="13">
        <v>125</v>
      </c>
      <c r="J128" s="2">
        <v>0</v>
      </c>
      <c r="K128" s="2">
        <v>38678.788195634253</v>
      </c>
      <c r="L128" s="2">
        <v>540.59103769148419</v>
      </c>
      <c r="M128" s="2">
        <v>0</v>
      </c>
      <c r="N128" s="2">
        <v>10390.71890113806</v>
      </c>
      <c r="O128" s="2">
        <v>0</v>
      </c>
      <c r="P128" s="2">
        <v>7805.0891800999998</v>
      </c>
      <c r="R128" s="6"/>
      <c r="S128" s="1">
        <v>0</v>
      </c>
      <c r="T128" s="1">
        <v>13320.750632965201</v>
      </c>
      <c r="U128" s="1">
        <v>8632.1605014985871</v>
      </c>
      <c r="V128" s="1">
        <v>7805.0891800999998</v>
      </c>
      <c r="W128" s="1">
        <v>10390.71890113806</v>
      </c>
      <c r="Y128" s="6"/>
      <c r="Z128" s="1">
        <v>0</v>
      </c>
      <c r="AA128" s="1">
        <v>0</v>
      </c>
      <c r="AB128" s="6"/>
      <c r="AC128" s="1">
        <v>0</v>
      </c>
      <c r="AD128" s="1">
        <v>8.4999999999999992E-2</v>
      </c>
      <c r="AE128" s="1">
        <v>0</v>
      </c>
      <c r="AF128" s="1">
        <v>0</v>
      </c>
      <c r="AG128" s="1">
        <v>0</v>
      </c>
      <c r="AI128" s="6"/>
      <c r="AJ128" s="1">
        <v>-9990.5629747239</v>
      </c>
      <c r="AK128" s="6"/>
    </row>
    <row r="129" spans="1:37">
      <c r="A129" s="13">
        <v>125</v>
      </c>
      <c r="B129" s="1">
        <f t="shared" si="5"/>
        <v>10390.71890113806</v>
      </c>
      <c r="C129" s="15">
        <f t="shared" si="6"/>
        <v>0.2394199135</v>
      </c>
      <c r="D129" s="1">
        <f t="shared" si="7"/>
        <v>7805.0891800999998</v>
      </c>
      <c r="E129" s="15">
        <f t="shared" si="8"/>
        <v>0.2394199135</v>
      </c>
      <c r="F129" s="15"/>
      <c r="G129" s="1">
        <f t="shared" si="9"/>
        <v>57803.751918761947</v>
      </c>
      <c r="I129" s="13">
        <v>126</v>
      </c>
      <c r="J129" s="2">
        <v>0</v>
      </c>
      <c r="K129" s="2">
        <v>38810.510621402187</v>
      </c>
      <c r="L129" s="2">
        <v>540.59103769148419</v>
      </c>
      <c r="M129" s="2">
        <v>0</v>
      </c>
      <c r="N129" s="2">
        <v>10258.62136018938</v>
      </c>
      <c r="O129" s="2">
        <v>0</v>
      </c>
      <c r="P129" s="2">
        <v>7705.8628322999994</v>
      </c>
      <c r="R129" s="6"/>
      <c r="S129" s="1">
        <v>0</v>
      </c>
      <c r="T129" s="1">
        <v>13320.750632965201</v>
      </c>
      <c r="U129" s="1">
        <v>8705.0353863178516</v>
      </c>
      <c r="V129" s="1">
        <v>7705.8628322999994</v>
      </c>
      <c r="W129" s="1">
        <v>10258.62136018938</v>
      </c>
      <c r="Y129" s="6"/>
      <c r="Z129" s="1">
        <v>0</v>
      </c>
      <c r="AA129" s="1">
        <v>0</v>
      </c>
      <c r="AB129" s="6"/>
      <c r="AC129" s="1">
        <v>0</v>
      </c>
      <c r="AD129" s="1">
        <v>8.4999999999999992E-2</v>
      </c>
      <c r="AE129" s="1">
        <v>0</v>
      </c>
      <c r="AF129" s="1">
        <v>0</v>
      </c>
      <c r="AG129" s="1">
        <v>0</v>
      </c>
      <c r="AI129" s="6"/>
      <c r="AJ129" s="1">
        <v>-9990.5629747239</v>
      </c>
      <c r="AK129" s="6"/>
    </row>
    <row r="130" spans="1:37">
      <c r="A130" s="13">
        <v>126</v>
      </c>
      <c r="B130" s="1">
        <f t="shared" si="5"/>
        <v>10258.62136018938</v>
      </c>
      <c r="C130" s="15">
        <f t="shared" si="6"/>
        <v>0.23637616050000002</v>
      </c>
      <c r="D130" s="1">
        <f t="shared" si="7"/>
        <v>7705.8628322999994</v>
      </c>
      <c r="E130" s="15">
        <f t="shared" si="8"/>
        <v>0.23637616049999999</v>
      </c>
      <c r="F130" s="15"/>
      <c r="G130" s="1">
        <f t="shared" si="9"/>
        <v>58035.075807510613</v>
      </c>
      <c r="I130" s="13">
        <v>127</v>
      </c>
      <c r="J130" s="2">
        <v>0</v>
      </c>
      <c r="K130" s="2">
        <v>41996.963607079451</v>
      </c>
      <c r="L130" s="2">
        <v>540.59103769148419</v>
      </c>
      <c r="M130" s="2">
        <v>0</v>
      </c>
      <c r="N130" s="2">
        <v>9927.3084030566406</v>
      </c>
      <c r="O130" s="2">
        <v>0</v>
      </c>
      <c r="P130" s="2">
        <v>7456.9938943999996</v>
      </c>
      <c r="R130" s="6"/>
      <c r="S130" s="1">
        <v>0</v>
      </c>
      <c r="T130" s="1">
        <v>13320.750632965201</v>
      </c>
      <c r="U130" s="1">
        <v>10379.222414862381</v>
      </c>
      <c r="V130" s="1">
        <v>7456.9938943999996</v>
      </c>
      <c r="W130" s="1">
        <v>9927.3084030566406</v>
      </c>
      <c r="Y130" s="6"/>
      <c r="Z130" s="1">
        <v>0</v>
      </c>
      <c r="AA130" s="1">
        <v>0</v>
      </c>
      <c r="AB130" s="6"/>
      <c r="AC130" s="1">
        <v>0</v>
      </c>
      <c r="AD130" s="1">
        <v>8.4999999999999992E-2</v>
      </c>
      <c r="AE130" s="1">
        <v>0</v>
      </c>
      <c r="AF130" s="1">
        <v>0</v>
      </c>
      <c r="AG130" s="1">
        <v>0</v>
      </c>
      <c r="AI130" s="6"/>
      <c r="AJ130" s="1">
        <v>-9990.5629747239</v>
      </c>
      <c r="AK130" s="6"/>
    </row>
    <row r="131" spans="1:37">
      <c r="A131" s="13">
        <v>127</v>
      </c>
      <c r="B131" s="1">
        <f t="shared" si="5"/>
        <v>9927.3084030566406</v>
      </c>
      <c r="C131" s="15">
        <f t="shared" si="6"/>
        <v>0.22874214400000004</v>
      </c>
      <c r="D131" s="1">
        <f t="shared" si="7"/>
        <v>7456.9938943999996</v>
      </c>
      <c r="E131" s="15">
        <f t="shared" si="8"/>
        <v>0.22874214399999998</v>
      </c>
      <c r="F131" s="15"/>
      <c r="G131" s="1">
        <f t="shared" si="9"/>
        <v>58615.257702543357</v>
      </c>
      <c r="I131" s="13">
        <v>128</v>
      </c>
      <c r="J131" s="2">
        <v>1089.0108605099999</v>
      </c>
      <c r="K131" s="2">
        <v>40071.69526356073</v>
      </c>
      <c r="L131" s="2">
        <v>540.59103769148419</v>
      </c>
      <c r="M131" s="2">
        <v>200.59671567996</v>
      </c>
      <c r="N131" s="2">
        <v>9472.2104396998202</v>
      </c>
      <c r="O131" s="2">
        <v>150.68016660000001</v>
      </c>
      <c r="P131" s="2">
        <v>7115.1426497000002</v>
      </c>
      <c r="R131" s="6"/>
      <c r="S131" s="1">
        <v>0</v>
      </c>
      <c r="T131" s="1">
        <v>13320.750632965201</v>
      </c>
      <c r="U131" s="1">
        <v>9349.1081156305354</v>
      </c>
      <c r="V131" s="1">
        <v>7265.8228163000003</v>
      </c>
      <c r="W131" s="1">
        <v>9672.8071553797799</v>
      </c>
      <c r="Y131" s="6"/>
      <c r="Z131" s="1">
        <v>0</v>
      </c>
      <c r="AA131" s="1">
        <v>0</v>
      </c>
      <c r="AB131" s="6"/>
      <c r="AC131" s="1">
        <v>0.01</v>
      </c>
      <c r="AD131" s="1">
        <v>8.4999999999999992E-2</v>
      </c>
      <c r="AE131" s="1">
        <v>1.428571428571429E-2</v>
      </c>
      <c r="AF131" s="1">
        <v>0.01</v>
      </c>
      <c r="AG131" s="1">
        <v>0.01</v>
      </c>
      <c r="AI131" s="6"/>
      <c r="AJ131" s="1">
        <v>-9990.5629747239</v>
      </c>
      <c r="AK131" s="6"/>
    </row>
    <row r="132" spans="1:37">
      <c r="A132" s="13">
        <v>128</v>
      </c>
      <c r="B132" s="1">
        <f t="shared" si="5"/>
        <v>9672.8071553797799</v>
      </c>
      <c r="C132" s="15">
        <f t="shared" si="6"/>
        <v>0.22287800050000001</v>
      </c>
      <c r="D132" s="1">
        <f t="shared" si="7"/>
        <v>7265.8228163000003</v>
      </c>
      <c r="E132" s="15">
        <f t="shared" si="8"/>
        <v>0.22287800050000001</v>
      </c>
      <c r="F132" s="15"/>
      <c r="G132" s="1">
        <f t="shared" si="9"/>
        <v>59060.930028320217</v>
      </c>
      <c r="I132" s="13">
        <v>129</v>
      </c>
      <c r="J132" s="2">
        <v>0</v>
      </c>
      <c r="K132" s="2">
        <v>36285.904854369634</v>
      </c>
      <c r="L132" s="2">
        <v>540.59103769148419</v>
      </c>
      <c r="M132" s="2">
        <v>5364.4511128083004</v>
      </c>
      <c r="N132" s="2">
        <v>9357.6268128889187</v>
      </c>
      <c r="O132" s="2">
        <v>4029.5594305</v>
      </c>
      <c r="P132" s="2">
        <v>7029.0720481999997</v>
      </c>
      <c r="R132" s="6"/>
      <c r="S132" s="1">
        <v>0</v>
      </c>
      <c r="T132" s="1">
        <v>13320.750632965201</v>
      </c>
      <c r="U132" s="1">
        <v>5218.9351847931284</v>
      </c>
      <c r="V132" s="1">
        <v>11058.631478699999</v>
      </c>
      <c r="W132" s="1">
        <v>14722.07792569722</v>
      </c>
      <c r="Y132" s="6"/>
      <c r="Z132" s="1">
        <v>0</v>
      </c>
      <c r="AA132" s="1">
        <v>0</v>
      </c>
      <c r="AB132" s="6"/>
      <c r="AC132" s="1">
        <v>0</v>
      </c>
      <c r="AD132" s="1">
        <v>8.4999999999999992E-2</v>
      </c>
      <c r="AE132" s="1">
        <v>0</v>
      </c>
      <c r="AF132" s="1">
        <v>0</v>
      </c>
      <c r="AG132" s="1">
        <v>0</v>
      </c>
      <c r="AI132" s="6"/>
      <c r="AJ132" s="1">
        <v>-9990.5629747239</v>
      </c>
      <c r="AK132" s="6"/>
    </row>
    <row r="133" spans="1:37">
      <c r="A133" s="13">
        <v>129</v>
      </c>
      <c r="B133" s="1">
        <f t="shared" ref="B133:B171" si="10">N132+M132</f>
        <v>14722.07792569722</v>
      </c>
      <c r="C133" s="15">
        <f t="shared" ref="C133:C171" si="11">B133/$B$2</f>
        <v>0.33922182450000005</v>
      </c>
      <c r="D133" s="1">
        <f t="shared" ref="D133:D171" si="12">O132+P132</f>
        <v>11058.631478699999</v>
      </c>
      <c r="E133" s="15">
        <f t="shared" ref="E133:E171" si="13">D133/$D$2</f>
        <v>0.33922182449999999</v>
      </c>
      <c r="F133" s="15"/>
      <c r="G133" s="1">
        <f t="shared" ref="G133:G171" si="14">$B$2+$D$2-B133-D133</f>
        <v>50218.85059560278</v>
      </c>
      <c r="I133" s="13">
        <v>130</v>
      </c>
      <c r="J133" s="2">
        <v>0</v>
      </c>
      <c r="K133" s="2">
        <v>23820.816443866181</v>
      </c>
      <c r="L133" s="2">
        <v>540.59103769148419</v>
      </c>
      <c r="M133" s="2">
        <v>13085.592141765541</v>
      </c>
      <c r="N133" s="2">
        <v>9516.7421423217602</v>
      </c>
      <c r="O133" s="2">
        <v>9829.3693258999992</v>
      </c>
      <c r="P133" s="2">
        <v>7148.5930695999996</v>
      </c>
      <c r="R133" s="6"/>
      <c r="S133" s="1">
        <v>0</v>
      </c>
      <c r="T133" s="1">
        <v>13320.750632965201</v>
      </c>
      <c r="U133" s="1">
        <v>193.6651326797593</v>
      </c>
      <c r="V133" s="1">
        <v>16977.962395499999</v>
      </c>
      <c r="W133" s="1">
        <v>22602.334284087301</v>
      </c>
      <c r="Y133" s="6"/>
      <c r="Z133" s="1">
        <v>0</v>
      </c>
      <c r="AA133" s="1">
        <v>0</v>
      </c>
      <c r="AB133" s="6"/>
      <c r="AC133" s="1">
        <v>0</v>
      </c>
      <c r="AD133" s="1">
        <v>8.4999999999999992E-2</v>
      </c>
      <c r="AE133" s="1">
        <v>0</v>
      </c>
      <c r="AF133" s="1">
        <v>0</v>
      </c>
      <c r="AG133" s="1">
        <v>0</v>
      </c>
      <c r="AI133" s="6"/>
      <c r="AJ133" s="1">
        <v>-9990.5629747239</v>
      </c>
      <c r="AK133" s="6"/>
    </row>
    <row r="134" spans="1:37">
      <c r="A134" s="13">
        <v>130</v>
      </c>
      <c r="B134" s="1">
        <f t="shared" si="10"/>
        <v>22602.334284087301</v>
      </c>
      <c r="C134" s="15">
        <f t="shared" si="11"/>
        <v>0.52079639250000009</v>
      </c>
      <c r="D134" s="1">
        <f t="shared" si="12"/>
        <v>16977.962395499999</v>
      </c>
      <c r="E134" s="15">
        <f t="shared" si="13"/>
        <v>0.52079639249999998</v>
      </c>
      <c r="F134" s="15"/>
      <c r="G134" s="1">
        <f t="shared" si="14"/>
        <v>36419.263320412698</v>
      </c>
      <c r="I134" s="13">
        <v>131</v>
      </c>
      <c r="J134" s="2">
        <v>0</v>
      </c>
      <c r="K134" s="2">
        <v>19755.757159317782</v>
      </c>
      <c r="L134" s="2">
        <v>540.59103769148419</v>
      </c>
      <c r="M134" s="2">
        <v>17461.31608443756</v>
      </c>
      <c r="N134" s="2">
        <v>9784.5473515183803</v>
      </c>
      <c r="O134" s="2">
        <v>9782.2688711142873</v>
      </c>
      <c r="P134" s="2">
        <v>7349.7575472999997</v>
      </c>
      <c r="R134" s="6"/>
      <c r="S134" s="1">
        <v>0</v>
      </c>
      <c r="T134" s="1">
        <v>13320.750632965201</v>
      </c>
      <c r="U134" s="1">
        <v>0</v>
      </c>
      <c r="V134" s="1">
        <v>17132.026418414291</v>
      </c>
      <c r="W134" s="1">
        <v>27245.86343595594</v>
      </c>
      <c r="Y134" s="6"/>
      <c r="Z134" s="1">
        <v>0</v>
      </c>
      <c r="AA134" s="1">
        <v>0</v>
      </c>
      <c r="AB134" s="6"/>
      <c r="AC134" s="1">
        <v>0</v>
      </c>
      <c r="AD134" s="1">
        <v>8.4999999999999992E-2</v>
      </c>
      <c r="AE134" s="1">
        <v>0</v>
      </c>
      <c r="AF134" s="1">
        <v>0</v>
      </c>
      <c r="AG134" s="1">
        <v>0</v>
      </c>
      <c r="AI134" s="6"/>
      <c r="AJ134" s="1">
        <v>-9990.5629747239</v>
      </c>
      <c r="AK134" s="6"/>
    </row>
    <row r="135" spans="1:37">
      <c r="A135" s="13">
        <v>131</v>
      </c>
      <c r="B135" s="1">
        <f t="shared" si="10"/>
        <v>27245.86343595594</v>
      </c>
      <c r="C135" s="15">
        <f t="shared" si="11"/>
        <v>0.62779123650000002</v>
      </c>
      <c r="D135" s="1">
        <f t="shared" si="12"/>
        <v>17132.026418414287</v>
      </c>
      <c r="E135" s="15">
        <f t="shared" si="13"/>
        <v>0.52552228277344437</v>
      </c>
      <c r="F135" s="15"/>
      <c r="G135" s="1">
        <f t="shared" si="14"/>
        <v>31621.670145629774</v>
      </c>
      <c r="I135" s="13">
        <v>132</v>
      </c>
      <c r="J135" s="2">
        <v>0</v>
      </c>
      <c r="K135" s="2">
        <v>18604.716496789079</v>
      </c>
      <c r="L135" s="2">
        <v>540.59103769148419</v>
      </c>
      <c r="M135" s="2">
        <v>19105.675872239819</v>
      </c>
      <c r="N135" s="2">
        <v>10225.632226244819</v>
      </c>
      <c r="O135" s="2">
        <v>9415.7156762714312</v>
      </c>
      <c r="P135" s="2">
        <v>7681.0827246999997</v>
      </c>
      <c r="R135" s="6"/>
      <c r="S135" s="1">
        <v>0</v>
      </c>
      <c r="T135" s="1">
        <v>13320.750632965201</v>
      </c>
      <c r="U135" s="1">
        <v>0</v>
      </c>
      <c r="V135" s="1">
        <v>17096.798400971431</v>
      </c>
      <c r="W135" s="1">
        <v>29331.308098484638</v>
      </c>
      <c r="Y135" s="6"/>
      <c r="Z135" s="1">
        <v>0</v>
      </c>
      <c r="AA135" s="1">
        <v>0</v>
      </c>
      <c r="AB135" s="6"/>
      <c r="AC135" s="1">
        <v>0</v>
      </c>
      <c r="AD135" s="1">
        <v>8.4999999999999992E-2</v>
      </c>
      <c r="AE135" s="1">
        <v>0</v>
      </c>
      <c r="AF135" s="1">
        <v>0</v>
      </c>
      <c r="AG135" s="1">
        <v>0</v>
      </c>
      <c r="AI135" s="6"/>
      <c r="AJ135" s="1">
        <v>-9990.5629747239</v>
      </c>
      <c r="AK135" s="6"/>
    </row>
    <row r="136" spans="1:37">
      <c r="A136" s="13">
        <v>132</v>
      </c>
      <c r="B136" s="1">
        <f t="shared" si="10"/>
        <v>29331.308098484638</v>
      </c>
      <c r="C136" s="15">
        <f t="shared" si="11"/>
        <v>0.67584344399999996</v>
      </c>
      <c r="D136" s="1">
        <f t="shared" si="12"/>
        <v>17096.798400971431</v>
      </c>
      <c r="E136" s="15">
        <f t="shared" si="13"/>
        <v>0.52444166874145492</v>
      </c>
      <c r="F136" s="15"/>
      <c r="G136" s="1">
        <f t="shared" si="14"/>
        <v>29571.453500543928</v>
      </c>
      <c r="I136" s="13">
        <v>133</v>
      </c>
      <c r="J136" s="2">
        <v>0</v>
      </c>
      <c r="K136" s="2">
        <v>18935.79201710728</v>
      </c>
      <c r="L136" s="2">
        <v>540.59103769148419</v>
      </c>
      <c r="M136" s="2">
        <v>19019.077952599979</v>
      </c>
      <c r="N136" s="2">
        <v>10311.965625566459</v>
      </c>
      <c r="O136" s="2">
        <v>9350.8655068714306</v>
      </c>
      <c r="P136" s="2">
        <v>7745.9328941000003</v>
      </c>
      <c r="R136" s="6"/>
      <c r="S136" s="1">
        <v>0</v>
      </c>
      <c r="T136" s="1">
        <v>13320.750632965201</v>
      </c>
      <c r="U136" s="1">
        <v>0</v>
      </c>
      <c r="V136" s="1">
        <v>17096.798400971431</v>
      </c>
      <c r="W136" s="1">
        <v>29331.043578166438</v>
      </c>
      <c r="Y136" s="6"/>
      <c r="Z136" s="1">
        <v>0</v>
      </c>
      <c r="AA136" s="1">
        <v>0</v>
      </c>
      <c r="AB136" s="6"/>
      <c r="AC136" s="1">
        <v>0</v>
      </c>
      <c r="AD136" s="1">
        <v>8.4999999999999992E-2</v>
      </c>
      <c r="AE136" s="1">
        <v>0</v>
      </c>
      <c r="AF136" s="1">
        <v>0</v>
      </c>
      <c r="AG136" s="1">
        <v>0</v>
      </c>
      <c r="AI136" s="6"/>
      <c r="AJ136" s="1">
        <v>-9990.5629747239</v>
      </c>
      <c r="AK136" s="6"/>
    </row>
    <row r="137" spans="1:37">
      <c r="A137" s="13">
        <v>133</v>
      </c>
      <c r="B137" s="1">
        <f t="shared" si="10"/>
        <v>29331.043578166438</v>
      </c>
      <c r="C137" s="15">
        <f t="shared" si="11"/>
        <v>0.67583734900000003</v>
      </c>
      <c r="D137" s="1">
        <f t="shared" si="12"/>
        <v>17096.798400971431</v>
      </c>
      <c r="E137" s="15">
        <f t="shared" si="13"/>
        <v>0.52444166874145492</v>
      </c>
      <c r="F137" s="15"/>
      <c r="G137" s="1">
        <f t="shared" si="14"/>
        <v>29571.718020862125</v>
      </c>
      <c r="I137" s="13">
        <v>134</v>
      </c>
      <c r="J137" s="2">
        <v>0</v>
      </c>
      <c r="K137" s="2">
        <v>19701.035494849661</v>
      </c>
      <c r="L137" s="2">
        <v>540.59103769148419</v>
      </c>
      <c r="M137" s="2">
        <v>17507.187336178678</v>
      </c>
      <c r="N137" s="2">
        <v>10005.71476424538</v>
      </c>
      <c r="O137" s="2">
        <v>9616.136826114287</v>
      </c>
      <c r="P137" s="2">
        <v>7515.8895923</v>
      </c>
      <c r="R137" s="6"/>
      <c r="S137" s="1">
        <v>0</v>
      </c>
      <c r="T137" s="1">
        <v>13320.750632965201</v>
      </c>
      <c r="U137" s="1">
        <v>0</v>
      </c>
      <c r="V137" s="1">
        <v>17132.026418414291</v>
      </c>
      <c r="W137" s="1">
        <v>27512.90210042406</v>
      </c>
      <c r="Y137" s="6"/>
      <c r="Z137" s="1">
        <v>0</v>
      </c>
      <c r="AA137" s="1">
        <v>0</v>
      </c>
      <c r="AB137" s="6"/>
      <c r="AC137" s="1">
        <v>0</v>
      </c>
      <c r="AD137" s="1">
        <v>8.4999999999999992E-2</v>
      </c>
      <c r="AE137" s="1">
        <v>0</v>
      </c>
      <c r="AF137" s="1">
        <v>0</v>
      </c>
      <c r="AG137" s="1">
        <v>0</v>
      </c>
      <c r="AI137" s="6"/>
      <c r="AJ137" s="1">
        <v>-9990.5629747239</v>
      </c>
      <c r="AK137" s="6"/>
    </row>
    <row r="138" spans="1:37">
      <c r="A138" s="13">
        <v>134</v>
      </c>
      <c r="B138" s="1">
        <f t="shared" si="10"/>
        <v>27512.902100424057</v>
      </c>
      <c r="C138" s="15">
        <f t="shared" si="11"/>
        <v>0.63394426349999999</v>
      </c>
      <c r="D138" s="1">
        <f t="shared" si="12"/>
        <v>17132.026418414287</v>
      </c>
      <c r="E138" s="15">
        <f t="shared" si="13"/>
        <v>0.52552228277344437</v>
      </c>
      <c r="F138" s="15"/>
      <c r="G138" s="1">
        <f t="shared" si="14"/>
        <v>31354.631481161654</v>
      </c>
      <c r="I138" s="13">
        <v>135</v>
      </c>
      <c r="J138" s="2">
        <v>0</v>
      </c>
      <c r="K138" s="2">
        <v>22634.265073426661</v>
      </c>
      <c r="L138" s="2">
        <v>540.59103769148419</v>
      </c>
      <c r="M138" s="2">
        <v>14607.48485948202</v>
      </c>
      <c r="N138" s="2">
        <v>9420.9826623650388</v>
      </c>
      <c r="O138" s="2">
        <v>10020.13599257143</v>
      </c>
      <c r="P138" s="2">
        <v>7076.6624083999995</v>
      </c>
      <c r="R138" s="6"/>
      <c r="S138" s="1">
        <v>0</v>
      </c>
      <c r="T138" s="1">
        <v>13320.750632965201</v>
      </c>
      <c r="U138" s="1">
        <v>0</v>
      </c>
      <c r="V138" s="1">
        <v>17096.798400971431</v>
      </c>
      <c r="W138" s="1">
        <v>24028.467521847058</v>
      </c>
      <c r="Y138" s="6"/>
      <c r="Z138" s="1">
        <v>0</v>
      </c>
      <c r="AA138" s="1">
        <v>0</v>
      </c>
      <c r="AB138" s="6"/>
      <c r="AC138" s="1">
        <v>0</v>
      </c>
      <c r="AD138" s="1">
        <v>8.4999999999999992E-2</v>
      </c>
      <c r="AE138" s="1">
        <v>0</v>
      </c>
      <c r="AF138" s="1">
        <v>0</v>
      </c>
      <c r="AG138" s="1">
        <v>0</v>
      </c>
      <c r="AI138" s="6"/>
      <c r="AJ138" s="1">
        <v>-9990.5629747239</v>
      </c>
      <c r="AK138" s="6"/>
    </row>
    <row r="139" spans="1:37">
      <c r="A139" s="13">
        <v>135</v>
      </c>
      <c r="B139" s="1">
        <f t="shared" si="10"/>
        <v>24028.467521847058</v>
      </c>
      <c r="C139" s="15">
        <f t="shared" si="11"/>
        <v>0.55365693849999997</v>
      </c>
      <c r="D139" s="1">
        <f t="shared" si="12"/>
        <v>17096.798400971427</v>
      </c>
      <c r="E139" s="15">
        <f t="shared" si="13"/>
        <v>0.52444166874145481</v>
      </c>
      <c r="F139" s="15"/>
      <c r="G139" s="1">
        <f t="shared" si="14"/>
        <v>34874.294077181512</v>
      </c>
      <c r="I139" s="13">
        <v>136</v>
      </c>
      <c r="J139" s="2">
        <v>0</v>
      </c>
      <c r="K139" s="2">
        <v>32131.85183410189</v>
      </c>
      <c r="L139" s="2">
        <v>540.59103769148419</v>
      </c>
      <c r="M139" s="2">
        <v>9469.2378519369595</v>
      </c>
      <c r="N139" s="2">
        <v>8951.7328185849601</v>
      </c>
      <c r="O139" s="2">
        <v>7112.9097615999999</v>
      </c>
      <c r="P139" s="2">
        <v>6724.1808416000003</v>
      </c>
      <c r="R139" s="6"/>
      <c r="S139" s="1">
        <v>0</v>
      </c>
      <c r="T139" s="1">
        <v>13320.750632965201</v>
      </c>
      <c r="U139" s="1">
        <v>3531.9259093500968</v>
      </c>
      <c r="V139" s="1">
        <v>13837.0906032</v>
      </c>
      <c r="W139" s="1">
        <v>18420.970670521921</v>
      </c>
      <c r="Y139" s="6"/>
      <c r="Z139" s="1">
        <v>0</v>
      </c>
      <c r="AA139" s="1">
        <v>0</v>
      </c>
      <c r="AB139" s="6"/>
      <c r="AC139" s="1">
        <v>0</v>
      </c>
      <c r="AD139" s="1">
        <v>8.4999999999999992E-2</v>
      </c>
      <c r="AE139" s="1">
        <v>0</v>
      </c>
      <c r="AF139" s="1">
        <v>0</v>
      </c>
      <c r="AG139" s="1">
        <v>0</v>
      </c>
      <c r="AI139" s="6"/>
      <c r="AJ139" s="1">
        <v>-9990.5629747239</v>
      </c>
      <c r="AK139" s="6"/>
    </row>
    <row r="140" spans="1:37">
      <c r="A140" s="13">
        <v>136</v>
      </c>
      <c r="B140" s="1">
        <f t="shared" si="10"/>
        <v>18420.970670521921</v>
      </c>
      <c r="C140" s="15">
        <f t="shared" si="11"/>
        <v>0.42445063200000005</v>
      </c>
      <c r="D140" s="1">
        <f t="shared" si="12"/>
        <v>13837.0906032</v>
      </c>
      <c r="E140" s="15">
        <f t="shared" si="13"/>
        <v>0.42445063199999999</v>
      </c>
      <c r="F140" s="15"/>
      <c r="G140" s="1">
        <f t="shared" si="14"/>
        <v>43741.498726278078</v>
      </c>
      <c r="I140" s="13">
        <v>137</v>
      </c>
      <c r="J140" s="2">
        <v>13138.253163345</v>
      </c>
      <c r="K140" s="2">
        <v>31635.808139735909</v>
      </c>
      <c r="L140" s="2">
        <v>540.59103769148419</v>
      </c>
      <c r="M140" s="2">
        <v>2420.07727370562</v>
      </c>
      <c r="N140" s="2">
        <v>7478.1221547680398</v>
      </c>
      <c r="O140" s="2">
        <v>1817.8644927</v>
      </c>
      <c r="P140" s="2">
        <v>5617.2639134000001</v>
      </c>
      <c r="R140" s="6"/>
      <c r="S140" s="1">
        <v>0</v>
      </c>
      <c r="T140" s="1">
        <v>8905.9821912670122</v>
      </c>
      <c r="U140" s="1">
        <v>11426.43306657904</v>
      </c>
      <c r="V140" s="1">
        <v>7435.1284061000006</v>
      </c>
      <c r="W140" s="1">
        <v>9898.1994284736593</v>
      </c>
      <c r="Y140" s="6"/>
      <c r="Z140" s="1">
        <v>0</v>
      </c>
      <c r="AA140" s="1">
        <v>0</v>
      </c>
      <c r="AB140" s="6"/>
      <c r="AC140" s="1">
        <v>6.3749999999999987E-2</v>
      </c>
      <c r="AD140" s="1">
        <v>8.4999999999999992E-2</v>
      </c>
      <c r="AE140" s="1">
        <v>9.1071428571428567E-2</v>
      </c>
      <c r="AF140" s="1">
        <v>6.3749999999999987E-2</v>
      </c>
      <c r="AG140" s="1">
        <v>6.3749999999999987E-2</v>
      </c>
      <c r="AI140" s="6"/>
      <c r="AJ140" s="1">
        <v>-6679.4866434502592</v>
      </c>
      <c r="AK140" s="6"/>
    </row>
    <row r="141" spans="1:37">
      <c r="A141" s="13">
        <v>137</v>
      </c>
      <c r="B141" s="1">
        <f t="shared" si="10"/>
        <v>9898.1994284736593</v>
      </c>
      <c r="C141" s="15">
        <f t="shared" si="11"/>
        <v>0.22807142350000001</v>
      </c>
      <c r="D141" s="1">
        <f t="shared" si="12"/>
        <v>7435.1284061000006</v>
      </c>
      <c r="E141" s="15">
        <f t="shared" si="13"/>
        <v>0.22807142350000001</v>
      </c>
      <c r="F141" s="15"/>
      <c r="G141" s="1">
        <f t="shared" si="14"/>
        <v>58666.232165426336</v>
      </c>
      <c r="I141" s="13">
        <v>138</v>
      </c>
      <c r="J141" s="2">
        <v>27.28481605</v>
      </c>
      <c r="K141" s="2">
        <v>31769.808116109591</v>
      </c>
      <c r="L141" s="2">
        <v>540.59103769148419</v>
      </c>
      <c r="M141" s="2">
        <v>5.0258860457999992</v>
      </c>
      <c r="N141" s="2">
        <v>7509.7972802344802</v>
      </c>
      <c r="O141" s="2">
        <v>3.7752430000000001</v>
      </c>
      <c r="P141" s="2">
        <v>5641.0569908000007</v>
      </c>
      <c r="R141" s="6"/>
      <c r="S141" s="1">
        <v>17784.210574776611</v>
      </c>
      <c r="T141" s="1">
        <v>0</v>
      </c>
      <c r="U141" s="1">
        <v>13990.84870216647</v>
      </c>
      <c r="V141" s="1">
        <v>5644.8322338000007</v>
      </c>
      <c r="W141" s="1">
        <v>7514.82316628028</v>
      </c>
      <c r="Y141" s="6"/>
      <c r="Z141" s="1">
        <v>0</v>
      </c>
      <c r="AA141" s="1">
        <v>0</v>
      </c>
      <c r="AB141" s="6"/>
      <c r="AC141" s="1">
        <v>9.9999999999999992E-2</v>
      </c>
      <c r="AD141" s="1">
        <v>8.4999999999999992E-2</v>
      </c>
      <c r="AE141" s="1">
        <v>0.14285714285714279</v>
      </c>
      <c r="AF141" s="1">
        <v>9.9999999999999992E-2</v>
      </c>
      <c r="AG141" s="1">
        <v>9.9999999999999992E-2</v>
      </c>
      <c r="AI141" s="6"/>
      <c r="AJ141" s="1">
        <v>17784.210574776611</v>
      </c>
      <c r="AK141" s="6"/>
    </row>
    <row r="142" spans="1:37">
      <c r="A142" s="13">
        <v>138</v>
      </c>
      <c r="B142" s="1">
        <f t="shared" si="10"/>
        <v>7514.82316628028</v>
      </c>
      <c r="C142" s="15">
        <f t="shared" si="11"/>
        <v>0.17315436300000001</v>
      </c>
      <c r="D142" s="1">
        <f t="shared" si="12"/>
        <v>5644.8322338000007</v>
      </c>
      <c r="E142" s="15">
        <f t="shared" si="13"/>
        <v>0.17315436300000003</v>
      </c>
      <c r="F142" s="15"/>
      <c r="G142" s="1">
        <f t="shared" si="14"/>
        <v>62839.904599919711</v>
      </c>
      <c r="I142" s="13">
        <v>139</v>
      </c>
      <c r="J142" s="2">
        <v>0</v>
      </c>
      <c r="K142" s="2">
        <v>35284.882191248769</v>
      </c>
      <c r="L142" s="2">
        <v>540.59103769148419</v>
      </c>
      <c r="M142" s="2">
        <v>0</v>
      </c>
      <c r="N142" s="2">
        <v>8340.6960263908204</v>
      </c>
      <c r="O142" s="2">
        <v>0</v>
      </c>
      <c r="P142" s="2">
        <v>6265.1946347000003</v>
      </c>
      <c r="R142" s="6"/>
      <c r="S142" s="1">
        <v>8697.815544126639</v>
      </c>
      <c r="T142" s="1">
        <v>0</v>
      </c>
      <c r="U142" s="1">
        <v>12100.131467838721</v>
      </c>
      <c r="V142" s="1">
        <v>6265.1946347000003</v>
      </c>
      <c r="W142" s="1">
        <v>8340.6960263908204</v>
      </c>
      <c r="Y142" s="6"/>
      <c r="Z142" s="1">
        <v>0</v>
      </c>
      <c r="AA142" s="1">
        <v>0</v>
      </c>
      <c r="AB142" s="6"/>
      <c r="AC142" s="1">
        <v>9.9999999999999992E-2</v>
      </c>
      <c r="AD142" s="1">
        <v>8.4999999999999992E-2</v>
      </c>
      <c r="AE142" s="1">
        <v>0.14285714285714279</v>
      </c>
      <c r="AF142" s="1">
        <v>9.9999999999999992E-2</v>
      </c>
      <c r="AG142" s="1">
        <v>9.9999999999999992E-2</v>
      </c>
      <c r="AI142" s="6"/>
      <c r="AJ142" s="1">
        <v>8697.815544126639</v>
      </c>
      <c r="AK142" s="6"/>
    </row>
    <row r="143" spans="1:37">
      <c r="A143" s="13">
        <v>139</v>
      </c>
      <c r="B143" s="1">
        <f t="shared" si="10"/>
        <v>8340.6960263908204</v>
      </c>
      <c r="C143" s="15">
        <f t="shared" si="11"/>
        <v>0.19218388450000001</v>
      </c>
      <c r="D143" s="1">
        <f t="shared" si="12"/>
        <v>6265.1946347000003</v>
      </c>
      <c r="E143" s="15">
        <f t="shared" si="13"/>
        <v>0.19218388450000001</v>
      </c>
      <c r="F143" s="15"/>
      <c r="G143" s="1">
        <f t="shared" si="14"/>
        <v>61393.669338909174</v>
      </c>
      <c r="I143" s="13">
        <v>140</v>
      </c>
      <c r="J143" s="2">
        <v>0</v>
      </c>
      <c r="K143" s="2">
        <v>37972.3074040961</v>
      </c>
      <c r="L143" s="2">
        <v>540.59103769148419</v>
      </c>
      <c r="M143" s="2">
        <v>0</v>
      </c>
      <c r="N143" s="2">
        <v>8975.9538309238196</v>
      </c>
      <c r="O143" s="2">
        <v>0</v>
      </c>
      <c r="P143" s="2">
        <v>6742.3746897000001</v>
      </c>
      <c r="R143" s="6"/>
      <c r="S143" s="1">
        <v>0</v>
      </c>
      <c r="T143" s="1">
        <v>0</v>
      </c>
      <c r="U143" s="1">
        <v>10433.60349017075</v>
      </c>
      <c r="V143" s="1">
        <v>6742.3746897000001</v>
      </c>
      <c r="W143" s="1">
        <v>8975.9538309238196</v>
      </c>
      <c r="Y143" s="6"/>
      <c r="Z143" s="1">
        <v>0</v>
      </c>
      <c r="AA143" s="1">
        <v>0</v>
      </c>
      <c r="AB143" s="6"/>
      <c r="AC143" s="1">
        <v>9.0000000000000011E-2</v>
      </c>
      <c r="AD143" s="1">
        <v>8.4999999999999992E-2</v>
      </c>
      <c r="AE143" s="1">
        <v>0.12857142857142859</v>
      </c>
      <c r="AF143" s="1">
        <v>9.0000000000000011E-2</v>
      </c>
      <c r="AG143" s="1">
        <v>9.0000000000000011E-2</v>
      </c>
      <c r="AI143" s="6"/>
      <c r="AJ143" s="1">
        <v>0</v>
      </c>
      <c r="AK143" s="6"/>
    </row>
    <row r="144" spans="1:37">
      <c r="A144" s="13">
        <v>140</v>
      </c>
      <c r="B144" s="1">
        <f t="shared" si="10"/>
        <v>8975.9538309238196</v>
      </c>
      <c r="C144" s="15">
        <f t="shared" si="11"/>
        <v>0.20682130949999999</v>
      </c>
      <c r="D144" s="1">
        <f t="shared" si="12"/>
        <v>6742.3746897000001</v>
      </c>
      <c r="E144" s="15">
        <f t="shared" si="13"/>
        <v>0.20682130949999999</v>
      </c>
      <c r="F144" s="15"/>
      <c r="G144" s="1">
        <f t="shared" si="14"/>
        <v>60281.231479376169</v>
      </c>
      <c r="I144" s="13">
        <v>141</v>
      </c>
      <c r="J144" s="2">
        <v>0</v>
      </c>
      <c r="K144" s="2">
        <v>39676.274901108052</v>
      </c>
      <c r="L144" s="2">
        <v>540.59103769148419</v>
      </c>
      <c r="M144" s="2">
        <v>0</v>
      </c>
      <c r="N144" s="2">
        <v>9378.7403516324393</v>
      </c>
      <c r="O144" s="2">
        <v>0</v>
      </c>
      <c r="P144" s="2">
        <v>7044.9316873999996</v>
      </c>
      <c r="R144" s="6"/>
      <c r="S144" s="1">
        <v>0</v>
      </c>
      <c r="T144" s="1">
        <v>2637.120416856118</v>
      </c>
      <c r="U144" s="1">
        <v>10106.779093785961</v>
      </c>
      <c r="V144" s="1">
        <v>7044.9316873999996</v>
      </c>
      <c r="W144" s="1">
        <v>9378.7403516324393</v>
      </c>
      <c r="Y144" s="6"/>
      <c r="Z144" s="1">
        <v>0</v>
      </c>
      <c r="AA144" s="1">
        <v>0</v>
      </c>
      <c r="AB144" s="6"/>
      <c r="AC144" s="1">
        <v>6.3749999999999987E-2</v>
      </c>
      <c r="AD144" s="1">
        <v>8.4999999999999992E-2</v>
      </c>
      <c r="AE144" s="1">
        <v>9.1071428571428567E-2</v>
      </c>
      <c r="AF144" s="1">
        <v>6.3749999999999987E-2</v>
      </c>
      <c r="AG144" s="1">
        <v>6.3749999999999987E-2</v>
      </c>
      <c r="AI144" s="6"/>
      <c r="AJ144" s="1">
        <v>-1977.840312642089</v>
      </c>
      <c r="AK144" s="6"/>
    </row>
    <row r="145" spans="1:37">
      <c r="A145" s="13">
        <v>141</v>
      </c>
      <c r="B145" s="1">
        <f t="shared" si="10"/>
        <v>9378.7403516324393</v>
      </c>
      <c r="C145" s="15">
        <f t="shared" si="11"/>
        <v>0.21610219899999999</v>
      </c>
      <c r="D145" s="1">
        <f t="shared" si="12"/>
        <v>7044.9316873999996</v>
      </c>
      <c r="E145" s="15">
        <f t="shared" si="13"/>
        <v>0.21610219899999999</v>
      </c>
      <c r="F145" s="15"/>
      <c r="G145" s="1">
        <f t="shared" si="14"/>
        <v>59575.887960967557</v>
      </c>
      <c r="I145" s="13">
        <v>142</v>
      </c>
      <c r="J145" s="2">
        <v>0</v>
      </c>
      <c r="K145" s="2">
        <v>42088.032491575963</v>
      </c>
      <c r="L145" s="2">
        <v>540.59103769148419</v>
      </c>
      <c r="M145" s="2">
        <v>0</v>
      </c>
      <c r="N145" s="2">
        <v>9948.8354094082788</v>
      </c>
      <c r="O145" s="2">
        <v>0</v>
      </c>
      <c r="P145" s="2">
        <v>7473.1641138000005</v>
      </c>
      <c r="R145" s="6"/>
      <c r="S145" s="1">
        <v>0</v>
      </c>
      <c r="T145" s="1">
        <v>7728.8445935655927</v>
      </c>
      <c r="U145" s="1">
        <v>9601.720872647782</v>
      </c>
      <c r="V145" s="1">
        <v>7473.1641138000005</v>
      </c>
      <c r="W145" s="1">
        <v>9948.8354094082788</v>
      </c>
      <c r="Y145" s="6"/>
      <c r="Z145" s="1">
        <v>0</v>
      </c>
      <c r="AA145" s="1">
        <v>0</v>
      </c>
      <c r="AB145" s="6"/>
      <c r="AC145" s="1">
        <v>6.3749999999999987E-2</v>
      </c>
      <c r="AD145" s="1">
        <v>8.4999999999999992E-2</v>
      </c>
      <c r="AE145" s="1">
        <v>9.1071428571428567E-2</v>
      </c>
      <c r="AF145" s="1">
        <v>6.3749999999999987E-2</v>
      </c>
      <c r="AG145" s="1">
        <v>6.3749999999999987E-2</v>
      </c>
      <c r="AI145" s="6"/>
      <c r="AJ145" s="1">
        <v>-5796.633445174195</v>
      </c>
      <c r="AK145" s="6"/>
    </row>
    <row r="146" spans="1:37">
      <c r="A146" s="13">
        <v>142</v>
      </c>
      <c r="B146" s="1">
        <f t="shared" si="10"/>
        <v>9948.8354094082788</v>
      </c>
      <c r="C146" s="15">
        <f t="shared" si="11"/>
        <v>0.22923816299999999</v>
      </c>
      <c r="D146" s="1">
        <f t="shared" si="12"/>
        <v>7473.1641138000005</v>
      </c>
      <c r="E146" s="15">
        <f t="shared" si="13"/>
        <v>0.22923816300000002</v>
      </c>
      <c r="F146" s="15"/>
      <c r="G146" s="1">
        <f t="shared" si="14"/>
        <v>58577.560476791725</v>
      </c>
      <c r="I146" s="13">
        <v>143</v>
      </c>
      <c r="J146" s="2">
        <v>0</v>
      </c>
      <c r="K146" s="2">
        <v>44627.775519484123</v>
      </c>
      <c r="L146" s="2">
        <v>540.59103769148419</v>
      </c>
      <c r="M146" s="2">
        <v>0</v>
      </c>
      <c r="N146" s="2">
        <v>10549.18386646452</v>
      </c>
      <c r="O146" s="2">
        <v>0</v>
      </c>
      <c r="P146" s="2">
        <v>7924.1216742000006</v>
      </c>
      <c r="R146" s="6"/>
      <c r="S146" s="1">
        <v>0</v>
      </c>
      <c r="T146" s="1">
        <v>13320.750632965201</v>
      </c>
      <c r="U146" s="1">
        <v>9147.5553774089112</v>
      </c>
      <c r="V146" s="1">
        <v>7924.1216742000006</v>
      </c>
      <c r="W146" s="1">
        <v>10549.18386646452</v>
      </c>
      <c r="Y146" s="6"/>
      <c r="Z146" s="1">
        <v>0</v>
      </c>
      <c r="AA146" s="1">
        <v>0</v>
      </c>
      <c r="AB146" s="6"/>
      <c r="AC146" s="1">
        <v>0.01</v>
      </c>
      <c r="AD146" s="1">
        <v>8.4999999999999992E-2</v>
      </c>
      <c r="AE146" s="1">
        <v>1.428571428571429E-2</v>
      </c>
      <c r="AF146" s="1">
        <v>0.01</v>
      </c>
      <c r="AG146" s="1">
        <v>0.01</v>
      </c>
      <c r="AI146" s="6"/>
      <c r="AJ146" s="1">
        <v>-9990.5629747239</v>
      </c>
      <c r="AK146" s="6"/>
    </row>
    <row r="147" spans="1:37">
      <c r="A147" s="13">
        <v>143</v>
      </c>
      <c r="B147" s="1">
        <f t="shared" si="10"/>
        <v>10549.18386646452</v>
      </c>
      <c r="C147" s="15">
        <f t="shared" si="11"/>
        <v>0.24307121700000001</v>
      </c>
      <c r="D147" s="1">
        <f t="shared" si="12"/>
        <v>7924.1216742000006</v>
      </c>
      <c r="E147" s="15">
        <f t="shared" si="13"/>
        <v>0.24307121700000001</v>
      </c>
      <c r="F147" s="15"/>
      <c r="G147" s="1">
        <f t="shared" si="14"/>
        <v>57526.254459335476</v>
      </c>
      <c r="I147" s="13">
        <v>144</v>
      </c>
      <c r="J147" s="2">
        <v>0</v>
      </c>
      <c r="K147" s="2">
        <v>45175.635126428577</v>
      </c>
      <c r="L147" s="2">
        <v>547.83583759318731</v>
      </c>
      <c r="M147" s="2">
        <v>0</v>
      </c>
      <c r="N147" s="2">
        <v>11361.366443871961</v>
      </c>
      <c r="O147" s="2">
        <v>0</v>
      </c>
      <c r="P147" s="2">
        <v>8534.2004865999988</v>
      </c>
      <c r="R147" s="6"/>
      <c r="S147" s="1">
        <v>0</v>
      </c>
      <c r="T147" s="1">
        <v>13320.750632965201</v>
      </c>
      <c r="U147" s="1">
        <v>8584.9545765080147</v>
      </c>
      <c r="V147" s="1">
        <v>8534.2004865999988</v>
      </c>
      <c r="W147" s="1">
        <v>11361.366443871961</v>
      </c>
      <c r="Y147" s="6"/>
      <c r="Z147" s="1">
        <v>0</v>
      </c>
      <c r="AA147" s="1">
        <v>0</v>
      </c>
      <c r="AB147" s="6"/>
      <c r="AC147" s="1">
        <v>0</v>
      </c>
      <c r="AD147" s="1">
        <v>8.4999999999999992E-2</v>
      </c>
      <c r="AE147" s="1">
        <v>0</v>
      </c>
      <c r="AF147" s="1">
        <v>0</v>
      </c>
      <c r="AG147" s="1">
        <v>0</v>
      </c>
      <c r="AI147" s="6"/>
      <c r="AJ147" s="1">
        <v>-9990.5629747239</v>
      </c>
      <c r="AK147" s="6"/>
    </row>
    <row r="148" spans="1:37">
      <c r="A148" s="13">
        <v>144</v>
      </c>
      <c r="B148" s="1">
        <f t="shared" si="10"/>
        <v>11361.366443871961</v>
      </c>
      <c r="C148" s="15">
        <f t="shared" si="11"/>
        <v>0.26178529100000003</v>
      </c>
      <c r="D148" s="1">
        <f t="shared" si="12"/>
        <v>8534.2004865999988</v>
      </c>
      <c r="E148" s="15">
        <f t="shared" si="13"/>
        <v>0.26178529099999998</v>
      </c>
      <c r="F148" s="15"/>
      <c r="G148" s="1">
        <f t="shared" si="14"/>
        <v>56103.993069528042</v>
      </c>
      <c r="I148" s="13">
        <v>145</v>
      </c>
      <c r="J148" s="2">
        <v>0</v>
      </c>
      <c r="K148" s="2">
        <v>41332.355294336288</v>
      </c>
      <c r="L148" s="2">
        <v>547.83583759318731</v>
      </c>
      <c r="M148" s="2">
        <v>0</v>
      </c>
      <c r="N148" s="2">
        <v>12239.69902122744</v>
      </c>
      <c r="O148" s="2">
        <v>0</v>
      </c>
      <c r="P148" s="2">
        <v>9193.9685124000007</v>
      </c>
      <c r="R148" s="6"/>
      <c r="S148" s="1">
        <v>0</v>
      </c>
      <c r="T148" s="1">
        <v>13320.750632965201</v>
      </c>
      <c r="U148" s="1">
        <v>7921.9489134289706</v>
      </c>
      <c r="V148" s="1">
        <v>9193.9685124000007</v>
      </c>
      <c r="W148" s="1">
        <v>12239.69902122744</v>
      </c>
      <c r="Y148" s="6"/>
      <c r="Z148" s="1">
        <v>0</v>
      </c>
      <c r="AA148" s="1">
        <v>0</v>
      </c>
      <c r="AB148" s="6"/>
      <c r="AC148" s="1">
        <v>0</v>
      </c>
      <c r="AD148" s="1">
        <v>8.4999999999999992E-2</v>
      </c>
      <c r="AE148" s="1">
        <v>0</v>
      </c>
      <c r="AF148" s="1">
        <v>0</v>
      </c>
      <c r="AG148" s="1">
        <v>0</v>
      </c>
      <c r="AI148" s="6"/>
      <c r="AJ148" s="1">
        <v>-9990.5629747239</v>
      </c>
      <c r="AK148" s="6"/>
    </row>
    <row r="149" spans="1:37">
      <c r="A149" s="13">
        <v>145</v>
      </c>
      <c r="B149" s="1">
        <f t="shared" si="10"/>
        <v>12239.69902122744</v>
      </c>
      <c r="C149" s="15">
        <f t="shared" si="11"/>
        <v>0.282023574</v>
      </c>
      <c r="D149" s="1">
        <f t="shared" si="12"/>
        <v>9193.9685124000007</v>
      </c>
      <c r="E149" s="15">
        <f t="shared" si="13"/>
        <v>0.282023574</v>
      </c>
      <c r="F149" s="15"/>
      <c r="G149" s="1">
        <f t="shared" si="14"/>
        <v>54565.892466372556</v>
      </c>
      <c r="I149" s="13">
        <v>146</v>
      </c>
      <c r="J149" s="2">
        <v>0</v>
      </c>
      <c r="K149" s="2">
        <v>40279.767950751913</v>
      </c>
      <c r="L149" s="2">
        <v>547.83583759318731</v>
      </c>
      <c r="M149" s="2">
        <v>0</v>
      </c>
      <c r="N149" s="2">
        <v>13113.725732937301</v>
      </c>
      <c r="O149" s="2">
        <v>0</v>
      </c>
      <c r="P149" s="2">
        <v>9850.5021455000006</v>
      </c>
      <c r="R149" s="6"/>
      <c r="S149" s="1">
        <v>0</v>
      </c>
      <c r="T149" s="1">
        <v>13320.750632965201</v>
      </c>
      <c r="U149" s="1">
        <v>9482.3160150880649</v>
      </c>
      <c r="V149" s="1">
        <v>9850.5021455000006</v>
      </c>
      <c r="W149" s="1">
        <v>13113.725732937301</v>
      </c>
      <c r="Y149" s="6"/>
      <c r="Z149" s="1">
        <v>0</v>
      </c>
      <c r="AA149" s="1">
        <v>0</v>
      </c>
      <c r="AB149" s="6"/>
      <c r="AC149" s="1">
        <v>0</v>
      </c>
      <c r="AD149" s="1">
        <v>8.4999999999999992E-2</v>
      </c>
      <c r="AE149" s="1">
        <v>0</v>
      </c>
      <c r="AF149" s="1">
        <v>0</v>
      </c>
      <c r="AG149" s="1">
        <v>0</v>
      </c>
      <c r="AI149" s="6"/>
      <c r="AJ149" s="1">
        <v>-9990.5629747239</v>
      </c>
      <c r="AK149" s="6"/>
    </row>
    <row r="150" spans="1:37">
      <c r="A150" s="13">
        <v>146</v>
      </c>
      <c r="B150" s="1">
        <f t="shared" si="10"/>
        <v>13113.725732937301</v>
      </c>
      <c r="C150" s="15">
        <f t="shared" si="11"/>
        <v>0.30216264250000002</v>
      </c>
      <c r="D150" s="1">
        <f t="shared" si="12"/>
        <v>9850.5021455000006</v>
      </c>
      <c r="E150" s="15">
        <f t="shared" si="13"/>
        <v>0.30216264250000002</v>
      </c>
      <c r="F150" s="15"/>
      <c r="G150" s="1">
        <f t="shared" si="14"/>
        <v>53035.332121562693</v>
      </c>
      <c r="I150" s="13">
        <v>147</v>
      </c>
      <c r="J150" s="2">
        <v>0</v>
      </c>
      <c r="K150" s="2">
        <v>37758.149025956118</v>
      </c>
      <c r="L150" s="2">
        <v>547.83583759318731</v>
      </c>
      <c r="M150" s="2">
        <v>0</v>
      </c>
      <c r="N150" s="2">
        <v>14035.5313023483</v>
      </c>
      <c r="O150" s="2">
        <v>0</v>
      </c>
      <c r="P150" s="2">
        <v>10542.9253305</v>
      </c>
      <c r="R150" s="6"/>
      <c r="S150" s="1">
        <v>0</v>
      </c>
      <c r="T150" s="1">
        <v>13320.750632965201</v>
      </c>
      <c r="U150" s="1">
        <v>8780.0995630197121</v>
      </c>
      <c r="V150" s="1">
        <v>10542.9253305</v>
      </c>
      <c r="W150" s="1">
        <v>14035.5313023483</v>
      </c>
      <c r="Y150" s="6"/>
      <c r="Z150" s="1">
        <v>0</v>
      </c>
      <c r="AA150" s="1">
        <v>0</v>
      </c>
      <c r="AB150" s="6"/>
      <c r="AC150" s="1">
        <v>0</v>
      </c>
      <c r="AD150" s="1">
        <v>8.4999999999999992E-2</v>
      </c>
      <c r="AE150" s="1">
        <v>0</v>
      </c>
      <c r="AF150" s="1">
        <v>0</v>
      </c>
      <c r="AG150" s="1">
        <v>0</v>
      </c>
      <c r="AI150" s="6"/>
      <c r="AJ150" s="1">
        <v>-9990.5629747239</v>
      </c>
      <c r="AK150" s="6"/>
    </row>
    <row r="151" spans="1:37">
      <c r="A151" s="13">
        <v>147</v>
      </c>
      <c r="B151" s="1">
        <f t="shared" si="10"/>
        <v>14035.5313023483</v>
      </c>
      <c r="C151" s="15">
        <f t="shared" si="11"/>
        <v>0.32340261749999999</v>
      </c>
      <c r="D151" s="1">
        <f t="shared" si="12"/>
        <v>10542.9253305</v>
      </c>
      <c r="E151" s="15">
        <f t="shared" si="13"/>
        <v>0.32340261749999999</v>
      </c>
      <c r="F151" s="15"/>
      <c r="G151" s="1">
        <f t="shared" si="14"/>
        <v>51421.103367151693</v>
      </c>
      <c r="I151" s="13">
        <v>148</v>
      </c>
      <c r="J151" s="2">
        <v>0</v>
      </c>
      <c r="K151" s="2">
        <v>33820.711337207707</v>
      </c>
      <c r="L151" s="2">
        <v>547.83583759318731</v>
      </c>
      <c r="M151" s="2">
        <v>0</v>
      </c>
      <c r="N151" s="2">
        <v>14948.66776624974</v>
      </c>
      <c r="O151" s="2">
        <v>0</v>
      </c>
      <c r="P151" s="2">
        <v>11228.8366329</v>
      </c>
      <c r="R151" s="6"/>
      <c r="S151" s="1">
        <v>0</v>
      </c>
      <c r="T151" s="1">
        <v>13320.750632965201</v>
      </c>
      <c r="U151" s="1">
        <v>5949.0264316164084</v>
      </c>
      <c r="V151" s="1">
        <v>11228.8366329</v>
      </c>
      <c r="W151" s="1">
        <v>14948.66776624974</v>
      </c>
      <c r="Y151" s="6"/>
      <c r="Z151" s="1">
        <v>0</v>
      </c>
      <c r="AA151" s="1">
        <v>0</v>
      </c>
      <c r="AB151" s="6"/>
      <c r="AC151" s="1">
        <v>0</v>
      </c>
      <c r="AD151" s="1">
        <v>8.4999999999999992E-2</v>
      </c>
      <c r="AE151" s="1">
        <v>0</v>
      </c>
      <c r="AF151" s="1">
        <v>0</v>
      </c>
      <c r="AG151" s="1">
        <v>0</v>
      </c>
      <c r="AI151" s="6"/>
      <c r="AJ151" s="1">
        <v>-9990.5629747239</v>
      </c>
      <c r="AK151" s="6"/>
    </row>
    <row r="152" spans="1:37">
      <c r="A152" s="13">
        <v>148</v>
      </c>
      <c r="B152" s="1">
        <f t="shared" si="10"/>
        <v>14948.66776624974</v>
      </c>
      <c r="C152" s="15">
        <f t="shared" si="11"/>
        <v>0.34444284150000004</v>
      </c>
      <c r="D152" s="1">
        <f t="shared" si="12"/>
        <v>11228.8366329</v>
      </c>
      <c r="E152" s="15">
        <f t="shared" si="13"/>
        <v>0.34444284149999999</v>
      </c>
      <c r="F152" s="15"/>
      <c r="G152" s="1">
        <f t="shared" si="14"/>
        <v>49822.055600850261</v>
      </c>
      <c r="I152" s="13">
        <v>149</v>
      </c>
      <c r="J152" s="2">
        <v>0</v>
      </c>
      <c r="K152" s="2">
        <v>35542.811896502273</v>
      </c>
      <c r="L152" s="2">
        <v>547.83583759318731</v>
      </c>
      <c r="M152" s="2">
        <v>0</v>
      </c>
      <c r="N152" s="2">
        <v>15383.716109376661</v>
      </c>
      <c r="O152" s="2">
        <v>0</v>
      </c>
      <c r="P152" s="2">
        <v>11555.6274111</v>
      </c>
      <c r="R152" s="6"/>
      <c r="S152" s="1">
        <v>0</v>
      </c>
      <c r="T152" s="1">
        <v>13320.750632965201</v>
      </c>
      <c r="U152" s="1">
        <v>7905.5366656021042</v>
      </c>
      <c r="V152" s="1">
        <v>11555.6274111</v>
      </c>
      <c r="W152" s="1">
        <v>15383.716109376661</v>
      </c>
      <c r="Y152" s="6"/>
      <c r="Z152" s="1">
        <v>0</v>
      </c>
      <c r="AA152" s="1">
        <v>0</v>
      </c>
      <c r="AB152" s="6"/>
      <c r="AC152" s="1">
        <v>0</v>
      </c>
      <c r="AD152" s="1">
        <v>8.4999999999999992E-2</v>
      </c>
      <c r="AE152" s="1">
        <v>0</v>
      </c>
      <c r="AF152" s="1">
        <v>0</v>
      </c>
      <c r="AG152" s="1">
        <v>0</v>
      </c>
      <c r="AI152" s="6"/>
      <c r="AJ152" s="1">
        <v>-9990.5629747239</v>
      </c>
      <c r="AK152" s="6"/>
    </row>
    <row r="153" spans="1:37">
      <c r="A153" s="13">
        <v>149</v>
      </c>
      <c r="B153" s="1">
        <f t="shared" si="10"/>
        <v>15383.716109376661</v>
      </c>
      <c r="C153" s="15">
        <f t="shared" si="11"/>
        <v>0.35446709850000002</v>
      </c>
      <c r="D153" s="1">
        <f t="shared" si="12"/>
        <v>11555.6274111</v>
      </c>
      <c r="E153" s="15">
        <f t="shared" si="13"/>
        <v>0.35446709850000002</v>
      </c>
      <c r="F153" s="15"/>
      <c r="G153" s="1">
        <f t="shared" si="14"/>
        <v>49060.216479523333</v>
      </c>
      <c r="I153" s="13">
        <v>150</v>
      </c>
      <c r="J153" s="2">
        <v>0</v>
      </c>
      <c r="K153" s="2">
        <v>36909.87925128419</v>
      </c>
      <c r="L153" s="2">
        <v>547.83583759318731</v>
      </c>
      <c r="M153" s="2">
        <v>0</v>
      </c>
      <c r="N153" s="2">
        <v>15127.070272442401</v>
      </c>
      <c r="O153" s="2">
        <v>0</v>
      </c>
      <c r="P153" s="2">
        <v>11362.845404</v>
      </c>
      <c r="R153" s="6"/>
      <c r="S153" s="1">
        <v>0</v>
      </c>
      <c r="T153" s="1">
        <v>13320.750632965201</v>
      </c>
      <c r="U153" s="1">
        <v>8122.1843214141118</v>
      </c>
      <c r="V153" s="1">
        <v>11362.845404</v>
      </c>
      <c r="W153" s="1">
        <v>15127.070272442401</v>
      </c>
      <c r="Y153" s="6"/>
      <c r="Z153" s="1">
        <v>0</v>
      </c>
      <c r="AA153" s="1">
        <v>0</v>
      </c>
      <c r="AB153" s="6"/>
      <c r="AC153" s="1">
        <v>0</v>
      </c>
      <c r="AD153" s="1">
        <v>8.4999999999999992E-2</v>
      </c>
      <c r="AE153" s="1">
        <v>0</v>
      </c>
      <c r="AF153" s="1">
        <v>0</v>
      </c>
      <c r="AG153" s="1">
        <v>0</v>
      </c>
      <c r="AI153" s="6"/>
      <c r="AJ153" s="1">
        <v>-9990.5629747239</v>
      </c>
      <c r="AK153" s="6"/>
    </row>
    <row r="154" spans="1:37">
      <c r="A154" s="13">
        <v>150</v>
      </c>
      <c r="B154" s="1">
        <f t="shared" si="10"/>
        <v>15127.070272442401</v>
      </c>
      <c r="C154" s="15">
        <f t="shared" si="11"/>
        <v>0.34855354000000005</v>
      </c>
      <c r="D154" s="1">
        <f t="shared" si="12"/>
        <v>11362.845404</v>
      </c>
      <c r="E154" s="15">
        <f t="shared" si="13"/>
        <v>0.34855354</v>
      </c>
      <c r="F154" s="15"/>
      <c r="G154" s="1">
        <f t="shared" si="14"/>
        <v>49509.644323557593</v>
      </c>
      <c r="I154" s="13">
        <v>151</v>
      </c>
      <c r="J154" s="2">
        <v>0</v>
      </c>
      <c r="K154" s="2">
        <v>39355.511501372668</v>
      </c>
      <c r="L154" s="2">
        <v>547.83583759318731</v>
      </c>
      <c r="M154" s="2">
        <v>0</v>
      </c>
      <c r="N154" s="2">
        <v>14554.64882465232</v>
      </c>
      <c r="O154" s="2">
        <v>0</v>
      </c>
      <c r="P154" s="2">
        <v>10932.865487200001</v>
      </c>
      <c r="R154" s="6"/>
      <c r="S154" s="1">
        <v>0</v>
      </c>
      <c r="T154" s="1">
        <v>13320.750632965201</v>
      </c>
      <c r="U154" s="1">
        <v>8465.7166744276401</v>
      </c>
      <c r="V154" s="1">
        <v>10932.865487200001</v>
      </c>
      <c r="W154" s="1">
        <v>14554.64882465232</v>
      </c>
      <c r="Y154" s="6"/>
      <c r="Z154" s="1">
        <v>0</v>
      </c>
      <c r="AA154" s="1">
        <v>-1528</v>
      </c>
      <c r="AB154" s="6"/>
      <c r="AC154" s="1">
        <v>0</v>
      </c>
      <c r="AD154" s="1">
        <v>8.4999999999999992E-2</v>
      </c>
      <c r="AE154" s="1">
        <v>0</v>
      </c>
      <c r="AF154" s="1">
        <v>0</v>
      </c>
      <c r="AG154" s="1">
        <v>0</v>
      </c>
      <c r="AI154" s="6"/>
      <c r="AJ154" s="1">
        <v>-9990.5629747239</v>
      </c>
      <c r="AK154" s="6"/>
    </row>
    <row r="155" spans="1:37">
      <c r="A155" s="13">
        <v>151</v>
      </c>
      <c r="B155" s="1">
        <f t="shared" si="10"/>
        <v>14554.64882465232</v>
      </c>
      <c r="C155" s="15">
        <f t="shared" si="11"/>
        <v>0.33536397200000001</v>
      </c>
      <c r="D155" s="1">
        <f t="shared" si="12"/>
        <v>10932.865487200001</v>
      </c>
      <c r="E155" s="15">
        <f t="shared" si="13"/>
        <v>0.33536397200000001</v>
      </c>
      <c r="F155" s="15"/>
      <c r="G155" s="1">
        <f t="shared" si="14"/>
        <v>50512.045688147671</v>
      </c>
      <c r="I155" s="13">
        <v>152</v>
      </c>
      <c r="J155" s="2">
        <v>0</v>
      </c>
      <c r="K155" s="2">
        <v>41209.015616041637</v>
      </c>
      <c r="L155" s="2">
        <v>547.83583759318731</v>
      </c>
      <c r="M155" s="2">
        <v>53.486377236299987</v>
      </c>
      <c r="N155" s="2">
        <v>13883.586426518879</v>
      </c>
      <c r="O155" s="2">
        <v>40.176810499999988</v>
      </c>
      <c r="P155" s="2">
        <v>10428.7904648</v>
      </c>
      <c r="R155" s="6"/>
      <c r="S155" s="1">
        <v>0</v>
      </c>
      <c r="T155" s="1">
        <v>13320.750632965201</v>
      </c>
      <c r="U155" s="1">
        <v>7440.9011961686438</v>
      </c>
      <c r="V155" s="1">
        <v>10468.9672753</v>
      </c>
      <c r="W155" s="1">
        <v>13937.07280375518</v>
      </c>
      <c r="Y155" s="6"/>
      <c r="Z155" s="1">
        <v>0</v>
      </c>
      <c r="AA155" s="1">
        <v>-496.3934292414724</v>
      </c>
      <c r="AB155" s="6"/>
      <c r="AC155" s="1">
        <v>0</v>
      </c>
      <c r="AD155" s="1">
        <v>8.4999999999999992E-2</v>
      </c>
      <c r="AE155" s="1">
        <v>0</v>
      </c>
      <c r="AF155" s="1">
        <v>0</v>
      </c>
      <c r="AG155" s="1">
        <v>0</v>
      </c>
      <c r="AI155" s="6"/>
      <c r="AJ155" s="1">
        <v>-9990.5629747239</v>
      </c>
      <c r="AK155" s="6"/>
    </row>
    <row r="156" spans="1:37">
      <c r="A156" s="13">
        <v>152</v>
      </c>
      <c r="B156" s="1">
        <f t="shared" si="10"/>
        <v>13937.07280375518</v>
      </c>
      <c r="C156" s="15">
        <f t="shared" si="11"/>
        <v>0.32113396550000001</v>
      </c>
      <c r="D156" s="1">
        <f t="shared" si="12"/>
        <v>10468.9672753</v>
      </c>
      <c r="E156" s="15">
        <f t="shared" si="13"/>
        <v>0.32113396550000001</v>
      </c>
      <c r="F156" s="15"/>
      <c r="G156" s="1">
        <f t="shared" si="14"/>
        <v>51593.519920944818</v>
      </c>
      <c r="I156" s="13">
        <v>153</v>
      </c>
      <c r="J156" s="2">
        <v>0</v>
      </c>
      <c r="K156" s="2">
        <v>42467.041326249251</v>
      </c>
      <c r="L156" s="2">
        <v>547.83583759318731</v>
      </c>
      <c r="M156" s="2">
        <v>1454.2946046499201</v>
      </c>
      <c r="N156" s="2">
        <v>13146.774367678619</v>
      </c>
      <c r="O156" s="2">
        <v>1092.4074831999999</v>
      </c>
      <c r="P156" s="2">
        <v>9875.3269477000013</v>
      </c>
      <c r="R156" s="6"/>
      <c r="S156" s="1">
        <v>0</v>
      </c>
      <c r="T156" s="1">
        <v>13320.750632965201</v>
      </c>
      <c r="U156" s="1">
        <v>8242.931202916292</v>
      </c>
      <c r="V156" s="1">
        <v>10967.7344309</v>
      </c>
      <c r="W156" s="1">
        <v>14601.06897232854</v>
      </c>
      <c r="Y156" s="6"/>
      <c r="Z156" s="1">
        <v>0</v>
      </c>
      <c r="AA156" s="1">
        <v>-1528</v>
      </c>
      <c r="AB156" s="6"/>
      <c r="AC156" s="1">
        <v>0</v>
      </c>
      <c r="AD156" s="1">
        <v>8.4999999999999992E-2</v>
      </c>
      <c r="AE156" s="1">
        <v>0</v>
      </c>
      <c r="AF156" s="1">
        <v>0</v>
      </c>
      <c r="AG156" s="1">
        <v>0</v>
      </c>
      <c r="AI156" s="6"/>
      <c r="AJ156" s="1">
        <v>-9990.5629747239</v>
      </c>
      <c r="AK156" s="6"/>
    </row>
    <row r="157" spans="1:37">
      <c r="A157" s="13">
        <v>153</v>
      </c>
      <c r="B157" s="1">
        <f t="shared" si="10"/>
        <v>14601.06897232854</v>
      </c>
      <c r="C157" s="15">
        <f t="shared" si="11"/>
        <v>0.33643357150000003</v>
      </c>
      <c r="D157" s="1">
        <f t="shared" si="12"/>
        <v>10967.734430900002</v>
      </c>
      <c r="E157" s="15">
        <f t="shared" si="13"/>
        <v>0.33643357150000008</v>
      </c>
      <c r="F157" s="15"/>
      <c r="G157" s="1">
        <f t="shared" si="14"/>
        <v>50430.756596771454</v>
      </c>
      <c r="I157" s="13">
        <v>154</v>
      </c>
      <c r="J157" s="2">
        <v>0</v>
      </c>
      <c r="K157" s="2">
        <v>40570.209819788353</v>
      </c>
      <c r="L157" s="2">
        <v>547.83583759318731</v>
      </c>
      <c r="M157" s="2">
        <v>4101.6707375197793</v>
      </c>
      <c r="N157" s="2">
        <v>13075.4333246592</v>
      </c>
      <c r="O157" s="2">
        <v>3081.0097163</v>
      </c>
      <c r="P157" s="2">
        <v>9821.7384320000001</v>
      </c>
      <c r="R157" s="6"/>
      <c r="S157" s="1">
        <v>0</v>
      </c>
      <c r="T157" s="1">
        <v>13320.750632965201</v>
      </c>
      <c r="U157" s="1">
        <v>8169.4260865953202</v>
      </c>
      <c r="V157" s="1">
        <v>12902.748148299999</v>
      </c>
      <c r="W157" s="1">
        <v>17177.10406217898</v>
      </c>
      <c r="Y157" s="6"/>
      <c r="Z157" s="1">
        <v>0</v>
      </c>
      <c r="AA157" s="1">
        <v>-1528</v>
      </c>
      <c r="AB157" s="6"/>
      <c r="AC157" s="1">
        <v>0</v>
      </c>
      <c r="AD157" s="1">
        <v>8.4999999999999992E-2</v>
      </c>
      <c r="AE157" s="1">
        <v>0</v>
      </c>
      <c r="AF157" s="1">
        <v>0</v>
      </c>
      <c r="AG157" s="1">
        <v>0</v>
      </c>
      <c r="AI157" s="6"/>
      <c r="AJ157" s="1">
        <v>-9990.5629747239</v>
      </c>
      <c r="AK157" s="6"/>
    </row>
    <row r="158" spans="1:37">
      <c r="A158" s="13">
        <v>154</v>
      </c>
      <c r="B158" s="1">
        <f t="shared" si="10"/>
        <v>17177.10406217898</v>
      </c>
      <c r="C158" s="15">
        <f t="shared" si="11"/>
        <v>0.3957898205</v>
      </c>
      <c r="D158" s="1">
        <f t="shared" si="12"/>
        <v>12902.748148300001</v>
      </c>
      <c r="E158" s="15">
        <f t="shared" si="13"/>
        <v>0.39578982050000006</v>
      </c>
      <c r="F158" s="15"/>
      <c r="G158" s="1">
        <f t="shared" si="14"/>
        <v>45919.707789521017</v>
      </c>
      <c r="I158" s="13">
        <v>155</v>
      </c>
      <c r="J158" s="2">
        <v>0</v>
      </c>
      <c r="K158" s="2">
        <v>35319.786826553667</v>
      </c>
      <c r="L158" s="2">
        <v>547.83583759318731</v>
      </c>
      <c r="M158" s="2">
        <v>6835.7459544038402</v>
      </c>
      <c r="N158" s="2">
        <v>13418.77078088334</v>
      </c>
      <c r="O158" s="2">
        <v>5134.7368064000002</v>
      </c>
      <c r="P158" s="2">
        <v>10079.639688900001</v>
      </c>
      <c r="R158" s="6"/>
      <c r="S158" s="1">
        <v>0</v>
      </c>
      <c r="T158" s="1">
        <v>13320.750632965201</v>
      </c>
      <c r="U158" s="1">
        <v>5163.1607664688327</v>
      </c>
      <c r="V158" s="1">
        <v>15214.376495300001</v>
      </c>
      <c r="W158" s="1">
        <v>20254.516735287179</v>
      </c>
      <c r="Y158" s="6"/>
      <c r="Z158" s="1">
        <v>0</v>
      </c>
      <c r="AA158" s="1">
        <v>-1528</v>
      </c>
      <c r="AB158" s="6"/>
      <c r="AC158" s="1">
        <v>0</v>
      </c>
      <c r="AD158" s="1">
        <v>8.4999999999999992E-2</v>
      </c>
      <c r="AE158" s="1">
        <v>0</v>
      </c>
      <c r="AF158" s="1">
        <v>0</v>
      </c>
      <c r="AG158" s="1">
        <v>0</v>
      </c>
      <c r="AI158" s="6"/>
      <c r="AJ158" s="1">
        <v>-9990.5629747239</v>
      </c>
      <c r="AK158" s="6"/>
    </row>
    <row r="159" spans="1:37">
      <c r="A159" s="13">
        <v>155</v>
      </c>
      <c r="B159" s="1">
        <f t="shared" si="10"/>
        <v>20254.516735287179</v>
      </c>
      <c r="C159" s="15">
        <f t="shared" si="11"/>
        <v>0.4666986655</v>
      </c>
      <c r="D159" s="1">
        <f t="shared" si="12"/>
        <v>15214.376495300001</v>
      </c>
      <c r="E159" s="15">
        <f t="shared" si="13"/>
        <v>0.46669866550000005</v>
      </c>
      <c r="F159" s="15"/>
      <c r="G159" s="1">
        <f t="shared" si="14"/>
        <v>40530.666769412819</v>
      </c>
      <c r="I159" s="13">
        <v>156</v>
      </c>
      <c r="J159" s="2">
        <v>0</v>
      </c>
      <c r="K159" s="2">
        <v>27813.087032174419</v>
      </c>
      <c r="L159" s="2">
        <v>547.83583759318731</v>
      </c>
      <c r="M159" s="2">
        <v>9206.4362214122993</v>
      </c>
      <c r="N159" s="2">
        <v>14288.5865417853</v>
      </c>
      <c r="O159" s="2">
        <v>6915.5037705000004</v>
      </c>
      <c r="P159" s="2">
        <v>10733.0102255</v>
      </c>
      <c r="R159" s="6"/>
      <c r="S159" s="1">
        <v>0</v>
      </c>
      <c r="T159" s="1">
        <v>13320.750632965201</v>
      </c>
      <c r="U159" s="1">
        <v>0</v>
      </c>
      <c r="V159" s="1">
        <v>17648.513996000001</v>
      </c>
      <c r="W159" s="1">
        <v>23495.022763197601</v>
      </c>
      <c r="Y159" s="6"/>
      <c r="Z159" s="1">
        <v>0</v>
      </c>
      <c r="AA159" s="1">
        <v>-1528</v>
      </c>
      <c r="AB159" s="6"/>
      <c r="AC159" s="1">
        <v>0</v>
      </c>
      <c r="AD159" s="1">
        <v>8.4999999999999992E-2</v>
      </c>
      <c r="AE159" s="1">
        <v>0</v>
      </c>
      <c r="AF159" s="1">
        <v>0</v>
      </c>
      <c r="AG159" s="1">
        <v>0</v>
      </c>
      <c r="AI159" s="6"/>
      <c r="AJ159" s="1">
        <v>-9990.5629747239</v>
      </c>
      <c r="AK159" s="6"/>
    </row>
    <row r="160" spans="1:37">
      <c r="A160" s="13">
        <v>156</v>
      </c>
      <c r="B160" s="1">
        <f t="shared" si="10"/>
        <v>23495.022763197601</v>
      </c>
      <c r="C160" s="15">
        <f t="shared" si="11"/>
        <v>0.54136546000000008</v>
      </c>
      <c r="D160" s="1">
        <f t="shared" si="12"/>
        <v>17648.513996000001</v>
      </c>
      <c r="E160" s="15">
        <f t="shared" si="13"/>
        <v>0.54136546000000008</v>
      </c>
      <c r="F160" s="15"/>
      <c r="G160" s="1">
        <f t="shared" si="14"/>
        <v>34856.023240802395</v>
      </c>
      <c r="I160" s="13">
        <v>157</v>
      </c>
      <c r="J160" s="2">
        <v>0</v>
      </c>
      <c r="K160" s="2">
        <v>26729.043308630658</v>
      </c>
      <c r="L160" s="2">
        <v>547.83583759318731</v>
      </c>
      <c r="M160" s="2">
        <v>10433.0749838172</v>
      </c>
      <c r="N160" s="2">
        <v>15092.252064041641</v>
      </c>
      <c r="O160" s="2">
        <v>7836.9053620000004</v>
      </c>
      <c r="P160" s="2">
        <v>11336.6913694</v>
      </c>
      <c r="R160" s="6"/>
      <c r="S160" s="1">
        <v>0</v>
      </c>
      <c r="T160" s="1">
        <v>13320.750632965201</v>
      </c>
      <c r="U160" s="1">
        <v>512.4985611174842</v>
      </c>
      <c r="V160" s="1">
        <v>19173.596731400001</v>
      </c>
      <c r="W160" s="1">
        <v>25525.327047858838</v>
      </c>
      <c r="Y160" s="6"/>
      <c r="Z160" s="1">
        <v>0</v>
      </c>
      <c r="AA160" s="1">
        <v>-1528</v>
      </c>
      <c r="AB160" s="6"/>
      <c r="AC160" s="1">
        <v>0</v>
      </c>
      <c r="AD160" s="1">
        <v>8.4999999999999992E-2</v>
      </c>
      <c r="AE160" s="1">
        <v>0</v>
      </c>
      <c r="AF160" s="1">
        <v>0</v>
      </c>
      <c r="AG160" s="1">
        <v>0</v>
      </c>
      <c r="AI160" s="6"/>
      <c r="AJ160" s="1">
        <v>-9990.5629747239</v>
      </c>
      <c r="AK160" s="6"/>
    </row>
    <row r="161" spans="1:37">
      <c r="A161" s="13">
        <v>157</v>
      </c>
      <c r="B161" s="1">
        <f t="shared" si="10"/>
        <v>25525.327047858838</v>
      </c>
      <c r="C161" s="15">
        <f t="shared" si="11"/>
        <v>0.58814713900000004</v>
      </c>
      <c r="D161" s="1">
        <f t="shared" si="12"/>
        <v>19173.596731400001</v>
      </c>
      <c r="E161" s="15">
        <f t="shared" si="13"/>
        <v>0.58814713900000004</v>
      </c>
      <c r="F161" s="15"/>
      <c r="G161" s="1">
        <f t="shared" si="14"/>
        <v>31300.636220741158</v>
      </c>
      <c r="I161" s="13">
        <v>158</v>
      </c>
      <c r="J161" s="2">
        <v>0</v>
      </c>
      <c r="K161" s="2">
        <v>24950.57185191727</v>
      </c>
      <c r="L161" s="2">
        <v>547.83583759318731</v>
      </c>
      <c r="M161" s="2">
        <v>10274.97286051212</v>
      </c>
      <c r="N161" s="2">
        <v>15636.79808294262</v>
      </c>
      <c r="O161" s="2">
        <v>7718.1454202000004</v>
      </c>
      <c r="P161" s="2">
        <v>11745.7323877</v>
      </c>
      <c r="R161" s="6"/>
      <c r="S161" s="1">
        <v>0</v>
      </c>
      <c r="T161" s="1">
        <v>13320.750632965201</v>
      </c>
      <c r="U161" s="1">
        <v>0</v>
      </c>
      <c r="V161" s="1">
        <v>19463.8778079</v>
      </c>
      <c r="W161" s="1">
        <v>25911.77094345474</v>
      </c>
      <c r="Y161" s="6"/>
      <c r="Z161" s="1">
        <v>0</v>
      </c>
      <c r="AA161" s="1">
        <v>-1528</v>
      </c>
      <c r="AB161" s="6"/>
      <c r="AC161" s="1">
        <v>0</v>
      </c>
      <c r="AD161" s="1">
        <v>8.4999999999999992E-2</v>
      </c>
      <c r="AE161" s="1">
        <v>0</v>
      </c>
      <c r="AF161" s="1">
        <v>0</v>
      </c>
      <c r="AG161" s="1">
        <v>0</v>
      </c>
      <c r="AI161" s="6"/>
      <c r="AJ161" s="1">
        <v>-9990.5629747239</v>
      </c>
      <c r="AK161" s="6"/>
    </row>
    <row r="162" spans="1:37">
      <c r="A162" s="13">
        <v>158</v>
      </c>
      <c r="B162" s="1">
        <f t="shared" si="10"/>
        <v>25911.77094345474</v>
      </c>
      <c r="C162" s="15">
        <f t="shared" si="11"/>
        <v>0.59705146650000007</v>
      </c>
      <c r="D162" s="1">
        <f t="shared" si="12"/>
        <v>19463.8778079</v>
      </c>
      <c r="E162" s="15">
        <f t="shared" si="13"/>
        <v>0.59705146649999996</v>
      </c>
      <c r="F162" s="15"/>
      <c r="G162" s="1">
        <f t="shared" si="14"/>
        <v>30623.911248645254</v>
      </c>
      <c r="I162" s="13">
        <v>159</v>
      </c>
      <c r="J162" s="2">
        <v>0</v>
      </c>
      <c r="K162" s="2">
        <v>26257.33145306561</v>
      </c>
      <c r="L162" s="2">
        <v>547.83583759318731</v>
      </c>
      <c r="M162" s="2">
        <v>8198.5657657573793</v>
      </c>
      <c r="N162" s="2">
        <v>16042.92715096332</v>
      </c>
      <c r="O162" s="2">
        <v>6158.4321123</v>
      </c>
      <c r="P162" s="2">
        <v>12050.800172200001</v>
      </c>
      <c r="R162" s="6"/>
      <c r="S162" s="1">
        <v>0</v>
      </c>
      <c r="T162" s="1">
        <v>13320.750632965201</v>
      </c>
      <c r="U162" s="1">
        <v>211.60957441428761</v>
      </c>
      <c r="V162" s="1">
        <v>18209.232284500002</v>
      </c>
      <c r="W162" s="1">
        <v>24241.492916720701</v>
      </c>
      <c r="Y162" s="6"/>
      <c r="Z162" s="1">
        <v>0</v>
      </c>
      <c r="AA162" s="1">
        <v>-1528</v>
      </c>
      <c r="AB162" s="6"/>
      <c r="AC162" s="1">
        <v>0</v>
      </c>
      <c r="AD162" s="1">
        <v>8.4999999999999992E-2</v>
      </c>
      <c r="AE162" s="1">
        <v>0</v>
      </c>
      <c r="AF162" s="1">
        <v>0</v>
      </c>
      <c r="AG162" s="1">
        <v>0</v>
      </c>
      <c r="AI162" s="6"/>
      <c r="AJ162" s="1">
        <v>-9990.5629747239</v>
      </c>
      <c r="AK162" s="6"/>
    </row>
    <row r="163" spans="1:37">
      <c r="A163" s="13">
        <v>159</v>
      </c>
      <c r="B163" s="1">
        <f t="shared" si="10"/>
        <v>24241.492916720701</v>
      </c>
      <c r="C163" s="15">
        <f t="shared" si="11"/>
        <v>0.55856540750000006</v>
      </c>
      <c r="D163" s="1">
        <f t="shared" si="12"/>
        <v>18209.232284500002</v>
      </c>
      <c r="E163" s="15">
        <f t="shared" si="13"/>
        <v>0.55856540750000006</v>
      </c>
      <c r="F163" s="15"/>
      <c r="G163" s="1">
        <f t="shared" si="14"/>
        <v>33548.834798779295</v>
      </c>
      <c r="I163" s="13">
        <v>160</v>
      </c>
      <c r="J163" s="2">
        <v>0</v>
      </c>
      <c r="K163" s="2">
        <v>32375.203613616421</v>
      </c>
      <c r="L163" s="2">
        <v>547.83583759318731</v>
      </c>
      <c r="M163" s="2">
        <v>5000.0942731860596</v>
      </c>
      <c r="N163" s="2">
        <v>16860.989696057579</v>
      </c>
      <c r="O163" s="2">
        <v>3755.8692600999998</v>
      </c>
      <c r="P163" s="2">
        <v>12665.295779300001</v>
      </c>
      <c r="R163" s="6"/>
      <c r="S163" s="1">
        <v>0</v>
      </c>
      <c r="T163" s="1">
        <v>13320.750632965201</v>
      </c>
      <c r="U163" s="1">
        <v>3882.8737874880449</v>
      </c>
      <c r="V163" s="1">
        <v>16421.165039399999</v>
      </c>
      <c r="W163" s="1">
        <v>21861.083969243638</v>
      </c>
      <c r="Y163" s="6"/>
      <c r="Z163" s="1">
        <v>0</v>
      </c>
      <c r="AA163" s="1">
        <v>-1528</v>
      </c>
      <c r="AB163" s="6"/>
      <c r="AC163" s="1">
        <v>0</v>
      </c>
      <c r="AD163" s="1">
        <v>8.4999999999999992E-2</v>
      </c>
      <c r="AE163" s="1">
        <v>0</v>
      </c>
      <c r="AF163" s="1">
        <v>0</v>
      </c>
      <c r="AG163" s="1">
        <v>0</v>
      </c>
      <c r="AI163" s="6"/>
      <c r="AJ163" s="1">
        <v>-9990.5629747239</v>
      </c>
      <c r="AK163" s="6"/>
    </row>
    <row r="164" spans="1:37">
      <c r="A164" s="13">
        <v>160</v>
      </c>
      <c r="B164" s="1">
        <f t="shared" si="10"/>
        <v>21861.083969243638</v>
      </c>
      <c r="C164" s="15">
        <f t="shared" si="11"/>
        <v>0.50371671900000003</v>
      </c>
      <c r="D164" s="1">
        <f t="shared" si="12"/>
        <v>16421.165039399999</v>
      </c>
      <c r="E164" s="15">
        <f t="shared" si="13"/>
        <v>0.50371671899999992</v>
      </c>
      <c r="F164" s="15"/>
      <c r="G164" s="1">
        <f t="shared" si="14"/>
        <v>37717.310991356353</v>
      </c>
      <c r="I164" s="13">
        <v>161</v>
      </c>
      <c r="J164" s="2">
        <v>0</v>
      </c>
      <c r="K164" s="2">
        <v>69460.290462642908</v>
      </c>
      <c r="L164" s="2">
        <v>547.83583759318731</v>
      </c>
      <c r="M164" s="2">
        <v>1293.30491332002</v>
      </c>
      <c r="N164" s="2">
        <v>16623.794695623899</v>
      </c>
      <c r="O164" s="2">
        <v>971.4785167</v>
      </c>
      <c r="P164" s="2">
        <v>12487.1244565</v>
      </c>
      <c r="R164" s="6"/>
      <c r="S164" s="1">
        <v>0</v>
      </c>
      <c r="T164" s="1">
        <v>13320.750632965201</v>
      </c>
      <c r="U164" s="1">
        <v>6135.5716482367779</v>
      </c>
      <c r="V164" s="1">
        <v>13458.602973200001</v>
      </c>
      <c r="W164" s="1">
        <v>17917.099608943921</v>
      </c>
      <c r="Y164" s="6"/>
      <c r="Z164" s="1">
        <v>-27308.726313371291</v>
      </c>
      <c r="AA164" s="1">
        <v>-1528</v>
      </c>
      <c r="AB164" s="6"/>
      <c r="AC164" s="1">
        <v>0</v>
      </c>
      <c r="AD164" s="1">
        <v>8.4999999999999992E-2</v>
      </c>
      <c r="AE164" s="1">
        <v>0</v>
      </c>
      <c r="AF164" s="1">
        <v>0</v>
      </c>
      <c r="AG164" s="1">
        <v>0</v>
      </c>
      <c r="AI164" s="6"/>
      <c r="AJ164" s="1">
        <v>-9990.5629747239</v>
      </c>
      <c r="AK164" s="6"/>
    </row>
    <row r="165" spans="1:37">
      <c r="A165" s="13">
        <v>161</v>
      </c>
      <c r="B165" s="1">
        <f t="shared" si="10"/>
        <v>17917.099608943918</v>
      </c>
      <c r="C165" s="15">
        <f t="shared" si="11"/>
        <v>0.41284058199999996</v>
      </c>
      <c r="D165" s="1">
        <f t="shared" si="12"/>
        <v>13458.602973199999</v>
      </c>
      <c r="E165" s="15">
        <f t="shared" si="13"/>
        <v>0.41284058199999996</v>
      </c>
      <c r="F165" s="15"/>
      <c r="G165" s="1">
        <f t="shared" si="14"/>
        <v>44623.857417856081</v>
      </c>
      <c r="I165" s="13">
        <v>162</v>
      </c>
      <c r="J165" s="2">
        <v>20.00588071</v>
      </c>
      <c r="K165" s="2">
        <v>65799.846327957581</v>
      </c>
      <c r="L165" s="2">
        <v>547.83583759318731</v>
      </c>
      <c r="M165" s="2">
        <v>3.68510003916</v>
      </c>
      <c r="N165" s="2">
        <v>15553.8713103834</v>
      </c>
      <c r="O165" s="2">
        <v>2.7680986000000001</v>
      </c>
      <c r="P165" s="2">
        <v>11683.441139</v>
      </c>
      <c r="R165" s="6"/>
      <c r="S165" s="1">
        <v>0</v>
      </c>
      <c r="T165" s="1">
        <v>13320.750632965201</v>
      </c>
      <c r="U165" s="1">
        <v>8891.3033610405218</v>
      </c>
      <c r="V165" s="1">
        <v>11686.2092376</v>
      </c>
      <c r="W165" s="1">
        <v>15557.55641042256</v>
      </c>
      <c r="Y165" s="6"/>
      <c r="Z165" s="1">
        <v>-16899.449259530291</v>
      </c>
      <c r="AA165" s="1">
        <v>-1528</v>
      </c>
      <c r="AB165" s="6"/>
      <c r="AC165" s="1">
        <v>0</v>
      </c>
      <c r="AD165" s="1">
        <v>8.4999999999999992E-2</v>
      </c>
      <c r="AE165" s="1">
        <v>0</v>
      </c>
      <c r="AF165" s="1">
        <v>0</v>
      </c>
      <c r="AG165" s="1">
        <v>0</v>
      </c>
      <c r="AI165" s="6"/>
      <c r="AJ165" s="1">
        <v>-9990.5629747239</v>
      </c>
      <c r="AK165" s="6"/>
    </row>
    <row r="166" spans="1:37">
      <c r="A166" s="13">
        <v>162</v>
      </c>
      <c r="B166" s="1">
        <f t="shared" si="10"/>
        <v>15557.55641042256</v>
      </c>
      <c r="C166" s="15">
        <f t="shared" si="11"/>
        <v>0.35847267599999999</v>
      </c>
      <c r="D166" s="1">
        <f t="shared" si="12"/>
        <v>11686.2092376</v>
      </c>
      <c r="E166" s="15">
        <f t="shared" si="13"/>
        <v>0.35847267599999999</v>
      </c>
      <c r="F166" s="15"/>
      <c r="G166" s="1">
        <f t="shared" si="14"/>
        <v>48755.794351977434</v>
      </c>
      <c r="I166" s="13">
        <v>163</v>
      </c>
      <c r="J166" s="2">
        <v>0</v>
      </c>
      <c r="K166" s="2">
        <v>63999.609488092967</v>
      </c>
      <c r="L166" s="2">
        <v>547.83583759318731</v>
      </c>
      <c r="M166" s="2">
        <v>0</v>
      </c>
      <c r="N166" s="2">
        <v>15128.32849078614</v>
      </c>
      <c r="O166" s="2">
        <v>0</v>
      </c>
      <c r="P166" s="2">
        <v>11363.7905269</v>
      </c>
      <c r="R166" s="6"/>
      <c r="S166" s="1">
        <v>0</v>
      </c>
      <c r="T166" s="1">
        <v>13320.750632965201</v>
      </c>
      <c r="U166" s="1">
        <v>9230.3481350648872</v>
      </c>
      <c r="V166" s="1">
        <v>11363.7905269</v>
      </c>
      <c r="W166" s="1">
        <v>15128.32849078614</v>
      </c>
      <c r="Y166" s="6"/>
      <c r="Z166" s="1">
        <v>-13351.06096427663</v>
      </c>
      <c r="AA166" s="1">
        <v>-1528</v>
      </c>
      <c r="AB166" s="6"/>
      <c r="AC166" s="1">
        <v>0</v>
      </c>
      <c r="AD166" s="1">
        <v>8.4999999999999992E-2</v>
      </c>
      <c r="AE166" s="1">
        <v>0</v>
      </c>
      <c r="AF166" s="1">
        <v>0</v>
      </c>
      <c r="AG166" s="1">
        <v>0</v>
      </c>
      <c r="AI166" s="6"/>
      <c r="AJ166" s="1">
        <v>-9990.5629747239</v>
      </c>
      <c r="AK166" s="6"/>
    </row>
    <row r="167" spans="1:37">
      <c r="A167" s="13">
        <v>163</v>
      </c>
      <c r="B167" s="1">
        <f t="shared" si="10"/>
        <v>15128.32849078614</v>
      </c>
      <c r="C167" s="15">
        <f t="shared" si="11"/>
        <v>0.34858253150000001</v>
      </c>
      <c r="D167" s="1">
        <f t="shared" si="12"/>
        <v>11363.7905269</v>
      </c>
      <c r="E167" s="15">
        <f t="shared" si="13"/>
        <v>0.34858253150000001</v>
      </c>
      <c r="F167" s="15"/>
      <c r="G167" s="1">
        <f t="shared" si="14"/>
        <v>49507.440982313856</v>
      </c>
      <c r="I167" s="13">
        <v>164</v>
      </c>
      <c r="J167" s="2">
        <v>0</v>
      </c>
      <c r="K167" s="2">
        <v>64502.616731058319</v>
      </c>
      <c r="L167" s="2">
        <v>547.83583759318731</v>
      </c>
      <c r="M167" s="2">
        <v>0</v>
      </c>
      <c r="N167" s="2">
        <v>15247.23013511946</v>
      </c>
      <c r="O167" s="2">
        <v>0</v>
      </c>
      <c r="P167" s="2">
        <v>11453.1046491</v>
      </c>
      <c r="R167" s="6"/>
      <c r="S167" s="1">
        <v>0</v>
      </c>
      <c r="T167" s="1">
        <v>13320.750632965201</v>
      </c>
      <c r="U167" s="1">
        <v>9085.3378458277348</v>
      </c>
      <c r="V167" s="1">
        <v>11453.1046491</v>
      </c>
      <c r="W167" s="1">
        <v>15247.23013511946</v>
      </c>
      <c r="Y167" s="6"/>
      <c r="Z167" s="1">
        <v>-8062.6304994789589</v>
      </c>
      <c r="AA167" s="1">
        <v>-1528</v>
      </c>
      <c r="AB167" s="6"/>
      <c r="AC167" s="1">
        <v>0</v>
      </c>
      <c r="AD167" s="1">
        <v>8.4999999999999992E-2</v>
      </c>
      <c r="AE167" s="1">
        <v>0</v>
      </c>
      <c r="AF167" s="1">
        <v>0</v>
      </c>
      <c r="AG167" s="1">
        <v>0</v>
      </c>
      <c r="AI167" s="6"/>
      <c r="AJ167" s="1">
        <v>-9990.5629747239</v>
      </c>
      <c r="AK167" s="6"/>
    </row>
    <row r="168" spans="1:37">
      <c r="A168" s="13">
        <v>164</v>
      </c>
      <c r="B168" s="1">
        <f t="shared" si="10"/>
        <v>15247.23013511946</v>
      </c>
      <c r="C168" s="15">
        <f t="shared" si="11"/>
        <v>0.3513222285</v>
      </c>
      <c r="D168" s="1">
        <f t="shared" si="12"/>
        <v>11453.1046491</v>
      </c>
      <c r="E168" s="15">
        <f t="shared" si="13"/>
        <v>0.3513222285</v>
      </c>
      <c r="F168" s="15"/>
      <c r="G168" s="1">
        <f t="shared" si="14"/>
        <v>49299.225215780534</v>
      </c>
      <c r="I168" s="13">
        <v>165</v>
      </c>
      <c r="J168" s="2">
        <v>0</v>
      </c>
      <c r="K168" s="2">
        <v>65809.387631394566</v>
      </c>
      <c r="L168" s="2">
        <v>547.83583759318731</v>
      </c>
      <c r="M168" s="2">
        <v>0</v>
      </c>
      <c r="N168" s="2">
        <v>15556.12669871748</v>
      </c>
      <c r="O168" s="2">
        <v>0</v>
      </c>
      <c r="P168" s="2">
        <v>11685.135295800001</v>
      </c>
      <c r="R168" s="6"/>
      <c r="S168" s="1">
        <v>0</v>
      </c>
      <c r="T168" s="1">
        <v>13320.750632965201</v>
      </c>
      <c r="U168" s="1">
        <v>8857.7512721589937</v>
      </c>
      <c r="V168" s="1">
        <v>11685.135295800001</v>
      </c>
      <c r="W168" s="1">
        <v>15556.12669871748</v>
      </c>
      <c r="Y168" s="6"/>
      <c r="Z168" s="1">
        <v>-18067.918318835509</v>
      </c>
      <c r="AA168" s="1">
        <v>-1528</v>
      </c>
      <c r="AB168" s="6"/>
      <c r="AC168" s="1">
        <v>0</v>
      </c>
      <c r="AD168" s="1">
        <v>8.4999999999999992E-2</v>
      </c>
      <c r="AE168" s="1">
        <v>0</v>
      </c>
      <c r="AF168" s="1">
        <v>0</v>
      </c>
      <c r="AG168" s="1">
        <v>0</v>
      </c>
      <c r="AI168" s="6"/>
      <c r="AJ168" s="1">
        <v>-9990.5629747239</v>
      </c>
      <c r="AK168" s="6"/>
    </row>
    <row r="169" spans="1:37">
      <c r="A169" s="13">
        <v>165</v>
      </c>
      <c r="B169" s="1">
        <f t="shared" si="10"/>
        <v>15556.12669871748</v>
      </c>
      <c r="C169" s="15">
        <f t="shared" si="11"/>
        <v>0.35843973300000004</v>
      </c>
      <c r="D169" s="1">
        <f t="shared" si="12"/>
        <v>11685.135295800001</v>
      </c>
      <c r="E169" s="15">
        <f t="shared" si="13"/>
        <v>0.35843973300000004</v>
      </c>
      <c r="F169" s="15"/>
      <c r="G169" s="1">
        <f t="shared" si="14"/>
        <v>48758.298005482517</v>
      </c>
      <c r="I169" s="13">
        <v>166</v>
      </c>
      <c r="J169" s="2">
        <v>0</v>
      </c>
      <c r="K169" s="2">
        <v>67338.832060564164</v>
      </c>
      <c r="L169" s="2">
        <v>547.83583759318731</v>
      </c>
      <c r="M169" s="2">
        <v>0</v>
      </c>
      <c r="N169" s="2">
        <v>15917.659181774039</v>
      </c>
      <c r="O169" s="2">
        <v>0</v>
      </c>
      <c r="P169" s="2">
        <v>11956.7039234</v>
      </c>
      <c r="R169" s="6"/>
      <c r="S169" s="1">
        <v>0</v>
      </c>
      <c r="T169" s="1">
        <v>13320.750632965201</v>
      </c>
      <c r="U169" s="1">
        <v>8508.2212571425898</v>
      </c>
      <c r="V169" s="1">
        <v>11956.7039234</v>
      </c>
      <c r="W169" s="1">
        <v>15917.659181774039</v>
      </c>
      <c r="Y169" s="6"/>
      <c r="Z169" s="1">
        <v>-15472.723052628409</v>
      </c>
      <c r="AA169" s="1">
        <v>-1528</v>
      </c>
      <c r="AB169" s="6"/>
      <c r="AC169" s="1">
        <v>0</v>
      </c>
      <c r="AD169" s="1">
        <v>8.4999999999999992E-2</v>
      </c>
      <c r="AE169" s="1">
        <v>0</v>
      </c>
      <c r="AF169" s="1">
        <v>0</v>
      </c>
      <c r="AG169" s="1">
        <v>0</v>
      </c>
      <c r="AI169" s="6"/>
      <c r="AJ169" s="1">
        <v>-9990.5629747239</v>
      </c>
      <c r="AK169" s="6"/>
    </row>
    <row r="170" spans="1:37">
      <c r="A170" s="13">
        <v>166</v>
      </c>
      <c r="B170" s="1">
        <f t="shared" si="10"/>
        <v>15917.659181774039</v>
      </c>
      <c r="C170" s="15">
        <f t="shared" si="11"/>
        <v>0.36677005899999998</v>
      </c>
      <c r="D170" s="1">
        <f t="shared" si="12"/>
        <v>11956.7039234</v>
      </c>
      <c r="E170" s="15">
        <f t="shared" si="13"/>
        <v>0.36677005900000004</v>
      </c>
      <c r="F170" s="15"/>
      <c r="G170" s="1">
        <f t="shared" si="14"/>
        <v>48125.19689482596</v>
      </c>
      <c r="I170" s="13">
        <v>167</v>
      </c>
      <c r="J170" s="2">
        <v>0</v>
      </c>
      <c r="K170" s="2">
        <v>69117.832394977377</v>
      </c>
      <c r="L170" s="2">
        <v>547.83583759318731</v>
      </c>
      <c r="M170" s="2">
        <v>0</v>
      </c>
      <c r="N170" s="2">
        <v>16338.182082765001</v>
      </c>
      <c r="O170" s="2">
        <v>0</v>
      </c>
      <c r="P170" s="2">
        <v>12272.583774999999</v>
      </c>
      <c r="R170" s="6"/>
      <c r="S170" s="1">
        <v>0</v>
      </c>
      <c r="T170" s="1">
        <v>13320.750632965201</v>
      </c>
      <c r="U170" s="1">
        <v>6793.7196279215023</v>
      </c>
      <c r="V170" s="1">
        <v>12272.583774999999</v>
      </c>
      <c r="W170" s="1">
        <v>16338.182082765001</v>
      </c>
      <c r="Y170" s="6"/>
      <c r="Z170" s="1">
        <v>-28939.630525702301</v>
      </c>
      <c r="AA170" s="1">
        <v>-1528</v>
      </c>
      <c r="AB170" s="6"/>
      <c r="AC170" s="1">
        <v>0</v>
      </c>
      <c r="AD170" s="1">
        <v>8.4999999999999992E-2</v>
      </c>
      <c r="AE170" s="1">
        <v>0</v>
      </c>
      <c r="AF170" s="1">
        <v>0</v>
      </c>
      <c r="AG170" s="1">
        <v>0</v>
      </c>
      <c r="AI170" s="6"/>
      <c r="AJ170" s="1">
        <v>-9990.5629747239</v>
      </c>
      <c r="AK170" s="6"/>
    </row>
    <row r="171" spans="1:37">
      <c r="A171" s="13">
        <v>167</v>
      </c>
      <c r="B171" s="1">
        <f t="shared" si="10"/>
        <v>16338.182082765001</v>
      </c>
      <c r="C171" s="15">
        <f t="shared" si="11"/>
        <v>0.37645962500000002</v>
      </c>
      <c r="D171" s="1">
        <f t="shared" si="12"/>
        <v>12272.583774999999</v>
      </c>
      <c r="E171" s="15">
        <f t="shared" si="13"/>
        <v>0.37645962499999996</v>
      </c>
      <c r="F171" s="15"/>
      <c r="G171" s="1">
        <f t="shared" si="14"/>
        <v>47388.794142234998</v>
      </c>
    </row>
  </sheetData>
  <mergeCells count="4">
    <mergeCell ref="S1:W1"/>
    <mergeCell ref="J1:Q1"/>
    <mergeCell ref="Z1:AA1"/>
    <mergeCell ref="AC1:AH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4913D-1F2B-4B1E-921A-DC562AAC8FA8}">
  <sheetPr>
    <tabColor theme="7" tint="0.79998168889431442"/>
  </sheetPr>
  <dimension ref="A1:U170"/>
  <sheetViews>
    <sheetView zoomScale="70" zoomScaleNormal="70" workbookViewId="0">
      <selection activeCell="A20" sqref="A20"/>
    </sheetView>
  </sheetViews>
  <sheetFormatPr baseColWidth="10" defaultRowHeight="14"/>
  <cols>
    <col min="1" max="1" width="19.6328125" style="1" bestFit="1" customWidth="1"/>
    <col min="2" max="2" width="31.6328125" style="1" bestFit="1" customWidth="1"/>
    <col min="3" max="3" width="18.90625" style="1" customWidth="1"/>
    <col min="4" max="4" width="10.6328125" style="1" bestFit="1" customWidth="1"/>
    <col min="5" max="5" width="10.1796875" style="1" customWidth="1"/>
    <col min="6" max="6" width="16.7265625" style="1" bestFit="1" customWidth="1"/>
    <col min="7" max="8" width="10.90625" style="1"/>
    <col min="9" max="9" width="30.6328125" style="1" bestFit="1" customWidth="1"/>
    <col min="10" max="10" width="29.453125" style="1" bestFit="1" customWidth="1"/>
    <col min="11" max="11" width="30.6328125" style="1" bestFit="1" customWidth="1"/>
    <col min="12" max="12" width="29.453125" style="1" bestFit="1" customWidth="1"/>
    <col min="13" max="14" width="30.6328125" style="1" bestFit="1" customWidth="1"/>
    <col min="15" max="15" width="40.08984375" style="1" bestFit="1" customWidth="1"/>
    <col min="16" max="16" width="37.08984375" style="1" bestFit="1" customWidth="1"/>
    <col min="17" max="17" width="37.08984375" style="1" customWidth="1"/>
    <col min="18" max="18" width="36.6328125" style="1" bestFit="1" customWidth="1"/>
    <col min="19" max="20" width="38.1796875" style="1" bestFit="1" customWidth="1"/>
    <col min="21" max="21" width="29.90625" style="1" bestFit="1" customWidth="1"/>
    <col min="22" max="16384" width="10.90625" style="1"/>
  </cols>
  <sheetData>
    <row r="1" spans="1:21">
      <c r="B1" s="3" t="s">
        <v>41</v>
      </c>
      <c r="C1" s="3" t="s">
        <v>40</v>
      </c>
      <c r="D1" s="3" t="s">
        <v>42</v>
      </c>
      <c r="E1" s="3" t="s">
        <v>43</v>
      </c>
      <c r="F1" s="3" t="s">
        <v>54</v>
      </c>
      <c r="H1" s="1" t="s">
        <v>19</v>
      </c>
      <c r="I1" s="1" t="str">
        <f>'[1]links-p1'!O1</f>
        <v>ES_PT_interconexion_electricidad</v>
      </c>
      <c r="J1" s="1" t="str">
        <f>'[1]links-p1'!P1</f>
        <v>ES_PT_interconexion_hidrogeno</v>
      </c>
      <c r="K1" s="1" t="str">
        <f>'[1]links-p1'!Q1</f>
        <v>PT_ES_interconexion_electricidad</v>
      </c>
      <c r="L1" s="1" t="str">
        <f>'[1]links-p1'!R1</f>
        <v>PT_ES_interconexion_hidrogeno</v>
      </c>
      <c r="M1" s="1" t="str">
        <f>'[1]links-p1'!S1</f>
        <v>ES_FR_interconexion_electricidad</v>
      </c>
      <c r="N1" s="1" t="str">
        <f>'[1]links-p1'!T1</f>
        <v>FR_ES_interconexion_electricidad</v>
      </c>
      <c r="O1" s="1" t="str">
        <f>'[1]links-p1'!U1</f>
        <v>ES_FR_interconexion_hidrogeno_IrunLarrau</v>
      </c>
      <c r="P1" s="1" t="str">
        <f>'[1]links-p1'!V1</f>
        <v>ES_FR_interconexion_hidrogeno_BarMar</v>
      </c>
      <c r="Q1" s="51" t="s">
        <v>55</v>
      </c>
      <c r="R1" s="1" t="str">
        <f>'[1]links-p1'!W1</f>
        <v>FR_FR_interconexion_hidrogeno_SWtoS</v>
      </c>
      <c r="S1" s="1" t="str">
        <f>'[1]links-p1'!X1</f>
        <v>FR_FR_interconexion_hidrogeno_StoFRh2</v>
      </c>
      <c r="T1" s="1" t="str">
        <f>'[1]links-p1'!Y1</f>
        <v>FR_FR_interconexion_hidrogeno_FRh2toS</v>
      </c>
      <c r="U1" s="1" t="str">
        <f>'[1]links-p1'!Z1</f>
        <v>MA_ES_interconexion_hidrogeno</v>
      </c>
    </row>
    <row r="2" spans="1:21">
      <c r="B2" s="1" t="s">
        <v>48</v>
      </c>
      <c r="C2" s="49">
        <f>[2]links_2busSRES!$D$26</f>
        <v>7627.1186459999999</v>
      </c>
      <c r="D2" s="1">
        <f>C2*168</f>
        <v>1281355.9325280001</v>
      </c>
      <c r="E2" s="1">
        <f>$P$170</f>
        <v>244707.14926105301</v>
      </c>
      <c r="F2" s="50">
        <f>E2/D2</f>
        <v>0.19097515612095992</v>
      </c>
      <c r="H2" s="1">
        <v>0</v>
      </c>
      <c r="I2" s="1">
        <f>'[1]links-p1'!O2</f>
        <v>0</v>
      </c>
      <c r="J2" s="1">
        <f>'[1]links-p1'!P2</f>
        <v>-366.50117356925989</v>
      </c>
      <c r="K2" s="1">
        <f>'[1]links-p1'!Q2</f>
        <v>-3431.5231553416611</v>
      </c>
      <c r="L2" s="1">
        <f>'[1]links-p1'!R2</f>
        <v>0</v>
      </c>
      <c r="M2" s="1">
        <f>'[1]links-p1'!S2</f>
        <v>0</v>
      </c>
      <c r="N2" s="1">
        <f>'[1]links-p1'!T2</f>
        <v>-5000</v>
      </c>
      <c r="O2" s="1">
        <f>'[1]links-p1'!U2</f>
        <v>0</v>
      </c>
      <c r="P2" s="1">
        <f>'[1]links-p1'!V2</f>
        <v>-1344.4889066400001</v>
      </c>
      <c r="R2" s="1">
        <f>'[1]links-p1'!W2</f>
        <v>-1553.672292</v>
      </c>
      <c r="S2" s="1">
        <f>'[1]links-p1'!X2</f>
        <v>-2737.0789708699999</v>
      </c>
      <c r="T2" s="1">
        <f>'[1]links-p1'!Y2</f>
        <v>0</v>
      </c>
      <c r="U2" s="1">
        <f>'[1]links-p1'!Z2</f>
        <v>-1517.7757899999999</v>
      </c>
    </row>
    <row r="3" spans="1:21">
      <c r="B3" s="1" t="s">
        <v>45</v>
      </c>
      <c r="C3" s="49">
        <f>[2]links_2busSRES!$D$20</f>
        <v>2860.169492</v>
      </c>
      <c r="D3" s="1">
        <f t="shared" ref="D3:D14" si="0">C3*168</f>
        <v>480508.47465599998</v>
      </c>
      <c r="E3" s="1">
        <f>$J$170</f>
        <v>82856.450709712371</v>
      </c>
      <c r="F3" s="50">
        <f t="shared" ref="F3:F14" si="1">E3/D3</f>
        <v>0.17243494148366476</v>
      </c>
      <c r="H3" s="1">
        <f>1+H2</f>
        <v>1</v>
      </c>
      <c r="I3" s="1">
        <f>'[1]links-p1'!O3</f>
        <v>0</v>
      </c>
      <c r="J3" s="1">
        <f>'[1]links-p1'!P3</f>
        <v>-312.77831536379267</v>
      </c>
      <c r="K3" s="1">
        <f>'[1]links-p1'!Q3</f>
        <v>-3500</v>
      </c>
      <c r="L3" s="1">
        <f>'[1]links-p1'!R3</f>
        <v>0</v>
      </c>
      <c r="M3" s="1">
        <f>'[1]links-p1'!S3</f>
        <v>0</v>
      </c>
      <c r="N3" s="1">
        <f>'[1]links-p1'!T3</f>
        <v>-5000</v>
      </c>
      <c r="O3" s="1">
        <f>'[1]links-p1'!U3</f>
        <v>0</v>
      </c>
      <c r="P3" s="1">
        <f>'[1]links-p1'!V3</f>
        <v>-1344.4889066400001</v>
      </c>
      <c r="R3" s="1">
        <f>'[1]links-p1'!W3</f>
        <v>-1553.672292</v>
      </c>
      <c r="S3" s="1">
        <f>'[1]links-p1'!X3</f>
        <v>-2737.0789708699999</v>
      </c>
      <c r="T3" s="1">
        <f>'[1]links-p1'!Y3</f>
        <v>0</v>
      </c>
      <c r="U3" s="1">
        <f>'[1]links-p1'!Z3</f>
        <v>-1517.7757899999999</v>
      </c>
    </row>
    <row r="4" spans="1:21">
      <c r="B4" s="1" t="s">
        <v>46</v>
      </c>
      <c r="C4" s="49">
        <f>[2]links_2busSRES!$D$22</f>
        <v>2860.169492</v>
      </c>
      <c r="D4" s="1">
        <f t="shared" si="0"/>
        <v>480508.47465599998</v>
      </c>
      <c r="E4" s="1">
        <f>$L$170</f>
        <v>30185.250510134538</v>
      </c>
      <c r="F4" s="50">
        <f t="shared" si="1"/>
        <v>6.2819392585623829E-2</v>
      </c>
      <c r="H4" s="1">
        <f t="shared" ref="H4:H67" si="2">1+H3</f>
        <v>2</v>
      </c>
      <c r="I4" s="1">
        <f>'[1]links-p1'!O4</f>
        <v>0</v>
      </c>
      <c r="J4" s="1">
        <f>'[1]links-p1'!P4</f>
        <v>-315.50750259998671</v>
      </c>
      <c r="K4" s="1">
        <f>'[1]links-p1'!Q4</f>
        <v>-3500</v>
      </c>
      <c r="L4" s="1">
        <f>'[1]links-p1'!R4</f>
        <v>0</v>
      </c>
      <c r="M4" s="1">
        <f>'[1]links-p1'!S4</f>
        <v>0</v>
      </c>
      <c r="N4" s="1">
        <f>'[1]links-p1'!T4</f>
        <v>-5000</v>
      </c>
      <c r="O4" s="1">
        <f>'[1]links-p1'!U4</f>
        <v>0</v>
      </c>
      <c r="P4" s="1">
        <f>'[1]links-p1'!V4</f>
        <v>-1344.4889066400001</v>
      </c>
      <c r="R4" s="1">
        <f>'[1]links-p1'!W4</f>
        <v>-1553.672292</v>
      </c>
      <c r="S4" s="1">
        <f>'[1]links-p1'!X4</f>
        <v>-2737.0789708699999</v>
      </c>
      <c r="T4" s="1">
        <f>'[1]links-p1'!Y4</f>
        <v>0</v>
      </c>
      <c r="U4" s="1">
        <f>'[1]links-p1'!Z4</f>
        <v>-1517.7757899999999</v>
      </c>
    </row>
    <row r="5" spans="1:21">
      <c r="B5" s="1" t="s">
        <v>47</v>
      </c>
      <c r="C5" s="49">
        <f>[2]links_2busSRES!$D$25</f>
        <v>5014.1242920000004</v>
      </c>
      <c r="D5" s="1">
        <f t="shared" si="0"/>
        <v>842372.88105600001</v>
      </c>
      <c r="E5" s="1">
        <f>$O$170</f>
        <v>326.16415008000001</v>
      </c>
      <c r="F5" s="50">
        <f t="shared" si="1"/>
        <v>3.8719687850245142E-4</v>
      </c>
      <c r="H5" s="1">
        <f t="shared" si="2"/>
        <v>3</v>
      </c>
      <c r="I5" s="1">
        <f>'[1]links-p1'!O5</f>
        <v>0</v>
      </c>
      <c r="J5" s="1">
        <f>'[1]links-p1'!P5</f>
        <v>-442.41236122958611</v>
      </c>
      <c r="K5" s="1">
        <f>'[1]links-p1'!Q5</f>
        <v>-3500</v>
      </c>
      <c r="L5" s="1">
        <f>'[1]links-p1'!R5</f>
        <v>0</v>
      </c>
      <c r="M5" s="1">
        <f>'[1]links-p1'!S5</f>
        <v>0</v>
      </c>
      <c r="N5" s="1">
        <f>'[1]links-p1'!T5</f>
        <v>-5000</v>
      </c>
      <c r="O5" s="1">
        <f>'[1]links-p1'!U5</f>
        <v>0</v>
      </c>
      <c r="P5" s="1">
        <f>'[1]links-p1'!V5</f>
        <v>-1344.4889066400001</v>
      </c>
      <c r="R5" s="1">
        <f>'[1]links-p1'!W5</f>
        <v>-1553.672292</v>
      </c>
      <c r="S5" s="1">
        <f>'[1]links-p1'!X5</f>
        <v>-2737.0789708699999</v>
      </c>
      <c r="T5" s="1">
        <f>'[1]links-p1'!Y5</f>
        <v>0</v>
      </c>
      <c r="U5" s="1">
        <f>'[1]links-p1'!Z5</f>
        <v>-1517.7757899999999</v>
      </c>
    </row>
    <row r="6" spans="1:21">
      <c r="B6" s="1" t="s">
        <v>49</v>
      </c>
      <c r="C6" s="49">
        <f>[2]links_2busSRES!$D$28</f>
        <v>1553.672292</v>
      </c>
      <c r="D6" s="1">
        <f t="shared" si="0"/>
        <v>261016.945056</v>
      </c>
      <c r="F6" s="50">
        <f t="shared" si="1"/>
        <v>0</v>
      </c>
      <c r="H6" s="1">
        <f t="shared" si="2"/>
        <v>4</v>
      </c>
      <c r="I6" s="1">
        <f>'[1]links-p1'!O6</f>
        <v>0</v>
      </c>
      <c r="J6" s="1">
        <f>'[1]links-p1'!P6</f>
        <v>-494.68932021459278</v>
      </c>
      <c r="K6" s="1">
        <f>'[1]links-p1'!Q6</f>
        <v>-3500</v>
      </c>
      <c r="L6" s="1">
        <f>'[1]links-p1'!R6</f>
        <v>0</v>
      </c>
      <c r="M6" s="1">
        <f>'[1]links-p1'!S6</f>
        <v>0</v>
      </c>
      <c r="N6" s="1">
        <f>'[1]links-p1'!T6</f>
        <v>-5000</v>
      </c>
      <c r="O6" s="1">
        <f>'[1]links-p1'!U6</f>
        <v>0</v>
      </c>
      <c r="P6" s="1">
        <f>'[1]links-p1'!V6</f>
        <v>-1353.2266629700009</v>
      </c>
      <c r="R6" s="1">
        <f>'[1]links-p1'!W6</f>
        <v>-1553.672292</v>
      </c>
      <c r="S6" s="1">
        <f>'[1]links-p1'!X6</f>
        <v>-2745.3568452900008</v>
      </c>
      <c r="T6" s="1">
        <f>'[1]links-p1'!Y6</f>
        <v>0</v>
      </c>
      <c r="U6" s="1">
        <f>'[1]links-p1'!Z6</f>
        <v>-1517.7757899999999</v>
      </c>
    </row>
    <row r="7" spans="1:21">
      <c r="B7" s="1" t="s">
        <v>50</v>
      </c>
      <c r="C7" s="49">
        <f>[2]links_2busSRES!$D$27</f>
        <v>1553.672292</v>
      </c>
      <c r="D7" s="1">
        <f t="shared" si="0"/>
        <v>261016.945056</v>
      </c>
      <c r="E7" s="1">
        <f>$R$170</f>
        <v>167310.2502280398</v>
      </c>
      <c r="F7" s="50">
        <f t="shared" si="1"/>
        <v>0.64099382586883069</v>
      </c>
      <c r="H7" s="1">
        <f t="shared" si="2"/>
        <v>5</v>
      </c>
      <c r="I7" s="1">
        <f>'[1]links-p1'!O7</f>
        <v>0</v>
      </c>
      <c r="J7" s="1">
        <f>'[1]links-p1'!P7</f>
        <v>-557.05313280582425</v>
      </c>
      <c r="K7" s="1">
        <f>'[1]links-p1'!Q7</f>
        <v>-3500</v>
      </c>
      <c r="L7" s="1">
        <f>'[1]links-p1'!R7</f>
        <v>0</v>
      </c>
      <c r="M7" s="1">
        <f>'[1]links-p1'!S7</f>
        <v>0</v>
      </c>
      <c r="N7" s="1">
        <f>'[1]links-p1'!T7</f>
        <v>-5000</v>
      </c>
      <c r="O7" s="1">
        <f>'[1]links-p1'!U7</f>
        <v>0</v>
      </c>
      <c r="P7" s="1">
        <f>'[1]links-p1'!V7</f>
        <v>-1370.702175650001</v>
      </c>
      <c r="R7" s="1">
        <f>'[1]links-p1'!W7</f>
        <v>-1553.672292</v>
      </c>
      <c r="S7" s="1">
        <f>'[1]links-p1'!X7</f>
        <v>-2761.9125941400011</v>
      </c>
      <c r="T7" s="1">
        <f>'[1]links-p1'!Y7</f>
        <v>0</v>
      </c>
      <c r="U7" s="1">
        <f>'[1]links-p1'!Z7</f>
        <v>-1517.7757899999999</v>
      </c>
    </row>
    <row r="8" spans="1:21">
      <c r="B8" s="1" t="s">
        <v>51</v>
      </c>
      <c r="C8" s="49">
        <f>[2]links_2busSRES!D29</f>
        <v>6779.6610170000004</v>
      </c>
      <c r="D8" s="1">
        <f t="shared" si="0"/>
        <v>1138983.050856</v>
      </c>
      <c r="E8" s="1">
        <f>$S$170</f>
        <v>385596.20715304761</v>
      </c>
      <c r="F8" s="50">
        <f t="shared" si="1"/>
        <v>0.33854428901576161</v>
      </c>
      <c r="H8" s="1">
        <f t="shared" si="2"/>
        <v>6</v>
      </c>
      <c r="I8" s="1">
        <f>'[1]links-p1'!O8</f>
        <v>0</v>
      </c>
      <c r="J8" s="1">
        <f>'[1]links-p1'!P8</f>
        <v>-625.26580486964167</v>
      </c>
      <c r="K8" s="1">
        <f>'[1]links-p1'!Q8</f>
        <v>-3500</v>
      </c>
      <c r="L8" s="1">
        <f>'[1]links-p1'!R8</f>
        <v>0</v>
      </c>
      <c r="M8" s="1">
        <f>'[1]links-p1'!S8</f>
        <v>0</v>
      </c>
      <c r="N8" s="1">
        <f>'[1]links-p1'!T8</f>
        <v>-5000</v>
      </c>
      <c r="O8" s="1">
        <f>'[1]links-p1'!U8</f>
        <v>0</v>
      </c>
      <c r="P8" s="1">
        <f>'[1]links-p1'!V8</f>
        <v>-1379.4399319900001</v>
      </c>
      <c r="R8" s="1">
        <f>'[1]links-p1'!W8</f>
        <v>-1553.672292</v>
      </c>
      <c r="S8" s="1">
        <f>'[1]links-p1'!X8</f>
        <v>-2770.1904685700001</v>
      </c>
      <c r="T8" s="1">
        <f>'[1]links-p1'!Y8</f>
        <v>0</v>
      </c>
      <c r="U8" s="1">
        <f>'[1]links-p1'!Z8</f>
        <v>-1517.7757899999999</v>
      </c>
    </row>
    <row r="9" spans="1:21">
      <c r="B9" s="1" t="s">
        <v>53</v>
      </c>
      <c r="C9" s="49">
        <f>[2]links_2busSRES!D30</f>
        <v>6779.6610170000004</v>
      </c>
      <c r="D9" s="1">
        <f t="shared" si="0"/>
        <v>1138983.050856</v>
      </c>
      <c r="E9" s="1">
        <f>$T$170</f>
        <v>968.31514536999998</v>
      </c>
      <c r="F9" s="50">
        <f t="shared" si="1"/>
        <v>8.50157642505975E-4</v>
      </c>
      <c r="H9" s="1">
        <f t="shared" si="2"/>
        <v>7</v>
      </c>
      <c r="I9" s="1">
        <f>'[1]links-p1'!O9</f>
        <v>0</v>
      </c>
      <c r="J9" s="1">
        <f>'[1]links-p1'!P9</f>
        <v>-641.15411412980632</v>
      </c>
      <c r="K9" s="1">
        <f>'[1]links-p1'!Q9</f>
        <v>-3500</v>
      </c>
      <c r="L9" s="1">
        <f>'[1]links-p1'!R9</f>
        <v>0</v>
      </c>
      <c r="M9" s="1">
        <f>'[1]links-p1'!S9</f>
        <v>0</v>
      </c>
      <c r="N9" s="1">
        <f>'[1]links-p1'!T9</f>
        <v>-5000</v>
      </c>
      <c r="O9" s="1">
        <f>'[1]links-p1'!U9</f>
        <v>0</v>
      </c>
      <c r="P9" s="1">
        <f>'[1]links-p1'!V9</f>
        <v>-1388.17768832</v>
      </c>
      <c r="R9" s="1">
        <f>'[1]links-p1'!W9</f>
        <v>-1553.672292</v>
      </c>
      <c r="S9" s="1">
        <f>'[1]links-p1'!X9</f>
        <v>-2778.468342990001</v>
      </c>
      <c r="T9" s="1">
        <f>'[1]links-p1'!Y9</f>
        <v>0</v>
      </c>
      <c r="U9" s="1">
        <f>'[1]links-p1'!Z9</f>
        <v>-1517.7757899999999</v>
      </c>
    </row>
    <row r="10" spans="1:21">
      <c r="A10" s="3" t="s">
        <v>35</v>
      </c>
      <c r="B10" s="3" t="s">
        <v>52</v>
      </c>
      <c r="C10" s="52">
        <f>[2]links_2busSRES!$D$31</f>
        <v>3742.94</v>
      </c>
      <c r="D10" s="3">
        <f t="shared" si="0"/>
        <v>628813.92000000004</v>
      </c>
      <c r="E10" s="3">
        <f>$U$170</f>
        <v>254986.33272000114</v>
      </c>
      <c r="F10" s="53">
        <f t="shared" si="1"/>
        <v>0.40550363885074481</v>
      </c>
      <c r="H10" s="1">
        <f t="shared" si="2"/>
        <v>8</v>
      </c>
      <c r="I10" s="1">
        <f>'[1]links-p1'!O10</f>
        <v>0</v>
      </c>
      <c r="J10" s="1">
        <f>'[1]links-p1'!P10</f>
        <v>-675.85944119948931</v>
      </c>
      <c r="K10" s="1">
        <f>'[1]links-p1'!Q10</f>
        <v>-3500</v>
      </c>
      <c r="L10" s="1">
        <f>'[1]links-p1'!R10</f>
        <v>0</v>
      </c>
      <c r="M10" s="1">
        <f>'[1]links-p1'!S10</f>
        <v>0</v>
      </c>
      <c r="N10" s="1">
        <f>'[1]links-p1'!T10</f>
        <v>-5000</v>
      </c>
      <c r="O10" s="1">
        <f>'[1]links-p1'!U10</f>
        <v>0</v>
      </c>
      <c r="P10" s="1">
        <f>'[1]links-p1'!V10</f>
        <v>-1388.17768832</v>
      </c>
      <c r="R10" s="1">
        <f>'[1]links-p1'!W10</f>
        <v>-1553.672292</v>
      </c>
      <c r="S10" s="1">
        <f>'[1]links-p1'!X10</f>
        <v>-2778.468342990001</v>
      </c>
      <c r="T10" s="1">
        <f>'[1]links-p1'!Y10</f>
        <v>0</v>
      </c>
      <c r="U10" s="1">
        <f>'[1]links-p1'!Z10</f>
        <v>-1517.7757899999999</v>
      </c>
    </row>
    <row r="11" spans="1:21">
      <c r="B11" s="1" t="s">
        <v>57</v>
      </c>
      <c r="C11" s="49">
        <f>[2]links_2busSRES!$D$19</f>
        <v>4200</v>
      </c>
      <c r="D11" s="1">
        <f t="shared" si="0"/>
        <v>705600</v>
      </c>
      <c r="E11" s="1">
        <f>$I$170</f>
        <v>68501.507254929107</v>
      </c>
      <c r="F11" s="50">
        <f t="shared" si="1"/>
        <v>9.7082634998482298E-2</v>
      </c>
      <c r="H11" s="1">
        <f t="shared" si="2"/>
        <v>9</v>
      </c>
      <c r="I11" s="1">
        <f>'[1]links-p1'!O11</f>
        <v>0</v>
      </c>
      <c r="J11" s="1">
        <f>'[1]links-p1'!P11</f>
        <v>-179.2213345285079</v>
      </c>
      <c r="K11" s="1">
        <f>'[1]links-p1'!Q11</f>
        <v>-2515.6698953296868</v>
      </c>
      <c r="L11" s="1">
        <f>'[1]links-p1'!R11</f>
        <v>0</v>
      </c>
      <c r="M11" s="1">
        <f>'[1]links-p1'!S11</f>
        <v>0</v>
      </c>
      <c r="N11" s="1">
        <f>'[1]links-p1'!T11</f>
        <v>0</v>
      </c>
      <c r="O11" s="1">
        <f>'[1]links-p1'!U11</f>
        <v>0</v>
      </c>
      <c r="P11" s="1">
        <f>'[1]links-p1'!V11</f>
        <v>-1388.17768832</v>
      </c>
      <c r="R11" s="1">
        <f>'[1]links-p1'!W11</f>
        <v>-1553.672292</v>
      </c>
      <c r="S11" s="1">
        <f>'[1]links-p1'!X11</f>
        <v>-2778.468342990001</v>
      </c>
      <c r="T11" s="1">
        <f>'[1]links-p1'!Y11</f>
        <v>0</v>
      </c>
      <c r="U11" s="1">
        <f>'[1]links-p1'!Z11</f>
        <v>-1517.7757899999999</v>
      </c>
    </row>
    <row r="12" spans="1:21">
      <c r="B12" s="1" t="s">
        <v>56</v>
      </c>
      <c r="C12" s="49">
        <f>[2]links_2busSRES!$D$21</f>
        <v>3500</v>
      </c>
      <c r="D12" s="1">
        <f t="shared" si="0"/>
        <v>588000</v>
      </c>
      <c r="E12" s="1">
        <f>$K$170</f>
        <v>222512.54772736155</v>
      </c>
      <c r="F12" s="50">
        <f t="shared" si="1"/>
        <v>0.37842270021660129</v>
      </c>
      <c r="H12" s="1">
        <f t="shared" si="2"/>
        <v>10</v>
      </c>
      <c r="I12" s="1">
        <f>'[1]links-p1'!O12</f>
        <v>0</v>
      </c>
      <c r="J12" s="1">
        <f>'[1]links-p1'!P12</f>
        <v>0</v>
      </c>
      <c r="K12" s="1">
        <f>'[1]links-p1'!Q12</f>
        <v>0</v>
      </c>
      <c r="L12" s="1">
        <f>'[1]links-p1'!R12</f>
        <v>0</v>
      </c>
      <c r="M12" s="1">
        <f>'[1]links-p1'!S12</f>
        <v>0</v>
      </c>
      <c r="N12" s="1">
        <f>'[1]links-p1'!T12</f>
        <v>0</v>
      </c>
      <c r="O12" s="1">
        <f>'[1]links-p1'!U12</f>
        <v>0</v>
      </c>
      <c r="P12" s="1">
        <f>'[1]links-p1'!V12</f>
        <v>-1388.17768832</v>
      </c>
      <c r="R12" s="1">
        <f>'[1]links-p1'!W12</f>
        <v>-1553.672292</v>
      </c>
      <c r="S12" s="1">
        <f>'[1]links-p1'!X12</f>
        <v>-2778.468342990001</v>
      </c>
      <c r="T12" s="1">
        <f>'[1]links-p1'!Y12</f>
        <v>0</v>
      </c>
      <c r="U12" s="1">
        <f>'[1]links-p1'!Z12</f>
        <v>-1517.7757899999999</v>
      </c>
    </row>
    <row r="13" spans="1:21">
      <c r="B13" s="1" t="s">
        <v>58</v>
      </c>
      <c r="C13" s="49">
        <f>[2]links_2busSRES!$D$23</f>
        <v>5000</v>
      </c>
      <c r="D13" s="1">
        <f t="shared" si="0"/>
        <v>840000</v>
      </c>
      <c r="E13" s="1">
        <f>$M$170</f>
        <v>11966.836222274864</v>
      </c>
      <c r="F13" s="50">
        <f t="shared" si="1"/>
        <v>1.4246233597946266E-2</v>
      </c>
      <c r="H13" s="1">
        <f t="shared" si="2"/>
        <v>11</v>
      </c>
      <c r="I13" s="1">
        <f>'[1]links-p1'!O13</f>
        <v>0</v>
      </c>
      <c r="J13" s="1">
        <f>'[1]links-p1'!P13</f>
        <v>0</v>
      </c>
      <c r="K13" s="1">
        <f>'[1]links-p1'!Q13</f>
        <v>0</v>
      </c>
      <c r="L13" s="1">
        <f>'[1]links-p1'!R13</f>
        <v>0</v>
      </c>
      <c r="M13" s="1">
        <f>'[1]links-p1'!S13</f>
        <v>0</v>
      </c>
      <c r="N13" s="1">
        <f>'[1]links-p1'!T13</f>
        <v>0</v>
      </c>
      <c r="O13" s="1">
        <f>'[1]links-p1'!U13</f>
        <v>0</v>
      </c>
      <c r="P13" s="1">
        <f>'[1]links-p1'!V13</f>
        <v>-2206.269204910001</v>
      </c>
      <c r="R13" s="1">
        <f>'[1]links-p1'!W13</f>
        <v>-726.84301907999952</v>
      </c>
      <c r="S13" s="1">
        <f>'[1]links-p1'!X13</f>
        <v>-2770.1904685700001</v>
      </c>
      <c r="T13" s="1">
        <f>'[1]links-p1'!Y13</f>
        <v>0</v>
      </c>
      <c r="U13" s="1">
        <f>'[1]links-p1'!Z13</f>
        <v>-1517.7757899999999</v>
      </c>
    </row>
    <row r="14" spans="1:21">
      <c r="A14" s="3" t="s">
        <v>34</v>
      </c>
      <c r="B14" s="3" t="s">
        <v>59</v>
      </c>
      <c r="C14" s="52">
        <f>[2]links_2busSRES!$D$23</f>
        <v>5000</v>
      </c>
      <c r="D14" s="3">
        <f t="shared" si="0"/>
        <v>840000</v>
      </c>
      <c r="E14" s="3">
        <f>$N$170</f>
        <v>388467.06536543992</v>
      </c>
      <c r="F14" s="53">
        <f t="shared" si="1"/>
        <v>0.4624607921017142</v>
      </c>
      <c r="H14" s="1">
        <f t="shared" si="2"/>
        <v>12</v>
      </c>
      <c r="I14" s="1">
        <f>'[1]links-p1'!O14</f>
        <v>0</v>
      </c>
      <c r="J14" s="1">
        <f>'[1]links-p1'!P14</f>
        <v>0</v>
      </c>
      <c r="K14" s="1">
        <f>'[1]links-p1'!Q14</f>
        <v>0</v>
      </c>
      <c r="L14" s="1">
        <f>'[1]links-p1'!R14</f>
        <v>0</v>
      </c>
      <c r="M14" s="1">
        <f>'[1]links-p1'!S14</f>
        <v>0</v>
      </c>
      <c r="N14" s="1">
        <f>'[1]links-p1'!T14</f>
        <v>0</v>
      </c>
      <c r="O14" s="1">
        <f>'[1]links-p1'!U14</f>
        <v>0</v>
      </c>
      <c r="P14" s="1">
        <f>'[1]links-p1'!V14</f>
        <v>-2924.37446765</v>
      </c>
      <c r="R14" s="1">
        <f>'[1]links-p1'!W14</f>
        <v>0</v>
      </c>
      <c r="S14" s="1">
        <f>'[1]links-p1'!X14</f>
        <v>-2761.9125941400011</v>
      </c>
      <c r="T14" s="1">
        <f>'[1]links-p1'!Y14</f>
        <v>0</v>
      </c>
      <c r="U14" s="1">
        <f>'[1]links-p1'!Z14</f>
        <v>-1517.7757899999999</v>
      </c>
    </row>
    <row r="15" spans="1:21">
      <c r="C15" s="49"/>
      <c r="H15" s="1">
        <f t="shared" si="2"/>
        <v>13</v>
      </c>
      <c r="I15" s="1">
        <f>'[1]links-p1'!O15</f>
        <v>0</v>
      </c>
      <c r="J15" s="1">
        <f>'[1]links-p1'!P15</f>
        <v>0</v>
      </c>
      <c r="K15" s="1">
        <f>'[1]links-p1'!Q15</f>
        <v>0</v>
      </c>
      <c r="L15" s="1">
        <f>'[1]links-p1'!R15</f>
        <v>0</v>
      </c>
      <c r="M15" s="1">
        <f>'[1]links-p1'!S15</f>
        <v>0</v>
      </c>
      <c r="N15" s="1">
        <f>'[1]links-p1'!T15</f>
        <v>0</v>
      </c>
      <c r="O15" s="1">
        <f>'[1]links-p1'!U15</f>
        <v>0</v>
      </c>
      <c r="P15" s="1">
        <f>'[1]links-p1'!V15</f>
        <v>-2924.37446765</v>
      </c>
      <c r="R15" s="1">
        <f>'[1]links-p1'!W15</f>
        <v>0</v>
      </c>
      <c r="S15" s="1">
        <f>'[1]links-p1'!X15</f>
        <v>-2761.9125941400011</v>
      </c>
      <c r="T15" s="1">
        <f>'[1]links-p1'!Y15</f>
        <v>0</v>
      </c>
      <c r="U15" s="1">
        <f>'[1]links-p1'!Z15</f>
        <v>-1517.7757899999999</v>
      </c>
    </row>
    <row r="16" spans="1:21">
      <c r="H16" s="1">
        <f t="shared" si="2"/>
        <v>14</v>
      </c>
      <c r="I16" s="1">
        <f>'[1]links-p1'!O16</f>
        <v>0</v>
      </c>
      <c r="J16" s="1">
        <f>'[1]links-p1'!P16</f>
        <v>0</v>
      </c>
      <c r="K16" s="1">
        <f>'[1]links-p1'!Q16</f>
        <v>0</v>
      </c>
      <c r="L16" s="1">
        <f>'[1]links-p1'!R16</f>
        <v>0</v>
      </c>
      <c r="M16" s="1">
        <f>'[1]links-p1'!S16</f>
        <v>0</v>
      </c>
      <c r="N16" s="1">
        <f>'[1]links-p1'!T16</f>
        <v>0</v>
      </c>
      <c r="O16" s="1">
        <f>'[1]links-p1'!U16</f>
        <v>0</v>
      </c>
      <c r="P16" s="1">
        <f>'[1]links-p1'!V16</f>
        <v>-2933.1122239900001</v>
      </c>
      <c r="R16" s="1">
        <f>'[1]links-p1'!W16</f>
        <v>0</v>
      </c>
      <c r="S16" s="1">
        <f>'[1]links-p1'!X16</f>
        <v>-2770.1904685700001</v>
      </c>
      <c r="T16" s="1">
        <f>'[1]links-p1'!Y16</f>
        <v>0</v>
      </c>
      <c r="U16" s="1">
        <f>'[1]links-p1'!Z16</f>
        <v>-1517.7757899999999</v>
      </c>
    </row>
    <row r="17" spans="1:21">
      <c r="H17" s="1">
        <f t="shared" si="2"/>
        <v>15</v>
      </c>
      <c r="I17" s="1">
        <f>'[1]links-p1'!O17</f>
        <v>0</v>
      </c>
      <c r="J17" s="1">
        <f>'[1]links-p1'!P17</f>
        <v>0</v>
      </c>
      <c r="K17" s="1">
        <f>'[1]links-p1'!Q17</f>
        <v>0</v>
      </c>
      <c r="L17" s="1">
        <f>'[1]links-p1'!R17</f>
        <v>0</v>
      </c>
      <c r="M17" s="1">
        <f>'[1]links-p1'!S17</f>
        <v>0</v>
      </c>
      <c r="N17" s="1">
        <f>'[1]links-p1'!T17</f>
        <v>0</v>
      </c>
      <c r="O17" s="1">
        <f>'[1]links-p1'!U17</f>
        <v>0</v>
      </c>
      <c r="P17" s="1">
        <f>'[1]links-p1'!V17</f>
        <v>-1425.343219109998</v>
      </c>
      <c r="R17" s="1">
        <f>'[1]links-p1'!W17</f>
        <v>-1516.506761210002</v>
      </c>
      <c r="S17" s="1">
        <f>'[1]links-p1'!X17</f>
        <v>-2778.468342990001</v>
      </c>
      <c r="T17" s="1">
        <f>'[1]links-p1'!Y17</f>
        <v>0</v>
      </c>
      <c r="U17" s="1">
        <f>'[1]links-p1'!Z17</f>
        <v>-1517.7757899999999</v>
      </c>
    </row>
    <row r="18" spans="1:21">
      <c r="A18" s="1" t="s">
        <v>44</v>
      </c>
      <c r="H18" s="1">
        <f t="shared" si="2"/>
        <v>16</v>
      </c>
      <c r="I18" s="1">
        <f>'[1]links-p1'!O18</f>
        <v>0</v>
      </c>
      <c r="J18" s="1">
        <f>'[1]links-p1'!P18</f>
        <v>0</v>
      </c>
      <c r="K18" s="1">
        <f>'[1]links-p1'!Q18</f>
        <v>0</v>
      </c>
      <c r="L18" s="1">
        <f>'[1]links-p1'!R18</f>
        <v>0</v>
      </c>
      <c r="M18" s="1">
        <f>'[1]links-p1'!S18</f>
        <v>0</v>
      </c>
      <c r="N18" s="1">
        <f>'[1]links-p1'!T18</f>
        <v>0</v>
      </c>
      <c r="O18" s="1">
        <f>'[1]links-p1'!U18</f>
        <v>0</v>
      </c>
      <c r="P18" s="1">
        <f>'[1]links-p1'!V18</f>
        <v>-1388.17768832</v>
      </c>
      <c r="R18" s="1">
        <f>'[1]links-p1'!W18</f>
        <v>-1553.672292</v>
      </c>
      <c r="S18" s="1">
        <f>'[1]links-p1'!X18</f>
        <v>-2778.468342990001</v>
      </c>
      <c r="T18" s="1">
        <f>'[1]links-p1'!Y18</f>
        <v>0</v>
      </c>
      <c r="U18" s="1">
        <f>'[1]links-p1'!Z18</f>
        <v>-1517.7757899999999</v>
      </c>
    </row>
    <row r="19" spans="1:21">
      <c r="H19" s="1">
        <f t="shared" si="2"/>
        <v>17</v>
      </c>
      <c r="I19" s="1">
        <f>'[1]links-p1'!O19</f>
        <v>0</v>
      </c>
      <c r="J19" s="1">
        <f>'[1]links-p1'!P19</f>
        <v>-169.02993135326409</v>
      </c>
      <c r="K19" s="1">
        <f>'[1]links-p1'!Q19</f>
        <v>-3500</v>
      </c>
      <c r="L19" s="1">
        <f>'[1]links-p1'!R19</f>
        <v>0</v>
      </c>
      <c r="M19" s="1">
        <f>'[1]links-p1'!S19</f>
        <v>0</v>
      </c>
      <c r="N19" s="1">
        <f>'[1]links-p1'!T19</f>
        <v>-5000</v>
      </c>
      <c r="O19" s="1">
        <f>'[1]links-p1'!U19</f>
        <v>0</v>
      </c>
      <c r="P19" s="1">
        <f>'[1]links-p1'!V19</f>
        <v>-1388.17768832</v>
      </c>
      <c r="R19" s="1">
        <f>'[1]links-p1'!W19</f>
        <v>-1553.672292</v>
      </c>
      <c r="S19" s="1">
        <f>'[1]links-p1'!X19</f>
        <v>-2778.468342990001</v>
      </c>
      <c r="T19" s="1">
        <f>'[1]links-p1'!Y19</f>
        <v>0</v>
      </c>
      <c r="U19" s="1">
        <f>'[1]links-p1'!Z19</f>
        <v>-1517.7757899999999</v>
      </c>
    </row>
    <row r="20" spans="1:21">
      <c r="A20" s="51" t="s">
        <v>61</v>
      </c>
      <c r="B20" s="55" t="s">
        <v>41</v>
      </c>
      <c r="C20" s="55" t="s">
        <v>40</v>
      </c>
      <c r="D20" s="55" t="s">
        <v>42</v>
      </c>
      <c r="E20" s="55" t="s">
        <v>43</v>
      </c>
      <c r="F20" s="55" t="s">
        <v>54</v>
      </c>
      <c r="H20" s="1">
        <f t="shared" si="2"/>
        <v>18</v>
      </c>
      <c r="I20" s="1">
        <f>'[1]links-p1'!O20</f>
        <v>0</v>
      </c>
      <c r="J20" s="1">
        <f>'[1]links-p1'!P20</f>
        <v>-1160.5493731631659</v>
      </c>
      <c r="K20" s="1">
        <f>'[1]links-p1'!Q20</f>
        <v>0</v>
      </c>
      <c r="L20" s="1">
        <f>'[1]links-p1'!R20</f>
        <v>0</v>
      </c>
      <c r="M20" s="1">
        <f>'[1]links-p1'!S20</f>
        <v>0</v>
      </c>
      <c r="N20" s="1">
        <f>'[1]links-p1'!T20</f>
        <v>-5000</v>
      </c>
      <c r="O20" s="1">
        <f>'[1]links-p1'!U20</f>
        <v>0</v>
      </c>
      <c r="P20" s="1">
        <f>'[1]links-p1'!V20</f>
        <v>-1379.4399319900001</v>
      </c>
      <c r="R20" s="1">
        <f>'[1]links-p1'!W20</f>
        <v>-1553.672292</v>
      </c>
      <c r="S20" s="1">
        <f>'[1]links-p1'!X20</f>
        <v>-2770.1904685700001</v>
      </c>
      <c r="T20" s="1">
        <f>'[1]links-p1'!Y20</f>
        <v>0</v>
      </c>
      <c r="U20" s="1">
        <f>'[1]links-p1'!Z20</f>
        <v>-1517.7757899999999</v>
      </c>
    </row>
    <row r="21" spans="1:21">
      <c r="A21" s="54"/>
      <c r="B21" s="54" t="s">
        <v>62</v>
      </c>
      <c r="C21" s="54">
        <v>7627.1186459999999</v>
      </c>
      <c r="D21" s="54">
        <v>1281355.9325280001</v>
      </c>
      <c r="E21" s="54">
        <v>244707.14926105301</v>
      </c>
      <c r="F21" s="56">
        <v>0.19097515612095992</v>
      </c>
      <c r="H21" s="1">
        <f t="shared" si="2"/>
        <v>19</v>
      </c>
      <c r="I21" s="1">
        <f>'[1]links-p1'!O21</f>
        <v>0</v>
      </c>
      <c r="J21" s="1">
        <f>'[1]links-p1'!P21</f>
        <v>-987.09850773280471</v>
      </c>
      <c r="K21" s="1">
        <f>'[1]links-p1'!Q21</f>
        <v>0</v>
      </c>
      <c r="L21" s="1">
        <f>'[1]links-p1'!R21</f>
        <v>0</v>
      </c>
      <c r="M21" s="1">
        <f>'[1]links-p1'!S21</f>
        <v>0</v>
      </c>
      <c r="N21" s="1">
        <f>'[1]links-p1'!T21</f>
        <v>-5000</v>
      </c>
      <c r="O21" s="1">
        <f>'[1]links-p1'!U21</f>
        <v>0</v>
      </c>
      <c r="P21" s="1">
        <f>'[1]links-p1'!V21</f>
        <v>-1370.702175650001</v>
      </c>
      <c r="R21" s="1">
        <f>'[1]links-p1'!W21</f>
        <v>-1553.672292</v>
      </c>
      <c r="S21" s="1">
        <f>'[1]links-p1'!X21</f>
        <v>-2761.9125941400011</v>
      </c>
      <c r="T21" s="1">
        <f>'[1]links-p1'!Y21</f>
        <v>0</v>
      </c>
      <c r="U21" s="1">
        <f>'[1]links-p1'!Z21</f>
        <v>-1517.7757899999999</v>
      </c>
    </row>
    <row r="22" spans="1:21">
      <c r="A22" s="54"/>
      <c r="B22" s="54" t="s">
        <v>63</v>
      </c>
      <c r="C22" s="54">
        <v>2860.169492</v>
      </c>
      <c r="D22" s="54">
        <v>480508.47465599998</v>
      </c>
      <c r="E22" s="54">
        <v>82856.450709712371</v>
      </c>
      <c r="F22" s="56">
        <v>0.17243494148366476</v>
      </c>
      <c r="H22" s="1">
        <f t="shared" si="2"/>
        <v>20</v>
      </c>
      <c r="I22" s="1">
        <f>'[1]links-p1'!O22</f>
        <v>0</v>
      </c>
      <c r="J22" s="1">
        <f>'[1]links-p1'!P22</f>
        <v>-866.88196313539129</v>
      </c>
      <c r="K22" s="1">
        <f>'[1]links-p1'!Q22</f>
        <v>0</v>
      </c>
      <c r="L22" s="1">
        <f>'[1]links-p1'!R22</f>
        <v>0</v>
      </c>
      <c r="M22" s="1">
        <f>'[1]links-p1'!S22</f>
        <v>0</v>
      </c>
      <c r="N22" s="1">
        <f>'[1]links-p1'!T22</f>
        <v>-5000</v>
      </c>
      <c r="O22" s="1">
        <f>'[1]links-p1'!U22</f>
        <v>0</v>
      </c>
      <c r="P22" s="1">
        <f>'[1]links-p1'!V22</f>
        <v>-1361.964419320002</v>
      </c>
      <c r="R22" s="1">
        <f>'[1]links-p1'!W22</f>
        <v>-1553.672292</v>
      </c>
      <c r="S22" s="1">
        <f>'[1]links-p1'!X22</f>
        <v>-2753.6347197200021</v>
      </c>
      <c r="T22" s="1">
        <f>'[1]links-p1'!Y22</f>
        <v>0</v>
      </c>
      <c r="U22" s="1">
        <f>'[1]links-p1'!Z22</f>
        <v>-1517.7757899999999</v>
      </c>
    </row>
    <row r="23" spans="1:21">
      <c r="A23" s="54"/>
      <c r="B23" s="54" t="s">
        <v>64</v>
      </c>
      <c r="C23" s="54">
        <v>2860.169492</v>
      </c>
      <c r="D23" s="54">
        <v>480508.47465599998</v>
      </c>
      <c r="E23" s="54">
        <v>30185.250510134538</v>
      </c>
      <c r="F23" s="56">
        <v>6.2819392585623829E-2</v>
      </c>
      <c r="H23" s="1">
        <f t="shared" si="2"/>
        <v>21</v>
      </c>
      <c r="I23" s="1">
        <f>'[1]links-p1'!O23</f>
        <v>0</v>
      </c>
      <c r="J23" s="1">
        <f>'[1]links-p1'!P23</f>
        <v>-689.34434750994058</v>
      </c>
      <c r="K23" s="1">
        <f>'[1]links-p1'!Q23</f>
        <v>-883.6101399555472</v>
      </c>
      <c r="L23" s="1">
        <f>'[1]links-p1'!R23</f>
        <v>0</v>
      </c>
      <c r="M23" s="1">
        <f>'[1]links-p1'!S23</f>
        <v>0</v>
      </c>
      <c r="N23" s="1">
        <f>'[1]links-p1'!T23</f>
        <v>-5000</v>
      </c>
      <c r="O23" s="1">
        <f>'[1]links-p1'!U23</f>
        <v>0</v>
      </c>
      <c r="P23" s="1">
        <f>'[1]links-p1'!V23</f>
        <v>-1353.2266629700009</v>
      </c>
      <c r="R23" s="1">
        <f>'[1]links-p1'!W23</f>
        <v>-1553.672292</v>
      </c>
      <c r="S23" s="1">
        <f>'[1]links-p1'!X23</f>
        <v>-2745.3568452900008</v>
      </c>
      <c r="T23" s="1">
        <f>'[1]links-p1'!Y23</f>
        <v>0</v>
      </c>
      <c r="U23" s="1">
        <f>'[1]links-p1'!Z23</f>
        <v>-1517.7757899999999</v>
      </c>
    </row>
    <row r="24" spans="1:21">
      <c r="A24" s="54"/>
      <c r="B24" s="54" t="s">
        <v>65</v>
      </c>
      <c r="C24" s="54">
        <v>5014.1242920000004</v>
      </c>
      <c r="D24" s="54">
        <v>842372.88105600001</v>
      </c>
      <c r="E24" s="54">
        <v>326.16415008000001</v>
      </c>
      <c r="F24" s="56">
        <v>3.8719687850245142E-4</v>
      </c>
      <c r="H24" s="1">
        <f t="shared" si="2"/>
        <v>22</v>
      </c>
      <c r="I24" s="1">
        <f>'[1]links-p1'!O24</f>
        <v>0</v>
      </c>
      <c r="J24" s="1">
        <f>'[1]links-p1'!P24</f>
        <v>-621.37281099601057</v>
      </c>
      <c r="K24" s="1">
        <f>'[1]links-p1'!Q24</f>
        <v>-779.63635054513281</v>
      </c>
      <c r="L24" s="1">
        <f>'[1]links-p1'!R24</f>
        <v>0</v>
      </c>
      <c r="M24" s="1">
        <f>'[1]links-p1'!S24</f>
        <v>0</v>
      </c>
      <c r="N24" s="1">
        <f>'[1]links-p1'!T24</f>
        <v>-5000</v>
      </c>
      <c r="O24" s="1">
        <f>'[1]links-p1'!U24</f>
        <v>0</v>
      </c>
      <c r="P24" s="1">
        <f>'[1]links-p1'!V24</f>
        <v>-1344.4889066400001</v>
      </c>
      <c r="R24" s="1">
        <f>'[1]links-p1'!W24</f>
        <v>-1553.672292</v>
      </c>
      <c r="S24" s="1">
        <f>'[1]links-p1'!X24</f>
        <v>-2737.0789708699999</v>
      </c>
      <c r="T24" s="1">
        <f>'[1]links-p1'!Y24</f>
        <v>0</v>
      </c>
      <c r="U24" s="1">
        <f>'[1]links-p1'!Z24</f>
        <v>-1517.7757899999999</v>
      </c>
    </row>
    <row r="25" spans="1:21">
      <c r="A25" s="54"/>
      <c r="B25" s="54" t="s">
        <v>66</v>
      </c>
      <c r="C25" s="54">
        <v>1553.672292</v>
      </c>
      <c r="D25" s="54">
        <v>261016.945056</v>
      </c>
      <c r="E25" s="54"/>
      <c r="F25" s="56">
        <v>0</v>
      </c>
      <c r="H25" s="1">
        <f t="shared" si="2"/>
        <v>23</v>
      </c>
      <c r="I25" s="1">
        <f>'[1]links-p1'!O25</f>
        <v>0</v>
      </c>
      <c r="J25" s="1">
        <f>'[1]links-p1'!P25</f>
        <v>-539.54363524103633</v>
      </c>
      <c r="K25" s="1">
        <f>'[1]links-p1'!Q25</f>
        <v>-1646.7675100284271</v>
      </c>
      <c r="L25" s="1">
        <f>'[1]links-p1'!R25</f>
        <v>0</v>
      </c>
      <c r="M25" s="1">
        <f>'[1]links-p1'!S25</f>
        <v>0</v>
      </c>
      <c r="N25" s="1">
        <f>'[1]links-p1'!T25</f>
        <v>-5000</v>
      </c>
      <c r="O25" s="1">
        <f>'[1]links-p1'!U25</f>
        <v>0</v>
      </c>
      <c r="P25" s="1">
        <f>'[1]links-p1'!V25</f>
        <v>-1344.4889066400001</v>
      </c>
      <c r="R25" s="1">
        <f>'[1]links-p1'!W25</f>
        <v>-1553.672292</v>
      </c>
      <c r="S25" s="1">
        <f>'[1]links-p1'!X25</f>
        <v>-2737.0789708699999</v>
      </c>
      <c r="T25" s="1">
        <f>'[1]links-p1'!Y25</f>
        <v>0</v>
      </c>
      <c r="U25" s="1">
        <f>'[1]links-p1'!Z25</f>
        <v>-1517.7757899999999</v>
      </c>
    </row>
    <row r="26" spans="1:21">
      <c r="A26" s="54"/>
      <c r="B26" s="54" t="s">
        <v>67</v>
      </c>
      <c r="C26" s="54">
        <v>1553.672292</v>
      </c>
      <c r="D26" s="54">
        <v>261016.945056</v>
      </c>
      <c r="E26" s="54">
        <v>167310.2502280398</v>
      </c>
      <c r="F26" s="56">
        <v>0.64099382586883069</v>
      </c>
      <c r="H26" s="1">
        <f t="shared" si="2"/>
        <v>24</v>
      </c>
      <c r="I26" s="1">
        <f>'[1]links-p1'!O26</f>
        <v>0</v>
      </c>
      <c r="J26" s="1">
        <f>'[1]links-p1'!P26</f>
        <v>-428.33090497537029</v>
      </c>
      <c r="K26" s="1">
        <f>'[1]links-p1'!Q26</f>
        <v>-2339.2618981814662</v>
      </c>
      <c r="L26" s="1">
        <f>'[1]links-p1'!R26</f>
        <v>0</v>
      </c>
      <c r="M26" s="1">
        <f>'[1]links-p1'!S26</f>
        <v>0</v>
      </c>
      <c r="N26" s="1">
        <f>'[1]links-p1'!T26</f>
        <v>-5000</v>
      </c>
      <c r="O26" s="1">
        <f>'[1]links-p1'!U26</f>
        <v>0</v>
      </c>
      <c r="P26" s="1">
        <f>'[1]links-p1'!V26</f>
        <v>-1344.4701716900011</v>
      </c>
      <c r="R26" s="1">
        <f>'[1]links-p1'!W26</f>
        <v>-1553.672292</v>
      </c>
      <c r="S26" s="1">
        <f>'[1]links-p1'!X26</f>
        <v>-2737.061221970001</v>
      </c>
      <c r="T26" s="1">
        <f>'[1]links-p1'!Y26</f>
        <v>0</v>
      </c>
      <c r="U26" s="1">
        <f>'[1]links-p1'!Z26</f>
        <v>-1517.7757899999999</v>
      </c>
    </row>
    <row r="27" spans="1:21">
      <c r="A27" s="54"/>
      <c r="B27" s="54" t="s">
        <v>68</v>
      </c>
      <c r="C27" s="54">
        <v>6779.6610170000004</v>
      </c>
      <c r="D27" s="54">
        <v>1138983.050856</v>
      </c>
      <c r="E27" s="54">
        <v>385596.20715304761</v>
      </c>
      <c r="F27" s="56">
        <v>0.33854428901576161</v>
      </c>
      <c r="H27" s="1">
        <f t="shared" si="2"/>
        <v>25</v>
      </c>
      <c r="I27" s="1">
        <f>'[1]links-p1'!O27</f>
        <v>0</v>
      </c>
      <c r="J27" s="1">
        <f>'[1]links-p1'!P27</f>
        <v>-312.19433359392752</v>
      </c>
      <c r="K27" s="1">
        <f>'[1]links-p1'!Q27</f>
        <v>-3411.674341134491</v>
      </c>
      <c r="L27" s="1">
        <f>'[1]links-p1'!R27</f>
        <v>0</v>
      </c>
      <c r="M27" s="1">
        <f>'[1]links-p1'!S27</f>
        <v>0</v>
      </c>
      <c r="N27" s="1">
        <f>'[1]links-p1'!T27</f>
        <v>-5000</v>
      </c>
      <c r="O27" s="1">
        <f>'[1]links-p1'!U27</f>
        <v>0</v>
      </c>
      <c r="P27" s="1">
        <f>'[1]links-p1'!V27</f>
        <v>-1344.4701716900011</v>
      </c>
      <c r="R27" s="1">
        <f>'[1]links-p1'!W27</f>
        <v>-1553.672292</v>
      </c>
      <c r="S27" s="1">
        <f>'[1]links-p1'!X27</f>
        <v>-2737.061221970001</v>
      </c>
      <c r="T27" s="1">
        <f>'[1]links-p1'!Y27</f>
        <v>0</v>
      </c>
      <c r="U27" s="1">
        <f>'[1]links-p1'!Z27</f>
        <v>-1517.7757899999999</v>
      </c>
    </row>
    <row r="28" spans="1:21">
      <c r="A28" s="54"/>
      <c r="B28" s="54" t="s">
        <v>69</v>
      </c>
      <c r="C28" s="54">
        <v>6779.6610170000004</v>
      </c>
      <c r="D28" s="54">
        <v>1138983.050856</v>
      </c>
      <c r="E28" s="54">
        <v>968.31514536999998</v>
      </c>
      <c r="F28" s="56">
        <v>8.50157642505975E-4</v>
      </c>
      <c r="H28" s="1">
        <f t="shared" si="2"/>
        <v>26</v>
      </c>
      <c r="I28" s="1">
        <f>'[1]links-p1'!O28</f>
        <v>0</v>
      </c>
      <c r="J28" s="1">
        <f>'[1]links-p1'!P28</f>
        <v>-256.44228536376318</v>
      </c>
      <c r="K28" s="1">
        <f>'[1]links-p1'!Q28</f>
        <v>-3500</v>
      </c>
      <c r="L28" s="1">
        <f>'[1]links-p1'!R28</f>
        <v>0</v>
      </c>
      <c r="M28" s="1">
        <f>'[1]links-p1'!S28</f>
        <v>0</v>
      </c>
      <c r="N28" s="1">
        <f>'[1]links-p1'!T28</f>
        <v>-5000</v>
      </c>
      <c r="O28" s="1">
        <f>'[1]links-p1'!U28</f>
        <v>0</v>
      </c>
      <c r="P28" s="1">
        <f>'[1]links-p1'!V28</f>
        <v>-1344.4701716900011</v>
      </c>
      <c r="R28" s="1">
        <f>'[1]links-p1'!W28</f>
        <v>-1553.672292</v>
      </c>
      <c r="S28" s="1">
        <f>'[1]links-p1'!X28</f>
        <v>-2737.061221970001</v>
      </c>
      <c r="T28" s="1">
        <f>'[1]links-p1'!Y28</f>
        <v>0</v>
      </c>
      <c r="U28" s="1">
        <f>'[1]links-p1'!Z28</f>
        <v>-1517.7757899999999</v>
      </c>
    </row>
    <row r="29" spans="1:21">
      <c r="A29" s="54" t="s">
        <v>35</v>
      </c>
      <c r="B29" s="54" t="s">
        <v>70</v>
      </c>
      <c r="C29" s="54">
        <v>3742.94</v>
      </c>
      <c r="D29" s="54">
        <v>628813.92000000004</v>
      </c>
      <c r="E29" s="54">
        <v>254986.33272000114</v>
      </c>
      <c r="F29" s="56">
        <v>0.40550363885074481</v>
      </c>
      <c r="H29" s="1">
        <f t="shared" si="2"/>
        <v>27</v>
      </c>
      <c r="I29" s="1">
        <f>'[1]links-p1'!O29</f>
        <v>0</v>
      </c>
      <c r="J29" s="1">
        <f>'[1]links-p1'!P29</f>
        <v>-262.17011604786558</v>
      </c>
      <c r="K29" s="1">
        <f>'[1]links-p1'!Q29</f>
        <v>-3500</v>
      </c>
      <c r="L29" s="1">
        <f>'[1]links-p1'!R29</f>
        <v>0</v>
      </c>
      <c r="M29" s="1">
        <f>'[1]links-p1'!S29</f>
        <v>0</v>
      </c>
      <c r="N29" s="1">
        <f>'[1]links-p1'!T29</f>
        <v>-5000</v>
      </c>
      <c r="O29" s="1">
        <f>'[1]links-p1'!U29</f>
        <v>0</v>
      </c>
      <c r="P29" s="1">
        <f>'[1]links-p1'!V29</f>
        <v>-1344.4701716900011</v>
      </c>
      <c r="R29" s="1">
        <f>'[1]links-p1'!W29</f>
        <v>-1553.672292</v>
      </c>
      <c r="S29" s="1">
        <f>'[1]links-p1'!X29</f>
        <v>-2737.061221970001</v>
      </c>
      <c r="T29" s="1">
        <f>'[1]links-p1'!Y29</f>
        <v>0</v>
      </c>
      <c r="U29" s="1">
        <f>'[1]links-p1'!Z29</f>
        <v>-1517.7757899999999</v>
      </c>
    </row>
    <row r="30" spans="1:21">
      <c r="A30" s="54"/>
      <c r="B30" s="57" t="s">
        <v>57</v>
      </c>
      <c r="C30" s="54">
        <v>4200</v>
      </c>
      <c r="D30" s="54">
        <v>705600</v>
      </c>
      <c r="E30" s="54">
        <v>68501.507254929107</v>
      </c>
      <c r="F30" s="56">
        <v>9.7082634998482298E-2</v>
      </c>
      <c r="H30" s="1">
        <f t="shared" si="2"/>
        <v>28</v>
      </c>
      <c r="I30" s="1">
        <f>'[1]links-p1'!O30</f>
        <v>0</v>
      </c>
      <c r="J30" s="1">
        <f>'[1]links-p1'!P30</f>
        <v>-237.25789398462621</v>
      </c>
      <c r="K30" s="1">
        <f>'[1]links-p1'!Q30</f>
        <v>-3500</v>
      </c>
      <c r="L30" s="1">
        <f>'[1]links-p1'!R30</f>
        <v>0</v>
      </c>
      <c r="M30" s="1">
        <f>'[1]links-p1'!S30</f>
        <v>0</v>
      </c>
      <c r="N30" s="1">
        <f>'[1]links-p1'!T30</f>
        <v>-5000</v>
      </c>
      <c r="O30" s="1">
        <f>'[1]links-p1'!U30</f>
        <v>0</v>
      </c>
      <c r="P30" s="1">
        <f>'[1]links-p1'!V30</f>
        <v>-1353.207928020001</v>
      </c>
      <c r="R30" s="1">
        <f>'[1]links-p1'!W30</f>
        <v>-1553.672292</v>
      </c>
      <c r="S30" s="1">
        <f>'[1]links-p1'!X30</f>
        <v>-2745.339096390001</v>
      </c>
      <c r="T30" s="1">
        <f>'[1]links-p1'!Y30</f>
        <v>0</v>
      </c>
      <c r="U30" s="1">
        <f>'[1]links-p1'!Z30</f>
        <v>-1517.7757899999999</v>
      </c>
    </row>
    <row r="31" spans="1:21">
      <c r="A31" s="54"/>
      <c r="B31" s="57" t="s">
        <v>56</v>
      </c>
      <c r="C31" s="54">
        <v>3500</v>
      </c>
      <c r="D31" s="54">
        <v>588000</v>
      </c>
      <c r="E31" s="54">
        <v>222512.54772736155</v>
      </c>
      <c r="F31" s="56">
        <v>0.37842270021660129</v>
      </c>
      <c r="H31" s="1">
        <f t="shared" si="2"/>
        <v>29</v>
      </c>
      <c r="I31" s="1">
        <f>'[1]links-p1'!O31</f>
        <v>0</v>
      </c>
      <c r="J31" s="1">
        <f>'[1]links-p1'!P31</f>
        <v>-429.266691067848</v>
      </c>
      <c r="K31" s="1">
        <f>'[1]links-p1'!Q31</f>
        <v>-3500</v>
      </c>
      <c r="L31" s="1">
        <f>'[1]links-p1'!R31</f>
        <v>0</v>
      </c>
      <c r="M31" s="1">
        <f>'[1]links-p1'!S31</f>
        <v>0</v>
      </c>
      <c r="N31" s="1">
        <f>'[1]links-p1'!T31</f>
        <v>-5000</v>
      </c>
      <c r="O31" s="1">
        <f>'[1]links-p1'!U31</f>
        <v>0</v>
      </c>
      <c r="P31" s="1">
        <f>'[1]links-p1'!V31</f>
        <v>-1370.683440700001</v>
      </c>
      <c r="R31" s="1">
        <f>'[1]links-p1'!W31</f>
        <v>-1553.672292</v>
      </c>
      <c r="S31" s="1">
        <f>'[1]links-p1'!X31</f>
        <v>-2761.8948452400009</v>
      </c>
      <c r="T31" s="1">
        <f>'[1]links-p1'!Y31</f>
        <v>0</v>
      </c>
      <c r="U31" s="1">
        <f>'[1]links-p1'!Z31</f>
        <v>-1517.7757899999999</v>
      </c>
    </row>
    <row r="32" spans="1:21">
      <c r="A32" s="54"/>
      <c r="B32" s="57" t="s">
        <v>58</v>
      </c>
      <c r="C32" s="54">
        <v>5000</v>
      </c>
      <c r="D32" s="54">
        <v>840000</v>
      </c>
      <c r="E32" s="54">
        <v>11966.836222274864</v>
      </c>
      <c r="F32" s="56">
        <v>1.4246233597946266E-2</v>
      </c>
      <c r="H32" s="1">
        <f t="shared" si="2"/>
        <v>30</v>
      </c>
      <c r="I32" s="1">
        <f>'[1]links-p1'!O32</f>
        <v>0</v>
      </c>
      <c r="J32" s="1">
        <f>'[1]links-p1'!P32</f>
        <v>-576.99899561576478</v>
      </c>
      <c r="K32" s="1">
        <f>'[1]links-p1'!Q32</f>
        <v>-3042.013365359745</v>
      </c>
      <c r="L32" s="1">
        <f>'[1]links-p1'!R32</f>
        <v>0</v>
      </c>
      <c r="M32" s="1">
        <f>'[1]links-p1'!S32</f>
        <v>0</v>
      </c>
      <c r="N32" s="1">
        <f>'[1]links-p1'!T32</f>
        <v>-5000</v>
      </c>
      <c r="O32" s="1">
        <f>'[1]links-p1'!U32</f>
        <v>0</v>
      </c>
      <c r="P32" s="1">
        <f>'[1]links-p1'!V32</f>
        <v>-1379.421197040002</v>
      </c>
      <c r="R32" s="1">
        <f>'[1]links-p1'!W32</f>
        <v>-1553.672292</v>
      </c>
      <c r="S32" s="1">
        <f>'[1]links-p1'!X32</f>
        <v>-2770.1727196700022</v>
      </c>
      <c r="T32" s="1">
        <f>'[1]links-p1'!Y32</f>
        <v>0</v>
      </c>
      <c r="U32" s="1">
        <f>'[1]links-p1'!Z32</f>
        <v>-1517.7757899999999</v>
      </c>
    </row>
    <row r="33" spans="1:21">
      <c r="A33" s="54" t="s">
        <v>34</v>
      </c>
      <c r="B33" s="57" t="s">
        <v>59</v>
      </c>
      <c r="C33" s="54">
        <v>5000</v>
      </c>
      <c r="D33" s="54">
        <v>840000</v>
      </c>
      <c r="E33" s="54">
        <v>388467.06536543992</v>
      </c>
      <c r="F33" s="56">
        <v>0.4624607921017142</v>
      </c>
      <c r="H33" s="1">
        <f t="shared" si="2"/>
        <v>31</v>
      </c>
      <c r="I33" s="1">
        <f>'[1]links-p1'!O33</f>
        <v>0</v>
      </c>
      <c r="J33" s="1">
        <f>'[1]links-p1'!P33</f>
        <v>-662.8056933886005</v>
      </c>
      <c r="K33" s="1">
        <f>'[1]links-p1'!Q33</f>
        <v>-2548.107571157966</v>
      </c>
      <c r="L33" s="1">
        <f>'[1]links-p1'!R33</f>
        <v>0</v>
      </c>
      <c r="M33" s="1">
        <f>'[1]links-p1'!S33</f>
        <v>0</v>
      </c>
      <c r="N33" s="1">
        <f>'[1]links-p1'!T33</f>
        <v>-5000</v>
      </c>
      <c r="O33" s="1">
        <f>'[1]links-p1'!U33</f>
        <v>0</v>
      </c>
      <c r="P33" s="1">
        <f>'[1]links-p1'!V33</f>
        <v>-1388.158953370001</v>
      </c>
      <c r="R33" s="1">
        <f>'[1]links-p1'!W33</f>
        <v>-1553.672292</v>
      </c>
      <c r="S33" s="1">
        <f>'[1]links-p1'!X33</f>
        <v>-2778.4505940900008</v>
      </c>
      <c r="T33" s="1">
        <f>'[1]links-p1'!Y33</f>
        <v>0</v>
      </c>
      <c r="U33" s="1">
        <f>'[1]links-p1'!Z33</f>
        <v>-1517.7757899999999</v>
      </c>
    </row>
    <row r="34" spans="1:21">
      <c r="H34" s="1">
        <f t="shared" si="2"/>
        <v>32</v>
      </c>
      <c r="I34" s="1">
        <f>'[1]links-p1'!O34</f>
        <v>0</v>
      </c>
      <c r="J34" s="1">
        <f>'[1]links-p1'!P34</f>
        <v>-702.09637126370319</v>
      </c>
      <c r="K34" s="1">
        <f>'[1]links-p1'!Q34</f>
        <v>-2406.1339830154279</v>
      </c>
      <c r="L34" s="1">
        <f>'[1]links-p1'!R34</f>
        <v>0</v>
      </c>
      <c r="M34" s="1">
        <f>'[1]links-p1'!S34</f>
        <v>0</v>
      </c>
      <c r="N34" s="1">
        <f>'[1]links-p1'!T34</f>
        <v>-5000</v>
      </c>
      <c r="O34" s="1">
        <f>'[1]links-p1'!U34</f>
        <v>0</v>
      </c>
      <c r="P34" s="1">
        <f>'[1]links-p1'!V34</f>
        <v>-1388.158953370001</v>
      </c>
      <c r="R34" s="1">
        <f>'[1]links-p1'!W34</f>
        <v>-1553.672292</v>
      </c>
      <c r="S34" s="1">
        <f>'[1]links-p1'!X34</f>
        <v>-2778.4505940900008</v>
      </c>
      <c r="T34" s="1">
        <f>'[1]links-p1'!Y34</f>
        <v>0</v>
      </c>
      <c r="U34" s="1">
        <f>'[1]links-p1'!Z34</f>
        <v>-1517.7757899999999</v>
      </c>
    </row>
    <row r="35" spans="1:21">
      <c r="H35" s="1">
        <f t="shared" si="2"/>
        <v>33</v>
      </c>
      <c r="I35" s="1">
        <f>'[1]links-p1'!O35</f>
        <v>0</v>
      </c>
      <c r="J35" s="1">
        <f>'[1]links-p1'!P35</f>
        <v>-44.483042244264198</v>
      </c>
      <c r="K35" s="1">
        <f>'[1]links-p1'!Q35</f>
        <v>-3500</v>
      </c>
      <c r="L35" s="1">
        <f>'[1]links-p1'!R35</f>
        <v>0</v>
      </c>
      <c r="M35" s="1">
        <f>'[1]links-p1'!S35</f>
        <v>0</v>
      </c>
      <c r="N35" s="1">
        <f>'[1]links-p1'!T35</f>
        <v>-5000</v>
      </c>
      <c r="O35" s="1">
        <f>'[1]links-p1'!U35</f>
        <v>0</v>
      </c>
      <c r="P35" s="1">
        <f>'[1]links-p1'!V35</f>
        <v>-1388.158953370001</v>
      </c>
      <c r="R35" s="1">
        <f>'[1]links-p1'!W35</f>
        <v>-1553.672292</v>
      </c>
      <c r="S35" s="1">
        <f>'[1]links-p1'!X35</f>
        <v>-2778.4505940900008</v>
      </c>
      <c r="T35" s="1">
        <f>'[1]links-p1'!Y35</f>
        <v>0</v>
      </c>
      <c r="U35" s="1">
        <f>'[1]links-p1'!Z35</f>
        <v>-1517.7757899999999</v>
      </c>
    </row>
    <row r="36" spans="1:21">
      <c r="A36" s="51" t="s">
        <v>60</v>
      </c>
      <c r="B36" s="55" t="s">
        <v>41</v>
      </c>
      <c r="C36" s="55" t="s">
        <v>40</v>
      </c>
      <c r="D36" s="55" t="s">
        <v>42</v>
      </c>
      <c r="E36" s="55" t="s">
        <v>43</v>
      </c>
      <c r="F36" s="55" t="s">
        <v>54</v>
      </c>
      <c r="H36" s="1">
        <f t="shared" si="2"/>
        <v>34</v>
      </c>
      <c r="I36" s="1">
        <f>'[1]links-p1'!O36</f>
        <v>0</v>
      </c>
      <c r="J36" s="1">
        <f>'[1]links-p1'!P36</f>
        <v>0</v>
      </c>
      <c r="K36" s="1">
        <f>'[1]links-p1'!Q36</f>
        <v>0</v>
      </c>
      <c r="L36" s="1">
        <f>'[1]links-p1'!R36</f>
        <v>0</v>
      </c>
      <c r="M36" s="1">
        <f>'[1]links-p1'!S36</f>
        <v>0</v>
      </c>
      <c r="N36" s="1">
        <f>'[1]links-p1'!T36</f>
        <v>0</v>
      </c>
      <c r="O36" s="1">
        <f>'[1]links-p1'!U36</f>
        <v>0</v>
      </c>
      <c r="P36" s="1">
        <f>'[1]links-p1'!V36</f>
        <v>-1388.158953370001</v>
      </c>
      <c r="R36" s="1">
        <f>'[1]links-p1'!W36</f>
        <v>-1553.672292</v>
      </c>
      <c r="S36" s="1">
        <f>'[1]links-p1'!X36</f>
        <v>-2778.4505940900008</v>
      </c>
      <c r="T36" s="1">
        <f>'[1]links-p1'!Y36</f>
        <v>0</v>
      </c>
      <c r="U36" s="1">
        <f>'[1]links-p1'!Z36</f>
        <v>-1517.7757899999999</v>
      </c>
    </row>
    <row r="37" spans="1:21">
      <c r="A37" s="54"/>
      <c r="B37" s="54" t="s">
        <v>48</v>
      </c>
      <c r="C37" s="54">
        <v>7627.1186459999999</v>
      </c>
      <c r="D37" s="54">
        <v>1281355.9325280001</v>
      </c>
      <c r="E37" s="54">
        <v>205258.3373972917</v>
      </c>
      <c r="F37" s="56">
        <v>0.16018838496524182</v>
      </c>
      <c r="H37" s="1">
        <f t="shared" si="2"/>
        <v>35</v>
      </c>
      <c r="I37" s="1">
        <f>'[1]links-p1'!O37</f>
        <v>0</v>
      </c>
      <c r="J37" s="1">
        <f>'[1]links-p1'!P37</f>
        <v>0</v>
      </c>
      <c r="K37" s="1">
        <f>'[1]links-p1'!Q37</f>
        <v>0</v>
      </c>
      <c r="L37" s="1">
        <f>'[1]links-p1'!R37</f>
        <v>0</v>
      </c>
      <c r="M37" s="1">
        <f>'[1]links-p1'!S37</f>
        <v>0</v>
      </c>
      <c r="N37" s="1">
        <f>'[1]links-p1'!T37</f>
        <v>0</v>
      </c>
      <c r="O37" s="1">
        <f>'[1]links-p1'!U37</f>
        <v>0</v>
      </c>
      <c r="P37" s="1">
        <f>'[1]links-p1'!V37</f>
        <v>-2933.0934890400022</v>
      </c>
      <c r="R37" s="1">
        <f>'[1]links-p1'!W37</f>
        <v>0</v>
      </c>
      <c r="S37" s="1">
        <f>'[1]links-p1'!X37</f>
        <v>-2770.1727196700022</v>
      </c>
      <c r="T37" s="1">
        <f>'[1]links-p1'!Y37</f>
        <v>0</v>
      </c>
      <c r="U37" s="1">
        <f>'[1]links-p1'!Z37</f>
        <v>-1517.7757899999999</v>
      </c>
    </row>
    <row r="38" spans="1:21">
      <c r="A38" s="54"/>
      <c r="B38" s="54" t="s">
        <v>45</v>
      </c>
      <c r="C38" s="54">
        <v>2860.169492</v>
      </c>
      <c r="D38" s="54">
        <v>480508.47465599998</v>
      </c>
      <c r="E38" s="54">
        <v>83192.651582741702</v>
      </c>
      <c r="F38" s="56">
        <v>0.17313461878544392</v>
      </c>
      <c r="H38" s="1">
        <f t="shared" si="2"/>
        <v>36</v>
      </c>
      <c r="I38" s="1">
        <f>'[1]links-p1'!O38</f>
        <v>0</v>
      </c>
      <c r="J38" s="1">
        <f>'[1]links-p1'!P38</f>
        <v>0</v>
      </c>
      <c r="K38" s="1">
        <f>'[1]links-p1'!Q38</f>
        <v>0</v>
      </c>
      <c r="L38" s="1">
        <f>'[1]links-p1'!R38</f>
        <v>0</v>
      </c>
      <c r="M38" s="1">
        <f>'[1]links-p1'!S38</f>
        <v>0</v>
      </c>
      <c r="N38" s="1">
        <f>'[1]links-p1'!T38</f>
        <v>0</v>
      </c>
      <c r="O38" s="1">
        <f>'[1]links-p1'!U38</f>
        <v>0</v>
      </c>
      <c r="P38" s="1">
        <f>'[1]links-p1'!V38</f>
        <v>-1933.9773182899989</v>
      </c>
      <c r="R38" s="1">
        <f>'[1]links-p1'!W38</f>
        <v>-990.37841441000182</v>
      </c>
      <c r="S38" s="1">
        <f>'[1]links-p1'!X38</f>
        <v>-2761.8948452400009</v>
      </c>
      <c r="T38" s="1">
        <f>'[1]links-p1'!Y38</f>
        <v>0</v>
      </c>
      <c r="U38" s="1">
        <f>'[1]links-p1'!Z38</f>
        <v>-1517.7757899999999</v>
      </c>
    </row>
    <row r="39" spans="1:21">
      <c r="A39" s="54"/>
      <c r="B39" s="54" t="s">
        <v>46</v>
      </c>
      <c r="C39" s="54">
        <v>2860.169492</v>
      </c>
      <c r="D39" s="54">
        <v>480508.47465599998</v>
      </c>
      <c r="E39" s="54">
        <v>88891.226114827674</v>
      </c>
      <c r="F39" s="56">
        <v>0.18499408606365506</v>
      </c>
      <c r="H39" s="1">
        <f t="shared" si="2"/>
        <v>37</v>
      </c>
      <c r="I39" s="1">
        <f>'[1]links-p1'!O39</f>
        <v>0</v>
      </c>
      <c r="J39" s="1">
        <f>'[1]links-p1'!P39</f>
        <v>0</v>
      </c>
      <c r="K39" s="1">
        <f>'[1]links-p1'!Q39</f>
        <v>0</v>
      </c>
      <c r="L39" s="1">
        <f>'[1]links-p1'!R39</f>
        <v>0</v>
      </c>
      <c r="M39" s="1">
        <f>'[1]links-p1'!S39</f>
        <v>0</v>
      </c>
      <c r="N39" s="1">
        <f>'[1]links-p1'!T39</f>
        <v>0</v>
      </c>
      <c r="O39" s="1">
        <f>'[1]links-p1'!U39</f>
        <v>0</v>
      </c>
      <c r="P39" s="1">
        <f>'[1]links-p1'!V39</f>
        <v>-2332.9331712499988</v>
      </c>
      <c r="R39" s="1">
        <f>'[1]links-p1'!W39</f>
        <v>-591.42256145000192</v>
      </c>
      <c r="S39" s="1">
        <f>'[1]links-p1'!X39</f>
        <v>-2761.8948452400009</v>
      </c>
      <c r="T39" s="1">
        <f>'[1]links-p1'!Y39</f>
        <v>0</v>
      </c>
      <c r="U39" s="1">
        <f>'[1]links-p1'!Z39</f>
        <v>-1517.7757899999999</v>
      </c>
    </row>
    <row r="40" spans="1:21">
      <c r="A40" s="54"/>
      <c r="B40" s="54" t="s">
        <v>47</v>
      </c>
      <c r="C40" s="54">
        <v>5014.1242920000004</v>
      </c>
      <c r="D40" s="54">
        <v>842372.88105600001</v>
      </c>
      <c r="E40" s="54">
        <v>326.16415008000001</v>
      </c>
      <c r="F40" s="56">
        <v>3.8719687850245142E-4</v>
      </c>
      <c r="H40" s="1">
        <f t="shared" si="2"/>
        <v>38</v>
      </c>
      <c r="I40" s="1">
        <f>'[1]links-p1'!O40</f>
        <v>0</v>
      </c>
      <c r="J40" s="1">
        <f>'[1]links-p1'!P40</f>
        <v>0</v>
      </c>
      <c r="K40" s="1">
        <f>'[1]links-p1'!Q40</f>
        <v>0</v>
      </c>
      <c r="L40" s="1">
        <f>'[1]links-p1'!R40</f>
        <v>0</v>
      </c>
      <c r="M40" s="1">
        <f>'[1]links-p1'!S40</f>
        <v>0</v>
      </c>
      <c r="N40" s="1">
        <f>'[1]links-p1'!T40</f>
        <v>0</v>
      </c>
      <c r="O40" s="1">
        <f>'[1]links-p1'!U40</f>
        <v>0</v>
      </c>
      <c r="P40" s="1">
        <f>'[1]links-p1'!V40</f>
        <v>-1824.443504430001</v>
      </c>
      <c r="R40" s="1">
        <f>'[1]links-p1'!W40</f>
        <v>-1108.649984610001</v>
      </c>
      <c r="S40" s="1">
        <f>'[1]links-p1'!X40</f>
        <v>-2770.1727196700022</v>
      </c>
      <c r="T40" s="1">
        <f>'[1]links-p1'!Y40</f>
        <v>0</v>
      </c>
      <c r="U40" s="1">
        <f>'[1]links-p1'!Z40</f>
        <v>-1517.7757899999999</v>
      </c>
    </row>
    <row r="41" spans="1:21">
      <c r="A41" s="54"/>
      <c r="B41" s="54" t="s">
        <v>49</v>
      </c>
      <c r="C41" s="54">
        <v>1553.672292</v>
      </c>
      <c r="D41" s="54">
        <v>261016.945056</v>
      </c>
      <c r="E41" s="54"/>
      <c r="F41" s="56">
        <v>0</v>
      </c>
      <c r="H41" s="1">
        <f t="shared" si="2"/>
        <v>39</v>
      </c>
      <c r="I41" s="1">
        <f>'[1]links-p1'!O41</f>
        <v>0</v>
      </c>
      <c r="J41" s="1">
        <f>'[1]links-p1'!P41</f>
        <v>0</v>
      </c>
      <c r="K41" s="1">
        <f>'[1]links-p1'!Q41</f>
        <v>0</v>
      </c>
      <c r="L41" s="1">
        <f>'[1]links-p1'!R41</f>
        <v>0</v>
      </c>
      <c r="M41" s="1">
        <f>'[1]links-p1'!S41</f>
        <v>0</v>
      </c>
      <c r="N41" s="1">
        <f>'[1]links-p1'!T41</f>
        <v>0</v>
      </c>
      <c r="O41" s="1">
        <f>'[1]links-p1'!U41</f>
        <v>0</v>
      </c>
      <c r="P41" s="1">
        <f>'[1]links-p1'!V41</f>
        <v>-1388.158953370001</v>
      </c>
      <c r="R41" s="1">
        <f>'[1]links-p1'!W41</f>
        <v>-1553.672292</v>
      </c>
      <c r="S41" s="1">
        <f>'[1]links-p1'!X41</f>
        <v>-2778.4505940900008</v>
      </c>
      <c r="T41" s="1">
        <f>'[1]links-p1'!Y41</f>
        <v>0</v>
      </c>
      <c r="U41" s="1">
        <f>'[1]links-p1'!Z41</f>
        <v>-1517.7757899999999</v>
      </c>
    </row>
    <row r="42" spans="1:21">
      <c r="A42" s="54"/>
      <c r="B42" s="54" t="s">
        <v>50</v>
      </c>
      <c r="C42" s="54">
        <v>1553.672292</v>
      </c>
      <c r="D42" s="54">
        <v>261016.945056</v>
      </c>
      <c r="E42" s="54">
        <v>205371.465140299</v>
      </c>
      <c r="F42" s="56">
        <v>0.78681276840565839</v>
      </c>
      <c r="H42" s="1">
        <f t="shared" si="2"/>
        <v>40</v>
      </c>
      <c r="I42" s="1">
        <f>'[1]links-p1'!O42</f>
        <v>0</v>
      </c>
      <c r="J42" s="1">
        <f>'[1]links-p1'!P42</f>
        <v>0</v>
      </c>
      <c r="K42" s="1">
        <f>'[1]links-p1'!Q42</f>
        <v>0</v>
      </c>
      <c r="L42" s="1">
        <f>'[1]links-p1'!R42</f>
        <v>0</v>
      </c>
      <c r="M42" s="1">
        <f>'[1]links-p1'!S42</f>
        <v>0</v>
      </c>
      <c r="N42" s="1">
        <f>'[1]links-p1'!T42</f>
        <v>0</v>
      </c>
      <c r="O42" s="1">
        <f>'[1]links-p1'!U42</f>
        <v>0</v>
      </c>
      <c r="P42" s="1">
        <f>'[1]links-p1'!V42</f>
        <v>-1388.158953370001</v>
      </c>
      <c r="R42" s="1">
        <f>'[1]links-p1'!W42</f>
        <v>-1553.672292</v>
      </c>
      <c r="S42" s="1">
        <f>'[1]links-p1'!X42</f>
        <v>-2778.4505940900008</v>
      </c>
      <c r="T42" s="1">
        <f>'[1]links-p1'!Y42</f>
        <v>0</v>
      </c>
      <c r="U42" s="1">
        <f>'[1]links-p1'!Z42</f>
        <v>-1517.7757899999999</v>
      </c>
    </row>
    <row r="43" spans="1:21">
      <c r="A43" s="54"/>
      <c r="B43" s="54" t="s">
        <v>51</v>
      </c>
      <c r="C43" s="54">
        <v>6779.6610170000004</v>
      </c>
      <c r="D43" s="54">
        <v>1138983.050856</v>
      </c>
      <c r="E43" s="54">
        <v>384344.5070644301</v>
      </c>
      <c r="F43" s="56">
        <v>0.33744532614034678</v>
      </c>
      <c r="H43" s="1">
        <f t="shared" si="2"/>
        <v>41</v>
      </c>
      <c r="I43" s="1">
        <f>'[1]links-p1'!O43</f>
        <v>0</v>
      </c>
      <c r="J43" s="1">
        <f>'[1]links-p1'!P43</f>
        <v>0</v>
      </c>
      <c r="K43" s="1">
        <f>'[1]links-p1'!Q43</f>
        <v>-3500</v>
      </c>
      <c r="L43" s="1">
        <f>'[1]links-p1'!R43</f>
        <v>-604.69926895496155</v>
      </c>
      <c r="M43" s="1">
        <f>'[1]links-p1'!S43</f>
        <v>0</v>
      </c>
      <c r="N43" s="1">
        <f>'[1]links-p1'!T43</f>
        <v>-5000</v>
      </c>
      <c r="O43" s="1">
        <f>'[1]links-p1'!U43</f>
        <v>0</v>
      </c>
      <c r="P43" s="1">
        <f>'[1]links-p1'!V43</f>
        <v>-570.77895337000155</v>
      </c>
      <c r="R43" s="1">
        <f>'[1]links-p1'!W43</f>
        <v>-1553.672292</v>
      </c>
      <c r="S43" s="1">
        <f>'[1]links-p1'!X43</f>
        <v>-1961.070594090002</v>
      </c>
      <c r="T43" s="1">
        <f>'[1]links-p1'!Y43</f>
        <v>0</v>
      </c>
      <c r="U43" s="1">
        <f>'[1]links-p1'!Z43</f>
        <v>-1517.7757899999999</v>
      </c>
    </row>
    <row r="44" spans="1:21">
      <c r="A44" s="54"/>
      <c r="B44" s="54" t="s">
        <v>53</v>
      </c>
      <c r="C44" s="54">
        <v>6779.6610170000004</v>
      </c>
      <c r="D44" s="54">
        <v>1138983.050856</v>
      </c>
      <c r="E44" s="54">
        <v>991.98542972999894</v>
      </c>
      <c r="F44" s="56">
        <v>8.7093958859569913E-4</v>
      </c>
      <c r="H44" s="1">
        <f t="shared" si="2"/>
        <v>42</v>
      </c>
      <c r="I44" s="1">
        <f>'[1]links-p1'!O44</f>
        <v>0</v>
      </c>
      <c r="J44" s="1">
        <f>'[1]links-p1'!P44</f>
        <v>0</v>
      </c>
      <c r="K44" s="1">
        <f>'[1]links-p1'!Q44</f>
        <v>-3500</v>
      </c>
      <c r="L44" s="1">
        <f>'[1]links-p1'!R44</f>
        <v>-10.42498893495576</v>
      </c>
      <c r="M44" s="1">
        <f>'[1]links-p1'!S44</f>
        <v>0</v>
      </c>
      <c r="N44" s="1">
        <f>'[1]links-p1'!T44</f>
        <v>-5000</v>
      </c>
      <c r="O44" s="1">
        <f>'[1]links-p1'!U44</f>
        <v>0</v>
      </c>
      <c r="P44" s="1">
        <f>'[1]links-p1'!V44</f>
        <v>0</v>
      </c>
      <c r="R44" s="1">
        <f>'[1]links-p1'!W44</f>
        <v>-1298.3334890399999</v>
      </c>
      <c r="S44" s="1">
        <f>'[1]links-p1'!X44</f>
        <v>-1135.4127196699999</v>
      </c>
      <c r="T44" s="1">
        <f>'[1]links-p1'!Y44</f>
        <v>0</v>
      </c>
      <c r="U44" s="1">
        <f>'[1]links-p1'!Z44</f>
        <v>-1517.7757899999999</v>
      </c>
    </row>
    <row r="45" spans="1:21">
      <c r="A45" s="54" t="s">
        <v>35</v>
      </c>
      <c r="B45" s="54" t="s">
        <v>52</v>
      </c>
      <c r="C45" s="54">
        <v>3742.94</v>
      </c>
      <c r="D45" s="54">
        <v>628813.92000000004</v>
      </c>
      <c r="E45" s="54">
        <v>244361.90219000104</v>
      </c>
      <c r="F45" s="56">
        <v>0.38860765389863033</v>
      </c>
      <c r="H45" s="1">
        <f t="shared" si="2"/>
        <v>43</v>
      </c>
      <c r="I45" s="1">
        <f>'[1]links-p1'!O45</f>
        <v>0</v>
      </c>
      <c r="J45" s="1">
        <f>'[1]links-p1'!P45</f>
        <v>0</v>
      </c>
      <c r="K45" s="1">
        <f>'[1]links-p1'!Q45</f>
        <v>-3500</v>
      </c>
      <c r="L45" s="1">
        <f>'[1]links-p1'!R45</f>
        <v>-373.46855269372691</v>
      </c>
      <c r="M45" s="1">
        <f>'[1]links-p1'!S45</f>
        <v>0</v>
      </c>
      <c r="N45" s="1">
        <f>'[1]links-p1'!T45</f>
        <v>-5000</v>
      </c>
      <c r="O45" s="1">
        <f>'[1]links-p1'!U45</f>
        <v>0</v>
      </c>
      <c r="P45" s="1">
        <f>'[1]links-p1'!V45</f>
        <v>0</v>
      </c>
      <c r="R45" s="1">
        <f>'[1]links-p1'!W45</f>
        <v>-472.21573270000061</v>
      </c>
      <c r="S45" s="1">
        <f>'[1]links-p1'!X45</f>
        <v>-309.75484524000058</v>
      </c>
      <c r="T45" s="1">
        <f>'[1]links-p1'!Y45</f>
        <v>0</v>
      </c>
      <c r="U45" s="1">
        <f>'[1]links-p1'!Z45</f>
        <v>-1517.7757899999999</v>
      </c>
    </row>
    <row r="46" spans="1:21">
      <c r="A46" s="54"/>
      <c r="B46" s="54" t="s">
        <v>57</v>
      </c>
      <c r="C46" s="54">
        <v>4200</v>
      </c>
      <c r="D46" s="54">
        <v>705600</v>
      </c>
      <c r="E46" s="54">
        <v>133801.21197936445</v>
      </c>
      <c r="F46" s="56">
        <v>0.18962756799796548</v>
      </c>
      <c r="H46" s="1">
        <f t="shared" si="2"/>
        <v>44</v>
      </c>
      <c r="I46" s="1">
        <f>'[1]links-p1'!O46</f>
        <v>0</v>
      </c>
      <c r="J46" s="1">
        <f>'[1]links-p1'!P46</f>
        <v>0</v>
      </c>
      <c r="K46" s="1">
        <f>'[1]links-p1'!Q46</f>
        <v>-3500</v>
      </c>
      <c r="L46" s="1">
        <f>'[1]links-p1'!R46</f>
        <v>-539.55921669468967</v>
      </c>
      <c r="M46" s="1">
        <f>'[1]links-p1'!S46</f>
        <v>0</v>
      </c>
      <c r="N46" s="1">
        <f>'[1]links-p1'!T46</f>
        <v>-5000</v>
      </c>
      <c r="O46" s="1">
        <f>'[1]links-p1'!U46</f>
        <v>0</v>
      </c>
      <c r="P46" s="1">
        <f>'[1]links-p1'!V46</f>
        <v>0</v>
      </c>
      <c r="R46" s="1">
        <f>'[1]links-p1'!W46</f>
        <v>-200.1773068300011</v>
      </c>
      <c r="S46" s="1">
        <f>'[1]links-p1'!X46</f>
        <v>-38.176301280001098</v>
      </c>
      <c r="T46" s="1">
        <f>'[1]links-p1'!Y46</f>
        <v>0</v>
      </c>
      <c r="U46" s="1">
        <f>'[1]links-p1'!Z46</f>
        <v>-1517.7757899999999</v>
      </c>
    </row>
    <row r="47" spans="1:21">
      <c r="A47" s="54"/>
      <c r="B47" s="54" t="s">
        <v>56</v>
      </c>
      <c r="C47" s="54">
        <v>3500</v>
      </c>
      <c r="D47" s="54">
        <v>588000</v>
      </c>
      <c r="E47" s="54">
        <v>201776.91832140676</v>
      </c>
      <c r="F47" s="56">
        <v>0.34315802435613396</v>
      </c>
      <c r="H47" s="1">
        <f t="shared" si="2"/>
        <v>45</v>
      </c>
      <c r="I47" s="1">
        <f>'[1]links-p1'!O47</f>
        <v>0</v>
      </c>
      <c r="J47" s="1">
        <f>'[1]links-p1'!P47</f>
        <v>0</v>
      </c>
      <c r="K47" s="1">
        <f>'[1]links-p1'!Q47</f>
        <v>-3500</v>
      </c>
      <c r="L47" s="1">
        <f>'[1]links-p1'!R47</f>
        <v>-706.45136962340098</v>
      </c>
      <c r="M47" s="1">
        <f>'[1]links-p1'!S47</f>
        <v>0</v>
      </c>
      <c r="N47" s="1">
        <f>'[1]links-p1'!T47</f>
        <v>-5000</v>
      </c>
      <c r="O47" s="1">
        <f>'[1]links-p1'!U47</f>
        <v>0</v>
      </c>
      <c r="P47" s="1">
        <f>'[1]links-p1'!V47</f>
        <v>0</v>
      </c>
      <c r="R47" s="1">
        <f>'[1]links-p1'!W47</f>
        <v>-161.54112362999999</v>
      </c>
      <c r="S47" s="1">
        <f>'[1]links-p1'!X47</f>
        <v>0</v>
      </c>
      <c r="T47" s="1">
        <f>'[1]links-p1'!Y47</f>
        <v>0</v>
      </c>
      <c r="U47" s="1">
        <f>'[1]links-p1'!Z47</f>
        <v>-1517.7757899999999</v>
      </c>
    </row>
    <row r="48" spans="1:21">
      <c r="A48" s="54"/>
      <c r="B48" s="54" t="s">
        <v>58</v>
      </c>
      <c r="C48" s="54">
        <v>5000</v>
      </c>
      <c r="D48" s="54">
        <v>840000</v>
      </c>
      <c r="E48" s="54">
        <v>20854.152536860725</v>
      </c>
      <c r="F48" s="56">
        <v>2.4826372067691341E-2</v>
      </c>
      <c r="H48" s="1">
        <f t="shared" si="2"/>
        <v>46</v>
      </c>
      <c r="I48" s="1">
        <f>'[1]links-p1'!O48</f>
        <v>0</v>
      </c>
      <c r="J48" s="1">
        <f>'[1]links-p1'!P48</f>
        <v>0</v>
      </c>
      <c r="K48" s="1">
        <f>'[1]links-p1'!Q48</f>
        <v>-3500</v>
      </c>
      <c r="L48" s="1">
        <f>'[1]links-p1'!R48</f>
        <v>-960.92234026231426</v>
      </c>
      <c r="M48" s="1">
        <f>'[1]links-p1'!S48</f>
        <v>0</v>
      </c>
      <c r="N48" s="1">
        <f>'[1]links-p1'!T48</f>
        <v>-5000</v>
      </c>
      <c r="O48" s="1">
        <f>'[1]links-p1'!U48</f>
        <v>0</v>
      </c>
      <c r="P48" s="1">
        <f>'[1]links-p1'!V48</f>
        <v>0</v>
      </c>
      <c r="R48" s="1">
        <f>'[1]links-p1'!W48</f>
        <v>-161.08124172000001</v>
      </c>
      <c r="S48" s="1">
        <f>'[1]links-p1'!X48</f>
        <v>0</v>
      </c>
      <c r="T48" s="1">
        <f>'[1]links-p1'!Y48</f>
        <v>0</v>
      </c>
      <c r="U48" s="1">
        <f>'[1]links-p1'!Z48</f>
        <v>-1517.7757899999999</v>
      </c>
    </row>
    <row r="49" spans="1:21">
      <c r="A49" s="54" t="s">
        <v>34</v>
      </c>
      <c r="B49" s="54" t="s">
        <v>59</v>
      </c>
      <c r="C49" s="54">
        <v>5000</v>
      </c>
      <c r="D49" s="54">
        <v>840000</v>
      </c>
      <c r="E49" s="54">
        <v>382772.93539199926</v>
      </c>
      <c r="F49" s="56">
        <v>0.45568206594285626</v>
      </c>
      <c r="H49" s="1">
        <f t="shared" si="2"/>
        <v>47</v>
      </c>
      <c r="I49" s="1">
        <f>'[1]links-p1'!O49</f>
        <v>0</v>
      </c>
      <c r="J49" s="1">
        <f>'[1]links-p1'!P49</f>
        <v>0</v>
      </c>
      <c r="K49" s="1">
        <f>'[1]links-p1'!Q49</f>
        <v>-3500</v>
      </c>
      <c r="L49" s="1">
        <f>'[1]links-p1'!R49</f>
        <v>-1034.492886511814</v>
      </c>
      <c r="M49" s="1">
        <f>'[1]links-p1'!S49</f>
        <v>0</v>
      </c>
      <c r="N49" s="1">
        <f>'[1]links-p1'!T49</f>
        <v>-5000</v>
      </c>
      <c r="O49" s="1">
        <f>'[1]links-p1'!U49</f>
        <v>0</v>
      </c>
      <c r="P49" s="1">
        <f>'[1]links-p1'!V49</f>
        <v>0</v>
      </c>
      <c r="R49" s="1">
        <f>'[1]links-p1'!W49</f>
        <v>-161.08124172000001</v>
      </c>
      <c r="S49" s="1">
        <f>'[1]links-p1'!X49</f>
        <v>0</v>
      </c>
      <c r="T49" s="1">
        <f>'[1]links-p1'!Y49</f>
        <v>0</v>
      </c>
      <c r="U49" s="1">
        <f>'[1]links-p1'!Z49</f>
        <v>-1517.7757899999999</v>
      </c>
    </row>
    <row r="50" spans="1:21">
      <c r="H50" s="1">
        <f t="shared" si="2"/>
        <v>48</v>
      </c>
      <c r="I50" s="1">
        <f>'[1]links-p1'!O50</f>
        <v>0</v>
      </c>
      <c r="J50" s="1">
        <f>'[1]links-p1'!P50</f>
        <v>0</v>
      </c>
      <c r="K50" s="1">
        <f>'[1]links-p1'!Q50</f>
        <v>-3500</v>
      </c>
      <c r="L50" s="1">
        <f>'[1]links-p1'!R50</f>
        <v>-1146.0058325945149</v>
      </c>
      <c r="M50" s="1">
        <f>'[1]links-p1'!S50</f>
        <v>0</v>
      </c>
      <c r="N50" s="1">
        <f>'[1]links-p1'!T50</f>
        <v>-5000</v>
      </c>
      <c r="O50" s="1">
        <f>'[1]links-p1'!U50</f>
        <v>0</v>
      </c>
      <c r="P50" s="1">
        <f>'[1]links-p1'!V50</f>
        <v>0</v>
      </c>
      <c r="R50" s="1">
        <f>'[1]links-p1'!W50</f>
        <v>-161.08025567000001</v>
      </c>
      <c r="S50" s="1">
        <f>'[1]links-p1'!X50</f>
        <v>0</v>
      </c>
      <c r="T50" s="1">
        <f>'[1]links-p1'!Y50</f>
        <v>0</v>
      </c>
      <c r="U50" s="1">
        <f>'[1]links-p1'!Z50</f>
        <v>-1517.7757899999999</v>
      </c>
    </row>
    <row r="51" spans="1:21">
      <c r="H51" s="1">
        <f t="shared" si="2"/>
        <v>49</v>
      </c>
      <c r="I51" s="1">
        <f>'[1]links-p1'!O51</f>
        <v>0</v>
      </c>
      <c r="J51" s="1">
        <f>'[1]links-p1'!P51</f>
        <v>0</v>
      </c>
      <c r="K51" s="1">
        <f>'[1]links-p1'!Q51</f>
        <v>-3500</v>
      </c>
      <c r="L51" s="1">
        <f>'[1]links-p1'!R51</f>
        <v>-1246.6447580201329</v>
      </c>
      <c r="M51" s="1">
        <f>'[1]links-p1'!S51</f>
        <v>0</v>
      </c>
      <c r="N51" s="1">
        <f>'[1]links-p1'!T51</f>
        <v>-5000</v>
      </c>
      <c r="O51" s="1">
        <f>'[1]links-p1'!U51</f>
        <v>0</v>
      </c>
      <c r="P51" s="1">
        <f>'[1]links-p1'!V51</f>
        <v>0</v>
      </c>
      <c r="R51" s="1">
        <f>'[1]links-p1'!W51</f>
        <v>-425.27458601000131</v>
      </c>
      <c r="S51" s="1">
        <f>'[1]links-p1'!X51</f>
        <v>-264.19433034000122</v>
      </c>
      <c r="T51" s="1">
        <f>'[1]links-p1'!Y51</f>
        <v>0</v>
      </c>
      <c r="U51" s="1">
        <f>'[1]links-p1'!Z51</f>
        <v>-1517.7757899999999</v>
      </c>
    </row>
    <row r="52" spans="1:21">
      <c r="H52" s="1">
        <f t="shared" si="2"/>
        <v>50</v>
      </c>
      <c r="I52" s="1">
        <f>'[1]links-p1'!O52</f>
        <v>0</v>
      </c>
      <c r="J52" s="1">
        <f>'[1]links-p1'!P52</f>
        <v>0</v>
      </c>
      <c r="K52" s="1">
        <f>'[1]links-p1'!Q52</f>
        <v>-3500</v>
      </c>
      <c r="L52" s="1">
        <f>'[1]links-p1'!R52</f>
        <v>-1324.006889978325</v>
      </c>
      <c r="M52" s="1">
        <f>'[1]links-p1'!S52</f>
        <v>0</v>
      </c>
      <c r="N52" s="1">
        <f>'[1]links-p1'!T52</f>
        <v>-5000</v>
      </c>
      <c r="O52" s="1">
        <f>'[1]links-p1'!U52</f>
        <v>0</v>
      </c>
      <c r="P52" s="1">
        <f>'[1]links-p1'!V52</f>
        <v>0</v>
      </c>
      <c r="R52" s="1">
        <f>'[1]links-p1'!W52</f>
        <v>-1242.65458601</v>
      </c>
      <c r="S52" s="1">
        <f>'[1]links-p1'!X52</f>
        <v>-1081.57433034</v>
      </c>
      <c r="T52" s="1">
        <f>'[1]links-p1'!Y52</f>
        <v>0</v>
      </c>
      <c r="U52" s="1">
        <f>'[1]links-p1'!Z52</f>
        <v>-1517.7757899999999</v>
      </c>
    </row>
    <row r="53" spans="1:21">
      <c r="H53" s="1">
        <f t="shared" si="2"/>
        <v>51</v>
      </c>
      <c r="I53" s="1">
        <f>'[1]links-p1'!O53</f>
        <v>0</v>
      </c>
      <c r="J53" s="1">
        <f>'[1]links-p1'!P53</f>
        <v>0</v>
      </c>
      <c r="K53" s="1">
        <f>'[1]links-p1'!Q53</f>
        <v>-3500</v>
      </c>
      <c r="L53" s="1">
        <f>'[1]links-p1'!R53</f>
        <v>-1409.0686668474509</v>
      </c>
      <c r="M53" s="1">
        <f>'[1]links-p1'!S53</f>
        <v>0</v>
      </c>
      <c r="N53" s="1">
        <f>'[1]links-p1'!T53</f>
        <v>-5000</v>
      </c>
      <c r="O53" s="1">
        <f>'[1]links-p1'!U53</f>
        <v>0</v>
      </c>
      <c r="P53" s="1">
        <f>'[1]links-p1'!V53</f>
        <v>0</v>
      </c>
      <c r="R53" s="1">
        <f>'[1]links-p1'!W53</f>
        <v>-995.29626576000101</v>
      </c>
      <c r="S53" s="1">
        <f>'[1]links-p1'!X53</f>
        <v>-834.21601009000096</v>
      </c>
      <c r="T53" s="1">
        <f>'[1]links-p1'!Y53</f>
        <v>0</v>
      </c>
      <c r="U53" s="1">
        <f>'[1]links-p1'!Z53</f>
        <v>-1517.7757899999999</v>
      </c>
    </row>
    <row r="54" spans="1:21">
      <c r="H54" s="1">
        <f t="shared" si="2"/>
        <v>52</v>
      </c>
      <c r="I54" s="1">
        <f>'[1]links-p1'!O54</f>
        <v>0</v>
      </c>
      <c r="J54" s="1">
        <f>'[1]links-p1'!P54</f>
        <v>0</v>
      </c>
      <c r="K54" s="1">
        <f>'[1]links-p1'!Q54</f>
        <v>-3500</v>
      </c>
      <c r="L54" s="1">
        <f>'[1]links-p1'!R54</f>
        <v>-1429.497333195276</v>
      </c>
      <c r="M54" s="1">
        <f>'[1]links-p1'!S54</f>
        <v>0</v>
      </c>
      <c r="N54" s="1">
        <f>'[1]links-p1'!T54</f>
        <v>-5000</v>
      </c>
      <c r="O54" s="1">
        <f>'[1]links-p1'!U54</f>
        <v>0</v>
      </c>
      <c r="P54" s="1">
        <f>'[1]links-p1'!V54</f>
        <v>0</v>
      </c>
      <c r="R54" s="1">
        <f>'[1]links-p1'!W54</f>
        <v>-186.65402210000121</v>
      </c>
      <c r="S54" s="1">
        <f>'[1]links-p1'!X54</f>
        <v>-25.113884520001189</v>
      </c>
      <c r="T54" s="1">
        <f>'[1]links-p1'!Y54</f>
        <v>0</v>
      </c>
      <c r="U54" s="1">
        <f>'[1]links-p1'!Z54</f>
        <v>-1517.7757899999999</v>
      </c>
    </row>
    <row r="55" spans="1:21">
      <c r="H55" s="1">
        <f t="shared" si="2"/>
        <v>53</v>
      </c>
      <c r="I55" s="1">
        <f>'[1]links-p1'!O55</f>
        <v>0</v>
      </c>
      <c r="J55" s="1">
        <f>'[1]links-p1'!P55</f>
        <v>0</v>
      </c>
      <c r="K55" s="1">
        <f>'[1]links-p1'!Q55</f>
        <v>-3500</v>
      </c>
      <c r="L55" s="1">
        <f>'[1]links-p1'!R55</f>
        <v>-1506.0028073360479</v>
      </c>
      <c r="M55" s="1">
        <f>'[1]links-p1'!S55</f>
        <v>0</v>
      </c>
      <c r="N55" s="1">
        <f>'[1]links-p1'!T55</f>
        <v>-5000</v>
      </c>
      <c r="O55" s="1">
        <f>'[1]links-p1'!U55</f>
        <v>0</v>
      </c>
      <c r="P55" s="1">
        <f>'[1]links-p1'!V55</f>
        <v>0</v>
      </c>
      <c r="R55" s="1">
        <f>'[1]links-p1'!W55</f>
        <v>-162.45990140999999</v>
      </c>
      <c r="S55" s="1">
        <f>'[1]links-p1'!X55</f>
        <v>0</v>
      </c>
      <c r="T55" s="1">
        <f>'[1]links-p1'!Y55</f>
        <v>0</v>
      </c>
      <c r="U55" s="1">
        <f>'[1]links-p1'!Z55</f>
        <v>-1517.7757899999999</v>
      </c>
    </row>
    <row r="56" spans="1:21">
      <c r="H56" s="1">
        <f t="shared" si="2"/>
        <v>54</v>
      </c>
      <c r="I56" s="1">
        <f>'[1]links-p1'!O56</f>
        <v>0</v>
      </c>
      <c r="J56" s="1">
        <f>'[1]links-p1'!P56</f>
        <v>0</v>
      </c>
      <c r="K56" s="1">
        <f>'[1]links-p1'!Q56</f>
        <v>-3500</v>
      </c>
      <c r="L56" s="1">
        <f>'[1]links-p1'!R56</f>
        <v>-1517.317420635495</v>
      </c>
      <c r="M56" s="1">
        <f>'[1]links-p1'!S56</f>
        <v>0</v>
      </c>
      <c r="N56" s="1">
        <f>'[1]links-p1'!T56</f>
        <v>-5000</v>
      </c>
      <c r="O56" s="1">
        <f>'[1]links-p1'!U56</f>
        <v>0</v>
      </c>
      <c r="P56" s="1">
        <f>'[1]links-p1'!V56</f>
        <v>0</v>
      </c>
      <c r="R56" s="1">
        <f>'[1]links-p1'!W56</f>
        <v>-162.91978331999999</v>
      </c>
      <c r="S56" s="1">
        <f>'[1]links-p1'!X56</f>
        <v>0</v>
      </c>
      <c r="T56" s="1">
        <f>'[1]links-p1'!Y56</f>
        <v>0</v>
      </c>
      <c r="U56" s="1">
        <f>'[1]links-p1'!Z56</f>
        <v>-1517.7757899999999</v>
      </c>
    </row>
    <row r="57" spans="1:21">
      <c r="H57" s="1">
        <f t="shared" si="2"/>
        <v>55</v>
      </c>
      <c r="I57" s="1">
        <f>'[1]links-p1'!O57</f>
        <v>0</v>
      </c>
      <c r="J57" s="1">
        <f>'[1]links-p1'!P57</f>
        <v>0</v>
      </c>
      <c r="K57" s="1">
        <f>'[1]links-p1'!Q57</f>
        <v>-3500</v>
      </c>
      <c r="L57" s="1">
        <f>'[1]links-p1'!R57</f>
        <v>-1461.9788894484609</v>
      </c>
      <c r="M57" s="1">
        <f>'[1]links-p1'!S57</f>
        <v>0</v>
      </c>
      <c r="N57" s="1">
        <f>'[1]links-p1'!T57</f>
        <v>-5000</v>
      </c>
      <c r="O57" s="1">
        <f>'[1]links-p1'!U57</f>
        <v>0</v>
      </c>
      <c r="P57" s="1">
        <f>'[1]links-p1'!V57</f>
        <v>0</v>
      </c>
      <c r="R57" s="1">
        <f>'[1]links-p1'!W57</f>
        <v>-163.37966523</v>
      </c>
      <c r="S57" s="1">
        <f>'[1]links-p1'!X57</f>
        <v>0</v>
      </c>
      <c r="T57" s="1">
        <f>'[1]links-p1'!Y57</f>
        <v>0</v>
      </c>
      <c r="U57" s="1">
        <f>'[1]links-p1'!Z57</f>
        <v>-1517.7757899999999</v>
      </c>
    </row>
    <row r="58" spans="1:21">
      <c r="H58" s="1">
        <f t="shared" si="2"/>
        <v>56</v>
      </c>
      <c r="I58" s="1">
        <f>'[1]links-p1'!O58</f>
        <v>0</v>
      </c>
      <c r="J58" s="1">
        <f>'[1]links-p1'!P58</f>
        <v>0</v>
      </c>
      <c r="K58" s="1">
        <f>'[1]links-p1'!Q58</f>
        <v>-3500</v>
      </c>
      <c r="L58" s="1">
        <f>'[1]links-p1'!R58</f>
        <v>-1266.2481634936371</v>
      </c>
      <c r="M58" s="1">
        <f>'[1]links-p1'!S58</f>
        <v>0</v>
      </c>
      <c r="N58" s="1">
        <f>'[1]links-p1'!T58</f>
        <v>-5000</v>
      </c>
      <c r="O58" s="1">
        <f>'[1]links-p1'!U58</f>
        <v>0</v>
      </c>
      <c r="P58" s="1">
        <f>'[1]links-p1'!V58</f>
        <v>0</v>
      </c>
      <c r="R58" s="1">
        <f>'[1]links-p1'!W58</f>
        <v>-958.93186667000214</v>
      </c>
      <c r="S58" s="1">
        <f>'[1]links-p1'!X58</f>
        <v>-795.55220144000214</v>
      </c>
      <c r="T58" s="1">
        <f>'[1]links-p1'!Y58</f>
        <v>0</v>
      </c>
      <c r="U58" s="1">
        <f>'[1]links-p1'!Z58</f>
        <v>-1517.7757899999999</v>
      </c>
    </row>
    <row r="59" spans="1:21">
      <c r="H59" s="1">
        <f t="shared" si="2"/>
        <v>57</v>
      </c>
      <c r="I59" s="1">
        <f>'[1]links-p1'!O59</f>
        <v>0</v>
      </c>
      <c r="J59" s="1">
        <f>'[1]links-p1'!P59</f>
        <v>0</v>
      </c>
      <c r="K59" s="1">
        <f>'[1]links-p1'!Q59</f>
        <v>-3500</v>
      </c>
      <c r="L59" s="1">
        <f>'[1]links-p1'!R59</f>
        <v>-1595.132314041422</v>
      </c>
      <c r="M59" s="1">
        <f>'[1]links-p1'!S59</f>
        <v>0</v>
      </c>
      <c r="N59" s="1">
        <f>'[1]links-p1'!T59</f>
        <v>-5000</v>
      </c>
      <c r="O59" s="1">
        <f>'[1]links-p1'!U59</f>
        <v>0</v>
      </c>
      <c r="P59" s="1">
        <f>'[1]links-p1'!V59</f>
        <v>-222.63957466999949</v>
      </c>
      <c r="R59" s="1">
        <f>'[1]links-p1'!W59</f>
        <v>-1553.672292</v>
      </c>
      <c r="S59" s="1">
        <f>'[1]links-p1'!X59</f>
        <v>-1612.93220144</v>
      </c>
      <c r="T59" s="1">
        <f>'[1]links-p1'!Y59</f>
        <v>0</v>
      </c>
      <c r="U59" s="1">
        <f>'[1]links-p1'!Z59</f>
        <v>-1517.7757899999999</v>
      </c>
    </row>
    <row r="60" spans="1:21">
      <c r="H60" s="1">
        <f t="shared" si="2"/>
        <v>58</v>
      </c>
      <c r="I60" s="1">
        <f>'[1]links-p1'!O60</f>
        <v>0</v>
      </c>
      <c r="J60" s="1">
        <f>'[1]links-p1'!P60</f>
        <v>0</v>
      </c>
      <c r="K60" s="1">
        <f>'[1]links-p1'!Q60</f>
        <v>0</v>
      </c>
      <c r="L60" s="1">
        <f>'[1]links-p1'!R60</f>
        <v>0</v>
      </c>
      <c r="M60" s="1">
        <f>'[1]links-p1'!S60</f>
        <v>0</v>
      </c>
      <c r="N60" s="1">
        <f>'[1]links-p1'!T60</f>
        <v>0</v>
      </c>
      <c r="O60" s="1">
        <f>'[1]links-p1'!U60</f>
        <v>0</v>
      </c>
      <c r="P60" s="1">
        <f>'[1]links-p1'!V60</f>
        <v>-1040.019574670001</v>
      </c>
      <c r="R60" s="1">
        <f>'[1]links-p1'!W60</f>
        <v>-1553.672292</v>
      </c>
      <c r="S60" s="1">
        <f>'[1]links-p1'!X60</f>
        <v>-2430.312201440001</v>
      </c>
      <c r="T60" s="1">
        <f>'[1]links-p1'!Y60</f>
        <v>0</v>
      </c>
      <c r="U60" s="1">
        <f>'[1]links-p1'!Z60</f>
        <v>-1517.7757899999999</v>
      </c>
    </row>
    <row r="61" spans="1:21">
      <c r="H61" s="1">
        <f t="shared" si="2"/>
        <v>59</v>
      </c>
      <c r="I61" s="1">
        <f>'[1]links-p1'!O61</f>
        <v>0</v>
      </c>
      <c r="J61" s="1">
        <f>'[1]links-p1'!P61</f>
        <v>0</v>
      </c>
      <c r="K61" s="1">
        <f>'[1]links-p1'!Q61</f>
        <v>0</v>
      </c>
      <c r="L61" s="1">
        <f>'[1]links-p1'!R61</f>
        <v>0</v>
      </c>
      <c r="M61" s="1">
        <f>'[1]links-p1'!S61</f>
        <v>0</v>
      </c>
      <c r="N61" s="1">
        <f>'[1]links-p1'!T61</f>
        <v>0</v>
      </c>
      <c r="O61" s="1">
        <f>'[1]links-p1'!U61</f>
        <v>0</v>
      </c>
      <c r="P61" s="1">
        <f>'[1]links-p1'!V61</f>
        <v>-1379.4024620900011</v>
      </c>
      <c r="R61" s="1">
        <f>'[1]links-p1'!W61</f>
        <v>-1553.672292</v>
      </c>
      <c r="S61" s="1">
        <f>'[1]links-p1'!X61</f>
        <v>-2770.154970770001</v>
      </c>
      <c r="T61" s="1">
        <f>'[1]links-p1'!Y61</f>
        <v>0</v>
      </c>
      <c r="U61" s="1">
        <f>'[1]links-p1'!Z61</f>
        <v>-1517.7757899999999</v>
      </c>
    </row>
    <row r="62" spans="1:21">
      <c r="H62" s="1">
        <f t="shared" si="2"/>
        <v>60</v>
      </c>
      <c r="I62" s="1">
        <f>'[1]links-p1'!O62</f>
        <v>0</v>
      </c>
      <c r="J62" s="1">
        <f>'[1]links-p1'!P62</f>
        <v>0</v>
      </c>
      <c r="K62" s="1">
        <f>'[1]links-p1'!Q62</f>
        <v>0</v>
      </c>
      <c r="L62" s="1">
        <f>'[1]links-p1'!R62</f>
        <v>0</v>
      </c>
      <c r="M62" s="1">
        <f>'[1]links-p1'!S62</f>
        <v>0</v>
      </c>
      <c r="N62" s="1">
        <f>'[1]links-p1'!T62</f>
        <v>0</v>
      </c>
      <c r="O62" s="1">
        <f>'[1]links-p1'!U62</f>
        <v>0</v>
      </c>
      <c r="P62" s="1">
        <f>'[1]links-p1'!V62</f>
        <v>-1370.6647057500011</v>
      </c>
      <c r="R62" s="1">
        <f>'[1]links-p1'!W62</f>
        <v>-1553.672292</v>
      </c>
      <c r="S62" s="1">
        <f>'[1]links-p1'!X62</f>
        <v>-2761.8770963400011</v>
      </c>
      <c r="T62" s="1">
        <f>'[1]links-p1'!Y62</f>
        <v>0</v>
      </c>
      <c r="U62" s="1">
        <f>'[1]links-p1'!Z62</f>
        <v>-1517.7757899999999</v>
      </c>
    </row>
    <row r="63" spans="1:21">
      <c r="H63" s="1">
        <f t="shared" si="2"/>
        <v>61</v>
      </c>
      <c r="I63" s="1">
        <f>'[1]links-p1'!O63</f>
        <v>0</v>
      </c>
      <c r="J63" s="1">
        <f>'[1]links-p1'!P63</f>
        <v>0</v>
      </c>
      <c r="K63" s="1">
        <f>'[1]links-p1'!Q63</f>
        <v>0</v>
      </c>
      <c r="L63" s="1">
        <f>'[1]links-p1'!R63</f>
        <v>0</v>
      </c>
      <c r="M63" s="1">
        <f>'[1]links-p1'!S63</f>
        <v>0</v>
      </c>
      <c r="N63" s="1">
        <f>'[1]links-p1'!T63</f>
        <v>0</v>
      </c>
      <c r="O63" s="1">
        <f>'[1]links-p1'!U63</f>
        <v>0</v>
      </c>
      <c r="P63" s="1">
        <f>'[1]links-p1'!V63</f>
        <v>-1370.6647057500011</v>
      </c>
      <c r="R63" s="1">
        <f>'[1]links-p1'!W63</f>
        <v>-1553.672292</v>
      </c>
      <c r="S63" s="1">
        <f>'[1]links-p1'!X63</f>
        <v>-2761.8770963400011</v>
      </c>
      <c r="T63" s="1">
        <f>'[1]links-p1'!Y63</f>
        <v>0</v>
      </c>
      <c r="U63" s="1">
        <f>'[1]links-p1'!Z63</f>
        <v>-1517.7757899999999</v>
      </c>
    </row>
    <row r="64" spans="1:21">
      <c r="H64" s="1">
        <f t="shared" si="2"/>
        <v>62</v>
      </c>
      <c r="I64" s="1">
        <f>'[1]links-p1'!O64</f>
        <v>0</v>
      </c>
      <c r="J64" s="1">
        <f>'[1]links-p1'!P64</f>
        <v>0</v>
      </c>
      <c r="K64" s="1">
        <f>'[1]links-p1'!Q64</f>
        <v>0</v>
      </c>
      <c r="L64" s="1">
        <f>'[1]links-p1'!R64</f>
        <v>0</v>
      </c>
      <c r="M64" s="1">
        <f>'[1]links-p1'!S64</f>
        <v>0</v>
      </c>
      <c r="N64" s="1">
        <f>'[1]links-p1'!T64</f>
        <v>0</v>
      </c>
      <c r="O64" s="1">
        <f>'[1]links-p1'!U64</f>
        <v>0</v>
      </c>
      <c r="P64" s="1">
        <f>'[1]links-p1'!V64</f>
        <v>-1379.4024620900011</v>
      </c>
      <c r="R64" s="1">
        <f>'[1]links-p1'!W64</f>
        <v>-1553.672292</v>
      </c>
      <c r="S64" s="1">
        <f>'[1]links-p1'!X64</f>
        <v>-2770.154970770001</v>
      </c>
      <c r="T64" s="1">
        <f>'[1]links-p1'!Y64</f>
        <v>0</v>
      </c>
      <c r="U64" s="1">
        <f>'[1]links-p1'!Z64</f>
        <v>-1517.7757899999999</v>
      </c>
    </row>
    <row r="65" spans="8:21">
      <c r="H65" s="1">
        <f t="shared" si="2"/>
        <v>63</v>
      </c>
      <c r="I65" s="1">
        <f>'[1]links-p1'!O65</f>
        <v>0</v>
      </c>
      <c r="J65" s="1">
        <f>'[1]links-p1'!P65</f>
        <v>0</v>
      </c>
      <c r="K65" s="1">
        <f>'[1]links-p1'!Q65</f>
        <v>0</v>
      </c>
      <c r="L65" s="1">
        <f>'[1]links-p1'!R65</f>
        <v>0</v>
      </c>
      <c r="M65" s="1">
        <f>'[1]links-p1'!S65</f>
        <v>0</v>
      </c>
      <c r="N65" s="1">
        <f>'[1]links-p1'!T65</f>
        <v>0</v>
      </c>
      <c r="O65" s="1">
        <f>'[1]links-p1'!U65</f>
        <v>0</v>
      </c>
      <c r="P65" s="1">
        <f>'[1]links-p1'!V65</f>
        <v>-850.09095222000133</v>
      </c>
      <c r="R65" s="1">
        <f>'[1]links-p1'!W65</f>
        <v>-1553.672292</v>
      </c>
      <c r="S65" s="1">
        <f>'[1]links-p1'!X65</f>
        <v>-2240.3835789900008</v>
      </c>
      <c r="T65" s="1">
        <f>'[1]links-p1'!Y65</f>
        <v>0</v>
      </c>
      <c r="U65" s="1">
        <f>'[1]links-p1'!Z65</f>
        <v>-1517.7757899999999</v>
      </c>
    </row>
    <row r="66" spans="8:21">
      <c r="H66" s="1">
        <f t="shared" si="2"/>
        <v>64</v>
      </c>
      <c r="I66" s="1">
        <f>'[1]links-p1'!O66</f>
        <v>0</v>
      </c>
      <c r="J66" s="1">
        <f>'[1]links-p1'!P66</f>
        <v>0</v>
      </c>
      <c r="K66" s="1">
        <f>'[1]links-p1'!Q66</f>
        <v>0</v>
      </c>
      <c r="L66" s="1">
        <f>'[1]links-p1'!R66</f>
        <v>0</v>
      </c>
      <c r="M66" s="1">
        <f>'[1]links-p1'!S66</f>
        <v>0</v>
      </c>
      <c r="N66" s="1">
        <f>'[1]links-p1'!T66</f>
        <v>0</v>
      </c>
      <c r="O66" s="1">
        <f>'[1]links-p1'!U66</f>
        <v>0</v>
      </c>
      <c r="P66" s="1">
        <f>'[1]links-p1'!V66</f>
        <v>-1008.466204607126</v>
      </c>
      <c r="R66" s="1">
        <f>'[1]links-p1'!W66</f>
        <v>-577.91703961287408</v>
      </c>
      <c r="S66" s="1">
        <f>'[1]links-p1'!X66</f>
        <v>-1423.0035789900001</v>
      </c>
      <c r="T66" s="1">
        <f>'[1]links-p1'!Y66</f>
        <v>0</v>
      </c>
      <c r="U66" s="1">
        <f>'[1]links-p1'!Z66</f>
        <v>-1517.7757899999999</v>
      </c>
    </row>
    <row r="67" spans="8:21">
      <c r="H67" s="1">
        <f t="shared" si="2"/>
        <v>65</v>
      </c>
      <c r="I67" s="1">
        <f>'[1]links-p1'!O67</f>
        <v>0</v>
      </c>
      <c r="J67" s="1">
        <f>'[1]links-p1'!P67</f>
        <v>0</v>
      </c>
      <c r="K67" s="1">
        <f>'[1]links-p1'!Q67</f>
        <v>-3500</v>
      </c>
      <c r="L67" s="1">
        <f>'[1]links-p1'!R67</f>
        <v>-1122.6114256643641</v>
      </c>
      <c r="M67" s="1">
        <f>'[1]links-p1'!S67</f>
        <v>-3482.4260099321468</v>
      </c>
      <c r="N67" s="1">
        <f>'[1]links-p1'!T67</f>
        <v>0</v>
      </c>
      <c r="O67" s="1">
        <f>'[1]links-p1'!U67</f>
        <v>0</v>
      </c>
      <c r="P67" s="1">
        <f>'[1]links-p1'!V67</f>
        <v>0</v>
      </c>
      <c r="R67" s="1">
        <f>'[1]links-p1'!W67</f>
        <v>-367.62033477</v>
      </c>
      <c r="S67" s="1">
        <f>'[1]links-p1'!X67</f>
        <v>-799.24066954</v>
      </c>
      <c r="T67" s="1">
        <f>'[1]links-p1'!Y67</f>
        <v>0</v>
      </c>
      <c r="U67" s="1">
        <f>'[1]links-p1'!Z67</f>
        <v>-1517.7757899999999</v>
      </c>
    </row>
    <row r="68" spans="8:21">
      <c r="H68" s="1">
        <f t="shared" ref="H68:H131" si="3">1+H67</f>
        <v>66</v>
      </c>
      <c r="I68" s="1">
        <f>'[1]links-p1'!O68</f>
        <v>0</v>
      </c>
      <c r="J68" s="1">
        <f>'[1]links-p1'!P68</f>
        <v>0</v>
      </c>
      <c r="K68" s="1">
        <f>'[1]links-p1'!Q68</f>
        <v>-3500</v>
      </c>
      <c r="L68" s="1">
        <f>'[1]links-p1'!R68</f>
        <v>-251.61984933108619</v>
      </c>
      <c r="M68" s="1">
        <f>'[1]links-p1'!S68</f>
        <v>-4818.7042784177102</v>
      </c>
      <c r="N68" s="1">
        <f>'[1]links-p1'!T68</f>
        <v>0</v>
      </c>
      <c r="O68" s="1">
        <f>'[1]links-p1'!U68</f>
        <v>0</v>
      </c>
      <c r="P68" s="1">
        <f>'[1]links-p1'!V68</f>
        <v>0</v>
      </c>
      <c r="R68" s="1">
        <f>'[1]links-p1'!W68</f>
        <v>-368.08021667999998</v>
      </c>
      <c r="S68" s="1">
        <f>'[1]links-p1'!X68</f>
        <v>-800.16043336000007</v>
      </c>
      <c r="T68" s="1">
        <f>'[1]links-p1'!Y68</f>
        <v>0</v>
      </c>
      <c r="U68" s="1">
        <f>'[1]links-p1'!Z68</f>
        <v>-1517.7757899999999</v>
      </c>
    </row>
    <row r="69" spans="8:21">
      <c r="H69" s="1">
        <f t="shared" si="3"/>
        <v>67</v>
      </c>
      <c r="I69" s="1">
        <f>'[1]links-p1'!O69</f>
        <v>0</v>
      </c>
      <c r="J69" s="1">
        <f>'[1]links-p1'!P69</f>
        <v>0</v>
      </c>
      <c r="K69" s="1">
        <f>'[1]links-p1'!Q69</f>
        <v>-3500</v>
      </c>
      <c r="L69" s="1">
        <f>'[1]links-p1'!R69</f>
        <v>-541.84149674681589</v>
      </c>
      <c r="M69" s="1">
        <f>'[1]links-p1'!S69</f>
        <v>0</v>
      </c>
      <c r="N69" s="1">
        <f>'[1]links-p1'!T69</f>
        <v>0</v>
      </c>
      <c r="O69" s="1">
        <f>'[1]links-p1'!U69</f>
        <v>0</v>
      </c>
      <c r="P69" s="1">
        <f>'[1]links-p1'!V69</f>
        <v>0</v>
      </c>
      <c r="R69" s="1">
        <f>'[1]links-p1'!W69</f>
        <v>-368.54009859000001</v>
      </c>
      <c r="S69" s="1">
        <f>'[1]links-p1'!X69</f>
        <v>-801.08019718000003</v>
      </c>
      <c r="T69" s="1">
        <f>'[1]links-p1'!Y69</f>
        <v>0</v>
      </c>
      <c r="U69" s="1">
        <f>'[1]links-p1'!Z69</f>
        <v>-1517.7757899999999</v>
      </c>
    </row>
    <row r="70" spans="8:21">
      <c r="H70" s="1">
        <f t="shared" si="3"/>
        <v>68</v>
      </c>
      <c r="I70" s="1">
        <f>'[1]links-p1'!O70</f>
        <v>0</v>
      </c>
      <c r="J70" s="1">
        <f>'[1]links-p1'!P70</f>
        <v>0</v>
      </c>
      <c r="K70" s="1">
        <f>'[1]links-p1'!Q70</f>
        <v>-3500</v>
      </c>
      <c r="L70" s="1">
        <f>'[1]links-p1'!R70</f>
        <v>-652.4395399621194</v>
      </c>
      <c r="M70" s="1">
        <f>'[1]links-p1'!S70</f>
        <v>0</v>
      </c>
      <c r="N70" s="1">
        <f>'[1]links-p1'!T70</f>
        <v>0</v>
      </c>
      <c r="O70" s="1">
        <f>'[1]links-p1'!U70</f>
        <v>0</v>
      </c>
      <c r="P70" s="1">
        <f>'[1]links-p1'!V70</f>
        <v>0</v>
      </c>
      <c r="R70" s="1">
        <f>'[1]links-p1'!W70</f>
        <v>-368.99998049999999</v>
      </c>
      <c r="S70" s="1">
        <f>'[1]links-p1'!X70</f>
        <v>-801.99996099999998</v>
      </c>
      <c r="T70" s="1">
        <f>'[1]links-p1'!Y70</f>
        <v>0</v>
      </c>
      <c r="U70" s="1">
        <f>'[1]links-p1'!Z70</f>
        <v>-1517.7757899999999</v>
      </c>
    </row>
    <row r="71" spans="8:21">
      <c r="H71" s="1">
        <f t="shared" si="3"/>
        <v>69</v>
      </c>
      <c r="I71" s="1">
        <f>'[1]links-p1'!O71</f>
        <v>0</v>
      </c>
      <c r="J71" s="1">
        <f>'[1]links-p1'!P71</f>
        <v>0</v>
      </c>
      <c r="K71" s="1">
        <f>'[1]links-p1'!Q71</f>
        <v>-3500</v>
      </c>
      <c r="L71" s="1">
        <f>'[1]links-p1'!R71</f>
        <v>-580.35991113008367</v>
      </c>
      <c r="M71" s="1">
        <f>'[1]links-p1'!S71</f>
        <v>0</v>
      </c>
      <c r="N71" s="1">
        <f>'[1]links-p1'!T71</f>
        <v>-2148.3853039178548</v>
      </c>
      <c r="O71" s="1">
        <f>'[1]links-p1'!U71</f>
        <v>0</v>
      </c>
      <c r="P71" s="1">
        <f>'[1]links-p1'!V71</f>
        <v>0</v>
      </c>
      <c r="R71" s="1">
        <f>'[1]links-p1'!W71</f>
        <v>-369.45986241999998</v>
      </c>
      <c r="S71" s="1">
        <f>'[1]links-p1'!X71</f>
        <v>-802.91972484000007</v>
      </c>
      <c r="T71" s="1">
        <f>'[1]links-p1'!Y71</f>
        <v>0</v>
      </c>
      <c r="U71" s="1">
        <f>'[1]links-p1'!Z71</f>
        <v>-1517.7757899999999</v>
      </c>
    </row>
    <row r="72" spans="8:21">
      <c r="H72" s="1">
        <f t="shared" si="3"/>
        <v>70</v>
      </c>
      <c r="I72" s="1">
        <f>'[1]links-p1'!O72</f>
        <v>0</v>
      </c>
      <c r="J72" s="1">
        <f>'[1]links-p1'!P72</f>
        <v>0</v>
      </c>
      <c r="K72" s="1">
        <f>'[1]links-p1'!Q72</f>
        <v>-3500</v>
      </c>
      <c r="L72" s="1">
        <f>'[1]links-p1'!R72</f>
        <v>-547.83879203060178</v>
      </c>
      <c r="M72" s="1">
        <f>'[1]links-p1'!S72</f>
        <v>0</v>
      </c>
      <c r="N72" s="1">
        <f>'[1]links-p1'!T72</f>
        <v>-2769.0522589178549</v>
      </c>
      <c r="O72" s="1">
        <f>'[1]links-p1'!U72</f>
        <v>0</v>
      </c>
      <c r="P72" s="1">
        <f>'[1]links-p1'!V72</f>
        <v>0</v>
      </c>
      <c r="R72" s="1">
        <f>'[1]links-p1'!W72</f>
        <v>-369.91974433000001</v>
      </c>
      <c r="S72" s="1">
        <f>'[1]links-p1'!X72</f>
        <v>-803.83948865999992</v>
      </c>
      <c r="T72" s="1">
        <f>'[1]links-p1'!Y72</f>
        <v>0</v>
      </c>
      <c r="U72" s="1">
        <f>'[1]links-p1'!Z72</f>
        <v>-1517.7757899999999</v>
      </c>
    </row>
    <row r="73" spans="8:21">
      <c r="H73" s="1">
        <f t="shared" si="3"/>
        <v>71</v>
      </c>
      <c r="I73" s="1">
        <f>'[1]links-p1'!O73</f>
        <v>0</v>
      </c>
      <c r="J73" s="1">
        <f>'[1]links-p1'!P73</f>
        <v>0</v>
      </c>
      <c r="K73" s="1">
        <f>'[1]links-p1'!Q73</f>
        <v>-3500</v>
      </c>
      <c r="L73" s="1">
        <f>'[1]links-p1'!R73</f>
        <v>-664.67355138308631</v>
      </c>
      <c r="M73" s="1">
        <f>'[1]links-p1'!S73</f>
        <v>0</v>
      </c>
      <c r="N73" s="1">
        <f>'[1]links-p1'!T73</f>
        <v>-5000</v>
      </c>
      <c r="O73" s="1">
        <f>'[1]links-p1'!U73</f>
        <v>0</v>
      </c>
      <c r="P73" s="1">
        <f>'[1]links-p1'!V73</f>
        <v>0</v>
      </c>
      <c r="R73" s="1">
        <f>'[1]links-p1'!W73</f>
        <v>-369.91974433000001</v>
      </c>
      <c r="S73" s="1">
        <f>'[1]links-p1'!X73</f>
        <v>-381.13946916750268</v>
      </c>
      <c r="T73" s="1">
        <f>'[1]links-p1'!Y73</f>
        <v>0</v>
      </c>
      <c r="U73" s="1">
        <f>'[1]links-p1'!Z73</f>
        <v>-1517.7757899999999</v>
      </c>
    </row>
    <row r="74" spans="8:21">
      <c r="H74" s="1">
        <f t="shared" si="3"/>
        <v>72</v>
      </c>
      <c r="I74" s="1">
        <f>'[1]links-p1'!O74</f>
        <v>0</v>
      </c>
      <c r="J74" s="1">
        <f>'[1]links-p1'!P74</f>
        <v>0</v>
      </c>
      <c r="K74" s="1">
        <f>'[1]links-p1'!Q74</f>
        <v>-3500</v>
      </c>
      <c r="L74" s="1">
        <f>'[1]links-p1'!R74</f>
        <v>-702.73418054939384</v>
      </c>
      <c r="M74" s="1">
        <f>'[1]links-p1'!S74</f>
        <v>0</v>
      </c>
      <c r="N74" s="1">
        <f>'[1]links-p1'!T74</f>
        <v>-5000</v>
      </c>
      <c r="O74" s="1">
        <f>'[1]links-p1'!U74</f>
        <v>0</v>
      </c>
      <c r="P74" s="1">
        <f>'[1]links-p1'!V74</f>
        <v>0</v>
      </c>
      <c r="R74" s="1">
        <f>'[1]links-p1'!W74</f>
        <v>0</v>
      </c>
      <c r="S74" s="1">
        <f>'[1]links-p1'!X74</f>
        <v>0</v>
      </c>
      <c r="T74" s="1">
        <f>'[1]links-p1'!Y74</f>
        <v>-161.07926961999999</v>
      </c>
      <c r="U74" s="1">
        <f>'[1]links-p1'!Z74</f>
        <v>-1517.7757899999999</v>
      </c>
    </row>
    <row r="75" spans="8:21">
      <c r="H75" s="1">
        <f t="shared" si="3"/>
        <v>73</v>
      </c>
      <c r="I75" s="1">
        <f>'[1]links-p1'!O75</f>
        <v>0</v>
      </c>
      <c r="J75" s="1">
        <f>'[1]links-p1'!P75</f>
        <v>0</v>
      </c>
      <c r="K75" s="1">
        <f>'[1]links-p1'!Q75</f>
        <v>-3500</v>
      </c>
      <c r="L75" s="1">
        <f>'[1]links-p1'!R75</f>
        <v>-631.26803881742489</v>
      </c>
      <c r="M75" s="1">
        <f>'[1]links-p1'!S75</f>
        <v>0</v>
      </c>
      <c r="N75" s="1">
        <f>'[1]links-p1'!T75</f>
        <v>-5000</v>
      </c>
      <c r="O75" s="1">
        <f>'[1]links-p1'!U75</f>
        <v>0</v>
      </c>
      <c r="P75" s="1">
        <f>'[1]links-p1'!V75</f>
        <v>0</v>
      </c>
      <c r="R75" s="1">
        <f>'[1]links-p1'!W75</f>
        <v>0</v>
      </c>
      <c r="S75" s="1">
        <f>'[1]links-p1'!X75</f>
        <v>0</v>
      </c>
      <c r="T75" s="1">
        <f>'[1]links-p1'!Y75</f>
        <v>-161.07926961999999</v>
      </c>
      <c r="U75" s="1">
        <f>'[1]links-p1'!Z75</f>
        <v>-1517.7757899999999</v>
      </c>
    </row>
    <row r="76" spans="8:21">
      <c r="H76" s="1">
        <f t="shared" si="3"/>
        <v>74</v>
      </c>
      <c r="I76" s="1">
        <f>'[1]links-p1'!O76</f>
        <v>0</v>
      </c>
      <c r="J76" s="1">
        <f>'[1]links-p1'!P76</f>
        <v>0</v>
      </c>
      <c r="K76" s="1">
        <f>'[1]links-p1'!Q76</f>
        <v>-3500</v>
      </c>
      <c r="L76" s="1">
        <f>'[1]links-p1'!R76</f>
        <v>-642.07836699090512</v>
      </c>
      <c r="M76" s="1">
        <f>'[1]links-p1'!S76</f>
        <v>0</v>
      </c>
      <c r="N76" s="1">
        <f>'[1]links-p1'!T76</f>
        <v>-5000</v>
      </c>
      <c r="O76" s="1">
        <f>'[1]links-p1'!U76</f>
        <v>0</v>
      </c>
      <c r="P76" s="1">
        <f>'[1]links-p1'!V76</f>
        <v>0</v>
      </c>
      <c r="R76" s="1">
        <f>'[1]links-p1'!W76</f>
        <v>0</v>
      </c>
      <c r="S76" s="1">
        <f>'[1]links-p1'!X76</f>
        <v>0</v>
      </c>
      <c r="T76" s="1">
        <f>'[1]links-p1'!Y76</f>
        <v>-161.07926961999999</v>
      </c>
      <c r="U76" s="1">
        <f>'[1]links-p1'!Z76</f>
        <v>-1517.7757899999999</v>
      </c>
    </row>
    <row r="77" spans="8:21">
      <c r="H77" s="1">
        <f t="shared" si="3"/>
        <v>75</v>
      </c>
      <c r="I77" s="1">
        <f>'[1]links-p1'!O77</f>
        <v>0</v>
      </c>
      <c r="J77" s="1">
        <f>'[1]links-p1'!P77</f>
        <v>0</v>
      </c>
      <c r="K77" s="1">
        <f>'[1]links-p1'!Q77</f>
        <v>-3500</v>
      </c>
      <c r="L77" s="1">
        <f>'[1]links-p1'!R77</f>
        <v>-693.78782755329894</v>
      </c>
      <c r="M77" s="1">
        <f>'[1]links-p1'!S77</f>
        <v>0</v>
      </c>
      <c r="N77" s="1">
        <f>'[1]links-p1'!T77</f>
        <v>-5000</v>
      </c>
      <c r="O77" s="1">
        <f>'[1]links-p1'!U77</f>
        <v>0</v>
      </c>
      <c r="P77" s="1">
        <f>'[1]links-p1'!V77</f>
        <v>0</v>
      </c>
      <c r="R77" s="1">
        <f>'[1]links-p1'!W77</f>
        <v>0</v>
      </c>
      <c r="S77" s="1">
        <f>'[1]links-p1'!X77</f>
        <v>0</v>
      </c>
      <c r="T77" s="1">
        <f>'[1]links-p1'!Y77</f>
        <v>-161.07926961999999</v>
      </c>
      <c r="U77" s="1">
        <f>'[1]links-p1'!Z77</f>
        <v>-1517.7757899999999</v>
      </c>
    </row>
    <row r="78" spans="8:21">
      <c r="H78" s="1">
        <f t="shared" si="3"/>
        <v>76</v>
      </c>
      <c r="I78" s="1">
        <f>'[1]links-p1'!O78</f>
        <v>0</v>
      </c>
      <c r="J78" s="1">
        <f>'[1]links-p1'!P78</f>
        <v>0</v>
      </c>
      <c r="K78" s="1">
        <f>'[1]links-p1'!Q78</f>
        <v>-3500</v>
      </c>
      <c r="L78" s="1">
        <f>'[1]links-p1'!R78</f>
        <v>-648.03826291732594</v>
      </c>
      <c r="M78" s="1">
        <f>'[1]links-p1'!S78</f>
        <v>0</v>
      </c>
      <c r="N78" s="1">
        <f>'[1]links-p1'!T78</f>
        <v>-5000</v>
      </c>
      <c r="O78" s="1">
        <f>'[1]links-p1'!U78</f>
        <v>0</v>
      </c>
      <c r="P78" s="1">
        <f>'[1]links-p1'!V78</f>
        <v>0</v>
      </c>
      <c r="R78" s="1">
        <f>'[1]links-p1'!W78</f>
        <v>0</v>
      </c>
      <c r="S78" s="1">
        <f>'[1]links-p1'!X78</f>
        <v>0</v>
      </c>
      <c r="T78" s="1">
        <f>'[1]links-p1'!Y78</f>
        <v>-161.53915153</v>
      </c>
      <c r="U78" s="1">
        <f>'[1]links-p1'!Z78</f>
        <v>-1517.7757899999999</v>
      </c>
    </row>
    <row r="79" spans="8:21">
      <c r="H79" s="1">
        <f t="shared" si="3"/>
        <v>77</v>
      </c>
      <c r="I79" s="1">
        <f>'[1]links-p1'!O79</f>
        <v>0</v>
      </c>
      <c r="J79" s="1">
        <f>'[1]links-p1'!P79</f>
        <v>0</v>
      </c>
      <c r="K79" s="1">
        <f>'[1]links-p1'!Q79</f>
        <v>-3500</v>
      </c>
      <c r="L79" s="1">
        <f>'[1]links-p1'!R79</f>
        <v>-503.9214155596344</v>
      </c>
      <c r="M79" s="1">
        <f>'[1]links-p1'!S79</f>
        <v>0</v>
      </c>
      <c r="N79" s="1">
        <f>'[1]links-p1'!T79</f>
        <v>-5000</v>
      </c>
      <c r="O79" s="1">
        <f>'[1]links-p1'!U79</f>
        <v>0</v>
      </c>
      <c r="P79" s="1">
        <f>'[1]links-p1'!V79</f>
        <v>0</v>
      </c>
      <c r="R79" s="1">
        <f>'[1]links-p1'!W79</f>
        <v>0</v>
      </c>
      <c r="S79" s="1">
        <f>'[1]links-p1'!X79</f>
        <v>0</v>
      </c>
      <c r="T79" s="1">
        <f>'[1]links-p1'!Y79</f>
        <v>-162.45891535999999</v>
      </c>
      <c r="U79" s="1">
        <f>'[1]links-p1'!Z79</f>
        <v>-1517.7757899999999</v>
      </c>
    </row>
    <row r="80" spans="8:21">
      <c r="H80" s="1">
        <f t="shared" si="3"/>
        <v>78</v>
      </c>
      <c r="I80" s="1">
        <f>'[1]links-p1'!O80</f>
        <v>0</v>
      </c>
      <c r="J80" s="1">
        <f>'[1]links-p1'!P80</f>
        <v>0</v>
      </c>
      <c r="K80" s="1">
        <f>'[1]links-p1'!Q80</f>
        <v>-3500</v>
      </c>
      <c r="L80" s="1">
        <f>'[1]links-p1'!R80</f>
        <v>-356.59474372165351</v>
      </c>
      <c r="M80" s="1">
        <f>'[1]links-p1'!S80</f>
        <v>0</v>
      </c>
      <c r="N80" s="1">
        <f>'[1]links-p1'!T80</f>
        <v>-2682.8524612642832</v>
      </c>
      <c r="O80" s="1">
        <f>'[1]links-p1'!U80</f>
        <v>0</v>
      </c>
      <c r="P80" s="1">
        <f>'[1]links-p1'!V80</f>
        <v>0</v>
      </c>
      <c r="R80" s="1">
        <f>'[1]links-p1'!W80</f>
        <v>-368.08120272999997</v>
      </c>
      <c r="S80" s="1">
        <f>'[1]links-p1'!X80</f>
        <v>-800.16240545999995</v>
      </c>
      <c r="T80" s="1">
        <f>'[1]links-p1'!Y80</f>
        <v>0</v>
      </c>
      <c r="U80" s="1">
        <f>'[1]links-p1'!Z80</f>
        <v>-1517.7757899999999</v>
      </c>
    </row>
    <row r="81" spans="8:21">
      <c r="H81" s="1">
        <f t="shared" si="3"/>
        <v>79</v>
      </c>
      <c r="I81" s="1">
        <f>'[1]links-p1'!O81</f>
        <v>0</v>
      </c>
      <c r="J81" s="1">
        <f>'[1]links-p1'!P81</f>
        <v>0</v>
      </c>
      <c r="K81" s="1">
        <f>'[1]links-p1'!Q81</f>
        <v>-3500</v>
      </c>
      <c r="L81" s="1">
        <f>'[1]links-p1'!R81</f>
        <v>-157.1324797640971</v>
      </c>
      <c r="M81" s="1">
        <f>'[1]links-p1'!S81</f>
        <v>0</v>
      </c>
      <c r="N81" s="1">
        <f>'[1]links-p1'!T81</f>
        <v>-1.1814277785706511</v>
      </c>
      <c r="O81" s="1">
        <f>'[1]links-p1'!U81</f>
        <v>0</v>
      </c>
      <c r="P81" s="1">
        <f>'[1]links-p1'!V81</f>
        <v>0</v>
      </c>
      <c r="R81" s="1">
        <f>'[1]links-p1'!W81</f>
        <v>-367.62132081999999</v>
      </c>
      <c r="S81" s="1">
        <f>'[1]links-p1'!X81</f>
        <v>-799.24264163999999</v>
      </c>
      <c r="T81" s="1">
        <f>'[1]links-p1'!Y81</f>
        <v>0</v>
      </c>
      <c r="U81" s="1">
        <f>'[1]links-p1'!Z81</f>
        <v>-1517.7757899999999</v>
      </c>
    </row>
    <row r="82" spans="8:21">
      <c r="H82" s="1">
        <f t="shared" si="3"/>
        <v>80</v>
      </c>
      <c r="I82" s="1">
        <f>'[1]links-p1'!O82</f>
        <v>0</v>
      </c>
      <c r="J82" s="1">
        <f>'[1]links-p1'!P82</f>
        <v>-36.468832563188023</v>
      </c>
      <c r="K82" s="1">
        <f>'[1]links-p1'!Q82</f>
        <v>-3500</v>
      </c>
      <c r="L82" s="1">
        <f>'[1]links-p1'!R82</f>
        <v>0</v>
      </c>
      <c r="M82" s="1">
        <f>'[1]links-p1'!S82</f>
        <v>0</v>
      </c>
      <c r="N82" s="1">
        <f>'[1]links-p1'!T82</f>
        <v>-1668.6520095928549</v>
      </c>
      <c r="O82" s="1">
        <f>'[1]links-p1'!U82</f>
        <v>0</v>
      </c>
      <c r="P82" s="1">
        <f>'[1]links-p1'!V82</f>
        <v>0</v>
      </c>
      <c r="R82" s="1">
        <f>'[1]links-p1'!W82</f>
        <v>-667.43725518000042</v>
      </c>
      <c r="S82" s="1">
        <f>'[1]links-p1'!X82</f>
        <v>-1099.0585759999999</v>
      </c>
      <c r="T82" s="1">
        <f>'[1]links-p1'!Y82</f>
        <v>0</v>
      </c>
      <c r="U82" s="1">
        <f>'[1]links-p1'!Z82</f>
        <v>-1517.7757899999999</v>
      </c>
    </row>
    <row r="83" spans="8:21">
      <c r="H83" s="1">
        <f t="shared" si="3"/>
        <v>81</v>
      </c>
      <c r="I83" s="1">
        <f>'[1]links-p1'!O83</f>
        <v>0</v>
      </c>
      <c r="J83" s="1">
        <f>'[1]links-p1'!P83</f>
        <v>-4.9542352153926004</v>
      </c>
      <c r="K83" s="1">
        <f>'[1]links-p1'!Q83</f>
        <v>-3500</v>
      </c>
      <c r="L83" s="1">
        <f>'[1]links-p1'!R83</f>
        <v>0</v>
      </c>
      <c r="M83" s="1">
        <f>'[1]links-p1'!S83</f>
        <v>0</v>
      </c>
      <c r="N83" s="1">
        <f>'[1]links-p1'!T83</f>
        <v>-5000</v>
      </c>
      <c r="O83" s="1">
        <f>'[1]links-p1'!U83</f>
        <v>0</v>
      </c>
      <c r="P83" s="1">
        <f>'[1]links-p1'!V83</f>
        <v>-526.14496318000147</v>
      </c>
      <c r="R83" s="1">
        <f>'[1]links-p1'!W83</f>
        <v>-1553.672292</v>
      </c>
      <c r="S83" s="1">
        <f>'[1]links-p1'!X83</f>
        <v>-1916.4385760000009</v>
      </c>
      <c r="T83" s="1">
        <f>'[1]links-p1'!Y83</f>
        <v>0</v>
      </c>
      <c r="U83" s="1">
        <f>'[1]links-p1'!Z83</f>
        <v>-1517.7757899999999</v>
      </c>
    </row>
    <row r="84" spans="8:21">
      <c r="H84" s="1">
        <f t="shared" si="3"/>
        <v>82</v>
      </c>
      <c r="I84" s="1">
        <f>'[1]links-p1'!O84</f>
        <v>0</v>
      </c>
      <c r="J84" s="1">
        <f>'[1]links-p1'!P84</f>
        <v>0</v>
      </c>
      <c r="K84" s="1">
        <f>'[1]links-p1'!Q84</f>
        <v>0</v>
      </c>
      <c r="L84" s="1">
        <f>'[1]links-p1'!R84</f>
        <v>-599.95733799793197</v>
      </c>
      <c r="M84" s="1">
        <f>'[1]links-p1'!S84</f>
        <v>0</v>
      </c>
      <c r="N84" s="1">
        <f>'[1]links-p1'!T84</f>
        <v>0</v>
      </c>
      <c r="O84" s="1">
        <f>'[1]links-p1'!U84</f>
        <v>0</v>
      </c>
      <c r="P84" s="1">
        <f>'[1]links-p1'!V84</f>
        <v>-1343.524963180002</v>
      </c>
      <c r="R84" s="1">
        <f>'[1]links-p1'!W84</f>
        <v>-1553.672292</v>
      </c>
      <c r="S84" s="1">
        <f>'[1]links-p1'!X84</f>
        <v>-2733.8185760000019</v>
      </c>
      <c r="T84" s="1">
        <f>'[1]links-p1'!Y84</f>
        <v>0</v>
      </c>
      <c r="U84" s="1">
        <f>'[1]links-p1'!Z84</f>
        <v>-1517.7757899999999</v>
      </c>
    </row>
    <row r="85" spans="8:21">
      <c r="H85" s="1">
        <f t="shared" si="3"/>
        <v>83</v>
      </c>
      <c r="I85" s="1">
        <f>'[1]links-p1'!O85</f>
        <v>0</v>
      </c>
      <c r="J85" s="1">
        <f>'[1]links-p1'!P85</f>
        <v>0</v>
      </c>
      <c r="K85" s="1">
        <f>'[1]links-p1'!Q85</f>
        <v>0</v>
      </c>
      <c r="L85" s="1">
        <f>'[1]links-p1'!R85</f>
        <v>0</v>
      </c>
      <c r="M85" s="1">
        <f>'[1]links-p1'!S85</f>
        <v>0</v>
      </c>
      <c r="N85" s="1">
        <f>'[1]links-p1'!T85</f>
        <v>0</v>
      </c>
      <c r="O85" s="1">
        <f>'[1]links-p1'!U85</f>
        <v>0</v>
      </c>
      <c r="P85" s="1">
        <f>'[1]links-p1'!V85</f>
        <v>-2933.0560191400009</v>
      </c>
      <c r="R85" s="1">
        <f>'[1]links-p1'!W85</f>
        <v>0</v>
      </c>
      <c r="S85" s="1">
        <f>'[1]links-p1'!X85</f>
        <v>-2770.1372218700012</v>
      </c>
      <c r="T85" s="1">
        <f>'[1]links-p1'!Y85</f>
        <v>0</v>
      </c>
      <c r="U85" s="1">
        <f>'[1]links-p1'!Z85</f>
        <v>-1517.7757899999999</v>
      </c>
    </row>
    <row r="86" spans="8:21">
      <c r="H86" s="1">
        <f t="shared" si="3"/>
        <v>84</v>
      </c>
      <c r="I86" s="1">
        <f>'[1]links-p1'!O86</f>
        <v>0</v>
      </c>
      <c r="J86" s="1">
        <f>'[1]links-p1'!P86</f>
        <v>0</v>
      </c>
      <c r="K86" s="1">
        <f>'[1]links-p1'!Q86</f>
        <v>0</v>
      </c>
      <c r="L86" s="1">
        <f>'[1]links-p1'!R86</f>
        <v>0</v>
      </c>
      <c r="M86" s="1">
        <f>'[1]links-p1'!S86</f>
        <v>0</v>
      </c>
      <c r="N86" s="1">
        <f>'[1]links-p1'!T86</f>
        <v>0</v>
      </c>
      <c r="O86" s="1">
        <f>'[1]links-p1'!U86</f>
        <v>0</v>
      </c>
      <c r="P86" s="1">
        <f>'[1]links-p1'!V86</f>
        <v>-1370.6459708000009</v>
      </c>
      <c r="R86" s="1">
        <f>'[1]links-p1'!W86</f>
        <v>-1553.672292</v>
      </c>
      <c r="S86" s="1">
        <f>'[1]links-p1'!X86</f>
        <v>-2761.8593474400009</v>
      </c>
      <c r="T86" s="1">
        <f>'[1]links-p1'!Y86</f>
        <v>0</v>
      </c>
      <c r="U86" s="1">
        <f>'[1]links-p1'!Z86</f>
        <v>-1517.7757899999999</v>
      </c>
    </row>
    <row r="87" spans="8:21">
      <c r="H87" s="1">
        <f t="shared" si="3"/>
        <v>85</v>
      </c>
      <c r="I87" s="1">
        <f>'[1]links-p1'!O87</f>
        <v>0</v>
      </c>
      <c r="J87" s="1">
        <f>'[1]links-p1'!P87</f>
        <v>0</v>
      </c>
      <c r="K87" s="1">
        <f>'[1]links-p1'!Q87</f>
        <v>0</v>
      </c>
      <c r="L87" s="1">
        <f>'[1]links-p1'!R87</f>
        <v>0</v>
      </c>
      <c r="M87" s="1">
        <f>'[1]links-p1'!S87</f>
        <v>0</v>
      </c>
      <c r="N87" s="1">
        <f>'[1]links-p1'!T87</f>
        <v>0</v>
      </c>
      <c r="O87" s="1">
        <f>'[1]links-p1'!U87</f>
        <v>0</v>
      </c>
      <c r="P87" s="1">
        <f>'[1]links-p1'!V87</f>
        <v>-1370.6459708000009</v>
      </c>
      <c r="R87" s="1">
        <f>'[1]links-p1'!W87</f>
        <v>-1553.672292</v>
      </c>
      <c r="S87" s="1">
        <f>'[1]links-p1'!X87</f>
        <v>-2761.8593474400009</v>
      </c>
      <c r="T87" s="1">
        <f>'[1]links-p1'!Y87</f>
        <v>0</v>
      </c>
      <c r="U87" s="1">
        <f>'[1]links-p1'!Z87</f>
        <v>-1517.7757899999999</v>
      </c>
    </row>
    <row r="88" spans="8:21">
      <c r="H88" s="1">
        <f t="shared" si="3"/>
        <v>86</v>
      </c>
      <c r="I88" s="1">
        <f>'[1]links-p1'!O88</f>
        <v>0</v>
      </c>
      <c r="J88" s="1">
        <f>'[1]links-p1'!P88</f>
        <v>0</v>
      </c>
      <c r="K88" s="1">
        <f>'[1]links-p1'!Q88</f>
        <v>0</v>
      </c>
      <c r="L88" s="1">
        <f>'[1]links-p1'!R88</f>
        <v>0</v>
      </c>
      <c r="M88" s="1">
        <f>'[1]links-p1'!S88</f>
        <v>0</v>
      </c>
      <c r="N88" s="1">
        <f>'[1]links-p1'!T88</f>
        <v>0</v>
      </c>
      <c r="O88" s="1">
        <f>'[1]links-p1'!U88</f>
        <v>0</v>
      </c>
      <c r="P88" s="1">
        <f>'[1]links-p1'!V88</f>
        <v>-1379.3837271400009</v>
      </c>
      <c r="R88" s="1">
        <f>'[1]links-p1'!W88</f>
        <v>-1553.672292</v>
      </c>
      <c r="S88" s="1">
        <f>'[1]links-p1'!X88</f>
        <v>-2770.1372218700012</v>
      </c>
      <c r="T88" s="1">
        <f>'[1]links-p1'!Y88</f>
        <v>0</v>
      </c>
      <c r="U88" s="1">
        <f>'[1]links-p1'!Z88</f>
        <v>-1517.7757899999999</v>
      </c>
    </row>
    <row r="89" spans="8:21">
      <c r="H89" s="1">
        <f t="shared" si="3"/>
        <v>87</v>
      </c>
      <c r="I89" s="1">
        <f>'[1]links-p1'!O89</f>
        <v>0</v>
      </c>
      <c r="J89" s="1">
        <f>'[1]links-p1'!P89</f>
        <v>0</v>
      </c>
      <c r="K89" s="1">
        <f>'[1]links-p1'!Q89</f>
        <v>0</v>
      </c>
      <c r="L89" s="1">
        <f>'[1]links-p1'!R89</f>
        <v>0</v>
      </c>
      <c r="M89" s="1">
        <f>'[1]links-p1'!S89</f>
        <v>0</v>
      </c>
      <c r="N89" s="1">
        <f>'[1]links-p1'!T89</f>
        <v>0</v>
      </c>
      <c r="O89" s="1">
        <f>'[1]links-p1'!U89</f>
        <v>0</v>
      </c>
      <c r="P89" s="1">
        <f>'[1]links-p1'!V89</f>
        <v>-1388.1214834700011</v>
      </c>
      <c r="R89" s="1">
        <f>'[1]links-p1'!W89</f>
        <v>-1553.672292</v>
      </c>
      <c r="S89" s="1">
        <f>'[1]links-p1'!X89</f>
        <v>-2778.4150962900012</v>
      </c>
      <c r="T89" s="1">
        <f>'[1]links-p1'!Y89</f>
        <v>0</v>
      </c>
      <c r="U89" s="1">
        <f>'[1]links-p1'!Z89</f>
        <v>-1517.7757899999999</v>
      </c>
    </row>
    <row r="90" spans="8:21">
      <c r="H90" s="1">
        <f t="shared" si="3"/>
        <v>88</v>
      </c>
      <c r="I90" s="1">
        <f>'[1]links-p1'!O90</f>
        <v>0</v>
      </c>
      <c r="J90" s="1">
        <f>'[1]links-p1'!P90</f>
        <v>0</v>
      </c>
      <c r="K90" s="1">
        <f>'[1]links-p1'!Q90</f>
        <v>0</v>
      </c>
      <c r="L90" s="1">
        <f>'[1]links-p1'!R90</f>
        <v>0</v>
      </c>
      <c r="M90" s="1">
        <f>'[1]links-p1'!S90</f>
        <v>0</v>
      </c>
      <c r="N90" s="1">
        <f>'[1]links-p1'!T90</f>
        <v>0</v>
      </c>
      <c r="O90" s="1">
        <f>'[1]links-p1'!U90</f>
        <v>0</v>
      </c>
      <c r="P90" s="1">
        <f>'[1]links-p1'!V90</f>
        <v>-1388.1214834700011</v>
      </c>
      <c r="R90" s="1">
        <f>'[1]links-p1'!W90</f>
        <v>-1553.672292</v>
      </c>
      <c r="S90" s="1">
        <f>'[1]links-p1'!X90</f>
        <v>-2778.4150962900012</v>
      </c>
      <c r="T90" s="1">
        <f>'[1]links-p1'!Y90</f>
        <v>0</v>
      </c>
      <c r="U90" s="1">
        <f>'[1]links-p1'!Z90</f>
        <v>-1517.7757899999999</v>
      </c>
    </row>
    <row r="91" spans="8:21">
      <c r="H91" s="1">
        <f t="shared" si="3"/>
        <v>89</v>
      </c>
      <c r="I91" s="1">
        <f>'[1]links-p1'!O91</f>
        <v>0</v>
      </c>
      <c r="J91" s="1">
        <f>'[1]links-p1'!P91</f>
        <v>0</v>
      </c>
      <c r="K91" s="1">
        <f>'[1]links-p1'!Q91</f>
        <v>-3500</v>
      </c>
      <c r="L91" s="1">
        <f>'[1]links-p1'!R91</f>
        <v>-206.21612525700581</v>
      </c>
      <c r="M91" s="1">
        <f>'[1]links-p1'!S91</f>
        <v>0</v>
      </c>
      <c r="N91" s="1">
        <f>'[1]links-p1'!T91</f>
        <v>-5000</v>
      </c>
      <c r="O91" s="1">
        <f>'[1]links-p1'!U91</f>
        <v>0</v>
      </c>
      <c r="P91" s="1">
        <f>'[1]links-p1'!V91</f>
        <v>-1388.1214834700011</v>
      </c>
      <c r="R91" s="1">
        <f>'[1]links-p1'!W91</f>
        <v>-1553.672292</v>
      </c>
      <c r="S91" s="1">
        <f>'[1]links-p1'!X91</f>
        <v>-2778.4150962900012</v>
      </c>
      <c r="T91" s="1">
        <f>'[1]links-p1'!Y91</f>
        <v>0</v>
      </c>
      <c r="U91" s="1">
        <f>'[1]links-p1'!Z91</f>
        <v>-1517.7757899999999</v>
      </c>
    </row>
    <row r="92" spans="8:21">
      <c r="H92" s="1">
        <f t="shared" si="3"/>
        <v>90</v>
      </c>
      <c r="I92" s="1">
        <f>'[1]links-p1'!O92</f>
        <v>0</v>
      </c>
      <c r="J92" s="1">
        <f>'[1]links-p1'!P92</f>
        <v>0</v>
      </c>
      <c r="K92" s="1">
        <f>'[1]links-p1'!Q92</f>
        <v>-3500</v>
      </c>
      <c r="L92" s="1">
        <f>'[1]links-p1'!R92</f>
        <v>-55.679451446244911</v>
      </c>
      <c r="M92" s="1">
        <f>'[1]links-p1'!S92</f>
        <v>0</v>
      </c>
      <c r="N92" s="1">
        <f>'[1]links-p1'!T92</f>
        <v>-5000</v>
      </c>
      <c r="O92" s="1">
        <f>'[1]links-p1'!U92</f>
        <v>0</v>
      </c>
      <c r="P92" s="1">
        <f>'[1]links-p1'!V92</f>
        <v>-1379.3837271400009</v>
      </c>
      <c r="R92" s="1">
        <f>'[1]links-p1'!W92</f>
        <v>-1553.672292</v>
      </c>
      <c r="S92" s="1">
        <f>'[1]links-p1'!X92</f>
        <v>-2770.1372218700012</v>
      </c>
      <c r="T92" s="1">
        <f>'[1]links-p1'!Y92</f>
        <v>0</v>
      </c>
      <c r="U92" s="1">
        <f>'[1]links-p1'!Z92</f>
        <v>-1517.7757899999999</v>
      </c>
    </row>
    <row r="93" spans="8:21">
      <c r="H93" s="1">
        <f t="shared" si="3"/>
        <v>91</v>
      </c>
      <c r="I93" s="1">
        <f>'[1]links-p1'!O93</f>
        <v>0</v>
      </c>
      <c r="J93" s="1">
        <f>'[1]links-p1'!P93</f>
        <v>0</v>
      </c>
      <c r="K93" s="1">
        <f>'[1]links-p1'!Q93</f>
        <v>-3500</v>
      </c>
      <c r="L93" s="1">
        <f>'[1]links-p1'!R93</f>
        <v>-391.39801177263638</v>
      </c>
      <c r="M93" s="1">
        <f>'[1]links-p1'!S93</f>
        <v>0</v>
      </c>
      <c r="N93" s="1">
        <f>'[1]links-p1'!T93</f>
        <v>-5000</v>
      </c>
      <c r="O93" s="1">
        <f>'[1]links-p1'!U93</f>
        <v>0</v>
      </c>
      <c r="P93" s="1">
        <f>'[1]links-p1'!V93</f>
        <v>-1370.6459708000009</v>
      </c>
      <c r="R93" s="1">
        <f>'[1]links-p1'!W93</f>
        <v>-1553.672292</v>
      </c>
      <c r="S93" s="1">
        <f>'[1]links-p1'!X93</f>
        <v>-2761.8593474400009</v>
      </c>
      <c r="T93" s="1">
        <f>'[1]links-p1'!Y93</f>
        <v>0</v>
      </c>
      <c r="U93" s="1">
        <f>'[1]links-p1'!Z93</f>
        <v>-1517.7757899999999</v>
      </c>
    </row>
    <row r="94" spans="8:21">
      <c r="H94" s="1">
        <f t="shared" si="3"/>
        <v>92</v>
      </c>
      <c r="I94" s="1">
        <f>'[1]links-p1'!O94</f>
        <v>0</v>
      </c>
      <c r="J94" s="1">
        <f>'[1]links-p1'!P94</f>
        <v>0</v>
      </c>
      <c r="K94" s="1">
        <f>'[1]links-p1'!Q94</f>
        <v>-3500</v>
      </c>
      <c r="L94" s="1">
        <f>'[1]links-p1'!R94</f>
        <v>-615.95780288601827</v>
      </c>
      <c r="M94" s="1">
        <f>'[1]links-p1'!S94</f>
        <v>0</v>
      </c>
      <c r="N94" s="1">
        <f>'[1]links-p1'!T94</f>
        <v>-5000</v>
      </c>
      <c r="O94" s="1">
        <f>'[1]links-p1'!U94</f>
        <v>0</v>
      </c>
      <c r="P94" s="1">
        <f>'[1]links-p1'!V94</f>
        <v>-1361.90821446</v>
      </c>
      <c r="R94" s="1">
        <f>'[1]links-p1'!W94</f>
        <v>-1553.672292</v>
      </c>
      <c r="S94" s="1">
        <f>'[1]links-p1'!X94</f>
        <v>-2753.5814730100001</v>
      </c>
      <c r="T94" s="1">
        <f>'[1]links-p1'!Y94</f>
        <v>0</v>
      </c>
      <c r="U94" s="1">
        <f>'[1]links-p1'!Z94</f>
        <v>-1517.7757899999999</v>
      </c>
    </row>
    <row r="95" spans="8:21">
      <c r="H95" s="1">
        <f t="shared" si="3"/>
        <v>93</v>
      </c>
      <c r="I95" s="1">
        <f>'[1]links-p1'!O95</f>
        <v>0</v>
      </c>
      <c r="J95" s="1">
        <f>'[1]links-p1'!P95</f>
        <v>0</v>
      </c>
      <c r="K95" s="1">
        <f>'[1]links-p1'!Q95</f>
        <v>-3500</v>
      </c>
      <c r="L95" s="1">
        <f>'[1]links-p1'!R95</f>
        <v>-661.98110698585128</v>
      </c>
      <c r="M95" s="1">
        <f>'[1]links-p1'!S95</f>
        <v>0</v>
      </c>
      <c r="N95" s="1">
        <f>'[1]links-p1'!T95</f>
        <v>-5000</v>
      </c>
      <c r="O95" s="1">
        <f>'[1]links-p1'!U95</f>
        <v>0</v>
      </c>
      <c r="P95" s="1">
        <f>'[1]links-p1'!V95</f>
        <v>-1353.170458120002</v>
      </c>
      <c r="R95" s="1">
        <f>'[1]links-p1'!W95</f>
        <v>-1553.672292</v>
      </c>
      <c r="S95" s="1">
        <f>'[1]links-p1'!X95</f>
        <v>-2745.303598590001</v>
      </c>
      <c r="T95" s="1">
        <f>'[1]links-p1'!Y95</f>
        <v>0</v>
      </c>
      <c r="U95" s="1">
        <f>'[1]links-p1'!Z95</f>
        <v>-1517.7757899999999</v>
      </c>
    </row>
    <row r="96" spans="8:21">
      <c r="H96" s="1">
        <f t="shared" si="3"/>
        <v>94</v>
      </c>
      <c r="I96" s="1">
        <f>'[1]links-p1'!O96</f>
        <v>0</v>
      </c>
      <c r="J96" s="1">
        <f>'[1]links-p1'!P96</f>
        <v>0</v>
      </c>
      <c r="K96" s="1">
        <f>'[1]links-p1'!Q96</f>
        <v>-3500</v>
      </c>
      <c r="L96" s="1">
        <f>'[1]links-p1'!R96</f>
        <v>-609.55224137759001</v>
      </c>
      <c r="M96" s="1">
        <f>'[1]links-p1'!S96</f>
        <v>0</v>
      </c>
      <c r="N96" s="1">
        <f>'[1]links-p1'!T96</f>
        <v>-5000</v>
      </c>
      <c r="O96" s="1">
        <f>'[1]links-p1'!U96</f>
        <v>0</v>
      </c>
      <c r="P96" s="1">
        <f>'[1]links-p1'!V96</f>
        <v>-1344.4327017800019</v>
      </c>
      <c r="R96" s="1">
        <f>'[1]links-p1'!W96</f>
        <v>-1553.672292</v>
      </c>
      <c r="S96" s="1">
        <f>'[1]links-p1'!X96</f>
        <v>-2737.025724160002</v>
      </c>
      <c r="T96" s="1">
        <f>'[1]links-p1'!Y96</f>
        <v>0</v>
      </c>
      <c r="U96" s="1">
        <f>'[1]links-p1'!Z96</f>
        <v>-1517.7757899999999</v>
      </c>
    </row>
    <row r="97" spans="8:21">
      <c r="H97" s="1">
        <f t="shared" si="3"/>
        <v>95</v>
      </c>
      <c r="I97" s="1">
        <f>'[1]links-p1'!O97</f>
        <v>0</v>
      </c>
      <c r="J97" s="1">
        <f>'[1]links-p1'!P97</f>
        <v>0</v>
      </c>
      <c r="K97" s="1">
        <f>'[1]links-p1'!Q97</f>
        <v>-3500</v>
      </c>
      <c r="L97" s="1">
        <f>'[1]links-p1'!R97</f>
        <v>-215.64685102274669</v>
      </c>
      <c r="M97" s="1">
        <f>'[1]links-p1'!S97</f>
        <v>0</v>
      </c>
      <c r="N97" s="1">
        <f>'[1]links-p1'!T97</f>
        <v>-5000</v>
      </c>
      <c r="O97" s="1">
        <f>'[1]links-p1'!U97</f>
        <v>0</v>
      </c>
      <c r="P97" s="1">
        <f>'[1]links-p1'!V97</f>
        <v>-1344.4327017800019</v>
      </c>
      <c r="R97" s="1">
        <f>'[1]links-p1'!W97</f>
        <v>-1553.672292</v>
      </c>
      <c r="S97" s="1">
        <f>'[1]links-p1'!X97</f>
        <v>-2737.025724160002</v>
      </c>
      <c r="T97" s="1">
        <f>'[1]links-p1'!Y97</f>
        <v>0</v>
      </c>
      <c r="U97" s="1">
        <f>'[1]links-p1'!Z97</f>
        <v>-1517.7757899999999</v>
      </c>
    </row>
    <row r="98" spans="8:21">
      <c r="H98" s="1">
        <f t="shared" si="3"/>
        <v>96</v>
      </c>
      <c r="I98" s="1">
        <f>'[1]links-p1'!O98</f>
        <v>0</v>
      </c>
      <c r="J98" s="1">
        <f>'[1]links-p1'!P98</f>
        <v>-412.12010119806251</v>
      </c>
      <c r="K98" s="1">
        <f>'[1]links-p1'!Q98</f>
        <v>-2167.4129984848282</v>
      </c>
      <c r="L98" s="1">
        <f>'[1]links-p1'!R98</f>
        <v>0</v>
      </c>
      <c r="M98" s="1">
        <f>'[1]links-p1'!S98</f>
        <v>0</v>
      </c>
      <c r="N98" s="1">
        <f>'[1]links-p1'!T98</f>
        <v>-5000</v>
      </c>
      <c r="O98" s="1">
        <f>'[1]links-p1'!U98</f>
        <v>0</v>
      </c>
      <c r="P98" s="1">
        <f>'[1]links-p1'!V98</f>
        <v>-1344.4139668299999</v>
      </c>
      <c r="R98" s="1">
        <f>'[1]links-p1'!W98</f>
        <v>-1553.672292</v>
      </c>
      <c r="S98" s="1">
        <f>'[1]links-p1'!X98</f>
        <v>-2737.00797526</v>
      </c>
      <c r="T98" s="1">
        <f>'[1]links-p1'!Y98</f>
        <v>0</v>
      </c>
      <c r="U98" s="1">
        <f>'[1]links-p1'!Z98</f>
        <v>-1517.7757899999999</v>
      </c>
    </row>
    <row r="99" spans="8:21">
      <c r="H99" s="1">
        <f t="shared" si="3"/>
        <v>97</v>
      </c>
      <c r="I99" s="1">
        <f>'[1]links-p1'!O99</f>
        <v>0</v>
      </c>
      <c r="J99" s="1">
        <f>'[1]links-p1'!P99</f>
        <v>-733.71458425885317</v>
      </c>
      <c r="K99" s="1">
        <f>'[1]links-p1'!Q99</f>
        <v>-593.01161124927194</v>
      </c>
      <c r="L99" s="1">
        <f>'[1]links-p1'!R99</f>
        <v>0</v>
      </c>
      <c r="M99" s="1">
        <f>'[1]links-p1'!S99</f>
        <v>0</v>
      </c>
      <c r="N99" s="1">
        <f>'[1]links-p1'!T99</f>
        <v>-5000</v>
      </c>
      <c r="O99" s="1">
        <f>'[1]links-p1'!U99</f>
        <v>0</v>
      </c>
      <c r="P99" s="1">
        <f>'[1]links-p1'!V99</f>
        <v>-1344.4139668299999</v>
      </c>
      <c r="R99" s="1">
        <f>'[1]links-p1'!W99</f>
        <v>-1553.672292</v>
      </c>
      <c r="S99" s="1">
        <f>'[1]links-p1'!X99</f>
        <v>-2737.00797526</v>
      </c>
      <c r="T99" s="1">
        <f>'[1]links-p1'!Y99</f>
        <v>0</v>
      </c>
      <c r="U99" s="1">
        <f>'[1]links-p1'!Z99</f>
        <v>-1517.7757899999999</v>
      </c>
    </row>
    <row r="100" spans="8:21">
      <c r="H100" s="1">
        <f t="shared" si="3"/>
        <v>98</v>
      </c>
      <c r="I100" s="1">
        <f>'[1]links-p1'!O100</f>
        <v>0</v>
      </c>
      <c r="J100" s="1">
        <f>'[1]links-p1'!P100</f>
        <v>-811.64726331380393</v>
      </c>
      <c r="K100" s="1">
        <f>'[1]links-p1'!Q100</f>
        <v>-551.57133327520182</v>
      </c>
      <c r="L100" s="1">
        <f>'[1]links-p1'!R100</f>
        <v>0</v>
      </c>
      <c r="M100" s="1">
        <f>'[1]links-p1'!S100</f>
        <v>0</v>
      </c>
      <c r="N100" s="1">
        <f>'[1]links-p1'!T100</f>
        <v>-5000</v>
      </c>
      <c r="O100" s="1">
        <f>'[1]links-p1'!U100</f>
        <v>0</v>
      </c>
      <c r="P100" s="1">
        <f>'[1]links-p1'!V100</f>
        <v>-1344.4139668299999</v>
      </c>
      <c r="R100" s="1">
        <f>'[1]links-p1'!W100</f>
        <v>-1553.672292</v>
      </c>
      <c r="S100" s="1">
        <f>'[1]links-p1'!X100</f>
        <v>-2737.00797526</v>
      </c>
      <c r="T100" s="1">
        <f>'[1]links-p1'!Y100</f>
        <v>0</v>
      </c>
      <c r="U100" s="1">
        <f>'[1]links-p1'!Z100</f>
        <v>-1517.7757899999999</v>
      </c>
    </row>
    <row r="101" spans="8:21">
      <c r="H101" s="1">
        <f t="shared" si="3"/>
        <v>99</v>
      </c>
      <c r="I101" s="1">
        <f>'[1]links-p1'!O101</f>
        <v>0</v>
      </c>
      <c r="J101" s="1">
        <f>'[1]links-p1'!P101</f>
        <v>-890.42656708137497</v>
      </c>
      <c r="K101" s="1">
        <f>'[1]links-p1'!Q101</f>
        <v>-196.15357430270271</v>
      </c>
      <c r="L101" s="1">
        <f>'[1]links-p1'!R101</f>
        <v>0</v>
      </c>
      <c r="M101" s="1">
        <f>'[1]links-p1'!S101</f>
        <v>0</v>
      </c>
      <c r="N101" s="1">
        <f>'[1]links-p1'!T101</f>
        <v>-5000</v>
      </c>
      <c r="O101" s="1">
        <f>'[1]links-p1'!U101</f>
        <v>0</v>
      </c>
      <c r="P101" s="1">
        <f>'[1]links-p1'!V101</f>
        <v>-1344.4139668299999</v>
      </c>
      <c r="R101" s="1">
        <f>'[1]links-p1'!W101</f>
        <v>-1553.672292</v>
      </c>
      <c r="S101" s="1">
        <f>'[1]links-p1'!X101</f>
        <v>-2737.00797526</v>
      </c>
      <c r="T101" s="1">
        <f>'[1]links-p1'!Y101</f>
        <v>0</v>
      </c>
      <c r="U101" s="1">
        <f>'[1]links-p1'!Z101</f>
        <v>-1517.7757899999999</v>
      </c>
    </row>
    <row r="102" spans="8:21">
      <c r="H102" s="1">
        <f t="shared" si="3"/>
        <v>100</v>
      </c>
      <c r="I102" s="1">
        <f>'[1]links-p1'!O102</f>
        <v>-176.15218191426169</v>
      </c>
      <c r="J102" s="1">
        <f>'[1]links-p1'!P102</f>
        <v>-951.29716451645982</v>
      </c>
      <c r="K102" s="1">
        <f>'[1]links-p1'!Q102</f>
        <v>0</v>
      </c>
      <c r="L102" s="1">
        <f>'[1]links-p1'!R102</f>
        <v>0</v>
      </c>
      <c r="M102" s="1">
        <f>'[1]links-p1'!S102</f>
        <v>0</v>
      </c>
      <c r="N102" s="1">
        <f>'[1]links-p1'!T102</f>
        <v>-5000</v>
      </c>
      <c r="O102" s="1">
        <f>'[1]links-p1'!U102</f>
        <v>0</v>
      </c>
      <c r="P102" s="1">
        <f>'[1]links-p1'!V102</f>
        <v>-1353.151723170002</v>
      </c>
      <c r="R102" s="1">
        <f>'[1]links-p1'!W102</f>
        <v>-1553.672292</v>
      </c>
      <c r="S102" s="1">
        <f>'[1]links-p1'!X102</f>
        <v>-2745.2858496900021</v>
      </c>
      <c r="T102" s="1">
        <f>'[1]links-p1'!Y102</f>
        <v>0</v>
      </c>
      <c r="U102" s="1">
        <f>'[1]links-p1'!Z102</f>
        <v>-1517.7757899999999</v>
      </c>
    </row>
    <row r="103" spans="8:21">
      <c r="H103" s="1">
        <f t="shared" si="3"/>
        <v>101</v>
      </c>
      <c r="I103" s="1">
        <f>'[1]links-p1'!O103</f>
        <v>-528.98647520719101</v>
      </c>
      <c r="J103" s="1">
        <f>'[1]links-p1'!P103</f>
        <v>-1084.899945785329</v>
      </c>
      <c r="K103" s="1">
        <f>'[1]links-p1'!Q103</f>
        <v>0</v>
      </c>
      <c r="L103" s="1">
        <f>'[1]links-p1'!R103</f>
        <v>0</v>
      </c>
      <c r="M103" s="1">
        <f>'[1]links-p1'!S103</f>
        <v>0</v>
      </c>
      <c r="N103" s="1">
        <f>'[1]links-p1'!T103</f>
        <v>-2549.5554269172908</v>
      </c>
      <c r="O103" s="1">
        <f>'[1]links-p1'!U103</f>
        <v>0</v>
      </c>
      <c r="P103" s="1">
        <f>'[1]links-p1'!V103</f>
        <v>-1370.6272358500021</v>
      </c>
      <c r="R103" s="1">
        <f>'[1]links-p1'!W103</f>
        <v>-1553.672292</v>
      </c>
      <c r="S103" s="1">
        <f>'[1]links-p1'!X103</f>
        <v>-2761.841598540002</v>
      </c>
      <c r="T103" s="1">
        <f>'[1]links-p1'!Y103</f>
        <v>0</v>
      </c>
      <c r="U103" s="1">
        <f>'[1]links-p1'!Z103</f>
        <v>-1517.7757899999999</v>
      </c>
    </row>
    <row r="104" spans="8:21">
      <c r="H104" s="1">
        <f t="shared" si="3"/>
        <v>102</v>
      </c>
      <c r="I104" s="1">
        <f>'[1]links-p1'!O104</f>
        <v>-892.68473554286561</v>
      </c>
      <c r="J104" s="1">
        <f>'[1]links-p1'!P104</f>
        <v>-1183.884224252997</v>
      </c>
      <c r="K104" s="1">
        <f>'[1]links-p1'!Q104</f>
        <v>0</v>
      </c>
      <c r="L104" s="1">
        <f>'[1]links-p1'!R104</f>
        <v>0</v>
      </c>
      <c r="M104" s="1">
        <f>'[1]links-p1'!S104</f>
        <v>0</v>
      </c>
      <c r="N104" s="1">
        <f>'[1]links-p1'!T104</f>
        <v>-2699.7843406537831</v>
      </c>
      <c r="O104" s="1">
        <f>'[1]links-p1'!U104</f>
        <v>0</v>
      </c>
      <c r="P104" s="1">
        <f>'[1]links-p1'!V104</f>
        <v>-1379.3649921799999</v>
      </c>
      <c r="R104" s="1">
        <f>'[1]links-p1'!W104</f>
        <v>-1553.672292</v>
      </c>
      <c r="S104" s="1">
        <f>'[1]links-p1'!X104</f>
        <v>-2770.1194729600002</v>
      </c>
      <c r="T104" s="1">
        <f>'[1]links-p1'!Y104</f>
        <v>0</v>
      </c>
      <c r="U104" s="1">
        <f>'[1]links-p1'!Z104</f>
        <v>-1517.7757899999999</v>
      </c>
    </row>
    <row r="105" spans="8:21">
      <c r="H105" s="1">
        <f t="shared" si="3"/>
        <v>103</v>
      </c>
      <c r="I105" s="1">
        <f>'[1]links-p1'!O105</f>
        <v>-1455.227486494276</v>
      </c>
      <c r="J105" s="1">
        <f>'[1]links-p1'!P105</f>
        <v>-1282.6915052162101</v>
      </c>
      <c r="K105" s="1">
        <f>'[1]links-p1'!Q105</f>
        <v>0</v>
      </c>
      <c r="L105" s="1">
        <f>'[1]links-p1'!R105</f>
        <v>0</v>
      </c>
      <c r="M105" s="1">
        <f>'[1]links-p1'!S105</f>
        <v>0</v>
      </c>
      <c r="N105" s="1">
        <f>'[1]links-p1'!T105</f>
        <v>-4141.7619571587156</v>
      </c>
      <c r="O105" s="1">
        <f>'[1]links-p1'!U105</f>
        <v>0</v>
      </c>
      <c r="P105" s="1">
        <f>'[1]links-p1'!V105</f>
        <v>-1388.102748520002</v>
      </c>
      <c r="R105" s="1">
        <f>'[1]links-p1'!W105</f>
        <v>-1553.672292</v>
      </c>
      <c r="S105" s="1">
        <f>'[1]links-p1'!X105</f>
        <v>-2778.397347390001</v>
      </c>
      <c r="T105" s="1">
        <f>'[1]links-p1'!Y105</f>
        <v>0</v>
      </c>
      <c r="U105" s="1">
        <f>'[1]links-p1'!Z105</f>
        <v>-1517.7757899999999</v>
      </c>
    </row>
    <row r="106" spans="8:21">
      <c r="H106" s="1">
        <f t="shared" si="3"/>
        <v>104</v>
      </c>
      <c r="I106" s="1">
        <f>'[1]links-p1'!O106</f>
        <v>-2191.2643953800621</v>
      </c>
      <c r="J106" s="1">
        <f>'[1]links-p1'!P106</f>
        <v>-1421.9847418364791</v>
      </c>
      <c r="K106" s="1">
        <f>'[1]links-p1'!Q106</f>
        <v>0</v>
      </c>
      <c r="L106" s="1">
        <f>'[1]links-p1'!R106</f>
        <v>0</v>
      </c>
      <c r="M106" s="1">
        <f>'[1]links-p1'!S106</f>
        <v>0</v>
      </c>
      <c r="N106" s="1">
        <f>'[1]links-p1'!T106</f>
        <v>-2284.0550957169398</v>
      </c>
      <c r="O106" s="1">
        <f>'[1]links-p1'!U106</f>
        <v>0</v>
      </c>
      <c r="P106" s="1">
        <f>'[1]links-p1'!V106</f>
        <v>-1388.102748520002</v>
      </c>
      <c r="R106" s="1">
        <f>'[1]links-p1'!W106</f>
        <v>-1553.672292</v>
      </c>
      <c r="S106" s="1">
        <f>'[1]links-p1'!X106</f>
        <v>-2778.397347390001</v>
      </c>
      <c r="T106" s="1">
        <f>'[1]links-p1'!Y106</f>
        <v>0</v>
      </c>
      <c r="U106" s="1">
        <f>'[1]links-p1'!Z106</f>
        <v>-1517.7757899999999</v>
      </c>
    </row>
    <row r="107" spans="8:21">
      <c r="H107" s="1">
        <f t="shared" si="3"/>
        <v>105</v>
      </c>
      <c r="I107" s="1">
        <f>'[1]links-p1'!O107</f>
        <v>0</v>
      </c>
      <c r="J107" s="1">
        <f>'[1]links-p1'!P107</f>
        <v>-1030.582964590365</v>
      </c>
      <c r="K107" s="1">
        <f>'[1]links-p1'!Q107</f>
        <v>0</v>
      </c>
      <c r="L107" s="1">
        <f>'[1]links-p1'!R107</f>
        <v>0</v>
      </c>
      <c r="M107" s="1">
        <f>'[1]links-p1'!S107</f>
        <v>0</v>
      </c>
      <c r="N107" s="1">
        <f>'[1]links-p1'!T107</f>
        <v>0</v>
      </c>
      <c r="O107" s="1">
        <f>'[1]links-p1'!U107</f>
        <v>0</v>
      </c>
      <c r="P107" s="1">
        <f>'[1]links-p1'!V107</f>
        <v>-1388.102748520002</v>
      </c>
      <c r="R107" s="1">
        <f>'[1]links-p1'!W107</f>
        <v>-1553.672292</v>
      </c>
      <c r="S107" s="1">
        <f>'[1]links-p1'!X107</f>
        <v>-2778.397347390001</v>
      </c>
      <c r="T107" s="1">
        <f>'[1]links-p1'!Y107</f>
        <v>0</v>
      </c>
      <c r="U107" s="1">
        <f>'[1]links-p1'!Z107</f>
        <v>-1517.7757899999999</v>
      </c>
    </row>
    <row r="108" spans="8:21">
      <c r="H108" s="1">
        <f t="shared" si="3"/>
        <v>106</v>
      </c>
      <c r="I108" s="1">
        <f>'[1]links-p1'!O108</f>
        <v>0</v>
      </c>
      <c r="J108" s="1">
        <f>'[1]links-p1'!P108</f>
        <v>0</v>
      </c>
      <c r="K108" s="1">
        <f>'[1]links-p1'!Q108</f>
        <v>0</v>
      </c>
      <c r="L108" s="1">
        <f>'[1]links-p1'!R108</f>
        <v>0</v>
      </c>
      <c r="M108" s="1">
        <f>'[1]links-p1'!S108</f>
        <v>0</v>
      </c>
      <c r="N108" s="1">
        <f>'[1]links-p1'!T108</f>
        <v>0</v>
      </c>
      <c r="O108" s="1">
        <f>'[1]links-p1'!U108</f>
        <v>0</v>
      </c>
      <c r="P108" s="1">
        <f>'[1]links-p1'!V108</f>
        <v>-2339.2483232499981</v>
      </c>
      <c r="R108" s="1">
        <f>'[1]links-p1'!W108</f>
        <v>-602.52671727000325</v>
      </c>
      <c r="S108" s="1">
        <f>'[1]links-p1'!X108</f>
        <v>-2778.397347390001</v>
      </c>
      <c r="T108" s="1">
        <f>'[1]links-p1'!Y108</f>
        <v>0</v>
      </c>
      <c r="U108" s="1">
        <f>'[1]links-p1'!Z108</f>
        <v>-1517.7757899999999</v>
      </c>
    </row>
    <row r="109" spans="8:21">
      <c r="H109" s="1">
        <f t="shared" si="3"/>
        <v>107</v>
      </c>
      <c r="I109" s="1">
        <f>'[1]links-p1'!O109</f>
        <v>0</v>
      </c>
      <c r="J109" s="1">
        <f>'[1]links-p1'!P109</f>
        <v>0</v>
      </c>
      <c r="K109" s="1">
        <f>'[1]links-p1'!Q109</f>
        <v>0</v>
      </c>
      <c r="L109" s="1">
        <f>'[1]links-p1'!R109</f>
        <v>0</v>
      </c>
      <c r="M109" s="1">
        <f>'[1]links-p1'!S109</f>
        <v>0</v>
      </c>
      <c r="N109" s="1">
        <f>'[1]links-p1'!T109</f>
        <v>0</v>
      </c>
      <c r="O109" s="1">
        <f>'[1]links-p1'!U109</f>
        <v>0</v>
      </c>
      <c r="P109" s="1">
        <f>'[1]links-p1'!V109</f>
        <v>-2933.0372841799999</v>
      </c>
      <c r="R109" s="1">
        <f>'[1]links-p1'!W109</f>
        <v>0</v>
      </c>
      <c r="S109" s="1">
        <f>'[1]links-p1'!X109</f>
        <v>-2770.1194729600002</v>
      </c>
      <c r="T109" s="1">
        <f>'[1]links-p1'!Y109</f>
        <v>0</v>
      </c>
      <c r="U109" s="1">
        <f>'[1]links-p1'!Z109</f>
        <v>-1517.7757899999999</v>
      </c>
    </row>
    <row r="110" spans="8:21">
      <c r="H110" s="1">
        <f t="shared" si="3"/>
        <v>108</v>
      </c>
      <c r="I110" s="1">
        <f>'[1]links-p1'!O110</f>
        <v>0</v>
      </c>
      <c r="J110" s="1">
        <f>'[1]links-p1'!P110</f>
        <v>0</v>
      </c>
      <c r="K110" s="1">
        <f>'[1]links-p1'!Q110</f>
        <v>0</v>
      </c>
      <c r="L110" s="1">
        <f>'[1]links-p1'!R110</f>
        <v>0</v>
      </c>
      <c r="M110" s="1">
        <f>'[1]links-p1'!S110</f>
        <v>0</v>
      </c>
      <c r="N110" s="1">
        <f>'[1]links-p1'!T110</f>
        <v>0</v>
      </c>
      <c r="O110" s="1">
        <f>'[1]links-p1'!U110</f>
        <v>0</v>
      </c>
      <c r="P110" s="1">
        <f>'[1]links-p1'!V110</f>
        <v>-1370.6272358500021</v>
      </c>
      <c r="R110" s="1">
        <f>'[1]links-p1'!W110</f>
        <v>-1553.672292</v>
      </c>
      <c r="S110" s="1">
        <f>'[1]links-p1'!X110</f>
        <v>-2761.841598540002</v>
      </c>
      <c r="T110" s="1">
        <f>'[1]links-p1'!Y110</f>
        <v>0</v>
      </c>
      <c r="U110" s="1">
        <f>'[1]links-p1'!Z110</f>
        <v>-1517.7757899999999</v>
      </c>
    </row>
    <row r="111" spans="8:21">
      <c r="H111" s="1">
        <f t="shared" si="3"/>
        <v>109</v>
      </c>
      <c r="I111" s="1">
        <f>'[1]links-p1'!O111</f>
        <v>0</v>
      </c>
      <c r="J111" s="1">
        <f>'[1]links-p1'!P111</f>
        <v>0</v>
      </c>
      <c r="K111" s="1">
        <f>'[1]links-p1'!Q111</f>
        <v>0</v>
      </c>
      <c r="L111" s="1">
        <f>'[1]links-p1'!R111</f>
        <v>0</v>
      </c>
      <c r="M111" s="1">
        <f>'[1]links-p1'!S111</f>
        <v>0</v>
      </c>
      <c r="N111" s="1">
        <f>'[1]links-p1'!T111</f>
        <v>0</v>
      </c>
      <c r="O111" s="1">
        <f>'[1]links-p1'!U111</f>
        <v>0</v>
      </c>
      <c r="P111" s="1">
        <f>'[1]links-p1'!V111</f>
        <v>-2924.2995278500021</v>
      </c>
      <c r="R111" s="1">
        <f>'[1]links-p1'!W111</f>
        <v>0</v>
      </c>
      <c r="S111" s="1">
        <f>'[1]links-p1'!X111</f>
        <v>-2761.841598540002</v>
      </c>
      <c r="T111" s="1">
        <f>'[1]links-p1'!Y111</f>
        <v>0</v>
      </c>
      <c r="U111" s="1">
        <f>'[1]links-p1'!Z111</f>
        <v>-1517.7757899999999</v>
      </c>
    </row>
    <row r="112" spans="8:21">
      <c r="H112" s="1">
        <f t="shared" si="3"/>
        <v>110</v>
      </c>
      <c r="I112" s="1">
        <f>'[1]links-p1'!O112</f>
        <v>0</v>
      </c>
      <c r="J112" s="1">
        <f>'[1]links-p1'!P112</f>
        <v>0</v>
      </c>
      <c r="K112" s="1">
        <f>'[1]links-p1'!Q112</f>
        <v>0</v>
      </c>
      <c r="L112" s="1">
        <f>'[1]links-p1'!R112</f>
        <v>0</v>
      </c>
      <c r="M112" s="1">
        <f>'[1]links-p1'!S112</f>
        <v>0</v>
      </c>
      <c r="N112" s="1">
        <f>'[1]links-p1'!T112</f>
        <v>0</v>
      </c>
      <c r="O112" s="1">
        <f>'[1]links-p1'!U112</f>
        <v>0</v>
      </c>
      <c r="P112" s="1">
        <f>'[1]links-p1'!V112</f>
        <v>-2933.0372841799999</v>
      </c>
      <c r="R112" s="1">
        <f>'[1]links-p1'!W112</f>
        <v>0</v>
      </c>
      <c r="S112" s="1">
        <f>'[1]links-p1'!X112</f>
        <v>-2770.1194729600002</v>
      </c>
      <c r="T112" s="1">
        <f>'[1]links-p1'!Y112</f>
        <v>0</v>
      </c>
      <c r="U112" s="1">
        <f>'[1]links-p1'!Z112</f>
        <v>-1517.7757899999999</v>
      </c>
    </row>
    <row r="113" spans="8:21">
      <c r="H113" s="1">
        <f t="shared" si="3"/>
        <v>111</v>
      </c>
      <c r="I113" s="1">
        <f>'[1]links-p1'!O113</f>
        <v>0</v>
      </c>
      <c r="J113" s="1">
        <f>'[1]links-p1'!P113</f>
        <v>0</v>
      </c>
      <c r="K113" s="1">
        <f>'[1]links-p1'!Q113</f>
        <v>0</v>
      </c>
      <c r="L113" s="1">
        <f>'[1]links-p1'!R113</f>
        <v>0</v>
      </c>
      <c r="M113" s="1">
        <f>'[1]links-p1'!S113</f>
        <v>0</v>
      </c>
      <c r="N113" s="1">
        <f>'[1]links-p1'!T113</f>
        <v>0</v>
      </c>
      <c r="O113" s="1">
        <f>'[1]links-p1'!U113</f>
        <v>0</v>
      </c>
      <c r="P113" s="1">
        <f>'[1]links-p1'!V113</f>
        <v>-2941.7750405200009</v>
      </c>
      <c r="R113" s="1">
        <f>'[1]links-p1'!W113</f>
        <v>0</v>
      </c>
      <c r="S113" s="1">
        <f>'[1]links-p1'!X113</f>
        <v>-2778.397347390001</v>
      </c>
      <c r="T113" s="1">
        <f>'[1]links-p1'!Y113</f>
        <v>0</v>
      </c>
      <c r="U113" s="1">
        <f>'[1]links-p1'!Z113</f>
        <v>-1517.7757899999999</v>
      </c>
    </row>
    <row r="114" spans="8:21">
      <c r="H114" s="1">
        <f t="shared" si="3"/>
        <v>112</v>
      </c>
      <c r="I114" s="1">
        <f>'[1]links-p1'!O114</f>
        <v>0</v>
      </c>
      <c r="J114" s="1">
        <f>'[1]links-p1'!P114</f>
        <v>0</v>
      </c>
      <c r="K114" s="1">
        <f>'[1]links-p1'!Q114</f>
        <v>0</v>
      </c>
      <c r="L114" s="1">
        <f>'[1]links-p1'!R114</f>
        <v>0</v>
      </c>
      <c r="M114" s="1">
        <f>'[1]links-p1'!S114</f>
        <v>0</v>
      </c>
      <c r="N114" s="1">
        <f>'[1]links-p1'!T114</f>
        <v>0</v>
      </c>
      <c r="O114" s="1">
        <f>'[1]links-p1'!U114</f>
        <v>0</v>
      </c>
      <c r="P114" s="1">
        <f>'[1]links-p1'!V114</f>
        <v>-1388.102748520002</v>
      </c>
      <c r="R114" s="1">
        <f>'[1]links-p1'!W114</f>
        <v>-1553.672292</v>
      </c>
      <c r="S114" s="1">
        <f>'[1]links-p1'!X114</f>
        <v>-2778.397347390001</v>
      </c>
      <c r="T114" s="1">
        <f>'[1]links-p1'!Y114</f>
        <v>0</v>
      </c>
      <c r="U114" s="1">
        <f>'[1]links-p1'!Z114</f>
        <v>-1517.7757899999999</v>
      </c>
    </row>
    <row r="115" spans="8:21">
      <c r="H115" s="1">
        <f t="shared" si="3"/>
        <v>113</v>
      </c>
      <c r="I115" s="1">
        <f>'[1]links-p1'!O115</f>
        <v>0</v>
      </c>
      <c r="J115" s="1">
        <f>'[1]links-p1'!P115</f>
        <v>-695.87308344821759</v>
      </c>
      <c r="K115" s="1">
        <f>'[1]links-p1'!Q115</f>
        <v>0</v>
      </c>
      <c r="L115" s="1">
        <f>'[1]links-p1'!R115</f>
        <v>0</v>
      </c>
      <c r="M115" s="1">
        <f>'[1]links-p1'!S115</f>
        <v>0</v>
      </c>
      <c r="N115" s="1">
        <f>'[1]links-p1'!T115</f>
        <v>0</v>
      </c>
      <c r="O115" s="1">
        <f>'[1]links-p1'!U115</f>
        <v>0</v>
      </c>
      <c r="P115" s="1">
        <f>'[1]links-p1'!V115</f>
        <v>-1388.102748520002</v>
      </c>
      <c r="R115" s="1">
        <f>'[1]links-p1'!W115</f>
        <v>-1553.672292</v>
      </c>
      <c r="S115" s="1">
        <f>'[1]links-p1'!X115</f>
        <v>-2778.397347390001</v>
      </c>
      <c r="T115" s="1">
        <f>'[1]links-p1'!Y115</f>
        <v>0</v>
      </c>
      <c r="U115" s="1">
        <f>'[1]links-p1'!Z115</f>
        <v>-1517.7757899999999</v>
      </c>
    </row>
    <row r="116" spans="8:21">
      <c r="H116" s="1">
        <f t="shared" si="3"/>
        <v>114</v>
      </c>
      <c r="I116" s="1">
        <f>'[1]links-p1'!O116</f>
        <v>-3185.2953301128509</v>
      </c>
      <c r="J116" s="1">
        <f>'[1]links-p1'!P116</f>
        <v>-1429.0879938670471</v>
      </c>
      <c r="K116" s="1">
        <f>'[1]links-p1'!Q116</f>
        <v>0</v>
      </c>
      <c r="L116" s="1">
        <f>'[1]links-p1'!R116</f>
        <v>0</v>
      </c>
      <c r="M116" s="1">
        <f>'[1]links-p1'!S116</f>
        <v>0</v>
      </c>
      <c r="N116" s="1">
        <f>'[1]links-p1'!T116</f>
        <v>-5000</v>
      </c>
      <c r="O116" s="1">
        <f>'[1]links-p1'!U116</f>
        <v>0</v>
      </c>
      <c r="P116" s="1">
        <f>'[1]links-p1'!V116</f>
        <v>-1379.3649921799999</v>
      </c>
      <c r="R116" s="1">
        <f>'[1]links-p1'!W116</f>
        <v>-1553.672292</v>
      </c>
      <c r="S116" s="1">
        <f>'[1]links-p1'!X116</f>
        <v>-2770.1194729600002</v>
      </c>
      <c r="T116" s="1">
        <f>'[1]links-p1'!Y116</f>
        <v>0</v>
      </c>
      <c r="U116" s="1">
        <f>'[1]links-p1'!Z116</f>
        <v>-1517.7757899999999</v>
      </c>
    </row>
    <row r="117" spans="8:21">
      <c r="H117" s="1">
        <f t="shared" si="3"/>
        <v>115</v>
      </c>
      <c r="I117" s="1">
        <f>'[1]links-p1'!O117</f>
        <v>-3524.9753119936322</v>
      </c>
      <c r="J117" s="1">
        <f>'[1]links-p1'!P117</f>
        <v>-1283.0881743196201</v>
      </c>
      <c r="K117" s="1">
        <f>'[1]links-p1'!Q117</f>
        <v>0</v>
      </c>
      <c r="L117" s="1">
        <f>'[1]links-p1'!R117</f>
        <v>0</v>
      </c>
      <c r="M117" s="1">
        <f>'[1]links-p1'!S117</f>
        <v>0</v>
      </c>
      <c r="N117" s="1">
        <f>'[1]links-p1'!T117</f>
        <v>-5000</v>
      </c>
      <c r="O117" s="1">
        <f>'[1]links-p1'!U117</f>
        <v>0</v>
      </c>
      <c r="P117" s="1">
        <f>'[1]links-p1'!V117</f>
        <v>-1370.6272358500021</v>
      </c>
      <c r="R117" s="1">
        <f>'[1]links-p1'!W117</f>
        <v>-1553.672292</v>
      </c>
      <c r="S117" s="1">
        <f>'[1]links-p1'!X117</f>
        <v>-2761.841598540002</v>
      </c>
      <c r="T117" s="1">
        <f>'[1]links-p1'!Y117</f>
        <v>0</v>
      </c>
      <c r="U117" s="1">
        <f>'[1]links-p1'!Z117</f>
        <v>-1517.7757899999999</v>
      </c>
    </row>
    <row r="118" spans="8:21">
      <c r="H118" s="1">
        <f t="shared" si="3"/>
        <v>116</v>
      </c>
      <c r="I118" s="1">
        <f>'[1]links-p1'!O118</f>
        <v>-3286.301855570382</v>
      </c>
      <c r="J118" s="1">
        <f>'[1]links-p1'!P118</f>
        <v>-1186.2939443506159</v>
      </c>
      <c r="K118" s="1">
        <f>'[1]links-p1'!Q118</f>
        <v>0</v>
      </c>
      <c r="L118" s="1">
        <f>'[1]links-p1'!R118</f>
        <v>0</v>
      </c>
      <c r="M118" s="1">
        <f>'[1]links-p1'!S118</f>
        <v>0</v>
      </c>
      <c r="N118" s="1">
        <f>'[1]links-p1'!T118</f>
        <v>-5000</v>
      </c>
      <c r="O118" s="1">
        <f>'[1]links-p1'!U118</f>
        <v>0</v>
      </c>
      <c r="P118" s="1">
        <f>'[1]links-p1'!V118</f>
        <v>-1361.889479510002</v>
      </c>
      <c r="R118" s="1">
        <f>'[1]links-p1'!W118</f>
        <v>-1553.672292</v>
      </c>
      <c r="S118" s="1">
        <f>'[1]links-p1'!X118</f>
        <v>-2753.5637241100021</v>
      </c>
      <c r="T118" s="1">
        <f>'[1]links-p1'!Y118</f>
        <v>0</v>
      </c>
      <c r="U118" s="1">
        <f>'[1]links-p1'!Z118</f>
        <v>-1517.7757899999999</v>
      </c>
    </row>
    <row r="119" spans="8:21">
      <c r="H119" s="1">
        <f t="shared" si="3"/>
        <v>117</v>
      </c>
      <c r="I119" s="1">
        <f>'[1]links-p1'!O119</f>
        <v>-2873.483704321347</v>
      </c>
      <c r="J119" s="1">
        <f>'[1]links-p1'!P119</f>
        <v>-1113.8592367959</v>
      </c>
      <c r="K119" s="1">
        <f>'[1]links-p1'!Q119</f>
        <v>0</v>
      </c>
      <c r="L119" s="1">
        <f>'[1]links-p1'!R119</f>
        <v>0</v>
      </c>
      <c r="M119" s="1">
        <f>'[1]links-p1'!S119</f>
        <v>0</v>
      </c>
      <c r="N119" s="1">
        <f>'[1]links-p1'!T119</f>
        <v>-5000</v>
      </c>
      <c r="O119" s="1">
        <f>'[1]links-p1'!U119</f>
        <v>0</v>
      </c>
      <c r="P119" s="1">
        <f>'[1]links-p1'!V119</f>
        <v>-1353.151723170002</v>
      </c>
      <c r="R119" s="1">
        <f>'[1]links-p1'!W119</f>
        <v>-1553.672292</v>
      </c>
      <c r="S119" s="1">
        <f>'[1]links-p1'!X119</f>
        <v>-2745.2858496900021</v>
      </c>
      <c r="T119" s="1">
        <f>'[1]links-p1'!Y119</f>
        <v>0</v>
      </c>
      <c r="U119" s="1">
        <f>'[1]links-p1'!Z119</f>
        <v>-1517.7757899999999</v>
      </c>
    </row>
    <row r="120" spans="8:21">
      <c r="H120" s="1">
        <f t="shared" si="3"/>
        <v>118</v>
      </c>
      <c r="I120" s="1">
        <f>'[1]links-p1'!O120</f>
        <v>-3053.8956089089138</v>
      </c>
      <c r="J120" s="1">
        <f>'[1]links-p1'!P120</f>
        <v>-1067.8532134962829</v>
      </c>
      <c r="K120" s="1">
        <f>'[1]links-p1'!Q120</f>
        <v>0</v>
      </c>
      <c r="L120" s="1">
        <f>'[1]links-p1'!R120</f>
        <v>0</v>
      </c>
      <c r="M120" s="1">
        <f>'[1]links-p1'!S120</f>
        <v>0</v>
      </c>
      <c r="N120" s="1">
        <f>'[1]links-p1'!T120</f>
        <v>-5000</v>
      </c>
      <c r="O120" s="1">
        <f>'[1]links-p1'!U120</f>
        <v>0</v>
      </c>
      <c r="P120" s="1">
        <f>'[1]links-p1'!V120</f>
        <v>-1344.4139668299999</v>
      </c>
      <c r="R120" s="1">
        <f>'[1]links-p1'!W120</f>
        <v>-1553.672292</v>
      </c>
      <c r="S120" s="1">
        <f>'[1]links-p1'!X120</f>
        <v>-2737.00797526</v>
      </c>
      <c r="T120" s="1">
        <f>'[1]links-p1'!Y120</f>
        <v>0</v>
      </c>
      <c r="U120" s="1">
        <f>'[1]links-p1'!Z120</f>
        <v>-1517.7757899999999</v>
      </c>
    </row>
    <row r="121" spans="8:21">
      <c r="H121" s="1">
        <f t="shared" si="3"/>
        <v>119</v>
      </c>
      <c r="I121" s="1">
        <f>'[1]links-p1'!O121</f>
        <v>-2510.9131099907258</v>
      </c>
      <c r="J121" s="1">
        <f>'[1]links-p1'!P121</f>
        <v>-1058.076306833814</v>
      </c>
      <c r="K121" s="1">
        <f>'[1]links-p1'!Q121</f>
        <v>0</v>
      </c>
      <c r="L121" s="1">
        <f>'[1]links-p1'!R121</f>
        <v>0</v>
      </c>
      <c r="M121" s="1">
        <f>'[1]links-p1'!S121</f>
        <v>0</v>
      </c>
      <c r="N121" s="1">
        <f>'[1]links-p1'!T121</f>
        <v>-5000</v>
      </c>
      <c r="O121" s="1">
        <f>'[1]links-p1'!U121</f>
        <v>0</v>
      </c>
      <c r="P121" s="1">
        <f>'[1]links-p1'!V121</f>
        <v>-1344.4139668299999</v>
      </c>
      <c r="R121" s="1">
        <f>'[1]links-p1'!W121</f>
        <v>-1553.672292</v>
      </c>
      <c r="S121" s="1">
        <f>'[1]links-p1'!X121</f>
        <v>-2737.00797526</v>
      </c>
      <c r="T121" s="1">
        <f>'[1]links-p1'!Y121</f>
        <v>0</v>
      </c>
      <c r="U121" s="1">
        <f>'[1]links-p1'!Z121</f>
        <v>-1517.7757899999999</v>
      </c>
    </row>
    <row r="122" spans="8:21">
      <c r="H122" s="1">
        <f t="shared" si="3"/>
        <v>120</v>
      </c>
      <c r="I122" s="1">
        <f>'[1]links-p1'!O122</f>
        <v>-1495.3343898442549</v>
      </c>
      <c r="J122" s="1">
        <f>'[1]links-p1'!P122</f>
        <v>-1429.9287930004341</v>
      </c>
      <c r="K122" s="1">
        <f>'[1]links-p1'!Q122</f>
        <v>0</v>
      </c>
      <c r="L122" s="1">
        <f>'[1]links-p1'!R122</f>
        <v>0</v>
      </c>
      <c r="M122" s="1">
        <f>'[1]links-p1'!S122</f>
        <v>0</v>
      </c>
      <c r="N122" s="1">
        <f>'[1]links-p1'!T122</f>
        <v>-1464.05209013524</v>
      </c>
      <c r="O122" s="1">
        <f>'[1]links-p1'!U122</f>
        <v>0</v>
      </c>
      <c r="P122" s="1">
        <f>'[1]links-p1'!V122</f>
        <v>-1342.8253798600001</v>
      </c>
      <c r="R122" s="1">
        <f>'[1]links-p1'!W122</f>
        <v>-1553.672292</v>
      </c>
      <c r="S122" s="1">
        <f>'[1]links-p1'!X122</f>
        <v>-2735.5029981299999</v>
      </c>
      <c r="T122" s="1">
        <f>'[1]links-p1'!Y122</f>
        <v>0</v>
      </c>
      <c r="U122" s="1">
        <f>'[1]links-p1'!Z122</f>
        <v>-1517.7757899999999</v>
      </c>
    </row>
    <row r="123" spans="8:21">
      <c r="H123" s="1">
        <f t="shared" si="3"/>
        <v>121</v>
      </c>
      <c r="I123" s="1">
        <f>'[1]links-p1'!O123</f>
        <v>-968.99528750846673</v>
      </c>
      <c r="J123" s="1">
        <f>'[1]links-p1'!P123</f>
        <v>-1408.699514875965</v>
      </c>
      <c r="K123" s="1">
        <f>'[1]links-p1'!Q123</f>
        <v>0</v>
      </c>
      <c r="L123" s="1">
        <f>'[1]links-p1'!R123</f>
        <v>0</v>
      </c>
      <c r="M123" s="1">
        <f>'[1]links-p1'!S123</f>
        <v>0</v>
      </c>
      <c r="N123" s="1">
        <f>'[1]links-p1'!T123</f>
        <v>0</v>
      </c>
      <c r="O123" s="1">
        <f>'[1]links-p1'!U123</f>
        <v>0</v>
      </c>
      <c r="P123" s="1">
        <f>'[1]links-p1'!V123</f>
        <v>-2266.0465466354208</v>
      </c>
      <c r="R123" s="1">
        <f>'[1]links-p1'!W123</f>
        <v>-630.45112522457976</v>
      </c>
      <c r="S123" s="1">
        <f>'[1]links-p1'!X123</f>
        <v>-2735.5029981299999</v>
      </c>
      <c r="T123" s="1">
        <f>'[1]links-p1'!Y123</f>
        <v>0</v>
      </c>
      <c r="U123" s="1">
        <f>'[1]links-p1'!Z123</f>
        <v>-1517.7757899999999</v>
      </c>
    </row>
    <row r="124" spans="8:21">
      <c r="H124" s="1">
        <f t="shared" si="3"/>
        <v>122</v>
      </c>
      <c r="I124" s="1">
        <f>'[1]links-p1'!O124</f>
        <v>-127.9106882386014</v>
      </c>
      <c r="J124" s="1">
        <f>'[1]links-p1'!P124</f>
        <v>-1347.9089149831909</v>
      </c>
      <c r="K124" s="1">
        <f>'[1]links-p1'!Q124</f>
        <v>0</v>
      </c>
      <c r="L124" s="1">
        <f>'[1]links-p1'!R124</f>
        <v>0</v>
      </c>
      <c r="M124" s="1">
        <f>'[1]links-p1'!S124</f>
        <v>0</v>
      </c>
      <c r="N124" s="1">
        <f>'[1]links-p1'!T124</f>
        <v>0</v>
      </c>
      <c r="O124" s="1">
        <f>'[1]links-p1'!U124</f>
        <v>0</v>
      </c>
      <c r="P124" s="1">
        <f>'[1]links-p1'!V124</f>
        <v>-2896.497671860001</v>
      </c>
      <c r="R124" s="1">
        <f>'[1]links-p1'!W124</f>
        <v>0</v>
      </c>
      <c r="S124" s="1">
        <f>'[1]links-p1'!X124</f>
        <v>-2735.5029981299999</v>
      </c>
      <c r="T124" s="1">
        <f>'[1]links-p1'!Y124</f>
        <v>0</v>
      </c>
      <c r="U124" s="1">
        <f>'[1]links-p1'!Z124</f>
        <v>-1517.7757899999999</v>
      </c>
    </row>
    <row r="125" spans="8:21">
      <c r="H125" s="1">
        <f t="shared" si="3"/>
        <v>123</v>
      </c>
      <c r="I125" s="1">
        <f>'[1]links-p1'!O125</f>
        <v>0</v>
      </c>
      <c r="J125" s="1">
        <f>'[1]links-p1'!P125</f>
        <v>-1274.282494397444</v>
      </c>
      <c r="K125" s="1">
        <f>'[1]links-p1'!Q125</f>
        <v>0</v>
      </c>
      <c r="L125" s="1">
        <f>'[1]links-p1'!R125</f>
        <v>0</v>
      </c>
      <c r="M125" s="1">
        <f>'[1]links-p1'!S125</f>
        <v>0</v>
      </c>
      <c r="N125" s="1">
        <f>'[1]links-p1'!T125</f>
        <v>0</v>
      </c>
      <c r="O125" s="1">
        <f>'[1]links-p1'!U125</f>
        <v>0</v>
      </c>
      <c r="P125" s="1">
        <f>'[1]links-p1'!V125</f>
        <v>-2896.497671860001</v>
      </c>
      <c r="R125" s="1">
        <f>'[1]links-p1'!W125</f>
        <v>0</v>
      </c>
      <c r="S125" s="1">
        <f>'[1]links-p1'!X125</f>
        <v>-2735.5029981299999</v>
      </c>
      <c r="T125" s="1">
        <f>'[1]links-p1'!Y125</f>
        <v>0</v>
      </c>
      <c r="U125" s="1">
        <f>'[1]links-p1'!Z125</f>
        <v>-1517.7757899999999</v>
      </c>
    </row>
    <row r="126" spans="8:21">
      <c r="H126" s="1">
        <f t="shared" si="3"/>
        <v>124</v>
      </c>
      <c r="I126" s="1">
        <f>'[1]links-p1'!O126</f>
        <v>0</v>
      </c>
      <c r="J126" s="1">
        <f>'[1]links-p1'!P126</f>
        <v>-1173.6050259113811</v>
      </c>
      <c r="K126" s="1">
        <f>'[1]links-p1'!Q126</f>
        <v>0</v>
      </c>
      <c r="L126" s="1">
        <f>'[1]links-p1'!R126</f>
        <v>0</v>
      </c>
      <c r="M126" s="1">
        <f>'[1]links-p1'!S126</f>
        <v>0</v>
      </c>
      <c r="N126" s="1">
        <f>'[1]links-p1'!T126</f>
        <v>0</v>
      </c>
      <c r="O126" s="1">
        <f>'[1]links-p1'!U126</f>
        <v>0</v>
      </c>
      <c r="P126" s="1">
        <f>'[1]links-p1'!V126</f>
        <v>-2914.1246162699999</v>
      </c>
      <c r="R126" s="1">
        <f>'[1]links-p1'!W126</f>
        <v>0</v>
      </c>
      <c r="S126" s="1">
        <f>'[1]links-p1'!X126</f>
        <v>-2752.20220862</v>
      </c>
      <c r="T126" s="1">
        <f>'[1]links-p1'!Y126</f>
        <v>0</v>
      </c>
      <c r="U126" s="1">
        <f>'[1]links-p1'!Z126</f>
        <v>-1517.7757899999999</v>
      </c>
    </row>
    <row r="127" spans="8:21">
      <c r="H127" s="1">
        <f t="shared" si="3"/>
        <v>125</v>
      </c>
      <c r="I127" s="1">
        <f>'[1]links-p1'!O127</f>
        <v>0</v>
      </c>
      <c r="J127" s="1">
        <f>'[1]links-p1'!P127</f>
        <v>-1091.988188439009</v>
      </c>
      <c r="K127" s="1">
        <f>'[1]links-p1'!Q127</f>
        <v>0</v>
      </c>
      <c r="L127" s="1">
        <f>'[1]links-p1'!R127</f>
        <v>0</v>
      </c>
      <c r="M127" s="1">
        <f>'[1]links-p1'!S127</f>
        <v>0</v>
      </c>
      <c r="N127" s="1">
        <f>'[1]links-p1'!T127</f>
        <v>0</v>
      </c>
      <c r="O127" s="1">
        <f>'[1]links-p1'!U127</f>
        <v>0</v>
      </c>
      <c r="P127" s="1">
        <f>'[1]links-p1'!V127</f>
        <v>-1378.079268680001</v>
      </c>
      <c r="R127" s="1">
        <f>'[1]links-p1'!W127</f>
        <v>-1553.672292</v>
      </c>
      <c r="S127" s="1">
        <f>'[1]links-p1'!X127</f>
        <v>-2768.9014191200008</v>
      </c>
      <c r="T127" s="1">
        <f>'[1]links-p1'!Y127</f>
        <v>0</v>
      </c>
      <c r="U127" s="1">
        <f>'[1]links-p1'!Z127</f>
        <v>-1517.7757899999999</v>
      </c>
    </row>
    <row r="128" spans="8:21">
      <c r="H128" s="1">
        <f t="shared" si="3"/>
        <v>126</v>
      </c>
      <c r="I128" s="1">
        <f>'[1]links-p1'!O128</f>
        <v>0</v>
      </c>
      <c r="J128" s="1">
        <f>'[1]links-p1'!P128</f>
        <v>-1048.882552142494</v>
      </c>
      <c r="K128" s="1">
        <f>'[1]links-p1'!Q128</f>
        <v>0</v>
      </c>
      <c r="L128" s="1">
        <f>'[1]links-p1'!R128</f>
        <v>0</v>
      </c>
      <c r="M128" s="1">
        <f>'[1]links-p1'!S128</f>
        <v>0</v>
      </c>
      <c r="N128" s="1">
        <f>'[1]links-p1'!T128</f>
        <v>0</v>
      </c>
      <c r="O128" s="1">
        <f>'[1]links-p1'!U128</f>
        <v>0</v>
      </c>
      <c r="P128" s="1">
        <f>'[1]links-p1'!V128</f>
        <v>-1386.8927408900011</v>
      </c>
      <c r="R128" s="1">
        <f>'[1]links-p1'!W128</f>
        <v>-1553.672292</v>
      </c>
      <c r="S128" s="1">
        <f>'[1]links-p1'!X128</f>
        <v>-2777.2510243700008</v>
      </c>
      <c r="T128" s="1">
        <f>'[1]links-p1'!Y128</f>
        <v>0</v>
      </c>
      <c r="U128" s="1">
        <f>'[1]links-p1'!Z128</f>
        <v>-1517.7757899999999</v>
      </c>
    </row>
    <row r="129" spans="8:21">
      <c r="H129" s="1">
        <f t="shared" si="3"/>
        <v>127</v>
      </c>
      <c r="I129" s="1">
        <f>'[1]links-p1'!O129</f>
        <v>0</v>
      </c>
      <c r="J129" s="1">
        <f>'[1]links-p1'!P129</f>
        <v>-1071.107910718659</v>
      </c>
      <c r="K129" s="1">
        <f>'[1]links-p1'!Q129</f>
        <v>0</v>
      </c>
      <c r="L129" s="1">
        <f>'[1]links-p1'!R129</f>
        <v>0</v>
      </c>
      <c r="M129" s="1">
        <f>'[1]links-p1'!S129</f>
        <v>0</v>
      </c>
      <c r="N129" s="1">
        <f>'[1]links-p1'!T129</f>
        <v>0</v>
      </c>
      <c r="O129" s="1">
        <f>'[1]links-p1'!U129</f>
        <v>0</v>
      </c>
      <c r="P129" s="1">
        <f>'[1]links-p1'!V129</f>
        <v>-2378.236185765003</v>
      </c>
      <c r="R129" s="1">
        <f>'[1]links-p1'!W129</f>
        <v>-553.51537491499812</v>
      </c>
      <c r="S129" s="1">
        <f>'[1]links-p1'!X129</f>
        <v>-2768.9014191200008</v>
      </c>
      <c r="T129" s="1">
        <f>'[1]links-p1'!Y129</f>
        <v>0</v>
      </c>
      <c r="U129" s="1">
        <f>'[1]links-p1'!Z129</f>
        <v>-1517.7757899999999</v>
      </c>
    </row>
    <row r="130" spans="8:21">
      <c r="H130" s="1">
        <f t="shared" si="3"/>
        <v>128</v>
      </c>
      <c r="I130" s="1">
        <f>'[1]links-p1'!O130</f>
        <v>0</v>
      </c>
      <c r="J130" s="1">
        <f>'[1]links-p1'!P130</f>
        <v>-1216.3650636713719</v>
      </c>
      <c r="K130" s="1">
        <f>'[1]links-p1'!Q130</f>
        <v>0</v>
      </c>
      <c r="L130" s="1">
        <f>'[1]links-p1'!R130</f>
        <v>0</v>
      </c>
      <c r="M130" s="1">
        <f>'[1]links-p1'!S130</f>
        <v>0</v>
      </c>
      <c r="N130" s="1">
        <f>'[1]links-p1'!T130</f>
        <v>-1965.960431453741</v>
      </c>
      <c r="O130" s="1">
        <f>'[1]links-p1'!U130</f>
        <v>0</v>
      </c>
      <c r="P130" s="1">
        <f>'[1]links-p1'!V130</f>
        <v>-1378.079268680001</v>
      </c>
      <c r="R130" s="1">
        <f>'[1]links-p1'!W130</f>
        <v>-1553.672292</v>
      </c>
      <c r="S130" s="1">
        <f>'[1]links-p1'!X130</f>
        <v>-2768.9014191200008</v>
      </c>
      <c r="T130" s="1">
        <f>'[1]links-p1'!Y130</f>
        <v>0</v>
      </c>
      <c r="U130" s="1">
        <f>'[1]links-p1'!Z130</f>
        <v>-1517.7757899999999</v>
      </c>
    </row>
    <row r="131" spans="8:21">
      <c r="H131" s="1">
        <f t="shared" si="3"/>
        <v>129</v>
      </c>
      <c r="I131" s="1">
        <f>'[1]links-p1'!O131</f>
        <v>0</v>
      </c>
      <c r="J131" s="1">
        <f>'[1]links-p1'!P131</f>
        <v>-980.21007576518559</v>
      </c>
      <c r="K131" s="1">
        <f>'[1]links-p1'!Q131</f>
        <v>0</v>
      </c>
      <c r="L131" s="1">
        <f>'[1]links-p1'!R131</f>
        <v>0</v>
      </c>
      <c r="M131" s="1">
        <f>'[1]links-p1'!S131</f>
        <v>0</v>
      </c>
      <c r="N131" s="1">
        <f>'[1]links-p1'!T131</f>
        <v>0</v>
      </c>
      <c r="O131" s="1">
        <f>'[1]links-p1'!U131</f>
        <v>0</v>
      </c>
      <c r="P131" s="1">
        <f>'[1]links-p1'!V131</f>
        <v>-1378.079268680001</v>
      </c>
      <c r="R131" s="1">
        <f>'[1]links-p1'!W131</f>
        <v>-1553.672292</v>
      </c>
      <c r="S131" s="1">
        <f>'[1]links-p1'!X131</f>
        <v>-2768.9014191200008</v>
      </c>
      <c r="T131" s="1">
        <f>'[1]links-p1'!Y131</f>
        <v>0</v>
      </c>
      <c r="U131" s="1">
        <f>'[1]links-p1'!Z131</f>
        <v>-1517.7757899999999</v>
      </c>
    </row>
    <row r="132" spans="8:21">
      <c r="H132" s="1">
        <f t="shared" ref="H132:H169" si="4">1+H131</f>
        <v>130</v>
      </c>
      <c r="I132" s="1">
        <f>'[1]links-p1'!O132</f>
        <v>0</v>
      </c>
      <c r="J132" s="1">
        <f>'[1]links-p1'!P132</f>
        <v>-52.380389045829823</v>
      </c>
      <c r="K132" s="1">
        <f>'[1]links-p1'!Q132</f>
        <v>0</v>
      </c>
      <c r="L132" s="1">
        <f>'[1]links-p1'!R132</f>
        <v>0</v>
      </c>
      <c r="M132" s="1">
        <f>'[1]links-p1'!S132</f>
        <v>0</v>
      </c>
      <c r="N132" s="1">
        <f>'[1]links-p1'!T132</f>
        <v>0</v>
      </c>
      <c r="O132" s="1">
        <f>'[1]links-p1'!U132</f>
        <v>0</v>
      </c>
      <c r="P132" s="1">
        <f>'[1]links-p1'!V132</f>
        <v>-2931.7515606800011</v>
      </c>
      <c r="R132" s="1">
        <f>'[1]links-p1'!W132</f>
        <v>0</v>
      </c>
      <c r="S132" s="1">
        <f>'[1]links-p1'!X132</f>
        <v>-2768.9014191200008</v>
      </c>
      <c r="T132" s="1">
        <f>'[1]links-p1'!Y132</f>
        <v>0</v>
      </c>
      <c r="U132" s="1">
        <f>'[1]links-p1'!Z132</f>
        <v>-1517.7757899999999</v>
      </c>
    </row>
    <row r="133" spans="8:21">
      <c r="H133" s="1">
        <f t="shared" si="4"/>
        <v>131</v>
      </c>
      <c r="I133" s="1">
        <f>'[1]links-p1'!O133</f>
        <v>0</v>
      </c>
      <c r="J133" s="1">
        <f>'[1]links-p1'!P133</f>
        <v>0</v>
      </c>
      <c r="K133" s="1">
        <f>'[1]links-p1'!Q133</f>
        <v>0</v>
      </c>
      <c r="L133" s="1">
        <f>'[1]links-p1'!R133</f>
        <v>0</v>
      </c>
      <c r="M133" s="1">
        <f>'[1]links-p1'!S133</f>
        <v>0</v>
      </c>
      <c r="N133" s="1">
        <f>'[1]links-p1'!T133</f>
        <v>0</v>
      </c>
      <c r="O133" s="1">
        <f>'[1]links-p1'!U133</f>
        <v>0</v>
      </c>
      <c r="P133" s="1">
        <f>'[1]links-p1'!V133</f>
        <v>-2940.565032890001</v>
      </c>
      <c r="R133" s="1">
        <f>'[1]links-p1'!W133</f>
        <v>0</v>
      </c>
      <c r="S133" s="1">
        <f>'[1]links-p1'!X133</f>
        <v>-2777.2510243700008</v>
      </c>
      <c r="T133" s="1">
        <f>'[1]links-p1'!Y133</f>
        <v>0</v>
      </c>
      <c r="U133" s="1">
        <f>'[1]links-p1'!Z133</f>
        <v>-1517.7757899999999</v>
      </c>
    </row>
    <row r="134" spans="8:21">
      <c r="H134" s="1">
        <f t="shared" si="4"/>
        <v>132</v>
      </c>
      <c r="I134" s="1">
        <f>'[1]links-p1'!O134</f>
        <v>0</v>
      </c>
      <c r="J134" s="1">
        <f>'[1]links-p1'!P134</f>
        <v>0</v>
      </c>
      <c r="K134" s="1">
        <f>'[1]links-p1'!Q134</f>
        <v>0</v>
      </c>
      <c r="L134" s="1">
        <f>'[1]links-p1'!R134</f>
        <v>0</v>
      </c>
      <c r="M134" s="1">
        <f>'[1]links-p1'!S134</f>
        <v>0</v>
      </c>
      <c r="N134" s="1">
        <f>'[1]links-p1'!T134</f>
        <v>0</v>
      </c>
      <c r="O134" s="1">
        <f>'[1]links-p1'!U134</f>
        <v>0</v>
      </c>
      <c r="P134" s="1">
        <f>'[1]links-p1'!V134</f>
        <v>-2931.7515606800011</v>
      </c>
      <c r="R134" s="1">
        <f>'[1]links-p1'!W134</f>
        <v>0</v>
      </c>
      <c r="S134" s="1">
        <f>'[1]links-p1'!X134</f>
        <v>-2768.9014191200008</v>
      </c>
      <c r="T134" s="1">
        <f>'[1]links-p1'!Y134</f>
        <v>0</v>
      </c>
      <c r="U134" s="1">
        <f>'[1]links-p1'!Z134</f>
        <v>-1517.7757899999999</v>
      </c>
    </row>
    <row r="135" spans="8:21">
      <c r="H135" s="1">
        <f t="shared" si="4"/>
        <v>133</v>
      </c>
      <c r="I135" s="1">
        <f>'[1]links-p1'!O135</f>
        <v>0</v>
      </c>
      <c r="J135" s="1">
        <f>'[1]links-p1'!P135</f>
        <v>0</v>
      </c>
      <c r="K135" s="1">
        <f>'[1]links-p1'!Q135</f>
        <v>0</v>
      </c>
      <c r="L135" s="1">
        <f>'[1]links-p1'!R135</f>
        <v>0</v>
      </c>
      <c r="M135" s="1">
        <f>'[1]links-p1'!S135</f>
        <v>0</v>
      </c>
      <c r="N135" s="1">
        <f>'[1]links-p1'!T135</f>
        <v>0</v>
      </c>
      <c r="O135" s="1">
        <f>'[1]links-p1'!U135</f>
        <v>0</v>
      </c>
      <c r="P135" s="1">
        <f>'[1]links-p1'!V135</f>
        <v>-2931.7515606800011</v>
      </c>
      <c r="R135" s="1">
        <f>'[1]links-p1'!W135</f>
        <v>0</v>
      </c>
      <c r="S135" s="1">
        <f>'[1]links-p1'!X135</f>
        <v>-2768.9014191200008</v>
      </c>
      <c r="T135" s="1">
        <f>'[1]links-p1'!Y135</f>
        <v>0</v>
      </c>
      <c r="U135" s="1">
        <f>'[1]links-p1'!Z135</f>
        <v>-1517.7757899999999</v>
      </c>
    </row>
    <row r="136" spans="8:21">
      <c r="H136" s="1">
        <f t="shared" si="4"/>
        <v>134</v>
      </c>
      <c r="I136" s="1">
        <f>'[1]links-p1'!O136</f>
        <v>0</v>
      </c>
      <c r="J136" s="1">
        <f>'[1]links-p1'!P136</f>
        <v>0</v>
      </c>
      <c r="K136" s="1">
        <f>'[1]links-p1'!Q136</f>
        <v>0</v>
      </c>
      <c r="L136" s="1">
        <f>'[1]links-p1'!R136</f>
        <v>0</v>
      </c>
      <c r="M136" s="1">
        <f>'[1]links-p1'!S136</f>
        <v>0</v>
      </c>
      <c r="N136" s="1">
        <f>'[1]links-p1'!T136</f>
        <v>0</v>
      </c>
      <c r="O136" s="1">
        <f>'[1]links-p1'!U136</f>
        <v>0</v>
      </c>
      <c r="P136" s="1">
        <f>'[1]links-p1'!V136</f>
        <v>-2940.565032890001</v>
      </c>
      <c r="R136" s="1">
        <f>'[1]links-p1'!W136</f>
        <v>0</v>
      </c>
      <c r="S136" s="1">
        <f>'[1]links-p1'!X136</f>
        <v>-2777.2510243700008</v>
      </c>
      <c r="T136" s="1">
        <f>'[1]links-p1'!Y136</f>
        <v>0</v>
      </c>
      <c r="U136" s="1">
        <f>'[1]links-p1'!Z136</f>
        <v>-1517.7757899999999</v>
      </c>
    </row>
    <row r="137" spans="8:21">
      <c r="H137" s="1">
        <f t="shared" si="4"/>
        <v>135</v>
      </c>
      <c r="I137" s="1">
        <f>'[1]links-p1'!O137</f>
        <v>0</v>
      </c>
      <c r="J137" s="1">
        <f>'[1]links-p1'!P137</f>
        <v>0</v>
      </c>
      <c r="K137" s="1">
        <f>'[1]links-p1'!Q137</f>
        <v>0</v>
      </c>
      <c r="L137" s="1">
        <f>'[1]links-p1'!R137</f>
        <v>0</v>
      </c>
      <c r="M137" s="1">
        <f>'[1]links-p1'!S137</f>
        <v>0</v>
      </c>
      <c r="N137" s="1">
        <f>'[1]links-p1'!T137</f>
        <v>0</v>
      </c>
      <c r="O137" s="1">
        <f>'[1]links-p1'!U137</f>
        <v>0</v>
      </c>
      <c r="P137" s="1">
        <f>'[1]links-p1'!V137</f>
        <v>-2931.7515606800011</v>
      </c>
      <c r="R137" s="1">
        <f>'[1]links-p1'!W137</f>
        <v>0</v>
      </c>
      <c r="S137" s="1">
        <f>'[1]links-p1'!X137</f>
        <v>-2768.9014191200008</v>
      </c>
      <c r="T137" s="1">
        <f>'[1]links-p1'!Y137</f>
        <v>0</v>
      </c>
      <c r="U137" s="1">
        <f>'[1]links-p1'!Z137</f>
        <v>-1517.7757899999999</v>
      </c>
    </row>
    <row r="138" spans="8:21">
      <c r="H138" s="1">
        <f t="shared" si="4"/>
        <v>136</v>
      </c>
      <c r="I138" s="1">
        <f>'[1]links-p1'!O138</f>
        <v>0</v>
      </c>
      <c r="J138" s="1">
        <f>'[1]links-p1'!P138</f>
        <v>-190.55267810506601</v>
      </c>
      <c r="K138" s="1">
        <f>'[1]links-p1'!Q138</f>
        <v>0</v>
      </c>
      <c r="L138" s="1">
        <f>'[1]links-p1'!R138</f>
        <v>0</v>
      </c>
      <c r="M138" s="1">
        <f>'[1]links-p1'!S138</f>
        <v>0</v>
      </c>
      <c r="N138" s="1">
        <f>'[1]links-p1'!T138</f>
        <v>0</v>
      </c>
      <c r="O138" s="1">
        <f>'[1]links-p1'!U138</f>
        <v>0</v>
      </c>
      <c r="P138" s="1">
        <f>'[1]links-p1'!V138</f>
        <v>-2931.7515606800011</v>
      </c>
      <c r="R138" s="1">
        <f>'[1]links-p1'!W138</f>
        <v>0</v>
      </c>
      <c r="S138" s="1">
        <f>'[1]links-p1'!X138</f>
        <v>-2768.9014191200008</v>
      </c>
      <c r="T138" s="1">
        <f>'[1]links-p1'!Y138</f>
        <v>0</v>
      </c>
      <c r="U138" s="1">
        <f>'[1]links-p1'!Z138</f>
        <v>-1517.7757899999999</v>
      </c>
    </row>
    <row r="139" spans="8:21">
      <c r="H139" s="1">
        <f t="shared" si="4"/>
        <v>137</v>
      </c>
      <c r="I139" s="1">
        <f>'[1]links-p1'!O139</f>
        <v>0</v>
      </c>
      <c r="J139" s="1">
        <f>'[1]links-p1'!P139</f>
        <v>-1072.4840086353249</v>
      </c>
      <c r="K139" s="1">
        <f>'[1]links-p1'!Q139</f>
        <v>-3500</v>
      </c>
      <c r="L139" s="1">
        <f>'[1]links-p1'!R139</f>
        <v>0</v>
      </c>
      <c r="M139" s="1">
        <f>'[1]links-p1'!S139</f>
        <v>-1504.1505114000031</v>
      </c>
      <c r="N139" s="1">
        <f>'[1]links-p1'!T139</f>
        <v>0</v>
      </c>
      <c r="O139" s="1">
        <f>'[1]links-p1'!U139</f>
        <v>-162.85014156</v>
      </c>
      <c r="P139" s="1">
        <f>'[1]links-p1'!V139</f>
        <v>-2931.7515606800011</v>
      </c>
      <c r="R139" s="1">
        <f>'[1]links-p1'!W139</f>
        <v>0</v>
      </c>
      <c r="S139" s="1">
        <f>'[1]links-p1'!X139</f>
        <v>-2768.9014191200008</v>
      </c>
      <c r="T139" s="1">
        <f>'[1]links-p1'!Y139</f>
        <v>0</v>
      </c>
      <c r="U139" s="1">
        <f>'[1]links-p1'!Z139</f>
        <v>-1517.7757899999999</v>
      </c>
    </row>
    <row r="140" spans="8:21">
      <c r="H140" s="1">
        <f t="shared" si="4"/>
        <v>138</v>
      </c>
      <c r="I140" s="1">
        <f>'[1]links-p1'!O140</f>
        <v>0</v>
      </c>
      <c r="J140" s="1">
        <f>'[1]links-p1'!P140</f>
        <v>-1589.244153766527</v>
      </c>
      <c r="K140" s="1">
        <f>'[1]links-p1'!Q140</f>
        <v>0</v>
      </c>
      <c r="L140" s="1">
        <f>'[1]links-p1'!R140</f>
        <v>0</v>
      </c>
      <c r="M140" s="1">
        <f>'[1]links-p1'!S140</f>
        <v>-2161.555422525003</v>
      </c>
      <c r="N140" s="1">
        <f>'[1]links-p1'!T140</f>
        <v>0</v>
      </c>
      <c r="O140" s="1">
        <f>'[1]links-p1'!U140</f>
        <v>-163.31400851999999</v>
      </c>
      <c r="P140" s="1">
        <f>'[1]links-p1'!V140</f>
        <v>-2940.565032890001</v>
      </c>
      <c r="R140" s="1">
        <f>'[1]links-p1'!W140</f>
        <v>0</v>
      </c>
      <c r="S140" s="1">
        <f>'[1]links-p1'!X140</f>
        <v>-2777.2510243700008</v>
      </c>
      <c r="T140" s="1">
        <f>'[1]links-p1'!Y140</f>
        <v>0</v>
      </c>
      <c r="U140" s="1">
        <f>'[1]links-p1'!Z140</f>
        <v>-1517.7757899999999</v>
      </c>
    </row>
    <row r="141" spans="8:21">
      <c r="H141" s="1">
        <f t="shared" si="4"/>
        <v>139</v>
      </c>
      <c r="I141" s="1">
        <f>'[1]links-p1'!O141</f>
        <v>0</v>
      </c>
      <c r="J141" s="1">
        <f>'[1]links-p1'!P141</f>
        <v>-1625.3922898820999</v>
      </c>
      <c r="K141" s="1">
        <f>'[1]links-p1'!Q141</f>
        <v>0</v>
      </c>
      <c r="L141" s="1">
        <f>'[1]links-p1'!R141</f>
        <v>0</v>
      </c>
      <c r="M141" s="1">
        <f>'[1]links-p1'!S141</f>
        <v>0</v>
      </c>
      <c r="N141" s="1">
        <f>'[1]links-p1'!T141</f>
        <v>0</v>
      </c>
      <c r="O141" s="1">
        <f>'[1]links-p1'!U141</f>
        <v>0</v>
      </c>
      <c r="P141" s="1">
        <f>'[1]links-p1'!V141</f>
        <v>-2194.3286618950042</v>
      </c>
      <c r="R141" s="1">
        <f>'[1]links-p1'!W141</f>
        <v>-737.4228987849973</v>
      </c>
      <c r="S141" s="1">
        <f>'[1]links-p1'!X141</f>
        <v>-2768.9014191200008</v>
      </c>
      <c r="T141" s="1">
        <f>'[1]links-p1'!Y141</f>
        <v>0</v>
      </c>
      <c r="U141" s="1">
        <f>'[1]links-p1'!Z141</f>
        <v>-1517.7757899999999</v>
      </c>
    </row>
    <row r="142" spans="8:21">
      <c r="H142" s="1">
        <f t="shared" si="4"/>
        <v>140</v>
      </c>
      <c r="I142" s="1">
        <f>'[1]links-p1'!O142</f>
        <v>-2598.1047825406531</v>
      </c>
      <c r="J142" s="1">
        <f>'[1]links-p1'!P142</f>
        <v>-1633.7577394395239</v>
      </c>
      <c r="K142" s="1">
        <f>'[1]links-p1'!Q142</f>
        <v>0</v>
      </c>
      <c r="L142" s="1">
        <f>'[1]links-p1'!R142</f>
        <v>0</v>
      </c>
      <c r="M142" s="1">
        <f>'[1]links-p1'!S142</f>
        <v>0</v>
      </c>
      <c r="N142" s="1">
        <f>'[1]links-p1'!T142</f>
        <v>-5000</v>
      </c>
      <c r="O142" s="1">
        <f>'[1]links-p1'!U142</f>
        <v>0</v>
      </c>
      <c r="P142" s="1">
        <f>'[1]links-p1'!V142</f>
        <v>-1369.2657964699999</v>
      </c>
      <c r="R142" s="1">
        <f>'[1]links-p1'!W142</f>
        <v>-1553.672292</v>
      </c>
      <c r="S142" s="1">
        <f>'[1]links-p1'!X142</f>
        <v>-2760.5518138699999</v>
      </c>
      <c r="T142" s="1">
        <f>'[1]links-p1'!Y142</f>
        <v>0</v>
      </c>
      <c r="U142" s="1">
        <f>'[1]links-p1'!Z142</f>
        <v>-1517.7757899999999</v>
      </c>
    </row>
    <row r="143" spans="8:21">
      <c r="H143" s="1">
        <f t="shared" si="4"/>
        <v>141</v>
      </c>
      <c r="I143" s="1">
        <f>'[1]links-p1'!O143</f>
        <v>-3247.3767797898931</v>
      </c>
      <c r="J143" s="1">
        <f>'[1]links-p1'!P143</f>
        <v>-1641.430162560167</v>
      </c>
      <c r="K143" s="1">
        <f>'[1]links-p1'!Q143</f>
        <v>0</v>
      </c>
      <c r="L143" s="1">
        <f>'[1]links-p1'!R143</f>
        <v>0</v>
      </c>
      <c r="M143" s="1">
        <f>'[1]links-p1'!S143</f>
        <v>0</v>
      </c>
      <c r="N143" s="1">
        <f>'[1]links-p1'!T143</f>
        <v>-5000</v>
      </c>
      <c r="O143" s="1">
        <f>'[1]links-p1'!U143</f>
        <v>0</v>
      </c>
      <c r="P143" s="1">
        <f>'[1]links-p1'!V143</f>
        <v>-1360.45232427</v>
      </c>
      <c r="R143" s="1">
        <f>'[1]links-p1'!W143</f>
        <v>-1553.672292</v>
      </c>
      <c r="S143" s="1">
        <f>'[1]links-p1'!X143</f>
        <v>-2752.20220862</v>
      </c>
      <c r="T143" s="1">
        <f>'[1]links-p1'!Y143</f>
        <v>0</v>
      </c>
      <c r="U143" s="1">
        <f>'[1]links-p1'!Z143</f>
        <v>-1517.7757899999999</v>
      </c>
    </row>
    <row r="144" spans="8:21">
      <c r="H144" s="1">
        <f t="shared" si="4"/>
        <v>142</v>
      </c>
      <c r="I144" s="1">
        <f>'[1]links-p1'!O144</f>
        <v>-3433.1384724623522</v>
      </c>
      <c r="J144" s="1">
        <f>'[1]links-p1'!P144</f>
        <v>-1636.9713206534459</v>
      </c>
      <c r="K144" s="1">
        <f>'[1]links-p1'!Q144</f>
        <v>0</v>
      </c>
      <c r="L144" s="1">
        <f>'[1]links-p1'!R144</f>
        <v>0</v>
      </c>
      <c r="M144" s="1">
        <f>'[1]links-p1'!S144</f>
        <v>0</v>
      </c>
      <c r="N144" s="1">
        <f>'[1]links-p1'!T144</f>
        <v>-5000</v>
      </c>
      <c r="O144" s="1">
        <f>'[1]links-p1'!U144</f>
        <v>0</v>
      </c>
      <c r="P144" s="1">
        <f>'[1]links-p1'!V144</f>
        <v>-1342.8253798600001</v>
      </c>
      <c r="R144" s="1">
        <f>'[1]links-p1'!W144</f>
        <v>-1553.672292</v>
      </c>
      <c r="S144" s="1">
        <f>'[1]links-p1'!X144</f>
        <v>-2735.5029981299999</v>
      </c>
      <c r="T144" s="1">
        <f>'[1]links-p1'!Y144</f>
        <v>0</v>
      </c>
      <c r="U144" s="1">
        <f>'[1]links-p1'!Z144</f>
        <v>-1517.7757899999999</v>
      </c>
    </row>
    <row r="145" spans="8:21">
      <c r="H145" s="1">
        <f t="shared" si="4"/>
        <v>143</v>
      </c>
      <c r="I145" s="1">
        <f>'[1]links-p1'!O145</f>
        <v>-3058.9369751988202</v>
      </c>
      <c r="J145" s="1">
        <f>'[1]links-p1'!P145</f>
        <v>-1634.725766266238</v>
      </c>
      <c r="K145" s="1">
        <f>'[1]links-p1'!Q145</f>
        <v>0</v>
      </c>
      <c r="L145" s="1">
        <f>'[1]links-p1'!R145</f>
        <v>0</v>
      </c>
      <c r="M145" s="1">
        <f>'[1]links-p1'!S145</f>
        <v>0</v>
      </c>
      <c r="N145" s="1">
        <f>'[1]links-p1'!T145</f>
        <v>-4091.7725619328071</v>
      </c>
      <c r="O145" s="1">
        <f>'[1]links-p1'!U145</f>
        <v>0</v>
      </c>
      <c r="P145" s="1">
        <f>'[1]links-p1'!V145</f>
        <v>-1342.8253798600001</v>
      </c>
      <c r="R145" s="1">
        <f>'[1]links-p1'!W145</f>
        <v>-1553.672292</v>
      </c>
      <c r="S145" s="1">
        <f>'[1]links-p1'!X145</f>
        <v>-2735.5029981299999</v>
      </c>
      <c r="T145" s="1">
        <f>'[1]links-p1'!Y145</f>
        <v>0</v>
      </c>
      <c r="U145" s="1">
        <f>'[1]links-p1'!Z145</f>
        <v>-1517.7757899999999</v>
      </c>
    </row>
    <row r="146" spans="8:21">
      <c r="H146" s="1">
        <f t="shared" si="4"/>
        <v>144</v>
      </c>
      <c r="I146" s="1">
        <f>'[1]links-p1'!O146</f>
        <v>-2545.356198420503</v>
      </c>
      <c r="J146" s="1">
        <f>'[1]links-p1'!P146</f>
        <v>-1667.979109265608</v>
      </c>
      <c r="K146" s="1">
        <f>'[1]links-p1'!Q146</f>
        <v>0</v>
      </c>
      <c r="L146" s="1">
        <f>'[1]links-p1'!R146</f>
        <v>0</v>
      </c>
      <c r="M146" s="1">
        <f>'[1]links-p1'!S146</f>
        <v>0</v>
      </c>
      <c r="N146" s="1">
        <f>'[1]links-p1'!T146</f>
        <v>0</v>
      </c>
      <c r="O146" s="1">
        <f>'[1]links-p1'!U146</f>
        <v>0</v>
      </c>
      <c r="P146" s="1">
        <f>'[1]links-p1'!V146</f>
        <v>-1342.8066449100011</v>
      </c>
      <c r="R146" s="1">
        <f>'[1]links-p1'!W146</f>
        <v>-1553.672292</v>
      </c>
      <c r="S146" s="1">
        <f>'[1]links-p1'!X146</f>
        <v>-2735.485249230001</v>
      </c>
      <c r="T146" s="1">
        <f>'[1]links-p1'!Y146</f>
        <v>0</v>
      </c>
      <c r="U146" s="1">
        <f>'[1]links-p1'!Z146</f>
        <v>-1517.7757899999999</v>
      </c>
    </row>
    <row r="147" spans="8:21">
      <c r="H147" s="1">
        <f t="shared" si="4"/>
        <v>145</v>
      </c>
      <c r="I147" s="1">
        <f>'[1]links-p1'!O147</f>
        <v>-2150.064606762744</v>
      </c>
      <c r="J147" s="1">
        <f>'[1]links-p1'!P147</f>
        <v>-1665.712763170279</v>
      </c>
      <c r="K147" s="1">
        <f>'[1]links-p1'!Q147</f>
        <v>0</v>
      </c>
      <c r="L147" s="1">
        <f>'[1]links-p1'!R147</f>
        <v>0</v>
      </c>
      <c r="M147" s="1">
        <f>'[1]links-p1'!S147</f>
        <v>0</v>
      </c>
      <c r="N147" s="1">
        <f>'[1]links-p1'!T147</f>
        <v>0</v>
      </c>
      <c r="O147" s="1">
        <f>'[1]links-p1'!U147</f>
        <v>0</v>
      </c>
      <c r="P147" s="1">
        <f>'[1]links-p1'!V147</f>
        <v>-1342.8066449100011</v>
      </c>
      <c r="R147" s="1">
        <f>'[1]links-p1'!W147</f>
        <v>-1553.672292</v>
      </c>
      <c r="S147" s="1">
        <f>'[1]links-p1'!X147</f>
        <v>-2735.485249230001</v>
      </c>
      <c r="T147" s="1">
        <f>'[1]links-p1'!Y147</f>
        <v>0</v>
      </c>
      <c r="U147" s="1">
        <f>'[1]links-p1'!Z147</f>
        <v>-1517.7757899999999</v>
      </c>
    </row>
    <row r="148" spans="8:21">
      <c r="H148" s="1">
        <f t="shared" si="4"/>
        <v>146</v>
      </c>
      <c r="I148" s="1">
        <f>'[1]links-p1'!O148</f>
        <v>-1677.680873229137</v>
      </c>
      <c r="J148" s="1">
        <f>'[1]links-p1'!P148</f>
        <v>-1663.8709855016441</v>
      </c>
      <c r="K148" s="1">
        <f>'[1]links-p1'!Q148</f>
        <v>0</v>
      </c>
      <c r="L148" s="1">
        <f>'[1]links-p1'!R148</f>
        <v>0</v>
      </c>
      <c r="M148" s="1">
        <f>'[1]links-p1'!S148</f>
        <v>0</v>
      </c>
      <c r="N148" s="1">
        <f>'[1]links-p1'!T148</f>
        <v>0</v>
      </c>
      <c r="O148" s="1">
        <f>'[1]links-p1'!U148</f>
        <v>0</v>
      </c>
      <c r="P148" s="1">
        <f>'[1]links-p1'!V148</f>
        <v>-2896.4789369100008</v>
      </c>
      <c r="R148" s="1">
        <f>'[1]links-p1'!W148</f>
        <v>0</v>
      </c>
      <c r="S148" s="1">
        <f>'[1]links-p1'!X148</f>
        <v>-2735.485249230001</v>
      </c>
      <c r="T148" s="1">
        <f>'[1]links-p1'!Y148</f>
        <v>0</v>
      </c>
      <c r="U148" s="1">
        <f>'[1]links-p1'!Z148</f>
        <v>-1517.7757899999999</v>
      </c>
    </row>
    <row r="149" spans="8:21">
      <c r="H149" s="1">
        <f t="shared" si="4"/>
        <v>147</v>
      </c>
      <c r="I149" s="1">
        <f>'[1]links-p1'!O149</f>
        <v>-1482.5299699126899</v>
      </c>
      <c r="J149" s="1">
        <f>'[1]links-p1'!P149</f>
        <v>-1657.015698553796</v>
      </c>
      <c r="K149" s="1">
        <f>'[1]links-p1'!Q149</f>
        <v>0</v>
      </c>
      <c r="L149" s="1">
        <f>'[1]links-p1'!R149</f>
        <v>0</v>
      </c>
      <c r="M149" s="1">
        <f>'[1]links-p1'!S149</f>
        <v>0</v>
      </c>
      <c r="N149" s="1">
        <f>'[1]links-p1'!T149</f>
        <v>0</v>
      </c>
      <c r="O149" s="1">
        <f>'[1]links-p1'!U149</f>
        <v>0</v>
      </c>
      <c r="P149" s="1">
        <f>'[1]links-p1'!V149</f>
        <v>-2896.4789369100008</v>
      </c>
      <c r="R149" s="1">
        <f>'[1]links-p1'!W149</f>
        <v>0</v>
      </c>
      <c r="S149" s="1">
        <f>'[1]links-p1'!X149</f>
        <v>-2735.485249230001</v>
      </c>
      <c r="T149" s="1">
        <f>'[1]links-p1'!Y149</f>
        <v>0</v>
      </c>
      <c r="U149" s="1">
        <f>'[1]links-p1'!Z149</f>
        <v>-1517.7757899999999</v>
      </c>
    </row>
    <row r="150" spans="8:21">
      <c r="H150" s="1">
        <f t="shared" si="4"/>
        <v>148</v>
      </c>
      <c r="I150" s="1">
        <f>'[1]links-p1'!O150</f>
        <v>-1461.766876469022</v>
      </c>
      <c r="J150" s="1">
        <f>'[1]links-p1'!P150</f>
        <v>-1659.7554958414839</v>
      </c>
      <c r="K150" s="1">
        <f>'[1]links-p1'!Q150</f>
        <v>0</v>
      </c>
      <c r="L150" s="1">
        <f>'[1]links-p1'!R150</f>
        <v>0</v>
      </c>
      <c r="M150" s="1">
        <f>'[1]links-p1'!S150</f>
        <v>0</v>
      </c>
      <c r="N150" s="1">
        <f>'[1]links-p1'!T150</f>
        <v>0</v>
      </c>
      <c r="O150" s="1">
        <f>'[1]links-p1'!U150</f>
        <v>0</v>
      </c>
      <c r="P150" s="1">
        <f>'[1]links-p1'!V150</f>
        <v>-1360.4335893200009</v>
      </c>
      <c r="R150" s="1">
        <f>'[1]links-p1'!W150</f>
        <v>-1553.672292</v>
      </c>
      <c r="S150" s="1">
        <f>'[1]links-p1'!X150</f>
        <v>-2752.1844597200011</v>
      </c>
      <c r="T150" s="1">
        <f>'[1]links-p1'!Y150</f>
        <v>0</v>
      </c>
      <c r="U150" s="1">
        <f>'[1]links-p1'!Z150</f>
        <v>-1517.7757899999999</v>
      </c>
    </row>
    <row r="151" spans="8:21">
      <c r="H151" s="1">
        <f t="shared" si="4"/>
        <v>149</v>
      </c>
      <c r="I151" s="1">
        <f>'[1]links-p1'!O151</f>
        <v>-1464.354544904814</v>
      </c>
      <c r="J151" s="1">
        <f>'[1]links-p1'!P151</f>
        <v>-1655.07470796147</v>
      </c>
      <c r="K151" s="1">
        <f>'[1]links-p1'!Q151</f>
        <v>0</v>
      </c>
      <c r="L151" s="1">
        <f>'[1]links-p1'!R151</f>
        <v>0</v>
      </c>
      <c r="M151" s="1">
        <f>'[1]links-p1'!S151</f>
        <v>0</v>
      </c>
      <c r="N151" s="1">
        <f>'[1]links-p1'!T151</f>
        <v>0</v>
      </c>
      <c r="O151" s="1">
        <f>'[1]links-p1'!U151</f>
        <v>0</v>
      </c>
      <c r="P151" s="1">
        <f>'[1]links-p1'!V151</f>
        <v>-2931.732825730001</v>
      </c>
      <c r="R151" s="1">
        <f>'[1]links-p1'!W151</f>
        <v>0</v>
      </c>
      <c r="S151" s="1">
        <f>'[1]links-p1'!X151</f>
        <v>-2768.883670220001</v>
      </c>
      <c r="T151" s="1">
        <f>'[1]links-p1'!Y151</f>
        <v>0</v>
      </c>
      <c r="U151" s="1">
        <f>'[1]links-p1'!Z151</f>
        <v>-1517.7757899999999</v>
      </c>
    </row>
    <row r="152" spans="8:21">
      <c r="H152" s="1">
        <f t="shared" si="4"/>
        <v>150</v>
      </c>
      <c r="I152" s="1">
        <f>'[1]links-p1'!O152</f>
        <v>-1467.7154069404619</v>
      </c>
      <c r="J152" s="1">
        <f>'[1]links-p1'!P152</f>
        <v>-1647.121049849876</v>
      </c>
      <c r="K152" s="1">
        <f>'[1]links-p1'!Q152</f>
        <v>0</v>
      </c>
      <c r="L152" s="1">
        <f>'[1]links-p1'!R152</f>
        <v>0</v>
      </c>
      <c r="M152" s="1">
        <f>'[1]links-p1'!S152</f>
        <v>0</v>
      </c>
      <c r="N152" s="1">
        <f>'[1]links-p1'!T152</f>
        <v>0</v>
      </c>
      <c r="O152" s="1">
        <f>'[1]links-p1'!U152</f>
        <v>0</v>
      </c>
      <c r="P152" s="1">
        <f>'[1]links-p1'!V152</f>
        <v>-2940.5462979400008</v>
      </c>
      <c r="R152" s="1">
        <f>'[1]links-p1'!W152</f>
        <v>0</v>
      </c>
      <c r="S152" s="1">
        <f>'[1]links-p1'!X152</f>
        <v>-2777.233275470001</v>
      </c>
      <c r="T152" s="1">
        <f>'[1]links-p1'!Y152</f>
        <v>0</v>
      </c>
      <c r="U152" s="1">
        <f>'[1]links-p1'!Z152</f>
        <v>-1517.7757899999999</v>
      </c>
    </row>
    <row r="153" spans="8:21">
      <c r="H153" s="1">
        <f t="shared" si="4"/>
        <v>151</v>
      </c>
      <c r="I153" s="1">
        <f>'[1]links-p1'!O153</f>
        <v>-1351.814856225335</v>
      </c>
      <c r="J153" s="1">
        <f>'[1]links-p1'!P153</f>
        <v>-1636.939659409345</v>
      </c>
      <c r="K153" s="1">
        <f>'[1]links-p1'!Q153</f>
        <v>0</v>
      </c>
      <c r="L153" s="1">
        <f>'[1]links-p1'!R153</f>
        <v>0</v>
      </c>
      <c r="M153" s="1">
        <f>'[1]links-p1'!S153</f>
        <v>0</v>
      </c>
      <c r="N153" s="1">
        <f>'[1]links-p1'!T153</f>
        <v>0</v>
      </c>
      <c r="O153" s="1">
        <f>'[1]links-p1'!U153</f>
        <v>0</v>
      </c>
      <c r="P153" s="1">
        <f>'[1]links-p1'!V153</f>
        <v>-1378.060533730001</v>
      </c>
      <c r="R153" s="1">
        <f>'[1]links-p1'!W153</f>
        <v>-1553.672292</v>
      </c>
      <c r="S153" s="1">
        <f>'[1]links-p1'!X153</f>
        <v>-2768.883670220001</v>
      </c>
      <c r="T153" s="1">
        <f>'[1]links-p1'!Y153</f>
        <v>0</v>
      </c>
      <c r="U153" s="1">
        <f>'[1]links-p1'!Z153</f>
        <v>-1517.7757899999999</v>
      </c>
    </row>
    <row r="154" spans="8:21">
      <c r="H154" s="1">
        <f t="shared" si="4"/>
        <v>152</v>
      </c>
      <c r="I154" s="1">
        <f>'[1]links-p1'!O154</f>
        <v>-1296.346428256154</v>
      </c>
      <c r="J154" s="1">
        <f>'[1]links-p1'!P154</f>
        <v>-1626.4466470565719</v>
      </c>
      <c r="K154" s="1">
        <f>'[1]links-p1'!Q154</f>
        <v>0</v>
      </c>
      <c r="L154" s="1">
        <f>'[1]links-p1'!R154</f>
        <v>0</v>
      </c>
      <c r="M154" s="1">
        <f>'[1]links-p1'!S154</f>
        <v>0</v>
      </c>
      <c r="N154" s="1">
        <f>'[1]links-p1'!T154</f>
        <v>0</v>
      </c>
      <c r="O154" s="1">
        <f>'[1]links-p1'!U154</f>
        <v>0</v>
      </c>
      <c r="P154" s="1">
        <f>'[1]links-p1'!V154</f>
        <v>-1378.060533730001</v>
      </c>
      <c r="R154" s="1">
        <f>'[1]links-p1'!W154</f>
        <v>-1553.672292</v>
      </c>
      <c r="S154" s="1">
        <f>'[1]links-p1'!X154</f>
        <v>-2768.883670220001</v>
      </c>
      <c r="T154" s="1">
        <f>'[1]links-p1'!Y154</f>
        <v>0</v>
      </c>
      <c r="U154" s="1">
        <f>'[1]links-p1'!Z154</f>
        <v>-1517.7757899999999</v>
      </c>
    </row>
    <row r="155" spans="8:21">
      <c r="H155" s="1">
        <f t="shared" si="4"/>
        <v>153</v>
      </c>
      <c r="I155" s="1">
        <f>'[1]links-p1'!O155</f>
        <v>-28.688300289483522</v>
      </c>
      <c r="J155" s="1">
        <f>'[1]links-p1'!P155</f>
        <v>-1505.3980899414009</v>
      </c>
      <c r="K155" s="1">
        <f>'[1]links-p1'!Q155</f>
        <v>0</v>
      </c>
      <c r="L155" s="1">
        <f>'[1]links-p1'!R155</f>
        <v>0</v>
      </c>
      <c r="M155" s="1">
        <f>'[1]links-p1'!S155</f>
        <v>0</v>
      </c>
      <c r="N155" s="1">
        <f>'[1]links-p1'!T155</f>
        <v>0</v>
      </c>
      <c r="O155" s="1">
        <f>'[1]links-p1'!U155</f>
        <v>0</v>
      </c>
      <c r="P155" s="1">
        <f>'[1]links-p1'!V155</f>
        <v>-1378.060533730001</v>
      </c>
      <c r="R155" s="1">
        <f>'[1]links-p1'!W155</f>
        <v>-1553.672292</v>
      </c>
      <c r="S155" s="1">
        <f>'[1]links-p1'!X155</f>
        <v>-2768.883670220001</v>
      </c>
      <c r="T155" s="1">
        <f>'[1]links-p1'!Y155</f>
        <v>0</v>
      </c>
      <c r="U155" s="1">
        <f>'[1]links-p1'!Z155</f>
        <v>-1517.7757899999999</v>
      </c>
    </row>
    <row r="156" spans="8:21">
      <c r="H156" s="1">
        <f t="shared" si="4"/>
        <v>154</v>
      </c>
      <c r="I156" s="1">
        <f>'[1]links-p1'!O156</f>
        <v>0</v>
      </c>
      <c r="J156" s="1">
        <f>'[1]links-p1'!P156</f>
        <v>-1254.781818696722</v>
      </c>
      <c r="K156" s="1">
        <f>'[1]links-p1'!Q156</f>
        <v>0</v>
      </c>
      <c r="L156" s="1">
        <f>'[1]links-p1'!R156</f>
        <v>0</v>
      </c>
      <c r="M156" s="1">
        <f>'[1]links-p1'!S156</f>
        <v>0</v>
      </c>
      <c r="N156" s="1">
        <f>'[1]links-p1'!T156</f>
        <v>0</v>
      </c>
      <c r="O156" s="1">
        <f>'[1]links-p1'!U156</f>
        <v>0</v>
      </c>
      <c r="P156" s="1">
        <f>'[1]links-p1'!V156</f>
        <v>-2931.732825730001</v>
      </c>
      <c r="R156" s="1">
        <f>'[1]links-p1'!W156</f>
        <v>0</v>
      </c>
      <c r="S156" s="1">
        <f>'[1]links-p1'!X156</f>
        <v>-2768.883670220001</v>
      </c>
      <c r="T156" s="1">
        <f>'[1]links-p1'!Y156</f>
        <v>0</v>
      </c>
      <c r="U156" s="1">
        <f>'[1]links-p1'!Z156</f>
        <v>-1517.7757899999999</v>
      </c>
    </row>
    <row r="157" spans="8:21">
      <c r="H157" s="1">
        <f t="shared" si="4"/>
        <v>155</v>
      </c>
      <c r="I157" s="1">
        <f>'[1]links-p1'!O157</f>
        <v>0</v>
      </c>
      <c r="J157" s="1">
        <f>'[1]links-p1'!P157</f>
        <v>-743.87632529817984</v>
      </c>
      <c r="K157" s="1">
        <f>'[1]links-p1'!Q157</f>
        <v>0</v>
      </c>
      <c r="L157" s="1">
        <f>'[1]links-p1'!R157</f>
        <v>0</v>
      </c>
      <c r="M157" s="1">
        <f>'[1]links-p1'!S157</f>
        <v>0</v>
      </c>
      <c r="N157" s="1">
        <f>'[1]links-p1'!T157</f>
        <v>0</v>
      </c>
      <c r="O157" s="1">
        <f>'[1]links-p1'!U157</f>
        <v>0</v>
      </c>
      <c r="P157" s="1">
        <f>'[1]links-p1'!V157</f>
        <v>-2940.5462979400008</v>
      </c>
      <c r="R157" s="1">
        <f>'[1]links-p1'!W157</f>
        <v>0</v>
      </c>
      <c r="S157" s="1">
        <f>'[1]links-p1'!X157</f>
        <v>-2777.233275470001</v>
      </c>
      <c r="T157" s="1">
        <f>'[1]links-p1'!Y157</f>
        <v>0</v>
      </c>
      <c r="U157" s="1">
        <f>'[1]links-p1'!Z157</f>
        <v>-1517.7757899999999</v>
      </c>
    </row>
    <row r="158" spans="8:21">
      <c r="H158" s="1">
        <f t="shared" si="4"/>
        <v>156</v>
      </c>
      <c r="I158" s="1">
        <f>'[1]links-p1'!O158</f>
        <v>0</v>
      </c>
      <c r="J158" s="1">
        <f>'[1]links-p1'!P158</f>
        <v>-90.716761192090416</v>
      </c>
      <c r="K158" s="1">
        <f>'[1]links-p1'!Q158</f>
        <v>0</v>
      </c>
      <c r="L158" s="1">
        <f>'[1]links-p1'!R158</f>
        <v>0</v>
      </c>
      <c r="M158" s="1">
        <f>'[1]links-p1'!S158</f>
        <v>0</v>
      </c>
      <c r="N158" s="1">
        <f>'[1]links-p1'!T158</f>
        <v>0</v>
      </c>
      <c r="O158" s="1">
        <f>'[1]links-p1'!U158</f>
        <v>0</v>
      </c>
      <c r="P158" s="1">
        <f>'[1]links-p1'!V158</f>
        <v>-1699.2357160079059</v>
      </c>
      <c r="R158" s="1">
        <f>'[1]links-p1'!W158</f>
        <v>-1232.497109722095</v>
      </c>
      <c r="S158" s="1">
        <f>'[1]links-p1'!X158</f>
        <v>-2768.883670220001</v>
      </c>
      <c r="T158" s="1">
        <f>'[1]links-p1'!Y158</f>
        <v>0</v>
      </c>
      <c r="U158" s="1">
        <f>'[1]links-p1'!Z158</f>
        <v>-1517.7757899999999</v>
      </c>
    </row>
    <row r="159" spans="8:21">
      <c r="H159" s="1">
        <f t="shared" si="4"/>
        <v>157</v>
      </c>
      <c r="I159" s="1">
        <f>'[1]links-p1'!O159</f>
        <v>0</v>
      </c>
      <c r="J159" s="1">
        <f>'[1]links-p1'!P159</f>
        <v>0</v>
      </c>
      <c r="K159" s="1">
        <f>'[1]links-p1'!Q159</f>
        <v>0</v>
      </c>
      <c r="L159" s="1">
        <f>'[1]links-p1'!R159</f>
        <v>0</v>
      </c>
      <c r="M159" s="1">
        <f>'[1]links-p1'!S159</f>
        <v>0</v>
      </c>
      <c r="N159" s="1">
        <f>'[1]links-p1'!T159</f>
        <v>0</v>
      </c>
      <c r="O159" s="1">
        <f>'[1]links-p1'!U159</f>
        <v>0</v>
      </c>
      <c r="P159" s="1">
        <f>'[1]links-p1'!V159</f>
        <v>-3216.2593847622379</v>
      </c>
      <c r="R159" s="1">
        <f>'[1]links-p1'!W159</f>
        <v>0</v>
      </c>
      <c r="S159" s="1">
        <f>'[1]links-p1'!X159</f>
        <v>-2768.883670220001</v>
      </c>
      <c r="T159" s="1">
        <f>'[1]links-p1'!Y159</f>
        <v>0</v>
      </c>
      <c r="U159" s="1">
        <f>'[1]links-p1'!Z159</f>
        <v>-1517.7757899999999</v>
      </c>
    </row>
    <row r="160" spans="8:21">
      <c r="H160" s="1">
        <f t="shared" si="4"/>
        <v>158</v>
      </c>
      <c r="I160" s="1">
        <f>'[1]links-p1'!O160</f>
        <v>0</v>
      </c>
      <c r="J160" s="1">
        <f>'[1]links-p1'!P160</f>
        <v>0</v>
      </c>
      <c r="K160" s="1">
        <f>'[1]links-p1'!Q160</f>
        <v>0</v>
      </c>
      <c r="L160" s="1">
        <f>'[1]links-p1'!R160</f>
        <v>0</v>
      </c>
      <c r="M160" s="1">
        <f>'[1]links-p1'!S160</f>
        <v>0</v>
      </c>
      <c r="N160" s="1">
        <f>'[1]links-p1'!T160</f>
        <v>0</v>
      </c>
      <c r="O160" s="1">
        <f>'[1]links-p1'!U160</f>
        <v>0</v>
      </c>
      <c r="P160" s="1">
        <f>'[1]links-p1'!V160</f>
        <v>-3044.8610055300001</v>
      </c>
      <c r="R160" s="1">
        <f>'[1]links-p1'!W160</f>
        <v>-490.68529241000118</v>
      </c>
      <c r="S160" s="1">
        <f>'[1]links-p1'!X160</f>
        <v>-2777.233275470001</v>
      </c>
      <c r="T160" s="1">
        <f>'[1]links-p1'!Y160</f>
        <v>0</v>
      </c>
      <c r="U160" s="1">
        <f>'[1]links-p1'!Z160</f>
        <v>-1517.7757899999999</v>
      </c>
    </row>
    <row r="161" spans="8:21">
      <c r="H161" s="1">
        <f t="shared" si="4"/>
        <v>159</v>
      </c>
      <c r="I161" s="1">
        <f>'[1]links-p1'!O161</f>
        <v>0</v>
      </c>
      <c r="J161" s="1">
        <f>'[1]links-p1'!P161</f>
        <v>0</v>
      </c>
      <c r="K161" s="1">
        <f>'[1]links-p1'!Q161</f>
        <v>0</v>
      </c>
      <c r="L161" s="1">
        <f>'[1]links-p1'!R161</f>
        <v>0</v>
      </c>
      <c r="M161" s="1">
        <f>'[1]links-p1'!S161</f>
        <v>0</v>
      </c>
      <c r="N161" s="1">
        <f>'[1]links-p1'!T161</f>
        <v>0</v>
      </c>
      <c r="O161" s="1">
        <f>'[1]links-p1'!U161</f>
        <v>0</v>
      </c>
      <c r="P161" s="1">
        <f>'[1]links-p1'!V161</f>
        <v>-2330.5819812400009</v>
      </c>
      <c r="R161" s="1">
        <f>'[1]links-p1'!W161</f>
        <v>-1196.1508444900001</v>
      </c>
      <c r="S161" s="1">
        <f>'[1]links-p1'!X161</f>
        <v>-2768.883670220001</v>
      </c>
      <c r="T161" s="1">
        <f>'[1]links-p1'!Y161</f>
        <v>0</v>
      </c>
      <c r="U161" s="1">
        <f>'[1]links-p1'!Z161</f>
        <v>-1517.7757899999999</v>
      </c>
    </row>
    <row r="162" spans="8:21">
      <c r="H162" s="1">
        <f t="shared" si="4"/>
        <v>160</v>
      </c>
      <c r="I162" s="1">
        <f>'[1]links-p1'!O162</f>
        <v>0</v>
      </c>
      <c r="J162" s="1">
        <f>'[1]links-p1'!P162</f>
        <v>-122.0870330916275</v>
      </c>
      <c r="K162" s="1">
        <f>'[1]links-p1'!Q162</f>
        <v>0</v>
      </c>
      <c r="L162" s="1">
        <f>'[1]links-p1'!R162</f>
        <v>0</v>
      </c>
      <c r="M162" s="1">
        <f>'[1]links-p1'!S162</f>
        <v>0</v>
      </c>
      <c r="N162" s="1">
        <f>'[1]links-p1'!T162</f>
        <v>0</v>
      </c>
      <c r="O162" s="1">
        <f>'[1]links-p1'!U162</f>
        <v>0</v>
      </c>
      <c r="P162" s="1">
        <f>'[1]links-p1'!V162</f>
        <v>-3526.732825730001</v>
      </c>
      <c r="R162" s="1">
        <f>'[1]links-p1'!W162</f>
        <v>0</v>
      </c>
      <c r="S162" s="1">
        <f>'[1]links-p1'!X162</f>
        <v>-2768.883670220001</v>
      </c>
      <c r="T162" s="1">
        <f>'[1]links-p1'!Y162</f>
        <v>0</v>
      </c>
      <c r="U162" s="1">
        <f>'[1]links-p1'!Z162</f>
        <v>-1517.7757899999999</v>
      </c>
    </row>
    <row r="163" spans="8:21">
      <c r="H163" s="1">
        <f t="shared" si="4"/>
        <v>161</v>
      </c>
      <c r="I163" s="1">
        <f>'[1]links-p1'!O163</f>
        <v>0</v>
      </c>
      <c r="J163" s="1">
        <f>'[1]links-p1'!P163</f>
        <v>-821.33293376574227</v>
      </c>
      <c r="K163" s="1">
        <f>'[1]links-p1'!Q163</f>
        <v>0</v>
      </c>
      <c r="L163" s="1">
        <f>'[1]links-p1'!R163</f>
        <v>0</v>
      </c>
      <c r="M163" s="1">
        <f>'[1]links-p1'!S163</f>
        <v>0</v>
      </c>
      <c r="N163" s="1">
        <f>'[1]links-p1'!T163</f>
        <v>0</v>
      </c>
      <c r="O163" s="1">
        <f>'[1]links-p1'!U163</f>
        <v>0</v>
      </c>
      <c r="P163" s="1">
        <f>'[1]links-p1'!V163</f>
        <v>-2330.5819812400009</v>
      </c>
      <c r="R163" s="1">
        <f>'[1]links-p1'!W163</f>
        <v>-1196.1508444900001</v>
      </c>
      <c r="S163" s="1">
        <f>'[1]links-p1'!X163</f>
        <v>-2768.883670220001</v>
      </c>
      <c r="T163" s="1">
        <f>'[1]links-p1'!Y163</f>
        <v>0</v>
      </c>
      <c r="U163" s="1">
        <f>'[1]links-p1'!Z163</f>
        <v>-1517.7757899999999</v>
      </c>
    </row>
    <row r="164" spans="8:21">
      <c r="H164" s="1">
        <f t="shared" si="4"/>
        <v>162</v>
      </c>
      <c r="I164" s="1">
        <f>'[1]links-p1'!O164</f>
        <v>-2245.5112031473091</v>
      </c>
      <c r="J164" s="1">
        <f>'[1]links-p1'!P164</f>
        <v>-1484.5460386383629</v>
      </c>
      <c r="K164" s="1">
        <f>'[1]links-p1'!Q164</f>
        <v>0</v>
      </c>
      <c r="L164" s="1">
        <f>'[1]links-p1'!R164</f>
        <v>0</v>
      </c>
      <c r="M164" s="1">
        <f>'[1]links-p1'!S164</f>
        <v>0</v>
      </c>
      <c r="N164" s="1">
        <f>'[1]links-p1'!T164</f>
        <v>0</v>
      </c>
      <c r="O164" s="1">
        <f>'[1]links-p1'!U164</f>
        <v>0</v>
      </c>
      <c r="P164" s="1">
        <f>'[1]links-p1'!V164</f>
        <v>-2339.8593204100011</v>
      </c>
      <c r="R164" s="1">
        <f>'[1]links-p1'!W164</f>
        <v>-1195.6869775299999</v>
      </c>
      <c r="S164" s="1">
        <f>'[1]links-p1'!X164</f>
        <v>-2777.233275470001</v>
      </c>
      <c r="T164" s="1">
        <f>'[1]links-p1'!Y164</f>
        <v>0</v>
      </c>
      <c r="U164" s="1">
        <f>'[1]links-p1'!Z164</f>
        <v>-1517.7757899999999</v>
      </c>
    </row>
    <row r="165" spans="8:21">
      <c r="H165" s="1">
        <f t="shared" si="4"/>
        <v>163</v>
      </c>
      <c r="I165" s="1">
        <f>'[1]links-p1'!O165</f>
        <v>-2909.7410841655742</v>
      </c>
      <c r="J165" s="1">
        <f>'[1]links-p1'!P165</f>
        <v>-1521.3077621354171</v>
      </c>
      <c r="K165" s="1">
        <f>'[1]links-p1'!Q165</f>
        <v>0</v>
      </c>
      <c r="L165" s="1">
        <f>'[1]links-p1'!R165</f>
        <v>0</v>
      </c>
      <c r="M165" s="1">
        <f>'[1]links-p1'!S165</f>
        <v>0</v>
      </c>
      <c r="N165" s="1">
        <f>'[1]links-p1'!T165</f>
        <v>0</v>
      </c>
      <c r="O165" s="1">
        <f>'[1]links-p1'!U165</f>
        <v>0</v>
      </c>
      <c r="P165" s="1">
        <f>'[1]links-p1'!V165</f>
        <v>-2330.5819812400009</v>
      </c>
      <c r="R165" s="1">
        <f>'[1]links-p1'!W165</f>
        <v>-1196.1508444900001</v>
      </c>
      <c r="S165" s="1">
        <f>'[1]links-p1'!X165</f>
        <v>-2768.883670220001</v>
      </c>
      <c r="T165" s="1">
        <f>'[1]links-p1'!Y165</f>
        <v>0</v>
      </c>
      <c r="U165" s="1">
        <f>'[1]links-p1'!Z165</f>
        <v>-1517.7757899999999</v>
      </c>
    </row>
    <row r="166" spans="8:21">
      <c r="H166" s="1">
        <f t="shared" si="4"/>
        <v>164</v>
      </c>
      <c r="I166" s="1">
        <f>'[1]links-p1'!O166</f>
        <v>-2658.9827254990701</v>
      </c>
      <c r="J166" s="1">
        <f>'[1]links-p1'!P166</f>
        <v>-1507.44391437941</v>
      </c>
      <c r="K166" s="1">
        <f>'[1]links-p1'!Q166</f>
        <v>0</v>
      </c>
      <c r="L166" s="1">
        <f>'[1]links-p1'!R166</f>
        <v>0</v>
      </c>
      <c r="M166" s="1">
        <f>'[1]links-p1'!S166</f>
        <v>0</v>
      </c>
      <c r="N166" s="1">
        <f>'[1]links-p1'!T166</f>
        <v>0</v>
      </c>
      <c r="O166" s="1">
        <f>'[1]links-p1'!U166</f>
        <v>0</v>
      </c>
      <c r="P166" s="1">
        <f>'[1]links-p1'!V166</f>
        <v>-2321.304642070002</v>
      </c>
      <c r="R166" s="1">
        <f>'[1]links-p1'!W166</f>
        <v>-1196.61471145</v>
      </c>
      <c r="S166" s="1">
        <f>'[1]links-p1'!X166</f>
        <v>-2760.534064970002</v>
      </c>
      <c r="T166" s="1">
        <f>'[1]links-p1'!Y166</f>
        <v>0</v>
      </c>
      <c r="U166" s="1">
        <f>'[1]links-p1'!Z166</f>
        <v>-1517.7757899999999</v>
      </c>
    </row>
    <row r="167" spans="8:21">
      <c r="H167" s="1">
        <f t="shared" si="4"/>
        <v>165</v>
      </c>
      <c r="I167" s="1">
        <f>'[1]links-p1'!O167</f>
        <v>-2441.4239437455249</v>
      </c>
      <c r="J167" s="1">
        <f>'[1]links-p1'!P167</f>
        <v>-1535.6782346512921</v>
      </c>
      <c r="K167" s="1">
        <f>'[1]links-p1'!Q167</f>
        <v>0</v>
      </c>
      <c r="L167" s="1">
        <f>'[1]links-p1'!R167</f>
        <v>0</v>
      </c>
      <c r="M167" s="1">
        <f>'[1]links-p1'!S167</f>
        <v>0</v>
      </c>
      <c r="N167" s="1">
        <f>'[1]links-p1'!T167</f>
        <v>0</v>
      </c>
      <c r="O167" s="1">
        <f>'[1]links-p1'!U167</f>
        <v>0</v>
      </c>
      <c r="P167" s="1">
        <f>'[1]links-p1'!V167</f>
        <v>-2312.0273029200011</v>
      </c>
      <c r="R167" s="1">
        <f>'[1]links-p1'!W167</f>
        <v>-1197.0785784</v>
      </c>
      <c r="S167" s="1">
        <f>'[1]links-p1'!X167</f>
        <v>-2752.1844597200011</v>
      </c>
      <c r="T167" s="1">
        <f>'[1]links-p1'!Y167</f>
        <v>0</v>
      </c>
      <c r="U167" s="1">
        <f>'[1]links-p1'!Z167</f>
        <v>-1517.7757899999999</v>
      </c>
    </row>
    <row r="168" spans="8:21">
      <c r="H168" s="1">
        <f t="shared" si="4"/>
        <v>166</v>
      </c>
      <c r="I168" s="1">
        <f>'[1]links-p1'!O168</f>
        <v>-2618.349137195185</v>
      </c>
      <c r="J168" s="1">
        <f>'[1]links-p1'!P168</f>
        <v>-1531.3522117898101</v>
      </c>
      <c r="K168" s="1">
        <f>'[1]links-p1'!Q168</f>
        <v>0</v>
      </c>
      <c r="L168" s="1">
        <f>'[1]links-p1'!R168</f>
        <v>0</v>
      </c>
      <c r="M168" s="1">
        <f>'[1]links-p1'!S168</f>
        <v>0</v>
      </c>
      <c r="N168" s="1">
        <f>'[1]links-p1'!T168</f>
        <v>0</v>
      </c>
      <c r="O168" s="1">
        <f>'[1]links-p1'!U168</f>
        <v>0</v>
      </c>
      <c r="P168" s="1">
        <f>'[1]links-p1'!V168</f>
        <v>-2293.472624590001</v>
      </c>
      <c r="R168" s="1">
        <f>'[1]links-p1'!W168</f>
        <v>-1198.00631232</v>
      </c>
      <c r="S168" s="1">
        <f>'[1]links-p1'!X168</f>
        <v>-2735.485249230001</v>
      </c>
      <c r="T168" s="1">
        <f>'[1]links-p1'!Y168</f>
        <v>0</v>
      </c>
      <c r="U168" s="1">
        <f>'[1]links-p1'!Z168</f>
        <v>-1517.7757899999999</v>
      </c>
    </row>
    <row r="169" spans="8:21">
      <c r="H169" s="1">
        <f t="shared" si="4"/>
        <v>167</v>
      </c>
      <c r="I169" s="1">
        <f>'[1]links-p1'!O169</f>
        <v>-2092.2035287465542</v>
      </c>
      <c r="J169" s="1">
        <f>'[1]links-p1'!P169</f>
        <v>-1502.982947135052</v>
      </c>
      <c r="K169" s="1">
        <f>'[1]links-p1'!Q169</f>
        <v>0</v>
      </c>
      <c r="L169" s="1">
        <f>'[1]links-p1'!R169</f>
        <v>0</v>
      </c>
      <c r="M169" s="1">
        <f>'[1]links-p1'!S169</f>
        <v>0</v>
      </c>
      <c r="N169" s="1">
        <f>'[1]links-p1'!T169</f>
        <v>0</v>
      </c>
      <c r="O169" s="1">
        <f>'[1]links-p1'!U169</f>
        <v>0</v>
      </c>
      <c r="P169" s="1">
        <f>'[1]links-p1'!V169</f>
        <v>-1342.8066449100011</v>
      </c>
      <c r="R169" s="1">
        <f>'[1]links-p1'!W169</f>
        <v>-1553.672292</v>
      </c>
      <c r="S169" s="1">
        <f>'[1]links-p1'!X169</f>
        <v>-2735.485249230001</v>
      </c>
      <c r="T169" s="1">
        <f>'[1]links-p1'!Y169</f>
        <v>0</v>
      </c>
      <c r="U169" s="1">
        <f>'[1]links-p1'!Z169</f>
        <v>-1517.7757899999999</v>
      </c>
    </row>
    <row r="170" spans="8:21">
      <c r="H170" s="1" t="s">
        <v>43</v>
      </c>
      <c r="I170" s="1">
        <f>-SUM(I2:I169)</f>
        <v>68501.507254929107</v>
      </c>
      <c r="J170" s="1">
        <f t="shared" ref="J170:U170" si="5">-SUM(J2:J169)</f>
        <v>82856.450709712371</v>
      </c>
      <c r="K170" s="1">
        <f t="shared" si="5"/>
        <v>222512.54772736155</v>
      </c>
      <c r="L170" s="1">
        <f t="shared" si="5"/>
        <v>30185.250510134538</v>
      </c>
      <c r="M170" s="1">
        <f t="shared" si="5"/>
        <v>11966.836222274864</v>
      </c>
      <c r="N170" s="1">
        <f t="shared" si="5"/>
        <v>388467.06536543992</v>
      </c>
      <c r="O170" s="1">
        <f t="shared" si="5"/>
        <v>326.16415008000001</v>
      </c>
      <c r="P170" s="1">
        <f t="shared" si="5"/>
        <v>244707.14926105301</v>
      </c>
      <c r="R170" s="1">
        <f t="shared" si="5"/>
        <v>167310.2502280398</v>
      </c>
      <c r="S170" s="1">
        <f t="shared" si="5"/>
        <v>385596.20715304761</v>
      </c>
      <c r="T170" s="1">
        <f t="shared" si="5"/>
        <v>968.31514536999998</v>
      </c>
      <c r="U170" s="1">
        <f t="shared" si="5"/>
        <v>254986.33272000114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7D8A8-8A36-4448-8F86-51FC75E2549D}">
  <sheetPr>
    <tabColor rgb="FFFFE07D"/>
  </sheetPr>
  <dimension ref="A1:O171"/>
  <sheetViews>
    <sheetView tabSelected="1" zoomScale="70" zoomScaleNormal="70" workbookViewId="0">
      <selection activeCell="D22" sqref="D22"/>
    </sheetView>
  </sheetViews>
  <sheetFormatPr baseColWidth="10" defaultRowHeight="15"/>
  <cols>
    <col min="1" max="1" width="10.90625" style="34"/>
    <col min="2" max="2" width="26.81640625" style="34" bestFit="1" customWidth="1"/>
    <col min="3" max="3" width="14.81640625" style="34" customWidth="1"/>
    <col min="4" max="4" width="18.81640625" style="34" bestFit="1" customWidth="1"/>
    <col min="5" max="5" width="26.7265625" style="34" bestFit="1" customWidth="1"/>
    <col min="6" max="8" width="27.08984375" style="34" bestFit="1" customWidth="1"/>
    <col min="9" max="9" width="10.90625" style="34"/>
    <col min="10" max="10" width="19.90625" style="34" customWidth="1"/>
    <col min="11" max="11" width="49.1796875" style="34" bestFit="1" customWidth="1"/>
    <col min="12" max="12" width="38" style="34" bestFit="1" customWidth="1"/>
    <col min="13" max="13" width="25.7265625" style="34" bestFit="1" customWidth="1"/>
    <col min="14" max="15" width="35" style="34" bestFit="1" customWidth="1"/>
    <col min="16" max="16384" width="10.90625" style="34"/>
  </cols>
  <sheetData>
    <row r="1" spans="1:10">
      <c r="A1" s="34" t="s">
        <v>30</v>
      </c>
    </row>
    <row r="2" spans="1:10">
      <c r="B2" s="64" t="s">
        <v>31</v>
      </c>
      <c r="C2" s="64"/>
      <c r="D2" s="64"/>
      <c r="E2" s="64"/>
    </row>
    <row r="3" spans="1:10">
      <c r="A3" s="24" t="s">
        <v>19</v>
      </c>
      <c r="B3" s="35" t="str">
        <f>'[1]buses-marginal_price'!B1</f>
        <v>ES_electricity_market_bus</v>
      </c>
      <c r="C3" s="35" t="str">
        <f>'[1]buses-marginal_price'!C1</f>
        <v>ES_water_bus</v>
      </c>
      <c r="D3" s="35" t="str">
        <f>'[1]buses-marginal_price'!D1</f>
        <v>ES_hydrogen_bus</v>
      </c>
      <c r="E3" s="35" t="str">
        <f>'[1]buses-marginal_price'!E1</f>
        <v>ES_SRES_excedentes_bus</v>
      </c>
      <c r="F3" s="35" t="str">
        <f>'[1]buses-marginal_price'!F1</f>
        <v>ES_SRES_electrolyzer_bus</v>
      </c>
      <c r="G3" s="35" t="str">
        <f>'[1]buses-marginal_price'!G1</f>
        <v>PT_electricity_market_bus</v>
      </c>
      <c r="H3" s="35" t="str">
        <f>'[1]buses-marginal_price'!K1</f>
        <v>FR_electricity_market_bus</v>
      </c>
    </row>
    <row r="4" spans="1:10">
      <c r="A4" s="18">
        <v>0</v>
      </c>
      <c r="B4" s="34">
        <f>'[1]buses-marginal_price'!B2</f>
        <v>9.9999999999999992E-2</v>
      </c>
      <c r="C4" s="34">
        <f>'[1]buses-marginal_price'!C2</f>
        <v>8.4999999999999992E-2</v>
      </c>
      <c r="D4" s="34">
        <f>'[1]buses-marginal_price'!D2</f>
        <v>0.14285714285714279</v>
      </c>
      <c r="E4" s="34">
        <f>'[1]buses-marginal_price'!E2</f>
        <v>9.9999999999999992E-2</v>
      </c>
      <c r="F4" s="34">
        <f>'[1]buses-marginal_price'!F2</f>
        <v>9.9999999999999992E-2</v>
      </c>
      <c r="G4" s="34">
        <f>'[1]buses-marginal_price'!G2</f>
        <v>0.09</v>
      </c>
      <c r="H4" s="34">
        <f>'[1]buses-marginal_price'!K2</f>
        <v>0</v>
      </c>
      <c r="J4" s="65"/>
    </row>
    <row r="5" spans="1:10">
      <c r="A5" s="18">
        <v>1</v>
      </c>
      <c r="B5" s="34">
        <f>'[1]buses-marginal_price'!B3</f>
        <v>6.3749999999999987E-2</v>
      </c>
      <c r="C5" s="34">
        <f>'[1]buses-marginal_price'!C3</f>
        <v>8.4999999999999992E-2</v>
      </c>
      <c r="D5" s="34">
        <f>'[1]buses-marginal_price'!D3</f>
        <v>9.1071428571428567E-2</v>
      </c>
      <c r="E5" s="34">
        <f>'[1]buses-marginal_price'!E3</f>
        <v>6.3749999999999987E-2</v>
      </c>
      <c r="F5" s="34">
        <f>'[1]buses-marginal_price'!F3</f>
        <v>6.3749999999999987E-2</v>
      </c>
      <c r="G5" s="34">
        <f>'[1]buses-marginal_price'!G3</f>
        <v>0</v>
      </c>
      <c r="H5" s="34">
        <f>'[1]buses-marginal_price'!K3</f>
        <v>0</v>
      </c>
      <c r="J5" s="65"/>
    </row>
    <row r="6" spans="1:10">
      <c r="A6" s="18">
        <v>2</v>
      </c>
      <c r="B6" s="34">
        <f>'[1]buses-marginal_price'!B4</f>
        <v>6.3749999999999987E-2</v>
      </c>
      <c r="C6" s="34">
        <f>'[1]buses-marginal_price'!C4</f>
        <v>8.4999999999999992E-2</v>
      </c>
      <c r="D6" s="34">
        <f>'[1]buses-marginal_price'!D4</f>
        <v>9.1071428571428567E-2</v>
      </c>
      <c r="E6" s="34">
        <f>'[1]buses-marginal_price'!E4</f>
        <v>6.3749999999999987E-2</v>
      </c>
      <c r="F6" s="34">
        <f>'[1]buses-marginal_price'!F4</f>
        <v>6.3749999999999987E-2</v>
      </c>
      <c r="G6" s="34">
        <f>'[1]buses-marginal_price'!G4</f>
        <v>0</v>
      </c>
      <c r="H6" s="34">
        <f>'[1]buses-marginal_price'!K4</f>
        <v>0</v>
      </c>
      <c r="J6" s="65"/>
    </row>
    <row r="7" spans="1:10">
      <c r="A7" s="18">
        <v>3</v>
      </c>
      <c r="B7" s="34">
        <f>'[1]buses-marginal_price'!B5</f>
        <v>6.3749999999999987E-2</v>
      </c>
      <c r="C7" s="34">
        <f>'[1]buses-marginal_price'!C5</f>
        <v>8.4999999999999992E-2</v>
      </c>
      <c r="D7" s="34">
        <f>'[1]buses-marginal_price'!D5</f>
        <v>9.1071428571428567E-2</v>
      </c>
      <c r="E7" s="34">
        <f>'[1]buses-marginal_price'!E5</f>
        <v>6.3749999999999987E-2</v>
      </c>
      <c r="F7" s="34">
        <f>'[1]buses-marginal_price'!F5</f>
        <v>6.3749999999999987E-2</v>
      </c>
      <c r="G7" s="34">
        <f>'[1]buses-marginal_price'!G5</f>
        <v>0</v>
      </c>
      <c r="H7" s="34">
        <f>'[1]buses-marginal_price'!K5</f>
        <v>0</v>
      </c>
      <c r="J7" s="65"/>
    </row>
    <row r="8" spans="1:10">
      <c r="A8" s="18">
        <v>4</v>
      </c>
      <c r="B8" s="34">
        <f>'[1]buses-marginal_price'!B6</f>
        <v>6.3749999999999987E-2</v>
      </c>
      <c r="C8" s="34">
        <f>'[1]buses-marginal_price'!C6</f>
        <v>8.4999999999999992E-2</v>
      </c>
      <c r="D8" s="34">
        <f>'[1]buses-marginal_price'!D6</f>
        <v>9.1071428571428567E-2</v>
      </c>
      <c r="E8" s="34">
        <f>'[1]buses-marginal_price'!E6</f>
        <v>6.3749999999999987E-2</v>
      </c>
      <c r="F8" s="34">
        <f>'[1]buses-marginal_price'!F6</f>
        <v>6.3749999999999987E-2</v>
      </c>
      <c r="G8" s="34">
        <f>'[1]buses-marginal_price'!G6</f>
        <v>0</v>
      </c>
      <c r="H8" s="34">
        <f>'[1]buses-marginal_price'!K6</f>
        <v>0</v>
      </c>
      <c r="J8" s="65"/>
    </row>
    <row r="9" spans="1:10">
      <c r="A9" s="18">
        <v>5</v>
      </c>
      <c r="B9" s="34">
        <f>'[1]buses-marginal_price'!B7</f>
        <v>6.3749999999999987E-2</v>
      </c>
      <c r="C9" s="34">
        <f>'[1]buses-marginal_price'!C7</f>
        <v>8.4999999999999992E-2</v>
      </c>
      <c r="D9" s="34">
        <f>'[1]buses-marginal_price'!D7</f>
        <v>9.1071428571428567E-2</v>
      </c>
      <c r="E9" s="34">
        <f>'[1]buses-marginal_price'!E7</f>
        <v>6.3749999999999987E-2</v>
      </c>
      <c r="F9" s="34">
        <f>'[1]buses-marginal_price'!F7</f>
        <v>6.3749999999999987E-2</v>
      </c>
      <c r="G9" s="34">
        <f>'[1]buses-marginal_price'!G7</f>
        <v>0</v>
      </c>
      <c r="H9" s="34">
        <f>'[1]buses-marginal_price'!K7</f>
        <v>0</v>
      </c>
      <c r="J9" s="65"/>
    </row>
    <row r="10" spans="1:10">
      <c r="A10" s="18">
        <v>6</v>
      </c>
      <c r="B10" s="34">
        <f>'[1]buses-marginal_price'!B8</f>
        <v>6.3749999999999987E-2</v>
      </c>
      <c r="C10" s="34">
        <f>'[1]buses-marginal_price'!C8</f>
        <v>8.4999999999999992E-2</v>
      </c>
      <c r="D10" s="34">
        <f>'[1]buses-marginal_price'!D8</f>
        <v>9.1071428571428567E-2</v>
      </c>
      <c r="E10" s="34">
        <f>'[1]buses-marginal_price'!E8</f>
        <v>6.3749999999999987E-2</v>
      </c>
      <c r="F10" s="34">
        <f>'[1]buses-marginal_price'!F8</f>
        <v>6.3749999999999987E-2</v>
      </c>
      <c r="G10" s="34">
        <f>'[1]buses-marginal_price'!G8</f>
        <v>0</v>
      </c>
      <c r="H10" s="34">
        <f>'[1]buses-marginal_price'!K8</f>
        <v>0</v>
      </c>
      <c r="J10" s="65"/>
    </row>
    <row r="11" spans="1:10">
      <c r="A11" s="18">
        <v>7</v>
      </c>
      <c r="B11" s="34">
        <f>'[1]buses-marginal_price'!B9</f>
        <v>9.9999999999999992E-2</v>
      </c>
      <c r="C11" s="34">
        <f>'[1]buses-marginal_price'!C9</f>
        <v>8.4999999999999992E-2</v>
      </c>
      <c r="D11" s="34">
        <f>'[1]buses-marginal_price'!D9</f>
        <v>0.14285714285714279</v>
      </c>
      <c r="E11" s="34">
        <f>'[1]buses-marginal_price'!E9</f>
        <v>9.9999999999999992E-2</v>
      </c>
      <c r="F11" s="34">
        <f>'[1]buses-marginal_price'!F9</f>
        <v>9.9999999999999992E-2</v>
      </c>
      <c r="G11" s="34">
        <f>'[1]buses-marginal_price'!G9</f>
        <v>0</v>
      </c>
      <c r="H11" s="34">
        <f>'[1]buses-marginal_price'!K9</f>
        <v>0</v>
      </c>
      <c r="J11" s="65"/>
    </row>
    <row r="12" spans="1:10">
      <c r="A12" s="18">
        <v>8</v>
      </c>
      <c r="B12" s="34">
        <f>'[1]buses-marginal_price'!B10</f>
        <v>0.1</v>
      </c>
      <c r="C12" s="34">
        <f>'[1]buses-marginal_price'!C10</f>
        <v>8.4999999999999992E-2</v>
      </c>
      <c r="D12" s="34">
        <f>'[1]buses-marginal_price'!D10</f>
        <v>0.1428571428571429</v>
      </c>
      <c r="E12" s="34">
        <f>'[1]buses-marginal_price'!E10</f>
        <v>0.1</v>
      </c>
      <c r="F12" s="34">
        <f>'[1]buses-marginal_price'!F10</f>
        <v>0.1</v>
      </c>
      <c r="G12" s="34">
        <f>'[1]buses-marginal_price'!G10</f>
        <v>0</v>
      </c>
      <c r="H12" s="34">
        <f>'[1]buses-marginal_price'!K10</f>
        <v>0</v>
      </c>
      <c r="J12" s="65"/>
    </row>
    <row r="13" spans="1:10">
      <c r="A13" s="18">
        <v>9</v>
      </c>
      <c r="B13" s="58">
        <f>'[1]buses-marginal_price'!B11</f>
        <v>0.01</v>
      </c>
      <c r="C13" s="34">
        <f>'[1]buses-marginal_price'!C11</f>
        <v>8.4999999999999992E-2</v>
      </c>
      <c r="D13" s="34">
        <f>'[1]buses-marginal_price'!D11</f>
        <v>1.428571428571429E-2</v>
      </c>
      <c r="E13" s="34">
        <f>'[1]buses-marginal_price'!E11</f>
        <v>0.01</v>
      </c>
      <c r="F13" s="34">
        <f>'[1]buses-marginal_price'!F11</f>
        <v>0.01</v>
      </c>
      <c r="G13" s="34">
        <f>'[1]buses-marginal_price'!G11</f>
        <v>0</v>
      </c>
      <c r="H13" s="34">
        <f>'[1]buses-marginal_price'!K11</f>
        <v>0</v>
      </c>
      <c r="J13" s="65"/>
    </row>
    <row r="14" spans="1:10">
      <c r="A14" s="18">
        <v>10</v>
      </c>
      <c r="B14" s="34">
        <f>'[1]buses-marginal_price'!B12</f>
        <v>0</v>
      </c>
      <c r="C14" s="34">
        <f>'[1]buses-marginal_price'!C12</f>
        <v>8.4999999999999992E-2</v>
      </c>
      <c r="D14" s="34">
        <f>'[1]buses-marginal_price'!D12</f>
        <v>0</v>
      </c>
      <c r="E14" s="34">
        <f>'[1]buses-marginal_price'!E12</f>
        <v>0</v>
      </c>
      <c r="F14" s="34">
        <f>'[1]buses-marginal_price'!F12</f>
        <v>0</v>
      </c>
      <c r="G14" s="34">
        <f>'[1]buses-marginal_price'!G12</f>
        <v>0</v>
      </c>
      <c r="H14" s="34">
        <f>'[1]buses-marginal_price'!K12</f>
        <v>0</v>
      </c>
      <c r="J14" s="65"/>
    </row>
    <row r="15" spans="1:10">
      <c r="A15" s="18">
        <v>11</v>
      </c>
      <c r="B15" s="34">
        <f>'[1]buses-marginal_price'!B13</f>
        <v>0</v>
      </c>
      <c r="C15" s="34">
        <f>'[1]buses-marginal_price'!C13</f>
        <v>8.4999999999999992E-2</v>
      </c>
      <c r="D15" s="34">
        <f>'[1]buses-marginal_price'!D13</f>
        <v>0</v>
      </c>
      <c r="E15" s="34">
        <f>'[1]buses-marginal_price'!E13</f>
        <v>0</v>
      </c>
      <c r="F15" s="34">
        <f>'[1]buses-marginal_price'!F13</f>
        <v>0</v>
      </c>
      <c r="G15" s="34">
        <f>'[1]buses-marginal_price'!G13</f>
        <v>0</v>
      </c>
      <c r="H15" s="34">
        <f>'[1]buses-marginal_price'!K13</f>
        <v>0</v>
      </c>
      <c r="J15" s="65"/>
    </row>
    <row r="16" spans="1:10">
      <c r="A16" s="18">
        <v>12</v>
      </c>
      <c r="B16" s="34">
        <f>'[1]buses-marginal_price'!B14</f>
        <v>0</v>
      </c>
      <c r="C16" s="34">
        <f>'[1]buses-marginal_price'!C14</f>
        <v>8.4999999999999992E-2</v>
      </c>
      <c r="D16" s="34">
        <f>'[1]buses-marginal_price'!D14</f>
        <v>0</v>
      </c>
      <c r="E16" s="34">
        <f>'[1]buses-marginal_price'!E14</f>
        <v>0</v>
      </c>
      <c r="F16" s="34">
        <f>'[1]buses-marginal_price'!F14</f>
        <v>0</v>
      </c>
      <c r="G16" s="34">
        <f>'[1]buses-marginal_price'!G14</f>
        <v>0</v>
      </c>
      <c r="H16" s="34">
        <f>'[1]buses-marginal_price'!K14</f>
        <v>0</v>
      </c>
      <c r="J16" s="65"/>
    </row>
    <row r="17" spans="1:15">
      <c r="A17" s="18">
        <v>13</v>
      </c>
      <c r="B17" s="34">
        <f>'[1]buses-marginal_price'!B15</f>
        <v>0</v>
      </c>
      <c r="C17" s="34">
        <f>'[1]buses-marginal_price'!C15</f>
        <v>8.4999999999999992E-2</v>
      </c>
      <c r="D17" s="34">
        <f>'[1]buses-marginal_price'!D15</f>
        <v>0</v>
      </c>
      <c r="E17" s="34">
        <f>'[1]buses-marginal_price'!E15</f>
        <v>0</v>
      </c>
      <c r="F17" s="34">
        <f>'[1]buses-marginal_price'!F15</f>
        <v>0</v>
      </c>
      <c r="G17" s="34">
        <f>'[1]buses-marginal_price'!G15</f>
        <v>0</v>
      </c>
      <c r="H17" s="34">
        <f>'[1]buses-marginal_price'!K15</f>
        <v>0</v>
      </c>
      <c r="J17" s="65"/>
    </row>
    <row r="18" spans="1:15">
      <c r="A18" s="18">
        <v>14</v>
      </c>
      <c r="B18" s="34">
        <f>'[1]buses-marginal_price'!B16</f>
        <v>0</v>
      </c>
      <c r="C18" s="34">
        <f>'[1]buses-marginal_price'!C16</f>
        <v>8.4999999999999992E-2</v>
      </c>
      <c r="D18" s="34">
        <f>'[1]buses-marginal_price'!D16</f>
        <v>0</v>
      </c>
      <c r="E18" s="34">
        <f>'[1]buses-marginal_price'!E16</f>
        <v>0</v>
      </c>
      <c r="F18" s="34">
        <f>'[1]buses-marginal_price'!F16</f>
        <v>0</v>
      </c>
      <c r="G18" s="34">
        <f>'[1]buses-marginal_price'!G16</f>
        <v>0</v>
      </c>
      <c r="H18" s="34">
        <f>'[1]buses-marginal_price'!K16</f>
        <v>0</v>
      </c>
      <c r="J18" s="65"/>
      <c r="O18" s="59"/>
    </row>
    <row r="19" spans="1:15">
      <c r="A19" s="18">
        <v>15</v>
      </c>
      <c r="B19" s="34">
        <f>'[1]buses-marginal_price'!B17</f>
        <v>0</v>
      </c>
      <c r="C19" s="34">
        <f>'[1]buses-marginal_price'!C17</f>
        <v>8.4999999999999992E-2</v>
      </c>
      <c r="D19" s="34">
        <f>'[1]buses-marginal_price'!D17</f>
        <v>0</v>
      </c>
      <c r="E19" s="34">
        <f>'[1]buses-marginal_price'!E17</f>
        <v>0</v>
      </c>
      <c r="F19" s="34">
        <f>'[1]buses-marginal_price'!F17</f>
        <v>0</v>
      </c>
      <c r="G19" s="34">
        <f>'[1]buses-marginal_price'!G17</f>
        <v>0</v>
      </c>
      <c r="H19" s="34">
        <f>'[1]buses-marginal_price'!K17</f>
        <v>0</v>
      </c>
      <c r="J19" s="65"/>
    </row>
    <row r="20" spans="1:15">
      <c r="A20" s="18">
        <v>16</v>
      </c>
      <c r="B20" s="34">
        <f>'[1]buses-marginal_price'!B18</f>
        <v>0</v>
      </c>
      <c r="C20" s="34">
        <f>'[1]buses-marginal_price'!C18</f>
        <v>8.4999999999999992E-2</v>
      </c>
      <c r="D20" s="34">
        <f>'[1]buses-marginal_price'!D18</f>
        <v>0</v>
      </c>
      <c r="E20" s="34">
        <f>'[1]buses-marginal_price'!E18</f>
        <v>0</v>
      </c>
      <c r="F20" s="34">
        <f>'[1]buses-marginal_price'!F18</f>
        <v>0</v>
      </c>
      <c r="G20" s="34">
        <f>'[1]buses-marginal_price'!G18</f>
        <v>0</v>
      </c>
      <c r="H20" s="34">
        <f>'[1]buses-marginal_price'!K18</f>
        <v>0</v>
      </c>
    </row>
    <row r="21" spans="1:15">
      <c r="A21" s="18">
        <v>17</v>
      </c>
      <c r="B21" s="34">
        <f>'[1]buses-marginal_price'!B19</f>
        <v>9.9999999999999992E-2</v>
      </c>
      <c r="C21" s="34">
        <f>'[1]buses-marginal_price'!C19</f>
        <v>8.4999999999999992E-2</v>
      </c>
      <c r="D21" s="34">
        <f>'[1]buses-marginal_price'!D19</f>
        <v>0.14285714285714279</v>
      </c>
      <c r="E21" s="34">
        <f>'[1]buses-marginal_price'!E19</f>
        <v>9.9999999999999992E-2</v>
      </c>
      <c r="F21" s="34">
        <f>'[1]buses-marginal_price'!F19</f>
        <v>9.9999999999999992E-2</v>
      </c>
      <c r="G21" s="34">
        <f>'[1]buses-marginal_price'!G19</f>
        <v>0</v>
      </c>
      <c r="H21" s="34">
        <f>'[1]buses-marginal_price'!K19</f>
        <v>0</v>
      </c>
    </row>
    <row r="22" spans="1:15">
      <c r="A22" s="18">
        <v>18</v>
      </c>
      <c r="B22" s="34">
        <f>'[1]buses-marginal_price'!B20</f>
        <v>0.1</v>
      </c>
      <c r="C22" s="34">
        <f>'[1]buses-marginal_price'!C20</f>
        <v>8.4999999999999992E-2</v>
      </c>
      <c r="D22" s="34">
        <f>'[1]buses-marginal_price'!D20</f>
        <v>0.1428571428571429</v>
      </c>
      <c r="E22" s="34">
        <f>'[1]buses-marginal_price'!E20</f>
        <v>0.1</v>
      </c>
      <c r="F22" s="34">
        <f>'[1]buses-marginal_price'!F20</f>
        <v>0.1</v>
      </c>
      <c r="G22" s="34">
        <f>'[1]buses-marginal_price'!G20</f>
        <v>0.1</v>
      </c>
      <c r="H22" s="34">
        <f>'[1]buses-marginal_price'!K20</f>
        <v>0</v>
      </c>
    </row>
    <row r="23" spans="1:15">
      <c r="A23" s="18">
        <v>19</v>
      </c>
      <c r="B23" s="34">
        <f>'[1]buses-marginal_price'!B21</f>
        <v>0.1</v>
      </c>
      <c r="C23" s="34">
        <f>'[1]buses-marginal_price'!C21</f>
        <v>8.4999999999999992E-2</v>
      </c>
      <c r="D23" s="34">
        <f>'[1]buses-marginal_price'!D21</f>
        <v>0.1428571428571429</v>
      </c>
      <c r="E23" s="34">
        <f>'[1]buses-marginal_price'!E21</f>
        <v>0.1</v>
      </c>
      <c r="F23" s="34">
        <f>'[1]buses-marginal_price'!F21</f>
        <v>0.1</v>
      </c>
      <c r="G23" s="34">
        <f>'[1]buses-marginal_price'!G21</f>
        <v>0.1</v>
      </c>
      <c r="H23" s="34">
        <f>'[1]buses-marginal_price'!K21</f>
        <v>0</v>
      </c>
      <c r="J23" s="34" t="s">
        <v>71</v>
      </c>
    </row>
    <row r="24" spans="1:15">
      <c r="A24" s="18">
        <v>20</v>
      </c>
      <c r="B24" s="34">
        <f>'[1]buses-marginal_price'!B22</f>
        <v>0.1</v>
      </c>
      <c r="C24" s="34">
        <f>'[1]buses-marginal_price'!C22</f>
        <v>8.5000000000000006E-2</v>
      </c>
      <c r="D24" s="34">
        <f>'[1]buses-marginal_price'!D22</f>
        <v>0.1428571428571429</v>
      </c>
      <c r="E24" s="34">
        <f>'[1]buses-marginal_price'!E22</f>
        <v>0.1</v>
      </c>
      <c r="F24" s="34">
        <f>'[1]buses-marginal_price'!F22</f>
        <v>0.1</v>
      </c>
      <c r="G24" s="34">
        <f>'[1]buses-marginal_price'!G22</f>
        <v>0.1</v>
      </c>
      <c r="H24" s="34">
        <f>'[1]buses-marginal_price'!K22</f>
        <v>0</v>
      </c>
    </row>
    <row r="25" spans="1:15">
      <c r="A25" s="18">
        <v>21</v>
      </c>
      <c r="B25" s="34">
        <f>'[1]buses-marginal_price'!B23</f>
        <v>0.1</v>
      </c>
      <c r="C25" s="34">
        <f>'[1]buses-marginal_price'!C23</f>
        <v>8.4999999999999992E-2</v>
      </c>
      <c r="D25" s="34">
        <f>'[1]buses-marginal_price'!D23</f>
        <v>0.1428571428571429</v>
      </c>
      <c r="E25" s="34">
        <f>'[1]buses-marginal_price'!E23</f>
        <v>0.1</v>
      </c>
      <c r="F25" s="34">
        <f>'[1]buses-marginal_price'!F23</f>
        <v>0.1</v>
      </c>
      <c r="G25" s="34">
        <f>'[1]buses-marginal_price'!G23</f>
        <v>9.0000000000000011E-2</v>
      </c>
      <c r="H25" s="34">
        <f>'[1]buses-marginal_price'!K23</f>
        <v>0</v>
      </c>
      <c r="J25" s="36"/>
      <c r="K25" s="36" t="s">
        <v>75</v>
      </c>
      <c r="L25" s="36" t="s">
        <v>74</v>
      </c>
      <c r="M25" s="36" t="s">
        <v>32</v>
      </c>
      <c r="N25" s="36" t="s">
        <v>82</v>
      </c>
      <c r="O25" s="36" t="s">
        <v>73</v>
      </c>
    </row>
    <row r="26" spans="1:15">
      <c r="A26" s="18">
        <v>22</v>
      </c>
      <c r="B26" s="34">
        <f>'[1]buses-marginal_price'!B24</f>
        <v>0.1</v>
      </c>
      <c r="C26" s="34">
        <f>'[1]buses-marginal_price'!C24</f>
        <v>8.4999999999999992E-2</v>
      </c>
      <c r="D26" s="34">
        <f>'[1]buses-marginal_price'!D24</f>
        <v>0.1428571428571429</v>
      </c>
      <c r="E26" s="34">
        <f>'[1]buses-marginal_price'!E24</f>
        <v>0.1</v>
      </c>
      <c r="F26" s="34">
        <f>'[1]buses-marginal_price'!F24</f>
        <v>0.1</v>
      </c>
      <c r="G26" s="34">
        <f>'[1]buses-marginal_price'!G24</f>
        <v>9.0000000000000011E-2</v>
      </c>
      <c r="H26" s="34">
        <f>'[1]buses-marginal_price'!K24</f>
        <v>0</v>
      </c>
      <c r="J26" s="34" t="s">
        <v>72</v>
      </c>
      <c r="K26" s="34" t="s">
        <v>79</v>
      </c>
      <c r="L26" s="34">
        <v>0</v>
      </c>
      <c r="M26" s="34">
        <v>1</v>
      </c>
      <c r="N26" s="34">
        <v>0</v>
      </c>
      <c r="O26" s="34">
        <f>L26/M26</f>
        <v>0</v>
      </c>
    </row>
    <row r="27" spans="1:15">
      <c r="A27" s="18">
        <v>23</v>
      </c>
      <c r="B27" s="34">
        <f>'[1]buses-marginal_price'!B25</f>
        <v>9.9999999999999992E-2</v>
      </c>
      <c r="C27" s="34">
        <f>'[1]buses-marginal_price'!C25</f>
        <v>8.4999999999999992E-2</v>
      </c>
      <c r="D27" s="34">
        <f>'[1]buses-marginal_price'!D25</f>
        <v>0.14285714285714279</v>
      </c>
      <c r="E27" s="34">
        <f>'[1]buses-marginal_price'!E25</f>
        <v>9.9999999999999992E-2</v>
      </c>
      <c r="F27" s="34">
        <f>'[1]buses-marginal_price'!F25</f>
        <v>9.9999999999999992E-2</v>
      </c>
      <c r="G27" s="34">
        <f>'[1]buses-marginal_price'!G25</f>
        <v>0.09</v>
      </c>
      <c r="H27" s="34">
        <f>'[1]buses-marginal_price'!K25</f>
        <v>0</v>
      </c>
      <c r="K27" s="34" t="s">
        <v>80</v>
      </c>
      <c r="L27" s="34">
        <v>22</v>
      </c>
      <c r="M27" s="34">
        <v>1</v>
      </c>
      <c r="N27" s="34">
        <v>0</v>
      </c>
      <c r="O27" s="34">
        <f>L27/M27</f>
        <v>22</v>
      </c>
    </row>
    <row r="28" spans="1:15">
      <c r="A28" s="18">
        <v>24</v>
      </c>
      <c r="B28" s="34">
        <f>'[1]buses-marginal_price'!B26</f>
        <v>0.1</v>
      </c>
      <c r="C28" s="34">
        <f>'[1]buses-marginal_price'!C26</f>
        <v>8.4999999999999992E-2</v>
      </c>
      <c r="D28" s="34">
        <f>'[1]buses-marginal_price'!D26</f>
        <v>0.1428571428571429</v>
      </c>
      <c r="E28" s="34">
        <f>'[1]buses-marginal_price'!E26</f>
        <v>0.1</v>
      </c>
      <c r="F28" s="34">
        <f>'[1]buses-marginal_price'!F26</f>
        <v>0.1</v>
      </c>
      <c r="G28" s="34">
        <f>'[1]buses-marginal_price'!G26</f>
        <v>9.0000000000000011E-2</v>
      </c>
      <c r="H28" s="34">
        <f>'[1]buses-marginal_price'!K26</f>
        <v>0</v>
      </c>
      <c r="K28" s="34" t="s">
        <v>81</v>
      </c>
      <c r="L28" s="34">
        <v>146.19</v>
      </c>
      <c r="M28" s="34">
        <v>0.57999999999999996</v>
      </c>
      <c r="N28" s="34">
        <v>0</v>
      </c>
      <c r="O28" s="34">
        <f>L28*M28</f>
        <v>84.790199999999999</v>
      </c>
    </row>
    <row r="29" spans="1:15">
      <c r="A29" s="18">
        <v>25</v>
      </c>
      <c r="B29" s="34">
        <f>'[1]buses-marginal_price'!B27</f>
        <v>0.1</v>
      </c>
      <c r="C29" s="34">
        <f>'[1]buses-marginal_price'!C27</f>
        <v>8.4999999999999992E-2</v>
      </c>
      <c r="D29" s="34">
        <f>'[1]buses-marginal_price'!D27</f>
        <v>0.1428571428571429</v>
      </c>
      <c r="E29" s="34">
        <f>'[1]buses-marginal_price'!E27</f>
        <v>0.1</v>
      </c>
      <c r="F29" s="34">
        <f>'[1]buses-marginal_price'!F27</f>
        <v>0.1</v>
      </c>
      <c r="G29" s="34">
        <f>'[1]buses-marginal_price'!G27</f>
        <v>9.0000000000000011E-2</v>
      </c>
      <c r="H29" s="34">
        <f>'[1]buses-marginal_price'!K27</f>
        <v>0</v>
      </c>
      <c r="K29" s="34" t="s">
        <v>33</v>
      </c>
      <c r="L29" s="34">
        <v>0</v>
      </c>
      <c r="M29" s="34">
        <v>0.85</v>
      </c>
      <c r="N29" s="34">
        <v>0</v>
      </c>
      <c r="O29" s="34">
        <v>0.85</v>
      </c>
    </row>
    <row r="30" spans="1:15">
      <c r="A30" s="18">
        <v>26</v>
      </c>
      <c r="B30" s="34">
        <f>'[1]buses-marginal_price'!B28</f>
        <v>0.1</v>
      </c>
      <c r="C30" s="34">
        <f>'[1]buses-marginal_price'!C28</f>
        <v>8.4999999999999992E-2</v>
      </c>
      <c r="D30" s="34">
        <f>'[1]buses-marginal_price'!D28</f>
        <v>0.1428571428571429</v>
      </c>
      <c r="E30" s="34">
        <f>'[1]buses-marginal_price'!E28</f>
        <v>0.1</v>
      </c>
      <c r="F30" s="34">
        <f>'[1]buses-marginal_price'!F28</f>
        <v>0.1</v>
      </c>
      <c r="G30" s="34">
        <f>'[1]buses-marginal_price'!G28</f>
        <v>0</v>
      </c>
      <c r="H30" s="34">
        <f>'[1]buses-marginal_price'!K28</f>
        <v>0</v>
      </c>
      <c r="K30" s="34" t="s">
        <v>78</v>
      </c>
      <c r="L30" s="34">
        <v>0.01</v>
      </c>
      <c r="M30" s="34">
        <v>1</v>
      </c>
      <c r="N30" s="34">
        <v>0</v>
      </c>
      <c r="O30" s="34">
        <f>(L30+N30)</f>
        <v>0.01</v>
      </c>
    </row>
    <row r="31" spans="1:15">
      <c r="A31" s="18">
        <v>27</v>
      </c>
      <c r="B31" s="34">
        <f>'[1]buses-marginal_price'!B29</f>
        <v>0.1</v>
      </c>
      <c r="C31" s="34">
        <f>'[1]buses-marginal_price'!C29</f>
        <v>8.4999999999999992E-2</v>
      </c>
      <c r="D31" s="34">
        <f>'[1]buses-marginal_price'!D29</f>
        <v>0.1428571428571429</v>
      </c>
      <c r="E31" s="34">
        <f>'[1]buses-marginal_price'!E29</f>
        <v>0.1</v>
      </c>
      <c r="F31" s="34">
        <f>'[1]buses-marginal_price'!F29</f>
        <v>0.1</v>
      </c>
      <c r="G31" s="34">
        <f>'[1]buses-marginal_price'!G29</f>
        <v>0</v>
      </c>
      <c r="H31" s="34">
        <f>'[1]buses-marginal_price'!K29</f>
        <v>0</v>
      </c>
      <c r="K31" s="34" t="s">
        <v>77</v>
      </c>
      <c r="L31" s="34">
        <v>0.01</v>
      </c>
      <c r="M31" s="34">
        <v>1</v>
      </c>
      <c r="N31" s="34">
        <v>22</v>
      </c>
      <c r="O31" s="34">
        <f>(L31+N31)</f>
        <v>22.01</v>
      </c>
    </row>
    <row r="32" spans="1:15">
      <c r="A32" s="18">
        <v>28</v>
      </c>
      <c r="B32" s="34">
        <f>'[1]buses-marginal_price'!B30</f>
        <v>9.9999999999999992E-2</v>
      </c>
      <c r="C32" s="34">
        <f>'[1]buses-marginal_price'!C30</f>
        <v>8.4999999999999992E-2</v>
      </c>
      <c r="D32" s="34">
        <f>'[1]buses-marginal_price'!D30</f>
        <v>0.14285714285714279</v>
      </c>
      <c r="E32" s="34">
        <f>'[1]buses-marginal_price'!E30</f>
        <v>9.9999999999999992E-2</v>
      </c>
      <c r="F32" s="34">
        <f>'[1]buses-marginal_price'!F30</f>
        <v>9.9999999999999992E-2</v>
      </c>
      <c r="G32" s="34">
        <f>'[1]buses-marginal_price'!G30</f>
        <v>0</v>
      </c>
      <c r="H32" s="34">
        <f>'[1]buses-marginal_price'!K30</f>
        <v>0</v>
      </c>
      <c r="K32" s="34" t="s">
        <v>76</v>
      </c>
      <c r="L32" s="34">
        <v>0.01</v>
      </c>
      <c r="M32" s="34">
        <v>1</v>
      </c>
      <c r="N32" s="34">
        <v>146.19</v>
      </c>
      <c r="O32" s="34">
        <f>(L32+N32)</f>
        <v>146.19999999999999</v>
      </c>
    </row>
    <row r="33" spans="1:15">
      <c r="A33" s="18">
        <v>29</v>
      </c>
      <c r="B33" s="34">
        <f>'[1]buses-marginal_price'!B31</f>
        <v>0.1</v>
      </c>
      <c r="C33" s="34">
        <f>'[1]buses-marginal_price'!C31</f>
        <v>8.4999999999999992E-2</v>
      </c>
      <c r="D33" s="34">
        <f>'[1]buses-marginal_price'!D31</f>
        <v>0.1428571428571429</v>
      </c>
      <c r="E33" s="34">
        <f>'[1]buses-marginal_price'!E31</f>
        <v>0.1</v>
      </c>
      <c r="F33" s="34">
        <f>'[1]buses-marginal_price'!F31</f>
        <v>0.1</v>
      </c>
      <c r="G33" s="34">
        <f>'[1]buses-marginal_price'!G31</f>
        <v>0</v>
      </c>
      <c r="H33" s="34">
        <f>'[1]buses-marginal_price'!K31</f>
        <v>0</v>
      </c>
      <c r="K33" s="34" t="s">
        <v>84</v>
      </c>
      <c r="L33" s="34">
        <v>0</v>
      </c>
      <c r="M33" s="34">
        <v>0.85</v>
      </c>
      <c r="N33" s="34">
        <v>0</v>
      </c>
      <c r="O33" s="34">
        <f>M33</f>
        <v>0.85</v>
      </c>
    </row>
    <row r="34" spans="1:15">
      <c r="A34" s="18">
        <v>30</v>
      </c>
      <c r="B34" s="34">
        <f>'[1]buses-marginal_price'!B32</f>
        <v>0.1</v>
      </c>
      <c r="C34" s="34">
        <f>'[1]buses-marginal_price'!C32</f>
        <v>8.4999999999999992E-2</v>
      </c>
      <c r="D34" s="34">
        <f>'[1]buses-marginal_price'!D32</f>
        <v>0.1428571428571429</v>
      </c>
      <c r="E34" s="34">
        <f>'[1]buses-marginal_price'!E32</f>
        <v>0.1</v>
      </c>
      <c r="F34" s="34">
        <f>'[1]buses-marginal_price'!F32</f>
        <v>0.1</v>
      </c>
      <c r="G34" s="34">
        <f>'[1]buses-marginal_price'!G32</f>
        <v>9.0000000000000011E-2</v>
      </c>
      <c r="H34" s="34">
        <f>'[1]buses-marginal_price'!K32</f>
        <v>0</v>
      </c>
      <c r="K34" s="34" t="s">
        <v>83</v>
      </c>
      <c r="L34" s="34">
        <v>0.01</v>
      </c>
      <c r="M34" s="34">
        <v>1</v>
      </c>
      <c r="N34" s="34">
        <v>15.63</v>
      </c>
      <c r="O34" s="34">
        <f t="shared" ref="O34:O38" si="0">(L34+N34)</f>
        <v>15.64</v>
      </c>
    </row>
    <row r="35" spans="1:15">
      <c r="A35" s="18">
        <v>31</v>
      </c>
      <c r="B35" s="34">
        <f>'[1]buses-marginal_price'!B33</f>
        <v>0.1</v>
      </c>
      <c r="C35" s="34">
        <f>'[1]buses-marginal_price'!C33</f>
        <v>8.4999999999999992E-2</v>
      </c>
      <c r="D35" s="34">
        <f>'[1]buses-marginal_price'!D33</f>
        <v>0.1428571428571429</v>
      </c>
      <c r="E35" s="34">
        <f>'[1]buses-marginal_price'!E33</f>
        <v>0.1</v>
      </c>
      <c r="F35" s="34">
        <f>'[1]buses-marginal_price'!F33</f>
        <v>0.1</v>
      </c>
      <c r="G35" s="34">
        <f>'[1]buses-marginal_price'!G33</f>
        <v>9.0000000000000011E-2</v>
      </c>
      <c r="H35" s="34">
        <f>'[1]buses-marginal_price'!K33</f>
        <v>0</v>
      </c>
      <c r="K35" s="34" t="s">
        <v>85</v>
      </c>
      <c r="L35" s="34">
        <v>0.01</v>
      </c>
      <c r="M35" s="34">
        <v>1</v>
      </c>
      <c r="N35" s="34">
        <v>0</v>
      </c>
      <c r="O35" s="34">
        <f t="shared" si="0"/>
        <v>0.01</v>
      </c>
    </row>
    <row r="36" spans="1:15">
      <c r="A36" s="18">
        <v>32</v>
      </c>
      <c r="B36" s="34">
        <f>'[1]buses-marginal_price'!B34</f>
        <v>0.1</v>
      </c>
      <c r="C36" s="34">
        <f>'[1]buses-marginal_price'!C34</f>
        <v>8.4999999999999992E-2</v>
      </c>
      <c r="D36" s="34">
        <f>'[1]buses-marginal_price'!D34</f>
        <v>0.1428571428571429</v>
      </c>
      <c r="E36" s="34">
        <f>'[1]buses-marginal_price'!E34</f>
        <v>0.1</v>
      </c>
      <c r="F36" s="34">
        <f>'[1]buses-marginal_price'!F34</f>
        <v>0.1</v>
      </c>
      <c r="G36" s="34">
        <f>'[1]buses-marginal_price'!G34</f>
        <v>9.0000000000000011E-2</v>
      </c>
      <c r="H36" s="34">
        <f>'[1]buses-marginal_price'!K34</f>
        <v>0</v>
      </c>
      <c r="K36" s="34" t="s">
        <v>86</v>
      </c>
      <c r="L36" s="34">
        <v>0.01</v>
      </c>
      <c r="M36" s="34">
        <v>1</v>
      </c>
      <c r="N36" s="34">
        <v>22</v>
      </c>
      <c r="O36" s="34">
        <f t="shared" si="0"/>
        <v>22.01</v>
      </c>
    </row>
    <row r="37" spans="1:15">
      <c r="A37" s="18">
        <v>33</v>
      </c>
      <c r="B37" s="34">
        <f>'[1]buses-marginal_price'!B35</f>
        <v>9.9999999999999992E-2</v>
      </c>
      <c r="C37" s="34">
        <f>'[1]buses-marginal_price'!C35</f>
        <v>8.4999999999999992E-2</v>
      </c>
      <c r="D37" s="34">
        <f>'[1]buses-marginal_price'!D35</f>
        <v>0.14285714285714279</v>
      </c>
      <c r="E37" s="34">
        <f>'[1]buses-marginal_price'!E35</f>
        <v>9.9999999999999992E-2</v>
      </c>
      <c r="F37" s="34">
        <f>'[1]buses-marginal_price'!F35</f>
        <v>9.9999999999999992E-2</v>
      </c>
      <c r="G37" s="34">
        <f>'[1]buses-marginal_price'!G35</f>
        <v>0</v>
      </c>
      <c r="H37" s="34">
        <f>'[1]buses-marginal_price'!K35</f>
        <v>0</v>
      </c>
      <c r="K37" s="34" t="s">
        <v>87</v>
      </c>
      <c r="L37" s="34">
        <v>0.01</v>
      </c>
      <c r="M37" s="34">
        <v>1</v>
      </c>
      <c r="N37" s="34">
        <v>146.19</v>
      </c>
      <c r="O37" s="34">
        <f t="shared" si="0"/>
        <v>146.19999999999999</v>
      </c>
    </row>
    <row r="38" spans="1:15">
      <c r="A38" s="18">
        <v>34</v>
      </c>
      <c r="B38" s="34">
        <f>'[1]buses-marginal_price'!B36</f>
        <v>0</v>
      </c>
      <c r="C38" s="34">
        <f>'[1]buses-marginal_price'!C36</f>
        <v>8.4999999999999992E-2</v>
      </c>
      <c r="D38" s="34">
        <f>'[1]buses-marginal_price'!D36</f>
        <v>0</v>
      </c>
      <c r="E38" s="34">
        <f>'[1]buses-marginal_price'!E36</f>
        <v>0</v>
      </c>
      <c r="F38" s="34">
        <f>'[1]buses-marginal_price'!F36</f>
        <v>0</v>
      </c>
      <c r="G38" s="34">
        <f>'[1]buses-marginal_price'!G36</f>
        <v>0</v>
      </c>
      <c r="H38" s="34">
        <f>'[1]buses-marginal_price'!K36</f>
        <v>0</v>
      </c>
      <c r="K38" s="34" t="s">
        <v>88</v>
      </c>
      <c r="L38" s="34">
        <v>0.01</v>
      </c>
      <c r="M38" s="34">
        <v>1</v>
      </c>
      <c r="N38" s="34">
        <v>0.85</v>
      </c>
      <c r="O38" s="34">
        <f t="shared" si="0"/>
        <v>0.86</v>
      </c>
    </row>
    <row r="39" spans="1:15">
      <c r="A39" s="18">
        <v>35</v>
      </c>
      <c r="B39" s="34">
        <f>'[1]buses-marginal_price'!B37</f>
        <v>0</v>
      </c>
      <c r="C39" s="34">
        <f>'[1]buses-marginal_price'!C37</f>
        <v>8.4999999999999992E-2</v>
      </c>
      <c r="D39" s="34">
        <f>'[1]buses-marginal_price'!D37</f>
        <v>0</v>
      </c>
      <c r="E39" s="34">
        <f>'[1]buses-marginal_price'!E37</f>
        <v>0</v>
      </c>
      <c r="F39" s="34">
        <f>'[1]buses-marginal_price'!F37</f>
        <v>0</v>
      </c>
      <c r="G39" s="34">
        <f>'[1]buses-marginal_price'!G37</f>
        <v>0</v>
      </c>
      <c r="H39" s="34">
        <f>'[1]buses-marginal_price'!K37</f>
        <v>0</v>
      </c>
    </row>
    <row r="40" spans="1:15">
      <c r="A40" s="18">
        <v>36</v>
      </c>
      <c r="B40" s="34">
        <f>'[1]buses-marginal_price'!B38</f>
        <v>0</v>
      </c>
      <c r="C40" s="34">
        <f>'[1]buses-marginal_price'!C38</f>
        <v>8.4999999999999992E-2</v>
      </c>
      <c r="D40" s="34">
        <f>'[1]buses-marginal_price'!D38</f>
        <v>0</v>
      </c>
      <c r="E40" s="34">
        <f>'[1]buses-marginal_price'!E38</f>
        <v>0</v>
      </c>
      <c r="F40" s="34">
        <f>'[1]buses-marginal_price'!F38</f>
        <v>0</v>
      </c>
      <c r="G40" s="34">
        <f>'[1]buses-marginal_price'!G38</f>
        <v>0</v>
      </c>
      <c r="H40" s="34">
        <f>'[1]buses-marginal_price'!K38</f>
        <v>0</v>
      </c>
    </row>
    <row r="41" spans="1:15">
      <c r="A41" s="18">
        <v>37</v>
      </c>
      <c r="B41" s="34">
        <f>'[1]buses-marginal_price'!B39</f>
        <v>0</v>
      </c>
      <c r="C41" s="34">
        <f>'[1]buses-marginal_price'!C39</f>
        <v>8.4999999999999992E-2</v>
      </c>
      <c r="D41" s="34">
        <f>'[1]buses-marginal_price'!D39</f>
        <v>0</v>
      </c>
      <c r="E41" s="34">
        <f>'[1]buses-marginal_price'!E39</f>
        <v>0</v>
      </c>
      <c r="F41" s="34">
        <f>'[1]buses-marginal_price'!F39</f>
        <v>0</v>
      </c>
      <c r="G41" s="34">
        <f>'[1]buses-marginal_price'!G39</f>
        <v>0</v>
      </c>
      <c r="H41" s="34">
        <f>'[1]buses-marginal_price'!K39</f>
        <v>0</v>
      </c>
    </row>
    <row r="42" spans="1:15">
      <c r="A42" s="18">
        <v>38</v>
      </c>
      <c r="B42" s="34">
        <f>'[1]buses-marginal_price'!B40</f>
        <v>0</v>
      </c>
      <c r="C42" s="34">
        <f>'[1]buses-marginal_price'!C40</f>
        <v>8.4999999999999992E-2</v>
      </c>
      <c r="D42" s="34">
        <f>'[1]buses-marginal_price'!D40</f>
        <v>0</v>
      </c>
      <c r="E42" s="34">
        <f>'[1]buses-marginal_price'!E40</f>
        <v>0</v>
      </c>
      <c r="F42" s="34">
        <f>'[1]buses-marginal_price'!F40</f>
        <v>0</v>
      </c>
      <c r="G42" s="34">
        <f>'[1]buses-marginal_price'!G40</f>
        <v>0</v>
      </c>
      <c r="H42" s="34">
        <f>'[1]buses-marginal_price'!K40</f>
        <v>0</v>
      </c>
    </row>
    <row r="43" spans="1:15">
      <c r="A43" s="18">
        <v>39</v>
      </c>
      <c r="B43" s="34">
        <f>'[1]buses-marginal_price'!B41</f>
        <v>0</v>
      </c>
      <c r="C43" s="34">
        <f>'[1]buses-marginal_price'!C41</f>
        <v>8.4999999999999992E-2</v>
      </c>
      <c r="D43" s="34">
        <f>'[1]buses-marginal_price'!D41</f>
        <v>0</v>
      </c>
      <c r="E43" s="34">
        <f>'[1]buses-marginal_price'!E41</f>
        <v>0</v>
      </c>
      <c r="F43" s="34">
        <f>'[1]buses-marginal_price'!F41</f>
        <v>0</v>
      </c>
      <c r="G43" s="34">
        <f>'[1]buses-marginal_price'!G41</f>
        <v>0</v>
      </c>
      <c r="H43" s="34">
        <f>'[1]buses-marginal_price'!K41</f>
        <v>0</v>
      </c>
    </row>
    <row r="44" spans="1:15">
      <c r="A44" s="18">
        <v>40</v>
      </c>
      <c r="B44" s="34">
        <f>'[1]buses-marginal_price'!B42</f>
        <v>0</v>
      </c>
      <c r="C44" s="34">
        <f>'[1]buses-marginal_price'!C42</f>
        <v>8.4999999999999992E-2</v>
      </c>
      <c r="D44" s="34">
        <f>'[1]buses-marginal_price'!D42</f>
        <v>0</v>
      </c>
      <c r="E44" s="34">
        <f>'[1]buses-marginal_price'!E42</f>
        <v>0</v>
      </c>
      <c r="F44" s="34">
        <f>'[1]buses-marginal_price'!F42</f>
        <v>0</v>
      </c>
      <c r="G44" s="34">
        <f>'[1]buses-marginal_price'!G42</f>
        <v>0</v>
      </c>
      <c r="H44" s="34">
        <f>'[1]buses-marginal_price'!K42</f>
        <v>0</v>
      </c>
    </row>
    <row r="45" spans="1:15">
      <c r="A45" s="18">
        <v>41</v>
      </c>
      <c r="B45" s="34">
        <f>'[1]buses-marginal_price'!B43</f>
        <v>0.1</v>
      </c>
      <c r="C45" s="34">
        <f>'[1]buses-marginal_price'!C43</f>
        <v>8.4999999999999992E-2</v>
      </c>
      <c r="D45" s="34">
        <f>'[1]buses-marginal_price'!D43</f>
        <v>0.1428571428571429</v>
      </c>
      <c r="E45" s="34">
        <f>'[1]buses-marginal_price'!E43</f>
        <v>0.1</v>
      </c>
      <c r="F45" s="34">
        <f>'[1]buses-marginal_price'!F43</f>
        <v>0.1</v>
      </c>
      <c r="G45" s="34">
        <f>'[1]buses-marginal_price'!G43</f>
        <v>0</v>
      </c>
      <c r="H45" s="34">
        <f>'[1]buses-marginal_price'!K43</f>
        <v>0</v>
      </c>
    </row>
    <row r="46" spans="1:15">
      <c r="A46" s="18">
        <v>42</v>
      </c>
      <c r="B46" s="34">
        <f>'[1]buses-marginal_price'!B44</f>
        <v>0.1</v>
      </c>
      <c r="C46" s="34">
        <f>'[1]buses-marginal_price'!C44</f>
        <v>8.4999999999999992E-2</v>
      </c>
      <c r="D46" s="34">
        <f>'[1]buses-marginal_price'!D44</f>
        <v>0.1428571428571429</v>
      </c>
      <c r="E46" s="34">
        <f>'[1]buses-marginal_price'!E44</f>
        <v>0.1</v>
      </c>
      <c r="F46" s="34">
        <f>'[1]buses-marginal_price'!F44</f>
        <v>0.1</v>
      </c>
      <c r="G46" s="34">
        <f>'[1]buses-marginal_price'!G44</f>
        <v>0</v>
      </c>
      <c r="H46" s="34">
        <f>'[1]buses-marginal_price'!K44</f>
        <v>0</v>
      </c>
      <c r="J46" s="63"/>
    </row>
    <row r="47" spans="1:15">
      <c r="A47" s="18">
        <v>43</v>
      </c>
      <c r="B47" s="34">
        <f>'[1]buses-marginal_price'!B45</f>
        <v>0.1</v>
      </c>
      <c r="C47" s="34">
        <f>'[1]buses-marginal_price'!C45</f>
        <v>8.4999999999999992E-2</v>
      </c>
      <c r="D47" s="34">
        <f>'[1]buses-marginal_price'!D45</f>
        <v>0.1428571428571429</v>
      </c>
      <c r="E47" s="34">
        <f>'[1]buses-marginal_price'!E45</f>
        <v>0.1</v>
      </c>
      <c r="F47" s="34">
        <f>'[1]buses-marginal_price'!F45</f>
        <v>0.1</v>
      </c>
      <c r="G47" s="34">
        <f>'[1]buses-marginal_price'!G45</f>
        <v>0</v>
      </c>
      <c r="H47" s="34">
        <f>'[1]buses-marginal_price'!K45</f>
        <v>0</v>
      </c>
      <c r="J47" s="63"/>
      <c r="O47" s="59"/>
    </row>
    <row r="48" spans="1:15">
      <c r="A48" s="18">
        <v>44</v>
      </c>
      <c r="B48" s="34">
        <f>'[1]buses-marginal_price'!B46</f>
        <v>0.1</v>
      </c>
      <c r="C48" s="34">
        <f>'[1]buses-marginal_price'!C46</f>
        <v>8.4999999999999992E-2</v>
      </c>
      <c r="D48" s="34">
        <f>'[1]buses-marginal_price'!D46</f>
        <v>0.1428571428571429</v>
      </c>
      <c r="E48" s="34">
        <f>'[1]buses-marginal_price'!E46</f>
        <v>0.1</v>
      </c>
      <c r="F48" s="34">
        <f>'[1]buses-marginal_price'!F46</f>
        <v>0.1</v>
      </c>
      <c r="G48" s="34">
        <f>'[1]buses-marginal_price'!G46</f>
        <v>0</v>
      </c>
      <c r="H48" s="34">
        <f>'[1]buses-marginal_price'!K46</f>
        <v>0</v>
      </c>
      <c r="J48" s="63"/>
    </row>
    <row r="49" spans="1:10">
      <c r="A49" s="18">
        <v>45</v>
      </c>
      <c r="B49" s="34">
        <f>'[1]buses-marginal_price'!B47</f>
        <v>0.1</v>
      </c>
      <c r="C49" s="34">
        <f>'[1]buses-marginal_price'!C47</f>
        <v>8.4999999999999992E-2</v>
      </c>
      <c r="D49" s="34">
        <f>'[1]buses-marginal_price'!D47</f>
        <v>0.1428571428571429</v>
      </c>
      <c r="E49" s="34">
        <f>'[1]buses-marginal_price'!E47</f>
        <v>0.1</v>
      </c>
      <c r="F49" s="34">
        <f>'[1]buses-marginal_price'!F47</f>
        <v>0.1</v>
      </c>
      <c r="G49" s="34">
        <f>'[1]buses-marginal_price'!G47</f>
        <v>0</v>
      </c>
      <c r="H49" s="34">
        <f>'[1]buses-marginal_price'!K47</f>
        <v>0</v>
      </c>
      <c r="J49" s="63"/>
    </row>
    <row r="50" spans="1:10">
      <c r="A50" s="18">
        <v>46</v>
      </c>
      <c r="B50" s="34">
        <f>'[1]buses-marginal_price'!B48</f>
        <v>0.1</v>
      </c>
      <c r="C50" s="34">
        <f>'[1]buses-marginal_price'!C48</f>
        <v>8.4999999999999992E-2</v>
      </c>
      <c r="D50" s="34">
        <f>'[1]buses-marginal_price'!D48</f>
        <v>0.1428571428571429</v>
      </c>
      <c r="E50" s="34">
        <f>'[1]buses-marginal_price'!E48</f>
        <v>0.1</v>
      </c>
      <c r="F50" s="34">
        <f>'[1]buses-marginal_price'!F48</f>
        <v>0.1</v>
      </c>
      <c r="G50" s="34">
        <f>'[1]buses-marginal_price'!G48</f>
        <v>0</v>
      </c>
      <c r="H50" s="34">
        <f>'[1]buses-marginal_price'!K48</f>
        <v>0</v>
      </c>
    </row>
    <row r="51" spans="1:10">
      <c r="A51" s="18">
        <v>47</v>
      </c>
      <c r="B51" s="34">
        <f>'[1]buses-marginal_price'!B49</f>
        <v>0.1</v>
      </c>
      <c r="C51" s="34">
        <f>'[1]buses-marginal_price'!C49</f>
        <v>8.4999999999999992E-2</v>
      </c>
      <c r="D51" s="34">
        <f>'[1]buses-marginal_price'!D49</f>
        <v>0.1428571428571429</v>
      </c>
      <c r="E51" s="34">
        <f>'[1]buses-marginal_price'!E49</f>
        <v>0.1</v>
      </c>
      <c r="F51" s="34">
        <f>'[1]buses-marginal_price'!F49</f>
        <v>0.1</v>
      </c>
      <c r="G51" s="34">
        <f>'[1]buses-marginal_price'!G49</f>
        <v>0</v>
      </c>
      <c r="H51" s="34">
        <f>'[1]buses-marginal_price'!K49</f>
        <v>0</v>
      </c>
    </row>
    <row r="52" spans="1:10">
      <c r="A52" s="18">
        <v>48</v>
      </c>
      <c r="B52" s="34">
        <f>'[1]buses-marginal_price'!B50</f>
        <v>9.9999999999999992E-2</v>
      </c>
      <c r="C52" s="34">
        <f>'[1]buses-marginal_price'!C50</f>
        <v>8.4999999999999992E-2</v>
      </c>
      <c r="D52" s="34">
        <f>'[1]buses-marginal_price'!D50</f>
        <v>0.14285714285714279</v>
      </c>
      <c r="E52" s="34">
        <f>'[1]buses-marginal_price'!E50</f>
        <v>9.9999999999999992E-2</v>
      </c>
      <c r="F52" s="34">
        <f>'[1]buses-marginal_price'!F50</f>
        <v>9.9999999999999992E-2</v>
      </c>
      <c r="G52" s="34">
        <f>'[1]buses-marginal_price'!G50</f>
        <v>0</v>
      </c>
      <c r="H52" s="34">
        <f>'[1]buses-marginal_price'!K50</f>
        <v>0</v>
      </c>
    </row>
    <row r="53" spans="1:10">
      <c r="A53" s="18">
        <v>49</v>
      </c>
      <c r="B53" s="34">
        <f>'[1]buses-marginal_price'!B51</f>
        <v>9.9999999999999992E-2</v>
      </c>
      <c r="C53" s="34">
        <f>'[1]buses-marginal_price'!C51</f>
        <v>8.4999999999999992E-2</v>
      </c>
      <c r="D53" s="34">
        <f>'[1]buses-marginal_price'!D51</f>
        <v>0.14285714285714279</v>
      </c>
      <c r="E53" s="34">
        <f>'[1]buses-marginal_price'!E51</f>
        <v>9.9999999999999992E-2</v>
      </c>
      <c r="F53" s="34">
        <f>'[1]buses-marginal_price'!F51</f>
        <v>9.9999999999999992E-2</v>
      </c>
      <c r="G53" s="34">
        <f>'[1]buses-marginal_price'!G51</f>
        <v>0</v>
      </c>
      <c r="H53" s="34">
        <f>'[1]buses-marginal_price'!K51</f>
        <v>0</v>
      </c>
    </row>
    <row r="54" spans="1:10">
      <c r="A54" s="18">
        <v>50</v>
      </c>
      <c r="B54" s="34">
        <f>'[1]buses-marginal_price'!B52</f>
        <v>0.1</v>
      </c>
      <c r="C54" s="34">
        <f>'[1]buses-marginal_price'!C52</f>
        <v>8.4999999999999992E-2</v>
      </c>
      <c r="D54" s="34">
        <f>'[1]buses-marginal_price'!D52</f>
        <v>0.1428571428571429</v>
      </c>
      <c r="E54" s="34">
        <f>'[1]buses-marginal_price'!E52</f>
        <v>0.1</v>
      </c>
      <c r="F54" s="34">
        <f>'[1]buses-marginal_price'!F52</f>
        <v>0.1</v>
      </c>
      <c r="G54" s="34">
        <f>'[1]buses-marginal_price'!G52</f>
        <v>0</v>
      </c>
      <c r="H54" s="34">
        <f>'[1]buses-marginal_price'!K52</f>
        <v>0</v>
      </c>
    </row>
    <row r="55" spans="1:10">
      <c r="A55" s="18">
        <v>51</v>
      </c>
      <c r="B55" s="34">
        <f>'[1]buses-marginal_price'!B53</f>
        <v>0.1</v>
      </c>
      <c r="C55" s="34">
        <f>'[1]buses-marginal_price'!C53</f>
        <v>8.4999999999999992E-2</v>
      </c>
      <c r="D55" s="34">
        <f>'[1]buses-marginal_price'!D53</f>
        <v>0.1428571428571429</v>
      </c>
      <c r="E55" s="34">
        <f>'[1]buses-marginal_price'!E53</f>
        <v>0.1</v>
      </c>
      <c r="F55" s="34">
        <f>'[1]buses-marginal_price'!F53</f>
        <v>0.1</v>
      </c>
      <c r="G55" s="34">
        <f>'[1]buses-marginal_price'!G53</f>
        <v>0</v>
      </c>
      <c r="H55" s="34">
        <f>'[1]buses-marginal_price'!K53</f>
        <v>0</v>
      </c>
    </row>
    <row r="56" spans="1:10">
      <c r="A56" s="18">
        <v>52</v>
      </c>
      <c r="B56" s="34">
        <f>'[1]buses-marginal_price'!B54</f>
        <v>0.1</v>
      </c>
      <c r="C56" s="34">
        <f>'[1]buses-marginal_price'!C54</f>
        <v>8.4999999999999992E-2</v>
      </c>
      <c r="D56" s="34">
        <f>'[1]buses-marginal_price'!D54</f>
        <v>0.1428571428571429</v>
      </c>
      <c r="E56" s="34">
        <f>'[1]buses-marginal_price'!E54</f>
        <v>0.1</v>
      </c>
      <c r="F56" s="34">
        <f>'[1]buses-marginal_price'!F54</f>
        <v>0.1</v>
      </c>
      <c r="G56" s="34">
        <f>'[1]buses-marginal_price'!G54</f>
        <v>0</v>
      </c>
      <c r="H56" s="34">
        <f>'[1]buses-marginal_price'!K54</f>
        <v>0</v>
      </c>
    </row>
    <row r="57" spans="1:10">
      <c r="A57" s="18">
        <v>53</v>
      </c>
      <c r="B57" s="34">
        <f>'[1]buses-marginal_price'!B55</f>
        <v>0.1</v>
      </c>
      <c r="C57" s="34">
        <f>'[1]buses-marginal_price'!C55</f>
        <v>8.4999999999999992E-2</v>
      </c>
      <c r="D57" s="34">
        <f>'[1]buses-marginal_price'!D55</f>
        <v>0.1428571428571429</v>
      </c>
      <c r="E57" s="34">
        <f>'[1]buses-marginal_price'!E55</f>
        <v>0.1</v>
      </c>
      <c r="F57" s="34">
        <f>'[1]buses-marginal_price'!F55</f>
        <v>0.1</v>
      </c>
      <c r="G57" s="34">
        <f>'[1]buses-marginal_price'!G55</f>
        <v>0</v>
      </c>
      <c r="H57" s="34">
        <f>'[1]buses-marginal_price'!K55</f>
        <v>0</v>
      </c>
    </row>
    <row r="58" spans="1:10">
      <c r="A58" s="18">
        <v>54</v>
      </c>
      <c r="B58" s="34">
        <f>'[1]buses-marginal_price'!B56</f>
        <v>0.1</v>
      </c>
      <c r="C58" s="34">
        <f>'[1]buses-marginal_price'!C56</f>
        <v>8.4999999999999992E-2</v>
      </c>
      <c r="D58" s="34">
        <f>'[1]buses-marginal_price'!D56</f>
        <v>0.1428571428571429</v>
      </c>
      <c r="E58" s="34">
        <f>'[1]buses-marginal_price'!E56</f>
        <v>0.1</v>
      </c>
      <c r="F58" s="34">
        <f>'[1]buses-marginal_price'!F56</f>
        <v>0.1</v>
      </c>
      <c r="G58" s="34">
        <f>'[1]buses-marginal_price'!G56</f>
        <v>0</v>
      </c>
      <c r="H58" s="34">
        <f>'[1]buses-marginal_price'!K56</f>
        <v>0</v>
      </c>
    </row>
    <row r="59" spans="1:10">
      <c r="A59" s="18">
        <v>55</v>
      </c>
      <c r="B59" s="34">
        <f>'[1]buses-marginal_price'!B57</f>
        <v>0.1</v>
      </c>
      <c r="C59" s="34">
        <f>'[1]buses-marginal_price'!C57</f>
        <v>8.4999999999999992E-2</v>
      </c>
      <c r="D59" s="34">
        <f>'[1]buses-marginal_price'!D57</f>
        <v>0.1428571428571429</v>
      </c>
      <c r="E59" s="34">
        <f>'[1]buses-marginal_price'!E57</f>
        <v>0.1</v>
      </c>
      <c r="F59" s="34">
        <f>'[1]buses-marginal_price'!F57</f>
        <v>0.1</v>
      </c>
      <c r="G59" s="34">
        <f>'[1]buses-marginal_price'!G57</f>
        <v>0</v>
      </c>
      <c r="H59" s="34">
        <f>'[1]buses-marginal_price'!K57</f>
        <v>0</v>
      </c>
    </row>
    <row r="60" spans="1:10">
      <c r="A60" s="18">
        <v>56</v>
      </c>
      <c r="B60" s="34">
        <f>'[1]buses-marginal_price'!B58</f>
        <v>0.1</v>
      </c>
      <c r="C60" s="34">
        <f>'[1]buses-marginal_price'!C58</f>
        <v>8.4999999999999992E-2</v>
      </c>
      <c r="D60" s="34">
        <f>'[1]buses-marginal_price'!D58</f>
        <v>0.1428571428571429</v>
      </c>
      <c r="E60" s="34">
        <f>'[1]buses-marginal_price'!E58</f>
        <v>0.1</v>
      </c>
      <c r="F60" s="34">
        <f>'[1]buses-marginal_price'!F58</f>
        <v>0.1</v>
      </c>
      <c r="G60" s="34">
        <f>'[1]buses-marginal_price'!G58</f>
        <v>0</v>
      </c>
      <c r="H60" s="34">
        <f>'[1]buses-marginal_price'!K58</f>
        <v>0</v>
      </c>
    </row>
    <row r="61" spans="1:10">
      <c r="A61" s="18">
        <v>57</v>
      </c>
      <c r="B61" s="34">
        <f>'[1]buses-marginal_price'!B59</f>
        <v>6.3749999999999987E-2</v>
      </c>
      <c r="C61" s="34">
        <f>'[1]buses-marginal_price'!C59</f>
        <v>8.4999999999999992E-2</v>
      </c>
      <c r="D61" s="34">
        <f>'[1]buses-marginal_price'!D59</f>
        <v>9.1071428571428567E-2</v>
      </c>
      <c r="E61" s="34">
        <f>'[1]buses-marginal_price'!E59</f>
        <v>6.3749999999999987E-2</v>
      </c>
      <c r="F61" s="34">
        <f>'[1]buses-marginal_price'!F59</f>
        <v>6.3749999999999987E-2</v>
      </c>
      <c r="G61" s="34">
        <f>'[1]buses-marginal_price'!G59</f>
        <v>0</v>
      </c>
      <c r="H61" s="34">
        <f>'[1]buses-marginal_price'!K59</f>
        <v>0</v>
      </c>
    </row>
    <row r="62" spans="1:10">
      <c r="A62" s="18">
        <v>58</v>
      </c>
      <c r="B62" s="34">
        <f>'[1]buses-marginal_price'!B60</f>
        <v>0</v>
      </c>
      <c r="C62" s="34">
        <f>'[1]buses-marginal_price'!C60</f>
        <v>8.4999999999999992E-2</v>
      </c>
      <c r="D62" s="34">
        <f>'[1]buses-marginal_price'!D60</f>
        <v>0</v>
      </c>
      <c r="E62" s="34">
        <f>'[1]buses-marginal_price'!E60</f>
        <v>0</v>
      </c>
      <c r="F62" s="34">
        <f>'[1]buses-marginal_price'!F60</f>
        <v>0</v>
      </c>
      <c r="G62" s="34">
        <f>'[1]buses-marginal_price'!G60</f>
        <v>0</v>
      </c>
      <c r="H62" s="34">
        <f>'[1]buses-marginal_price'!K60</f>
        <v>0</v>
      </c>
    </row>
    <row r="63" spans="1:10">
      <c r="A63" s="18">
        <v>59</v>
      </c>
      <c r="B63" s="34">
        <f>'[1]buses-marginal_price'!B61</f>
        <v>0</v>
      </c>
      <c r="C63" s="34">
        <f>'[1]buses-marginal_price'!C61</f>
        <v>8.4999999999999992E-2</v>
      </c>
      <c r="D63" s="34">
        <f>'[1]buses-marginal_price'!D61</f>
        <v>0</v>
      </c>
      <c r="E63" s="34">
        <f>'[1]buses-marginal_price'!E61</f>
        <v>0</v>
      </c>
      <c r="F63" s="34">
        <f>'[1]buses-marginal_price'!F61</f>
        <v>0</v>
      </c>
      <c r="G63" s="34">
        <f>'[1]buses-marginal_price'!G61</f>
        <v>0</v>
      </c>
      <c r="H63" s="34">
        <f>'[1]buses-marginal_price'!K61</f>
        <v>0</v>
      </c>
    </row>
    <row r="64" spans="1:10">
      <c r="A64" s="18">
        <v>60</v>
      </c>
      <c r="B64" s="34">
        <f>'[1]buses-marginal_price'!B62</f>
        <v>0</v>
      </c>
      <c r="C64" s="34">
        <f>'[1]buses-marginal_price'!C62</f>
        <v>8.4999999999999992E-2</v>
      </c>
      <c r="D64" s="34">
        <f>'[1]buses-marginal_price'!D62</f>
        <v>0</v>
      </c>
      <c r="E64" s="34">
        <f>'[1]buses-marginal_price'!E62</f>
        <v>0</v>
      </c>
      <c r="F64" s="34">
        <f>'[1]buses-marginal_price'!F62</f>
        <v>0</v>
      </c>
      <c r="G64" s="34">
        <f>'[1]buses-marginal_price'!G62</f>
        <v>0</v>
      </c>
      <c r="H64" s="34">
        <f>'[1]buses-marginal_price'!K62</f>
        <v>0</v>
      </c>
    </row>
    <row r="65" spans="1:8">
      <c r="A65" s="18">
        <v>61</v>
      </c>
      <c r="B65" s="34">
        <f>'[1]buses-marginal_price'!B63</f>
        <v>0</v>
      </c>
      <c r="C65" s="34">
        <f>'[1]buses-marginal_price'!C63</f>
        <v>8.4999999999999992E-2</v>
      </c>
      <c r="D65" s="34">
        <f>'[1]buses-marginal_price'!D63</f>
        <v>0</v>
      </c>
      <c r="E65" s="34">
        <f>'[1]buses-marginal_price'!E63</f>
        <v>0</v>
      </c>
      <c r="F65" s="34">
        <f>'[1]buses-marginal_price'!F63</f>
        <v>0</v>
      </c>
      <c r="G65" s="34">
        <f>'[1]buses-marginal_price'!G63</f>
        <v>0</v>
      </c>
      <c r="H65" s="34">
        <f>'[1]buses-marginal_price'!K63</f>
        <v>0</v>
      </c>
    </row>
    <row r="66" spans="1:8">
      <c r="A66" s="18">
        <v>62</v>
      </c>
      <c r="B66" s="34">
        <f>'[1]buses-marginal_price'!B64</f>
        <v>0</v>
      </c>
      <c r="C66" s="34">
        <f>'[1]buses-marginal_price'!C64</f>
        <v>8.4999999999999992E-2</v>
      </c>
      <c r="D66" s="34">
        <f>'[1]buses-marginal_price'!D64</f>
        <v>0</v>
      </c>
      <c r="E66" s="34">
        <f>'[1]buses-marginal_price'!E64</f>
        <v>0</v>
      </c>
      <c r="F66" s="34">
        <f>'[1]buses-marginal_price'!F64</f>
        <v>0</v>
      </c>
      <c r="G66" s="34">
        <f>'[1]buses-marginal_price'!G64</f>
        <v>0</v>
      </c>
      <c r="H66" s="34">
        <f>'[1]buses-marginal_price'!K64</f>
        <v>0</v>
      </c>
    </row>
    <row r="67" spans="1:8">
      <c r="A67" s="18">
        <v>63</v>
      </c>
      <c r="B67" s="34">
        <f>'[1]buses-marginal_price'!B65</f>
        <v>0</v>
      </c>
      <c r="C67" s="34">
        <f>'[1]buses-marginal_price'!C65</f>
        <v>8.4999999999999992E-2</v>
      </c>
      <c r="D67" s="34">
        <f>'[1]buses-marginal_price'!D65</f>
        <v>0</v>
      </c>
      <c r="E67" s="34">
        <f>'[1]buses-marginal_price'!E65</f>
        <v>0</v>
      </c>
      <c r="F67" s="34">
        <f>'[1]buses-marginal_price'!F65</f>
        <v>0</v>
      </c>
      <c r="G67" s="34">
        <f>'[1]buses-marginal_price'!G65</f>
        <v>0</v>
      </c>
      <c r="H67" s="34">
        <f>'[1]buses-marginal_price'!K65</f>
        <v>0</v>
      </c>
    </row>
    <row r="68" spans="1:8">
      <c r="A68" s="18">
        <v>64</v>
      </c>
      <c r="B68" s="34">
        <f>'[1]buses-marginal_price'!B66</f>
        <v>0</v>
      </c>
      <c r="C68" s="34">
        <f>'[1]buses-marginal_price'!C66</f>
        <v>8.4999999999999992E-2</v>
      </c>
      <c r="D68" s="34">
        <f>'[1]buses-marginal_price'!D66</f>
        <v>0</v>
      </c>
      <c r="E68" s="34">
        <f>'[1]buses-marginal_price'!E66</f>
        <v>0</v>
      </c>
      <c r="F68" s="34">
        <f>'[1]buses-marginal_price'!F66</f>
        <v>0</v>
      </c>
      <c r="G68" s="34">
        <f>'[1]buses-marginal_price'!G66</f>
        <v>0</v>
      </c>
      <c r="H68" s="34">
        <f>'[1]buses-marginal_price'!K66</f>
        <v>0</v>
      </c>
    </row>
    <row r="69" spans="1:8">
      <c r="A69" s="18">
        <v>65</v>
      </c>
      <c r="B69" s="34">
        <f>'[1]buses-marginal_price'!B67</f>
        <v>15.62</v>
      </c>
      <c r="C69" s="34">
        <f>'[1]buses-marginal_price'!C67</f>
        <v>8.4999999999999992E-2</v>
      </c>
      <c r="D69" s="34">
        <f>'[1]buses-marginal_price'!D67</f>
        <v>22.31428571428572</v>
      </c>
      <c r="E69" s="34">
        <f>'[1]buses-marginal_price'!E67</f>
        <v>15.62</v>
      </c>
      <c r="F69" s="34">
        <f>'[1]buses-marginal_price'!F67</f>
        <v>15.62</v>
      </c>
      <c r="G69" s="34">
        <f>'[1]buses-marginal_price'!G67</f>
        <v>0</v>
      </c>
      <c r="H69" s="34">
        <f>'[1]buses-marginal_price'!K67</f>
        <v>15.63</v>
      </c>
    </row>
    <row r="70" spans="1:8">
      <c r="A70" s="18">
        <v>66</v>
      </c>
      <c r="B70" s="34">
        <f>'[1]buses-marginal_price'!B68</f>
        <v>15.62</v>
      </c>
      <c r="C70" s="34">
        <f>'[1]buses-marginal_price'!C68</f>
        <v>8.4999999999999992E-2</v>
      </c>
      <c r="D70" s="34">
        <f>'[1]buses-marginal_price'!D68</f>
        <v>22.31428571428572</v>
      </c>
      <c r="E70" s="34">
        <f>'[1]buses-marginal_price'!E68</f>
        <v>15.62</v>
      </c>
      <c r="F70" s="34">
        <f>'[1]buses-marginal_price'!F68</f>
        <v>15.62</v>
      </c>
      <c r="G70" s="34">
        <f>'[1]buses-marginal_price'!G68</f>
        <v>0</v>
      </c>
      <c r="H70" s="34">
        <f>'[1]buses-marginal_price'!K68</f>
        <v>15.63</v>
      </c>
    </row>
    <row r="71" spans="1:8">
      <c r="A71" s="18">
        <v>67</v>
      </c>
      <c r="B71" s="34">
        <f>'[1]buses-marginal_price'!B69</f>
        <v>15.62</v>
      </c>
      <c r="C71" s="34">
        <f>'[1]buses-marginal_price'!C69</f>
        <v>8.4999999999999992E-2</v>
      </c>
      <c r="D71" s="34">
        <f>'[1]buses-marginal_price'!D69</f>
        <v>22.31428571428572</v>
      </c>
      <c r="E71" s="34">
        <f>'[1]buses-marginal_price'!E69</f>
        <v>15.62</v>
      </c>
      <c r="F71" s="34">
        <f>'[1]buses-marginal_price'!F69</f>
        <v>15.62</v>
      </c>
      <c r="G71" s="34">
        <f>'[1]buses-marginal_price'!G69</f>
        <v>0</v>
      </c>
      <c r="H71" s="34">
        <f>'[1]buses-marginal_price'!K69</f>
        <v>15.63</v>
      </c>
    </row>
    <row r="72" spans="1:8">
      <c r="A72" s="18">
        <v>68</v>
      </c>
      <c r="B72" s="34">
        <f>'[1]buses-marginal_price'!B70</f>
        <v>15.62</v>
      </c>
      <c r="C72" s="34">
        <f>'[1]buses-marginal_price'!C70</f>
        <v>8.4999999999999992E-2</v>
      </c>
      <c r="D72" s="34">
        <f>'[1]buses-marginal_price'!D70</f>
        <v>22.31428571428572</v>
      </c>
      <c r="E72" s="34">
        <f>'[1]buses-marginal_price'!E70</f>
        <v>15.62</v>
      </c>
      <c r="F72" s="34">
        <f>'[1]buses-marginal_price'!F70</f>
        <v>15.62</v>
      </c>
      <c r="G72" s="34">
        <f>'[1]buses-marginal_price'!G70</f>
        <v>0</v>
      </c>
      <c r="H72" s="34">
        <f>'[1]buses-marginal_price'!K70</f>
        <v>15.63</v>
      </c>
    </row>
    <row r="73" spans="1:8">
      <c r="A73" s="18">
        <v>69</v>
      </c>
      <c r="B73" s="34">
        <f>'[1]buses-marginal_price'!B71</f>
        <v>15.62</v>
      </c>
      <c r="C73" s="34">
        <f>'[1]buses-marginal_price'!C71</f>
        <v>8.4999999999999992E-2</v>
      </c>
      <c r="D73" s="34">
        <f>'[1]buses-marginal_price'!D71</f>
        <v>22.31428571428572</v>
      </c>
      <c r="E73" s="34">
        <f>'[1]buses-marginal_price'!E71</f>
        <v>15.62</v>
      </c>
      <c r="F73" s="34">
        <f>'[1]buses-marginal_price'!F71</f>
        <v>15.62</v>
      </c>
      <c r="G73" s="34">
        <f>'[1]buses-marginal_price'!G71</f>
        <v>0</v>
      </c>
      <c r="H73" s="34">
        <f>'[1]buses-marginal_price'!K71</f>
        <v>15.61</v>
      </c>
    </row>
    <row r="74" spans="1:8">
      <c r="A74" s="18">
        <v>70</v>
      </c>
      <c r="B74" s="34">
        <f>'[1]buses-marginal_price'!B72</f>
        <v>15.62</v>
      </c>
      <c r="C74" s="34">
        <f>'[1]buses-marginal_price'!C72</f>
        <v>8.4999999999999992E-2</v>
      </c>
      <c r="D74" s="34">
        <f>'[1]buses-marginal_price'!D72</f>
        <v>22.31428571428572</v>
      </c>
      <c r="E74" s="34">
        <f>'[1]buses-marginal_price'!E72</f>
        <v>15.62</v>
      </c>
      <c r="F74" s="34">
        <f>'[1]buses-marginal_price'!F72</f>
        <v>15.62</v>
      </c>
      <c r="G74" s="34">
        <f>'[1]buses-marginal_price'!G72</f>
        <v>0</v>
      </c>
      <c r="H74" s="34">
        <f>'[1]buses-marginal_price'!K72</f>
        <v>15.61</v>
      </c>
    </row>
    <row r="75" spans="1:8">
      <c r="A75" s="18">
        <v>71</v>
      </c>
      <c r="B75" s="34">
        <f>'[1]buses-marginal_price'!B73</f>
        <v>15.62</v>
      </c>
      <c r="C75" s="34">
        <f>'[1]buses-marginal_price'!C73</f>
        <v>8.4999999999999992E-2</v>
      </c>
      <c r="D75" s="34">
        <f>'[1]buses-marginal_price'!D73</f>
        <v>22.31428571428572</v>
      </c>
      <c r="E75" s="34">
        <f>'[1]buses-marginal_price'!E73</f>
        <v>15.62</v>
      </c>
      <c r="F75" s="34">
        <f>'[1]buses-marginal_price'!F73</f>
        <v>15.62</v>
      </c>
      <c r="G75" s="34">
        <f>'[1]buses-marginal_price'!G73</f>
        <v>0</v>
      </c>
      <c r="H75" s="34">
        <f>'[1]buses-marginal_price'!K73</f>
        <v>1.414142128354249</v>
      </c>
    </row>
    <row r="76" spans="1:8">
      <c r="A76" s="18">
        <v>72</v>
      </c>
      <c r="B76" s="34">
        <f>'[1]buses-marginal_price'!B74</f>
        <v>15.62</v>
      </c>
      <c r="C76" s="34">
        <f>'[1]buses-marginal_price'!C74</f>
        <v>8.4999999999999992E-2</v>
      </c>
      <c r="D76" s="34">
        <f>'[1]buses-marginal_price'!D74</f>
        <v>22.31428571428572</v>
      </c>
      <c r="E76" s="34">
        <f>'[1]buses-marginal_price'!E74</f>
        <v>15.62</v>
      </c>
      <c r="F76" s="34">
        <f>'[1]buses-marginal_price'!F74</f>
        <v>15.62</v>
      </c>
      <c r="G76" s="34">
        <f>'[1]buses-marginal_price'!G74</f>
        <v>0</v>
      </c>
      <c r="H76" s="34">
        <f>'[1]buses-marginal_price'!K74</f>
        <v>0</v>
      </c>
    </row>
    <row r="77" spans="1:8">
      <c r="A77" s="18">
        <v>73</v>
      </c>
      <c r="B77" s="34">
        <f>'[1]buses-marginal_price'!B75</f>
        <v>15.62</v>
      </c>
      <c r="C77" s="34">
        <f>'[1]buses-marginal_price'!C75</f>
        <v>8.4999999999999992E-2</v>
      </c>
      <c r="D77" s="34">
        <f>'[1]buses-marginal_price'!D75</f>
        <v>22.31428571428572</v>
      </c>
      <c r="E77" s="34">
        <f>'[1]buses-marginal_price'!E75</f>
        <v>15.62</v>
      </c>
      <c r="F77" s="34">
        <f>'[1]buses-marginal_price'!F75</f>
        <v>15.62</v>
      </c>
      <c r="G77" s="34">
        <f>'[1]buses-marginal_price'!G75</f>
        <v>0</v>
      </c>
      <c r="H77" s="34">
        <f>'[1]buses-marginal_price'!K75</f>
        <v>0</v>
      </c>
    </row>
    <row r="78" spans="1:8">
      <c r="A78" s="18">
        <v>74</v>
      </c>
      <c r="B78" s="34">
        <f>'[1]buses-marginal_price'!B76</f>
        <v>15.62</v>
      </c>
      <c r="C78" s="34">
        <f>'[1]buses-marginal_price'!C76</f>
        <v>8.4999999999999992E-2</v>
      </c>
      <c r="D78" s="34">
        <f>'[1]buses-marginal_price'!D76</f>
        <v>22.31428571428572</v>
      </c>
      <c r="E78" s="34">
        <f>'[1]buses-marginal_price'!E76</f>
        <v>15.62</v>
      </c>
      <c r="F78" s="34">
        <f>'[1]buses-marginal_price'!F76</f>
        <v>15.62</v>
      </c>
      <c r="G78" s="34">
        <f>'[1]buses-marginal_price'!G76</f>
        <v>0</v>
      </c>
      <c r="H78" s="34">
        <f>'[1]buses-marginal_price'!K76</f>
        <v>0</v>
      </c>
    </row>
    <row r="79" spans="1:8">
      <c r="A79" s="18">
        <v>75</v>
      </c>
      <c r="B79" s="34">
        <f>'[1]buses-marginal_price'!B77</f>
        <v>15.62</v>
      </c>
      <c r="C79" s="34">
        <f>'[1]buses-marginal_price'!C77</f>
        <v>8.4999999999999992E-2</v>
      </c>
      <c r="D79" s="34">
        <f>'[1]buses-marginal_price'!D77</f>
        <v>22.31428571428572</v>
      </c>
      <c r="E79" s="34">
        <f>'[1]buses-marginal_price'!E77</f>
        <v>15.62</v>
      </c>
      <c r="F79" s="34">
        <f>'[1]buses-marginal_price'!F77</f>
        <v>15.62</v>
      </c>
      <c r="G79" s="34">
        <f>'[1]buses-marginal_price'!G77</f>
        <v>0</v>
      </c>
      <c r="H79" s="34">
        <f>'[1]buses-marginal_price'!K77</f>
        <v>0</v>
      </c>
    </row>
    <row r="80" spans="1:8">
      <c r="A80" s="18">
        <v>76</v>
      </c>
      <c r="B80" s="34">
        <f>'[1]buses-marginal_price'!B78</f>
        <v>15.62</v>
      </c>
      <c r="C80" s="34">
        <f>'[1]buses-marginal_price'!C78</f>
        <v>8.4999999999999992E-2</v>
      </c>
      <c r="D80" s="34">
        <f>'[1]buses-marginal_price'!D78</f>
        <v>22.31428571428572</v>
      </c>
      <c r="E80" s="34">
        <f>'[1]buses-marginal_price'!E78</f>
        <v>15.62</v>
      </c>
      <c r="F80" s="34">
        <f>'[1]buses-marginal_price'!F78</f>
        <v>15.62</v>
      </c>
      <c r="G80" s="34">
        <f>'[1]buses-marginal_price'!G78</f>
        <v>0</v>
      </c>
      <c r="H80" s="34">
        <f>'[1]buses-marginal_price'!K78</f>
        <v>0</v>
      </c>
    </row>
    <row r="81" spans="1:8">
      <c r="A81" s="18">
        <v>77</v>
      </c>
      <c r="B81" s="34">
        <f>'[1]buses-marginal_price'!B79</f>
        <v>15.62</v>
      </c>
      <c r="C81" s="34">
        <f>'[1]buses-marginal_price'!C79</f>
        <v>8.4999999999999992E-2</v>
      </c>
      <c r="D81" s="34">
        <f>'[1]buses-marginal_price'!D79</f>
        <v>22.31428571428572</v>
      </c>
      <c r="E81" s="34">
        <f>'[1]buses-marginal_price'!E79</f>
        <v>15.62</v>
      </c>
      <c r="F81" s="34">
        <f>'[1]buses-marginal_price'!F79</f>
        <v>15.62</v>
      </c>
      <c r="G81" s="34">
        <f>'[1]buses-marginal_price'!G79</f>
        <v>0</v>
      </c>
      <c r="H81" s="34">
        <f>'[1]buses-marginal_price'!K79</f>
        <v>0</v>
      </c>
    </row>
    <row r="82" spans="1:8">
      <c r="A82" s="18">
        <v>78</v>
      </c>
      <c r="B82" s="34">
        <f>'[1]buses-marginal_price'!B80</f>
        <v>15.62</v>
      </c>
      <c r="C82" s="34">
        <f>'[1]buses-marginal_price'!C80</f>
        <v>8.4999999999999992E-2</v>
      </c>
      <c r="D82" s="34">
        <f>'[1]buses-marginal_price'!D80</f>
        <v>22.31428571428572</v>
      </c>
      <c r="E82" s="34">
        <f>'[1]buses-marginal_price'!E80</f>
        <v>15.62</v>
      </c>
      <c r="F82" s="34">
        <f>'[1]buses-marginal_price'!F80</f>
        <v>15.62</v>
      </c>
      <c r="G82" s="34">
        <f>'[1]buses-marginal_price'!G80</f>
        <v>0</v>
      </c>
      <c r="H82" s="34">
        <f>'[1]buses-marginal_price'!K80</f>
        <v>15.61</v>
      </c>
    </row>
    <row r="83" spans="1:8">
      <c r="A83" s="18">
        <v>79</v>
      </c>
      <c r="B83" s="34">
        <f>'[1]buses-marginal_price'!B81</f>
        <v>15.62</v>
      </c>
      <c r="C83" s="34">
        <f>'[1]buses-marginal_price'!C81</f>
        <v>8.4999999999999992E-2</v>
      </c>
      <c r="D83" s="34">
        <f>'[1]buses-marginal_price'!D81</f>
        <v>22.31428571428572</v>
      </c>
      <c r="E83" s="34">
        <f>'[1]buses-marginal_price'!E81</f>
        <v>15.62</v>
      </c>
      <c r="F83" s="34">
        <f>'[1]buses-marginal_price'!F81</f>
        <v>15.62</v>
      </c>
      <c r="G83" s="34">
        <f>'[1]buses-marginal_price'!G81</f>
        <v>0</v>
      </c>
      <c r="H83" s="34">
        <f>'[1]buses-marginal_price'!K81</f>
        <v>15.61</v>
      </c>
    </row>
    <row r="84" spans="1:8">
      <c r="A84" s="18">
        <v>80</v>
      </c>
      <c r="B84" s="34">
        <f>'[1]buses-marginal_price'!B82</f>
        <v>15.62</v>
      </c>
      <c r="C84" s="34">
        <f>'[1]buses-marginal_price'!C82</f>
        <v>8.4999999999999992E-2</v>
      </c>
      <c r="D84" s="34">
        <f>'[1]buses-marginal_price'!D82</f>
        <v>22.31428571428572</v>
      </c>
      <c r="E84" s="34">
        <f>'[1]buses-marginal_price'!E82</f>
        <v>15.62</v>
      </c>
      <c r="F84" s="34">
        <f>'[1]buses-marginal_price'!F82</f>
        <v>15.62</v>
      </c>
      <c r="G84" s="34">
        <f>'[1]buses-marginal_price'!G82</f>
        <v>0</v>
      </c>
      <c r="H84" s="34">
        <f>'[1]buses-marginal_price'!K82</f>
        <v>15.61</v>
      </c>
    </row>
    <row r="85" spans="1:8">
      <c r="A85" s="18">
        <v>81</v>
      </c>
      <c r="B85" s="34">
        <f>'[1]buses-marginal_price'!B83</f>
        <v>9.9999999999999992E-2</v>
      </c>
      <c r="C85" s="34">
        <f>'[1]buses-marginal_price'!C83</f>
        <v>8.4999999999999992E-2</v>
      </c>
      <c r="D85" s="34">
        <f>'[1]buses-marginal_price'!D83</f>
        <v>0.14285714285714279</v>
      </c>
      <c r="E85" s="34">
        <f>'[1]buses-marginal_price'!E83</f>
        <v>9.9999999999999992E-2</v>
      </c>
      <c r="F85" s="34">
        <f>'[1]buses-marginal_price'!F83</f>
        <v>9.9999999999999992E-2</v>
      </c>
      <c r="G85" s="34">
        <f>'[1]buses-marginal_price'!G83</f>
        <v>0</v>
      </c>
      <c r="H85" s="34">
        <f>'[1]buses-marginal_price'!K83</f>
        <v>0</v>
      </c>
    </row>
    <row r="86" spans="1:8">
      <c r="A86" s="18">
        <v>82</v>
      </c>
      <c r="B86" s="34">
        <f>'[1]buses-marginal_price'!B84</f>
        <v>6.9999999999999993E-3</v>
      </c>
      <c r="C86" s="34">
        <f>'[1]buses-marginal_price'!C84</f>
        <v>8.4999999999999992E-2</v>
      </c>
      <c r="D86" s="34">
        <f>'[1]buses-marginal_price'!D84</f>
        <v>0.01</v>
      </c>
      <c r="E86" s="34">
        <f>'[1]buses-marginal_price'!E84</f>
        <v>6.9999999999999993E-3</v>
      </c>
      <c r="F86" s="34">
        <f>'[1]buses-marginal_price'!F84</f>
        <v>6.9999999999999993E-3</v>
      </c>
      <c r="G86" s="34">
        <f>'[1]buses-marginal_price'!G84</f>
        <v>0</v>
      </c>
      <c r="H86" s="34">
        <f>'[1]buses-marginal_price'!K84</f>
        <v>0</v>
      </c>
    </row>
    <row r="87" spans="1:8">
      <c r="A87" s="18">
        <v>83</v>
      </c>
      <c r="B87" s="34">
        <f>'[1]buses-marginal_price'!B85</f>
        <v>0</v>
      </c>
      <c r="C87" s="34">
        <f>'[1]buses-marginal_price'!C85</f>
        <v>8.4999999999999992E-2</v>
      </c>
      <c r="D87" s="34">
        <f>'[1]buses-marginal_price'!D85</f>
        <v>0</v>
      </c>
      <c r="E87" s="34">
        <f>'[1]buses-marginal_price'!E85</f>
        <v>0</v>
      </c>
      <c r="F87" s="34">
        <f>'[1]buses-marginal_price'!F85</f>
        <v>0</v>
      </c>
      <c r="G87" s="34">
        <f>'[1]buses-marginal_price'!G85</f>
        <v>0</v>
      </c>
      <c r="H87" s="34">
        <f>'[1]buses-marginal_price'!K85</f>
        <v>0</v>
      </c>
    </row>
    <row r="88" spans="1:8">
      <c r="A88" s="18">
        <v>84</v>
      </c>
      <c r="B88" s="34">
        <f>'[1]buses-marginal_price'!B86</f>
        <v>0</v>
      </c>
      <c r="C88" s="34">
        <f>'[1]buses-marginal_price'!C86</f>
        <v>8.4999999999999992E-2</v>
      </c>
      <c r="D88" s="34">
        <f>'[1]buses-marginal_price'!D86</f>
        <v>0</v>
      </c>
      <c r="E88" s="34">
        <f>'[1]buses-marginal_price'!E86</f>
        <v>0</v>
      </c>
      <c r="F88" s="34">
        <f>'[1]buses-marginal_price'!F86</f>
        <v>0</v>
      </c>
      <c r="G88" s="34">
        <f>'[1]buses-marginal_price'!G86</f>
        <v>0</v>
      </c>
      <c r="H88" s="34">
        <f>'[1]buses-marginal_price'!K86</f>
        <v>0</v>
      </c>
    </row>
    <row r="89" spans="1:8">
      <c r="A89" s="18">
        <v>85</v>
      </c>
      <c r="B89" s="34">
        <f>'[1]buses-marginal_price'!B87</f>
        <v>0</v>
      </c>
      <c r="C89" s="34">
        <f>'[1]buses-marginal_price'!C87</f>
        <v>8.4999999999999992E-2</v>
      </c>
      <c r="D89" s="34">
        <f>'[1]buses-marginal_price'!D87</f>
        <v>0</v>
      </c>
      <c r="E89" s="34">
        <f>'[1]buses-marginal_price'!E87</f>
        <v>0</v>
      </c>
      <c r="F89" s="34">
        <f>'[1]buses-marginal_price'!F87</f>
        <v>0</v>
      </c>
      <c r="G89" s="34">
        <f>'[1]buses-marginal_price'!G87</f>
        <v>0</v>
      </c>
      <c r="H89" s="34">
        <f>'[1]buses-marginal_price'!K87</f>
        <v>0</v>
      </c>
    </row>
    <row r="90" spans="1:8">
      <c r="A90" s="18">
        <v>86</v>
      </c>
      <c r="B90" s="34">
        <f>'[1]buses-marginal_price'!B88</f>
        <v>0</v>
      </c>
      <c r="C90" s="34">
        <f>'[1]buses-marginal_price'!C88</f>
        <v>8.4999999999999992E-2</v>
      </c>
      <c r="D90" s="34">
        <f>'[1]buses-marginal_price'!D88</f>
        <v>0</v>
      </c>
      <c r="E90" s="34">
        <f>'[1]buses-marginal_price'!E88</f>
        <v>0</v>
      </c>
      <c r="F90" s="34">
        <f>'[1]buses-marginal_price'!F88</f>
        <v>0</v>
      </c>
      <c r="G90" s="34">
        <f>'[1]buses-marginal_price'!G88</f>
        <v>0</v>
      </c>
      <c r="H90" s="34">
        <f>'[1]buses-marginal_price'!K88</f>
        <v>0</v>
      </c>
    </row>
    <row r="91" spans="1:8">
      <c r="A91" s="18">
        <v>87</v>
      </c>
      <c r="B91" s="34">
        <f>'[1]buses-marginal_price'!B89</f>
        <v>0</v>
      </c>
      <c r="C91" s="34">
        <f>'[1]buses-marginal_price'!C89</f>
        <v>8.4999999999999992E-2</v>
      </c>
      <c r="D91" s="34">
        <f>'[1]buses-marginal_price'!D89</f>
        <v>0</v>
      </c>
      <c r="E91" s="34">
        <f>'[1]buses-marginal_price'!E89</f>
        <v>0</v>
      </c>
      <c r="F91" s="34">
        <f>'[1]buses-marginal_price'!F89</f>
        <v>0</v>
      </c>
      <c r="G91" s="34">
        <f>'[1]buses-marginal_price'!G89</f>
        <v>0</v>
      </c>
      <c r="H91" s="34">
        <f>'[1]buses-marginal_price'!K89</f>
        <v>0</v>
      </c>
    </row>
    <row r="92" spans="1:8">
      <c r="A92" s="18">
        <v>88</v>
      </c>
      <c r="B92" s="34">
        <f>'[1]buses-marginal_price'!B90</f>
        <v>0</v>
      </c>
      <c r="C92" s="34">
        <f>'[1]buses-marginal_price'!C90</f>
        <v>8.4999999999999992E-2</v>
      </c>
      <c r="D92" s="34">
        <f>'[1]buses-marginal_price'!D90</f>
        <v>0</v>
      </c>
      <c r="E92" s="34">
        <f>'[1]buses-marginal_price'!E90</f>
        <v>0</v>
      </c>
      <c r="F92" s="34">
        <f>'[1]buses-marginal_price'!F90</f>
        <v>0</v>
      </c>
      <c r="G92" s="34">
        <f>'[1]buses-marginal_price'!G90</f>
        <v>0</v>
      </c>
      <c r="H92" s="34">
        <f>'[1]buses-marginal_price'!K90</f>
        <v>0</v>
      </c>
    </row>
    <row r="93" spans="1:8">
      <c r="A93" s="18">
        <v>89</v>
      </c>
      <c r="B93" s="34">
        <f>'[1]buses-marginal_price'!B91</f>
        <v>9.9999999999999992E-2</v>
      </c>
      <c r="C93" s="34">
        <f>'[1]buses-marginal_price'!C91</f>
        <v>8.4999999999999992E-2</v>
      </c>
      <c r="D93" s="34">
        <f>'[1]buses-marginal_price'!D91</f>
        <v>0.14285714285714279</v>
      </c>
      <c r="E93" s="34">
        <f>'[1]buses-marginal_price'!E91</f>
        <v>9.9999999999999992E-2</v>
      </c>
      <c r="F93" s="34">
        <f>'[1]buses-marginal_price'!F91</f>
        <v>9.9999999999999992E-2</v>
      </c>
      <c r="G93" s="34">
        <f>'[1]buses-marginal_price'!G91</f>
        <v>0</v>
      </c>
      <c r="H93" s="34">
        <f>'[1]buses-marginal_price'!K91</f>
        <v>0</v>
      </c>
    </row>
    <row r="94" spans="1:8">
      <c r="A94" s="18">
        <v>90</v>
      </c>
      <c r="B94" s="34">
        <f>'[1]buses-marginal_price'!B92</f>
        <v>0.1</v>
      </c>
      <c r="C94" s="34">
        <f>'[1]buses-marginal_price'!C92</f>
        <v>8.4999999999999992E-2</v>
      </c>
      <c r="D94" s="34">
        <f>'[1]buses-marginal_price'!D92</f>
        <v>0.1428571428571429</v>
      </c>
      <c r="E94" s="34">
        <f>'[1]buses-marginal_price'!E92</f>
        <v>0.1</v>
      </c>
      <c r="F94" s="34">
        <f>'[1]buses-marginal_price'!F92</f>
        <v>0.1</v>
      </c>
      <c r="G94" s="34">
        <f>'[1]buses-marginal_price'!G92</f>
        <v>0</v>
      </c>
      <c r="H94" s="34">
        <f>'[1]buses-marginal_price'!K92</f>
        <v>0</v>
      </c>
    </row>
    <row r="95" spans="1:8">
      <c r="A95" s="18">
        <v>91</v>
      </c>
      <c r="B95" s="34">
        <f>'[1]buses-marginal_price'!B93</f>
        <v>0.1</v>
      </c>
      <c r="C95" s="34">
        <f>'[1]buses-marginal_price'!C93</f>
        <v>8.5000000000000006E-2</v>
      </c>
      <c r="D95" s="34">
        <f>'[1]buses-marginal_price'!D93</f>
        <v>0.1428571428571429</v>
      </c>
      <c r="E95" s="34">
        <f>'[1]buses-marginal_price'!E93</f>
        <v>0.1</v>
      </c>
      <c r="F95" s="34">
        <f>'[1]buses-marginal_price'!F93</f>
        <v>0.1</v>
      </c>
      <c r="G95" s="34">
        <f>'[1]buses-marginal_price'!G93</f>
        <v>0</v>
      </c>
      <c r="H95" s="34">
        <f>'[1]buses-marginal_price'!K93</f>
        <v>0</v>
      </c>
    </row>
    <row r="96" spans="1:8">
      <c r="A96" s="18">
        <v>92</v>
      </c>
      <c r="B96" s="34">
        <f>'[1]buses-marginal_price'!B94</f>
        <v>9.9999999999999992E-2</v>
      </c>
      <c r="C96" s="34">
        <f>'[1]buses-marginal_price'!C94</f>
        <v>8.4999999999999992E-2</v>
      </c>
      <c r="D96" s="34">
        <f>'[1]buses-marginal_price'!D94</f>
        <v>0.14285714285714279</v>
      </c>
      <c r="E96" s="34">
        <f>'[1]buses-marginal_price'!E94</f>
        <v>9.9999999999999992E-2</v>
      </c>
      <c r="F96" s="34">
        <f>'[1]buses-marginal_price'!F94</f>
        <v>9.9999999999999992E-2</v>
      </c>
      <c r="G96" s="34">
        <f>'[1]buses-marginal_price'!G94</f>
        <v>0</v>
      </c>
      <c r="H96" s="34">
        <f>'[1]buses-marginal_price'!K94</f>
        <v>0</v>
      </c>
    </row>
    <row r="97" spans="1:8">
      <c r="A97" s="18">
        <v>93</v>
      </c>
      <c r="B97" s="34">
        <f>'[1]buses-marginal_price'!B95</f>
        <v>9.9999999999999992E-2</v>
      </c>
      <c r="C97" s="34">
        <f>'[1]buses-marginal_price'!C95</f>
        <v>8.4999999999999992E-2</v>
      </c>
      <c r="D97" s="34">
        <f>'[1]buses-marginal_price'!D95</f>
        <v>0.14285714285714279</v>
      </c>
      <c r="E97" s="34">
        <f>'[1]buses-marginal_price'!E95</f>
        <v>9.9999999999999992E-2</v>
      </c>
      <c r="F97" s="34">
        <f>'[1]buses-marginal_price'!F95</f>
        <v>9.9999999999999992E-2</v>
      </c>
      <c r="G97" s="34">
        <f>'[1]buses-marginal_price'!G95</f>
        <v>0</v>
      </c>
      <c r="H97" s="34">
        <f>'[1]buses-marginal_price'!K95</f>
        <v>0</v>
      </c>
    </row>
    <row r="98" spans="1:8">
      <c r="A98" s="18">
        <v>94</v>
      </c>
      <c r="B98" s="34">
        <f>'[1]buses-marginal_price'!B96</f>
        <v>9.9999999999999992E-2</v>
      </c>
      <c r="C98" s="34">
        <f>'[1]buses-marginal_price'!C96</f>
        <v>8.4999999999999992E-2</v>
      </c>
      <c r="D98" s="34">
        <f>'[1]buses-marginal_price'!D96</f>
        <v>0.14285714285714279</v>
      </c>
      <c r="E98" s="34">
        <f>'[1]buses-marginal_price'!E96</f>
        <v>9.9999999999999992E-2</v>
      </c>
      <c r="F98" s="34">
        <f>'[1]buses-marginal_price'!F96</f>
        <v>9.9999999999999992E-2</v>
      </c>
      <c r="G98" s="34">
        <f>'[1]buses-marginal_price'!G96</f>
        <v>0</v>
      </c>
      <c r="H98" s="34">
        <f>'[1]buses-marginal_price'!K96</f>
        <v>0</v>
      </c>
    </row>
    <row r="99" spans="1:8">
      <c r="A99" s="18">
        <v>95</v>
      </c>
      <c r="B99" s="34">
        <f>'[1]buses-marginal_price'!B97</f>
        <v>6.3749999999999987E-2</v>
      </c>
      <c r="C99" s="34">
        <f>'[1]buses-marginal_price'!C97</f>
        <v>8.4999999999999992E-2</v>
      </c>
      <c r="D99" s="34">
        <f>'[1]buses-marginal_price'!D97</f>
        <v>9.1071428571428567E-2</v>
      </c>
      <c r="E99" s="34">
        <f>'[1]buses-marginal_price'!E97</f>
        <v>6.3749999999999987E-2</v>
      </c>
      <c r="F99" s="34">
        <f>'[1]buses-marginal_price'!F97</f>
        <v>6.3749999999999987E-2</v>
      </c>
      <c r="G99" s="34">
        <f>'[1]buses-marginal_price'!G97</f>
        <v>0</v>
      </c>
      <c r="H99" s="34">
        <f>'[1]buses-marginal_price'!K97</f>
        <v>0</v>
      </c>
    </row>
    <row r="100" spans="1:8">
      <c r="A100" s="18">
        <v>96</v>
      </c>
      <c r="B100" s="34">
        <f>'[1]buses-marginal_price'!B98</f>
        <v>6.3749999999999987E-2</v>
      </c>
      <c r="C100" s="34">
        <f>'[1]buses-marginal_price'!C98</f>
        <v>8.4999999999999992E-2</v>
      </c>
      <c r="D100" s="34">
        <f>'[1]buses-marginal_price'!D98</f>
        <v>9.1071428571428567E-2</v>
      </c>
      <c r="E100" s="34">
        <f>'[1]buses-marginal_price'!E98</f>
        <v>6.3749999999999987E-2</v>
      </c>
      <c r="F100" s="34">
        <f>'[1]buses-marginal_price'!F98</f>
        <v>6.3749999999999987E-2</v>
      </c>
      <c r="G100" s="34">
        <f>'[1]buses-marginal_price'!G98</f>
        <v>5.3749999999999992E-2</v>
      </c>
      <c r="H100" s="34">
        <f>'[1]buses-marginal_price'!K98</f>
        <v>0</v>
      </c>
    </row>
    <row r="101" spans="1:8">
      <c r="A101" s="18">
        <v>97</v>
      </c>
      <c r="B101" s="34">
        <f>'[1]buses-marginal_price'!B99</f>
        <v>6.3749999999999987E-2</v>
      </c>
      <c r="C101" s="34">
        <f>'[1]buses-marginal_price'!C99</f>
        <v>8.4999999999999992E-2</v>
      </c>
      <c r="D101" s="34">
        <f>'[1]buses-marginal_price'!D99</f>
        <v>9.1071428571428567E-2</v>
      </c>
      <c r="E101" s="34">
        <f>'[1]buses-marginal_price'!E99</f>
        <v>6.3749999999999987E-2</v>
      </c>
      <c r="F101" s="34">
        <f>'[1]buses-marginal_price'!F99</f>
        <v>6.3749999999999987E-2</v>
      </c>
      <c r="G101" s="34">
        <f>'[1]buses-marginal_price'!G99</f>
        <v>5.3749999999999992E-2</v>
      </c>
      <c r="H101" s="34">
        <f>'[1]buses-marginal_price'!K99</f>
        <v>0</v>
      </c>
    </row>
    <row r="102" spans="1:8">
      <c r="A102" s="18">
        <v>98</v>
      </c>
      <c r="B102" s="34">
        <f>'[1]buses-marginal_price'!B100</f>
        <v>6.3749999999999987E-2</v>
      </c>
      <c r="C102" s="34">
        <f>'[1]buses-marginal_price'!C100</f>
        <v>8.4999999999999992E-2</v>
      </c>
      <c r="D102" s="34">
        <f>'[1]buses-marginal_price'!D100</f>
        <v>9.1071428571428567E-2</v>
      </c>
      <c r="E102" s="34">
        <f>'[1]buses-marginal_price'!E100</f>
        <v>6.3749999999999987E-2</v>
      </c>
      <c r="F102" s="34">
        <f>'[1]buses-marginal_price'!F100</f>
        <v>6.3749999999999987E-2</v>
      </c>
      <c r="G102" s="34">
        <f>'[1]buses-marginal_price'!G100</f>
        <v>5.3749999999999992E-2</v>
      </c>
      <c r="H102" s="34">
        <f>'[1]buses-marginal_price'!K100</f>
        <v>0</v>
      </c>
    </row>
    <row r="103" spans="1:8">
      <c r="A103" s="18">
        <v>99</v>
      </c>
      <c r="B103" s="34">
        <f>'[1]buses-marginal_price'!B101</f>
        <v>6.3749999999999987E-2</v>
      </c>
      <c r="C103" s="34">
        <f>'[1]buses-marginal_price'!C101</f>
        <v>8.4999999999999992E-2</v>
      </c>
      <c r="D103" s="34">
        <f>'[1]buses-marginal_price'!D101</f>
        <v>9.1071428571428567E-2</v>
      </c>
      <c r="E103" s="34">
        <f>'[1]buses-marginal_price'!E101</f>
        <v>6.3749999999999987E-2</v>
      </c>
      <c r="F103" s="34">
        <f>'[1]buses-marginal_price'!F101</f>
        <v>6.3749999999999987E-2</v>
      </c>
      <c r="G103" s="34">
        <f>'[1]buses-marginal_price'!G101</f>
        <v>5.3749999999999992E-2</v>
      </c>
      <c r="H103" s="34">
        <f>'[1]buses-marginal_price'!K101</f>
        <v>0</v>
      </c>
    </row>
    <row r="104" spans="1:8">
      <c r="A104" s="18">
        <v>100</v>
      </c>
      <c r="B104" s="34">
        <f>'[1]buses-marginal_price'!B102</f>
        <v>6.3749999999999987E-2</v>
      </c>
      <c r="C104" s="34">
        <f>'[1]buses-marginal_price'!C102</f>
        <v>8.4999999999999992E-2</v>
      </c>
      <c r="D104" s="34">
        <f>'[1]buses-marginal_price'!D102</f>
        <v>9.1071428571428567E-2</v>
      </c>
      <c r="E104" s="34">
        <f>'[1]buses-marginal_price'!E102</f>
        <v>6.3749999999999987E-2</v>
      </c>
      <c r="F104" s="34">
        <f>'[1]buses-marginal_price'!F102</f>
        <v>6.3749999999999987E-2</v>
      </c>
      <c r="G104" s="34">
        <f>'[1]buses-marginal_price'!G102</f>
        <v>7.3749999999999996E-2</v>
      </c>
      <c r="H104" s="34">
        <f>'[1]buses-marginal_price'!K102</f>
        <v>0</v>
      </c>
    </row>
    <row r="105" spans="1:8">
      <c r="A105" s="18">
        <v>101</v>
      </c>
      <c r="B105" s="34">
        <f>'[1]buses-marginal_price'!B103</f>
        <v>0.01</v>
      </c>
      <c r="C105" s="34">
        <f>'[1]buses-marginal_price'!C103</f>
        <v>8.4999999999999992E-2</v>
      </c>
      <c r="D105" s="34">
        <f>'[1]buses-marginal_price'!D103</f>
        <v>1.428571428571429E-2</v>
      </c>
      <c r="E105" s="34">
        <f>'[1]buses-marginal_price'!E103</f>
        <v>0.01</v>
      </c>
      <c r="F105" s="34">
        <f>'[1]buses-marginal_price'!F103</f>
        <v>0.01</v>
      </c>
      <c r="G105" s="34">
        <f>'[1]buses-marginal_price'!G103</f>
        <v>0.02</v>
      </c>
      <c r="H105" s="34">
        <f>'[1]buses-marginal_price'!K103</f>
        <v>0</v>
      </c>
    </row>
    <row r="106" spans="1:8">
      <c r="A106" s="18">
        <v>102</v>
      </c>
      <c r="B106" s="34">
        <f>'[1]buses-marginal_price'!B104</f>
        <v>0.01</v>
      </c>
      <c r="C106" s="34">
        <f>'[1]buses-marginal_price'!C104</f>
        <v>8.4999999999999992E-2</v>
      </c>
      <c r="D106" s="34">
        <f>'[1]buses-marginal_price'!D104</f>
        <v>1.428571428571429E-2</v>
      </c>
      <c r="E106" s="34">
        <f>'[1]buses-marginal_price'!E104</f>
        <v>0.01</v>
      </c>
      <c r="F106" s="34">
        <f>'[1]buses-marginal_price'!F104</f>
        <v>0.01</v>
      </c>
      <c r="G106" s="34">
        <f>'[1]buses-marginal_price'!G104</f>
        <v>0.02</v>
      </c>
      <c r="H106" s="34">
        <f>'[1]buses-marginal_price'!K104</f>
        <v>0</v>
      </c>
    </row>
    <row r="107" spans="1:8">
      <c r="A107" s="18">
        <v>103</v>
      </c>
      <c r="B107" s="34">
        <f>'[1]buses-marginal_price'!B105</f>
        <v>0.01</v>
      </c>
      <c r="C107" s="34">
        <f>'[1]buses-marginal_price'!C105</f>
        <v>8.4999999999999992E-2</v>
      </c>
      <c r="D107" s="34">
        <f>'[1]buses-marginal_price'!D105</f>
        <v>1.428571428571429E-2</v>
      </c>
      <c r="E107" s="34">
        <f>'[1]buses-marginal_price'!E105</f>
        <v>0.01</v>
      </c>
      <c r="F107" s="34">
        <f>'[1]buses-marginal_price'!F105</f>
        <v>0.01</v>
      </c>
      <c r="G107" s="34">
        <f>'[1]buses-marginal_price'!G105</f>
        <v>0.02</v>
      </c>
      <c r="H107" s="34">
        <f>'[1]buses-marginal_price'!K105</f>
        <v>0</v>
      </c>
    </row>
    <row r="108" spans="1:8">
      <c r="A108" s="18">
        <v>104</v>
      </c>
      <c r="B108" s="34">
        <f>'[1]buses-marginal_price'!B106</f>
        <v>0.01</v>
      </c>
      <c r="C108" s="34">
        <f>'[1]buses-marginal_price'!C106</f>
        <v>8.4999999999999992E-2</v>
      </c>
      <c r="D108" s="34">
        <f>'[1]buses-marginal_price'!D106</f>
        <v>1.428571428571429E-2</v>
      </c>
      <c r="E108" s="34">
        <f>'[1]buses-marginal_price'!E106</f>
        <v>0.01</v>
      </c>
      <c r="F108" s="34">
        <f>'[1]buses-marginal_price'!F106</f>
        <v>0.01</v>
      </c>
      <c r="G108" s="34">
        <f>'[1]buses-marginal_price'!G106</f>
        <v>0.02</v>
      </c>
      <c r="H108" s="34">
        <f>'[1]buses-marginal_price'!K106</f>
        <v>0</v>
      </c>
    </row>
    <row r="109" spans="1:8">
      <c r="A109" s="18">
        <v>105</v>
      </c>
      <c r="B109" s="34">
        <f>'[1]buses-marginal_price'!B107</f>
        <v>0</v>
      </c>
      <c r="C109" s="34">
        <f>'[1]buses-marginal_price'!C107</f>
        <v>8.4999999999999992E-2</v>
      </c>
      <c r="D109" s="34">
        <f>'[1]buses-marginal_price'!D107</f>
        <v>0</v>
      </c>
      <c r="E109" s="34">
        <f>'[1]buses-marginal_price'!E107</f>
        <v>0</v>
      </c>
      <c r="F109" s="34">
        <f>'[1]buses-marginal_price'!F107</f>
        <v>0</v>
      </c>
      <c r="G109" s="34">
        <f>'[1]buses-marginal_price'!G107</f>
        <v>0</v>
      </c>
      <c r="H109" s="34">
        <f>'[1]buses-marginal_price'!K107</f>
        <v>0</v>
      </c>
    </row>
    <row r="110" spans="1:8">
      <c r="A110" s="18">
        <v>106</v>
      </c>
      <c r="B110" s="34">
        <f>'[1]buses-marginal_price'!B108</f>
        <v>0</v>
      </c>
      <c r="C110" s="34">
        <f>'[1]buses-marginal_price'!C108</f>
        <v>8.4999999999999992E-2</v>
      </c>
      <c r="D110" s="34">
        <f>'[1]buses-marginal_price'!D108</f>
        <v>0</v>
      </c>
      <c r="E110" s="34">
        <f>'[1]buses-marginal_price'!E108</f>
        <v>0</v>
      </c>
      <c r="F110" s="34">
        <f>'[1]buses-marginal_price'!F108</f>
        <v>0</v>
      </c>
      <c r="G110" s="34">
        <f>'[1]buses-marginal_price'!G108</f>
        <v>0</v>
      </c>
      <c r="H110" s="34">
        <f>'[1]buses-marginal_price'!K108</f>
        <v>0</v>
      </c>
    </row>
    <row r="111" spans="1:8">
      <c r="A111" s="18">
        <v>107</v>
      </c>
      <c r="B111" s="34">
        <f>'[1]buses-marginal_price'!B109</f>
        <v>0</v>
      </c>
      <c r="C111" s="34">
        <f>'[1]buses-marginal_price'!C109</f>
        <v>8.4999999999999992E-2</v>
      </c>
      <c r="D111" s="34">
        <f>'[1]buses-marginal_price'!D109</f>
        <v>0</v>
      </c>
      <c r="E111" s="34">
        <f>'[1]buses-marginal_price'!E109</f>
        <v>0</v>
      </c>
      <c r="F111" s="34">
        <f>'[1]buses-marginal_price'!F109</f>
        <v>0</v>
      </c>
      <c r="G111" s="34">
        <f>'[1]buses-marginal_price'!G109</f>
        <v>0</v>
      </c>
      <c r="H111" s="34">
        <f>'[1]buses-marginal_price'!K109</f>
        <v>0</v>
      </c>
    </row>
    <row r="112" spans="1:8">
      <c r="A112" s="18">
        <v>108</v>
      </c>
      <c r="B112" s="34">
        <f>'[1]buses-marginal_price'!B110</f>
        <v>0</v>
      </c>
      <c r="C112" s="34">
        <f>'[1]buses-marginal_price'!C110</f>
        <v>8.4999999999999992E-2</v>
      </c>
      <c r="D112" s="34">
        <f>'[1]buses-marginal_price'!D110</f>
        <v>0</v>
      </c>
      <c r="E112" s="34">
        <f>'[1]buses-marginal_price'!E110</f>
        <v>0</v>
      </c>
      <c r="F112" s="34">
        <f>'[1]buses-marginal_price'!F110</f>
        <v>0</v>
      </c>
      <c r="G112" s="34">
        <f>'[1]buses-marginal_price'!G110</f>
        <v>0</v>
      </c>
      <c r="H112" s="34">
        <f>'[1]buses-marginal_price'!K110</f>
        <v>0</v>
      </c>
    </row>
    <row r="113" spans="1:8">
      <c r="A113" s="18">
        <v>109</v>
      </c>
      <c r="B113" s="34">
        <f>'[1]buses-marginal_price'!B111</f>
        <v>0</v>
      </c>
      <c r="C113" s="34">
        <f>'[1]buses-marginal_price'!C111</f>
        <v>8.4999999999999992E-2</v>
      </c>
      <c r="D113" s="34">
        <f>'[1]buses-marginal_price'!D111</f>
        <v>0</v>
      </c>
      <c r="E113" s="34">
        <f>'[1]buses-marginal_price'!E111</f>
        <v>0</v>
      </c>
      <c r="F113" s="34">
        <f>'[1]buses-marginal_price'!F111</f>
        <v>0</v>
      </c>
      <c r="G113" s="34">
        <f>'[1]buses-marginal_price'!G111</f>
        <v>0</v>
      </c>
      <c r="H113" s="34">
        <f>'[1]buses-marginal_price'!K111</f>
        <v>0</v>
      </c>
    </row>
    <row r="114" spans="1:8">
      <c r="A114" s="18">
        <v>110</v>
      </c>
      <c r="B114" s="34">
        <f>'[1]buses-marginal_price'!B112</f>
        <v>0</v>
      </c>
      <c r="C114" s="34">
        <f>'[1]buses-marginal_price'!C112</f>
        <v>8.4999999999999992E-2</v>
      </c>
      <c r="D114" s="34">
        <f>'[1]buses-marginal_price'!D112</f>
        <v>0</v>
      </c>
      <c r="E114" s="34">
        <f>'[1]buses-marginal_price'!E112</f>
        <v>0</v>
      </c>
      <c r="F114" s="34">
        <f>'[1]buses-marginal_price'!F112</f>
        <v>0</v>
      </c>
      <c r="G114" s="34">
        <f>'[1]buses-marginal_price'!G112</f>
        <v>0</v>
      </c>
      <c r="H114" s="34">
        <f>'[1]buses-marginal_price'!K112</f>
        <v>0</v>
      </c>
    </row>
    <row r="115" spans="1:8">
      <c r="A115" s="18">
        <v>111</v>
      </c>
      <c r="B115" s="34">
        <f>'[1]buses-marginal_price'!B113</f>
        <v>0</v>
      </c>
      <c r="C115" s="34">
        <f>'[1]buses-marginal_price'!C113</f>
        <v>8.4999999999999992E-2</v>
      </c>
      <c r="D115" s="34">
        <f>'[1]buses-marginal_price'!D113</f>
        <v>0</v>
      </c>
      <c r="E115" s="34">
        <f>'[1]buses-marginal_price'!E113</f>
        <v>0</v>
      </c>
      <c r="F115" s="34">
        <f>'[1]buses-marginal_price'!F113</f>
        <v>0</v>
      </c>
      <c r="G115" s="34">
        <f>'[1]buses-marginal_price'!G113</f>
        <v>0</v>
      </c>
      <c r="H115" s="34">
        <f>'[1]buses-marginal_price'!K113</f>
        <v>0</v>
      </c>
    </row>
    <row r="116" spans="1:8">
      <c r="A116" s="18">
        <v>112</v>
      </c>
      <c r="B116" s="34">
        <f>'[1]buses-marginal_price'!B114</f>
        <v>0</v>
      </c>
      <c r="C116" s="34">
        <f>'[1]buses-marginal_price'!C114</f>
        <v>8.4999999999999992E-2</v>
      </c>
      <c r="D116" s="34">
        <f>'[1]buses-marginal_price'!D114</f>
        <v>0</v>
      </c>
      <c r="E116" s="34">
        <f>'[1]buses-marginal_price'!E114</f>
        <v>0</v>
      </c>
      <c r="F116" s="34">
        <f>'[1]buses-marginal_price'!F114</f>
        <v>0</v>
      </c>
      <c r="G116" s="34">
        <f>'[1]buses-marginal_price'!G114</f>
        <v>0</v>
      </c>
      <c r="H116" s="34">
        <f>'[1]buses-marginal_price'!K114</f>
        <v>0</v>
      </c>
    </row>
    <row r="117" spans="1:8">
      <c r="A117" s="18">
        <v>113</v>
      </c>
      <c r="B117" s="34">
        <f>'[1]buses-marginal_price'!B115</f>
        <v>0</v>
      </c>
      <c r="C117" s="34">
        <f>'[1]buses-marginal_price'!C115</f>
        <v>8.4999999999999992E-2</v>
      </c>
      <c r="D117" s="34">
        <f>'[1]buses-marginal_price'!D115</f>
        <v>0</v>
      </c>
      <c r="E117" s="34">
        <f>'[1]buses-marginal_price'!E115</f>
        <v>0</v>
      </c>
      <c r="F117" s="34">
        <f>'[1]buses-marginal_price'!F115</f>
        <v>0</v>
      </c>
      <c r="G117" s="34">
        <f>'[1]buses-marginal_price'!G115</f>
        <v>0</v>
      </c>
      <c r="H117" s="34">
        <f>'[1]buses-marginal_price'!K115</f>
        <v>0</v>
      </c>
    </row>
    <row r="118" spans="1:8">
      <c r="A118" s="18">
        <v>114</v>
      </c>
      <c r="B118" s="34">
        <f>'[1]buses-marginal_price'!B116</f>
        <v>6.3749999999999987E-2</v>
      </c>
      <c r="C118" s="34">
        <f>'[1]buses-marginal_price'!C116</f>
        <v>8.4999999999999992E-2</v>
      </c>
      <c r="D118" s="34">
        <f>'[1]buses-marginal_price'!D116</f>
        <v>9.1071428571428567E-2</v>
      </c>
      <c r="E118" s="34">
        <f>'[1]buses-marginal_price'!E116</f>
        <v>6.3749999999999987E-2</v>
      </c>
      <c r="F118" s="34">
        <f>'[1]buses-marginal_price'!F116</f>
        <v>6.3749999999999987E-2</v>
      </c>
      <c r="G118" s="34">
        <f>'[1]buses-marginal_price'!G116</f>
        <v>7.3749999999999996E-2</v>
      </c>
      <c r="H118" s="34">
        <f>'[1]buses-marginal_price'!K116</f>
        <v>0</v>
      </c>
    </row>
    <row r="119" spans="1:8">
      <c r="A119" s="18">
        <v>115</v>
      </c>
      <c r="B119" s="34">
        <f>'[1]buses-marginal_price'!B117</f>
        <v>6.3749999999999987E-2</v>
      </c>
      <c r="C119" s="34">
        <f>'[1]buses-marginal_price'!C117</f>
        <v>8.4999999999999992E-2</v>
      </c>
      <c r="D119" s="34">
        <f>'[1]buses-marginal_price'!D117</f>
        <v>9.1071428571428567E-2</v>
      </c>
      <c r="E119" s="34">
        <f>'[1]buses-marginal_price'!E117</f>
        <v>6.3749999999999987E-2</v>
      </c>
      <c r="F119" s="34">
        <f>'[1]buses-marginal_price'!F117</f>
        <v>6.3749999999999987E-2</v>
      </c>
      <c r="G119" s="34">
        <f>'[1]buses-marginal_price'!G117</f>
        <v>7.3749999999999996E-2</v>
      </c>
      <c r="H119" s="34">
        <f>'[1]buses-marginal_price'!K117</f>
        <v>0</v>
      </c>
    </row>
    <row r="120" spans="1:8">
      <c r="A120" s="18">
        <v>116</v>
      </c>
      <c r="B120" s="34">
        <f>'[1]buses-marginal_price'!B118</f>
        <v>6.3749999999999987E-2</v>
      </c>
      <c r="C120" s="34">
        <f>'[1]buses-marginal_price'!C118</f>
        <v>8.4999999999999992E-2</v>
      </c>
      <c r="D120" s="34">
        <f>'[1]buses-marginal_price'!D118</f>
        <v>9.1071428571428567E-2</v>
      </c>
      <c r="E120" s="34">
        <f>'[1]buses-marginal_price'!E118</f>
        <v>6.3749999999999987E-2</v>
      </c>
      <c r="F120" s="34">
        <f>'[1]buses-marginal_price'!F118</f>
        <v>6.3749999999999987E-2</v>
      </c>
      <c r="G120" s="34">
        <f>'[1]buses-marginal_price'!G118</f>
        <v>7.3749999999999996E-2</v>
      </c>
      <c r="H120" s="34">
        <f>'[1]buses-marginal_price'!K118</f>
        <v>0</v>
      </c>
    </row>
    <row r="121" spans="1:8">
      <c r="A121" s="18">
        <v>117</v>
      </c>
      <c r="B121" s="34">
        <f>'[1]buses-marginal_price'!B119</f>
        <v>6.3749999999999987E-2</v>
      </c>
      <c r="C121" s="34">
        <f>'[1]buses-marginal_price'!C119</f>
        <v>8.4999999999999992E-2</v>
      </c>
      <c r="D121" s="34">
        <f>'[1]buses-marginal_price'!D119</f>
        <v>9.1071428571428567E-2</v>
      </c>
      <c r="E121" s="34">
        <f>'[1]buses-marginal_price'!E119</f>
        <v>6.3749999999999987E-2</v>
      </c>
      <c r="F121" s="34">
        <f>'[1]buses-marginal_price'!F119</f>
        <v>6.3749999999999987E-2</v>
      </c>
      <c r="G121" s="34">
        <f>'[1]buses-marginal_price'!G119</f>
        <v>7.3749999999999996E-2</v>
      </c>
      <c r="H121" s="34">
        <f>'[1]buses-marginal_price'!K119</f>
        <v>0</v>
      </c>
    </row>
    <row r="122" spans="1:8">
      <c r="A122" s="18">
        <v>118</v>
      </c>
      <c r="B122" s="34">
        <f>'[1]buses-marginal_price'!B120</f>
        <v>6.3749999999999987E-2</v>
      </c>
      <c r="C122" s="34">
        <f>'[1]buses-marginal_price'!C120</f>
        <v>8.4999999999999992E-2</v>
      </c>
      <c r="D122" s="34">
        <f>'[1]buses-marginal_price'!D120</f>
        <v>9.1071428571428567E-2</v>
      </c>
      <c r="E122" s="34">
        <f>'[1]buses-marginal_price'!E120</f>
        <v>6.3749999999999987E-2</v>
      </c>
      <c r="F122" s="34">
        <f>'[1]buses-marginal_price'!F120</f>
        <v>6.3749999999999987E-2</v>
      </c>
      <c r="G122" s="34">
        <f>'[1]buses-marginal_price'!G120</f>
        <v>7.3749999999999996E-2</v>
      </c>
      <c r="H122" s="34">
        <f>'[1]buses-marginal_price'!K120</f>
        <v>0</v>
      </c>
    </row>
    <row r="123" spans="1:8">
      <c r="A123" s="18">
        <v>119</v>
      </c>
      <c r="B123" s="34">
        <f>'[1]buses-marginal_price'!B121</f>
        <v>6.3749999999999987E-2</v>
      </c>
      <c r="C123" s="34">
        <f>'[1]buses-marginal_price'!C121</f>
        <v>8.4999999999999992E-2</v>
      </c>
      <c r="D123" s="34">
        <f>'[1]buses-marginal_price'!D121</f>
        <v>9.1071428571428567E-2</v>
      </c>
      <c r="E123" s="34">
        <f>'[1]buses-marginal_price'!E121</f>
        <v>6.3749999999999987E-2</v>
      </c>
      <c r="F123" s="34">
        <f>'[1]buses-marginal_price'!F121</f>
        <v>6.3749999999999987E-2</v>
      </c>
      <c r="G123" s="34">
        <f>'[1]buses-marginal_price'!G121</f>
        <v>7.3749999999999996E-2</v>
      </c>
      <c r="H123" s="34">
        <f>'[1]buses-marginal_price'!K121</f>
        <v>0</v>
      </c>
    </row>
    <row r="124" spans="1:8">
      <c r="A124" s="18">
        <v>120</v>
      </c>
      <c r="B124" s="34">
        <f>'[1]buses-marginal_price'!B122</f>
        <v>0.01</v>
      </c>
      <c r="C124" s="34">
        <f>'[1]buses-marginal_price'!C122</f>
        <v>8.4999999999999992E-2</v>
      </c>
      <c r="D124" s="34">
        <f>'[1]buses-marginal_price'!D122</f>
        <v>1.428571428571429E-2</v>
      </c>
      <c r="E124" s="34">
        <f>'[1]buses-marginal_price'!E122</f>
        <v>0.01</v>
      </c>
      <c r="F124" s="34">
        <f>'[1]buses-marginal_price'!F122</f>
        <v>0.01</v>
      </c>
      <c r="G124" s="34">
        <f>'[1]buses-marginal_price'!G122</f>
        <v>0.02</v>
      </c>
      <c r="H124" s="34">
        <f>'[1]buses-marginal_price'!K122</f>
        <v>0</v>
      </c>
    </row>
    <row r="125" spans="1:8">
      <c r="A125" s="18">
        <v>121</v>
      </c>
      <c r="B125" s="34">
        <f>'[1]buses-marginal_price'!B123</f>
        <v>0</v>
      </c>
      <c r="C125" s="34">
        <f>'[1]buses-marginal_price'!C123</f>
        <v>8.4999999999999992E-2</v>
      </c>
      <c r="D125" s="34">
        <f>'[1]buses-marginal_price'!D123</f>
        <v>0</v>
      </c>
      <c r="E125" s="34">
        <f>'[1]buses-marginal_price'!E123</f>
        <v>0</v>
      </c>
      <c r="F125" s="34">
        <f>'[1]buses-marginal_price'!F123</f>
        <v>0</v>
      </c>
      <c r="G125" s="34">
        <f>'[1]buses-marginal_price'!G123</f>
        <v>0.01</v>
      </c>
      <c r="H125" s="34">
        <f>'[1]buses-marginal_price'!K123</f>
        <v>0</v>
      </c>
    </row>
    <row r="126" spans="1:8">
      <c r="A126" s="18">
        <v>122</v>
      </c>
      <c r="B126" s="34">
        <f>'[1]buses-marginal_price'!B124</f>
        <v>0</v>
      </c>
      <c r="C126" s="34">
        <f>'[1]buses-marginal_price'!C124</f>
        <v>8.4999999999999992E-2</v>
      </c>
      <c r="D126" s="34">
        <f>'[1]buses-marginal_price'!D124</f>
        <v>0</v>
      </c>
      <c r="E126" s="34">
        <f>'[1]buses-marginal_price'!E124</f>
        <v>0</v>
      </c>
      <c r="F126" s="34">
        <f>'[1]buses-marginal_price'!F124</f>
        <v>0</v>
      </c>
      <c r="G126" s="34">
        <f>'[1]buses-marginal_price'!G124</f>
        <v>0.01</v>
      </c>
      <c r="H126" s="34">
        <f>'[1]buses-marginal_price'!K124</f>
        <v>0</v>
      </c>
    </row>
    <row r="127" spans="1:8">
      <c r="A127" s="18">
        <v>123</v>
      </c>
      <c r="B127" s="34">
        <f>'[1]buses-marginal_price'!B125</f>
        <v>0</v>
      </c>
      <c r="C127" s="34">
        <f>'[1]buses-marginal_price'!C125</f>
        <v>8.4999999999999992E-2</v>
      </c>
      <c r="D127" s="34">
        <f>'[1]buses-marginal_price'!D125</f>
        <v>0</v>
      </c>
      <c r="E127" s="34">
        <f>'[1]buses-marginal_price'!E125</f>
        <v>0</v>
      </c>
      <c r="F127" s="34">
        <f>'[1]buses-marginal_price'!F125</f>
        <v>0</v>
      </c>
      <c r="G127" s="34">
        <f>'[1]buses-marginal_price'!G125</f>
        <v>0</v>
      </c>
      <c r="H127" s="34">
        <f>'[1]buses-marginal_price'!K125</f>
        <v>0</v>
      </c>
    </row>
    <row r="128" spans="1:8">
      <c r="A128" s="18">
        <v>124</v>
      </c>
      <c r="B128" s="34">
        <f>'[1]buses-marginal_price'!B126</f>
        <v>0</v>
      </c>
      <c r="C128" s="34">
        <f>'[1]buses-marginal_price'!C126</f>
        <v>8.4999999999999992E-2</v>
      </c>
      <c r="D128" s="34">
        <f>'[1]buses-marginal_price'!D126</f>
        <v>0</v>
      </c>
      <c r="E128" s="34">
        <f>'[1]buses-marginal_price'!E126</f>
        <v>0</v>
      </c>
      <c r="F128" s="34">
        <f>'[1]buses-marginal_price'!F126</f>
        <v>0</v>
      </c>
      <c r="G128" s="34">
        <f>'[1]buses-marginal_price'!G126</f>
        <v>0</v>
      </c>
      <c r="H128" s="34">
        <f>'[1]buses-marginal_price'!K126</f>
        <v>0</v>
      </c>
    </row>
    <row r="129" spans="1:8">
      <c r="A129" s="18">
        <v>125</v>
      </c>
      <c r="B129" s="34">
        <f>'[1]buses-marginal_price'!B127</f>
        <v>0</v>
      </c>
      <c r="C129" s="34">
        <f>'[1]buses-marginal_price'!C127</f>
        <v>8.4999999999999992E-2</v>
      </c>
      <c r="D129" s="34">
        <f>'[1]buses-marginal_price'!D127</f>
        <v>0</v>
      </c>
      <c r="E129" s="34">
        <f>'[1]buses-marginal_price'!E127</f>
        <v>0</v>
      </c>
      <c r="F129" s="34">
        <f>'[1]buses-marginal_price'!F127</f>
        <v>0</v>
      </c>
      <c r="G129" s="34">
        <f>'[1]buses-marginal_price'!G127</f>
        <v>0</v>
      </c>
      <c r="H129" s="34">
        <f>'[1]buses-marginal_price'!K127</f>
        <v>0</v>
      </c>
    </row>
    <row r="130" spans="1:8">
      <c r="A130" s="18">
        <v>126</v>
      </c>
      <c r="B130" s="34">
        <f>'[1]buses-marginal_price'!B128</f>
        <v>0</v>
      </c>
      <c r="C130" s="34">
        <f>'[1]buses-marginal_price'!C128</f>
        <v>8.4999999999999992E-2</v>
      </c>
      <c r="D130" s="34">
        <f>'[1]buses-marginal_price'!D128</f>
        <v>0</v>
      </c>
      <c r="E130" s="34">
        <f>'[1]buses-marginal_price'!E128</f>
        <v>0</v>
      </c>
      <c r="F130" s="34">
        <f>'[1]buses-marginal_price'!F128</f>
        <v>0</v>
      </c>
      <c r="G130" s="34">
        <f>'[1]buses-marginal_price'!G128</f>
        <v>0</v>
      </c>
      <c r="H130" s="34">
        <f>'[1]buses-marginal_price'!K128</f>
        <v>0</v>
      </c>
    </row>
    <row r="131" spans="1:8">
      <c r="A131" s="18">
        <v>127</v>
      </c>
      <c r="B131" s="34">
        <f>'[1]buses-marginal_price'!B129</f>
        <v>0</v>
      </c>
      <c r="C131" s="34">
        <f>'[1]buses-marginal_price'!C129</f>
        <v>8.4999999999999992E-2</v>
      </c>
      <c r="D131" s="34">
        <f>'[1]buses-marginal_price'!D129</f>
        <v>0</v>
      </c>
      <c r="E131" s="34">
        <f>'[1]buses-marginal_price'!E129</f>
        <v>0</v>
      </c>
      <c r="F131" s="34">
        <f>'[1]buses-marginal_price'!F129</f>
        <v>0</v>
      </c>
      <c r="G131" s="34">
        <f>'[1]buses-marginal_price'!G129</f>
        <v>0</v>
      </c>
      <c r="H131" s="34">
        <f>'[1]buses-marginal_price'!K129</f>
        <v>0</v>
      </c>
    </row>
    <row r="132" spans="1:8">
      <c r="A132" s="18">
        <v>128</v>
      </c>
      <c r="B132" s="34">
        <f>'[1]buses-marginal_price'!B130</f>
        <v>0.01</v>
      </c>
      <c r="C132" s="34">
        <f>'[1]buses-marginal_price'!C130</f>
        <v>8.4999999999999992E-2</v>
      </c>
      <c r="D132" s="34">
        <f>'[1]buses-marginal_price'!D130</f>
        <v>1.428571428571429E-2</v>
      </c>
      <c r="E132" s="34">
        <f>'[1]buses-marginal_price'!E130</f>
        <v>0.01</v>
      </c>
      <c r="F132" s="34">
        <f>'[1]buses-marginal_price'!F130</f>
        <v>0.01</v>
      </c>
      <c r="G132" s="34">
        <f>'[1]buses-marginal_price'!G130</f>
        <v>0</v>
      </c>
      <c r="H132" s="34">
        <f>'[1]buses-marginal_price'!K130</f>
        <v>0</v>
      </c>
    </row>
    <row r="133" spans="1:8">
      <c r="A133" s="18">
        <v>129</v>
      </c>
      <c r="B133" s="34">
        <f>'[1]buses-marginal_price'!B131</f>
        <v>0</v>
      </c>
      <c r="C133" s="34">
        <f>'[1]buses-marginal_price'!C131</f>
        <v>8.4999999999999992E-2</v>
      </c>
      <c r="D133" s="34">
        <f>'[1]buses-marginal_price'!D131</f>
        <v>0</v>
      </c>
      <c r="E133" s="34">
        <f>'[1]buses-marginal_price'!E131</f>
        <v>0</v>
      </c>
      <c r="F133" s="34">
        <f>'[1]buses-marginal_price'!F131</f>
        <v>0</v>
      </c>
      <c r="G133" s="34">
        <f>'[1]buses-marginal_price'!G131</f>
        <v>0</v>
      </c>
      <c r="H133" s="34">
        <f>'[1]buses-marginal_price'!K131</f>
        <v>0</v>
      </c>
    </row>
    <row r="134" spans="1:8">
      <c r="A134" s="18">
        <v>130</v>
      </c>
      <c r="B134" s="34">
        <f>'[1]buses-marginal_price'!B132</f>
        <v>0</v>
      </c>
      <c r="C134" s="34">
        <f>'[1]buses-marginal_price'!C132</f>
        <v>8.4999999999999992E-2</v>
      </c>
      <c r="D134" s="34">
        <f>'[1]buses-marginal_price'!D132</f>
        <v>0</v>
      </c>
      <c r="E134" s="34">
        <f>'[1]buses-marginal_price'!E132</f>
        <v>0</v>
      </c>
      <c r="F134" s="34">
        <f>'[1]buses-marginal_price'!F132</f>
        <v>0</v>
      </c>
      <c r="G134" s="34">
        <f>'[1]buses-marginal_price'!G132</f>
        <v>0</v>
      </c>
      <c r="H134" s="34">
        <f>'[1]buses-marginal_price'!K132</f>
        <v>0</v>
      </c>
    </row>
    <row r="135" spans="1:8">
      <c r="A135" s="18">
        <v>131</v>
      </c>
      <c r="B135" s="34">
        <f>'[1]buses-marginal_price'!B133</f>
        <v>0</v>
      </c>
      <c r="C135" s="34">
        <f>'[1]buses-marginal_price'!C133</f>
        <v>8.4999999999999992E-2</v>
      </c>
      <c r="D135" s="34">
        <f>'[1]buses-marginal_price'!D133</f>
        <v>0</v>
      </c>
      <c r="E135" s="34">
        <f>'[1]buses-marginal_price'!E133</f>
        <v>0</v>
      </c>
      <c r="F135" s="34">
        <f>'[1]buses-marginal_price'!F133</f>
        <v>0</v>
      </c>
      <c r="G135" s="34">
        <f>'[1]buses-marginal_price'!G133</f>
        <v>0</v>
      </c>
      <c r="H135" s="34">
        <f>'[1]buses-marginal_price'!K133</f>
        <v>0</v>
      </c>
    </row>
    <row r="136" spans="1:8">
      <c r="A136" s="18">
        <v>132</v>
      </c>
      <c r="B136" s="34">
        <f>'[1]buses-marginal_price'!B134</f>
        <v>0</v>
      </c>
      <c r="C136" s="34">
        <f>'[1]buses-marginal_price'!C134</f>
        <v>8.4999999999999992E-2</v>
      </c>
      <c r="D136" s="34">
        <f>'[1]buses-marginal_price'!D134</f>
        <v>0</v>
      </c>
      <c r="E136" s="34">
        <f>'[1]buses-marginal_price'!E134</f>
        <v>0</v>
      </c>
      <c r="F136" s="34">
        <f>'[1]buses-marginal_price'!F134</f>
        <v>0</v>
      </c>
      <c r="G136" s="34">
        <f>'[1]buses-marginal_price'!G134</f>
        <v>0</v>
      </c>
      <c r="H136" s="34">
        <f>'[1]buses-marginal_price'!K134</f>
        <v>0</v>
      </c>
    </row>
    <row r="137" spans="1:8">
      <c r="A137" s="18">
        <v>133</v>
      </c>
      <c r="B137" s="34">
        <f>'[1]buses-marginal_price'!B135</f>
        <v>0</v>
      </c>
      <c r="C137" s="34">
        <f>'[1]buses-marginal_price'!C135</f>
        <v>8.4999999999999992E-2</v>
      </c>
      <c r="D137" s="34">
        <f>'[1]buses-marginal_price'!D135</f>
        <v>0</v>
      </c>
      <c r="E137" s="34">
        <f>'[1]buses-marginal_price'!E135</f>
        <v>0</v>
      </c>
      <c r="F137" s="34">
        <f>'[1]buses-marginal_price'!F135</f>
        <v>0</v>
      </c>
      <c r="G137" s="34">
        <f>'[1]buses-marginal_price'!G135</f>
        <v>0</v>
      </c>
      <c r="H137" s="34">
        <f>'[1]buses-marginal_price'!K135</f>
        <v>0</v>
      </c>
    </row>
    <row r="138" spans="1:8">
      <c r="A138" s="18">
        <v>134</v>
      </c>
      <c r="B138" s="34">
        <f>'[1]buses-marginal_price'!B136</f>
        <v>0</v>
      </c>
      <c r="C138" s="34">
        <f>'[1]buses-marginal_price'!C136</f>
        <v>8.4999999999999992E-2</v>
      </c>
      <c r="D138" s="34">
        <f>'[1]buses-marginal_price'!D136</f>
        <v>0</v>
      </c>
      <c r="E138" s="34">
        <f>'[1]buses-marginal_price'!E136</f>
        <v>0</v>
      </c>
      <c r="F138" s="34">
        <f>'[1]buses-marginal_price'!F136</f>
        <v>0</v>
      </c>
      <c r="G138" s="34">
        <f>'[1]buses-marginal_price'!G136</f>
        <v>0</v>
      </c>
      <c r="H138" s="34">
        <f>'[1]buses-marginal_price'!K136</f>
        <v>0</v>
      </c>
    </row>
    <row r="139" spans="1:8">
      <c r="A139" s="18">
        <v>135</v>
      </c>
      <c r="B139" s="34">
        <f>'[1]buses-marginal_price'!B137</f>
        <v>0</v>
      </c>
      <c r="C139" s="34">
        <f>'[1]buses-marginal_price'!C137</f>
        <v>8.4999999999999992E-2</v>
      </c>
      <c r="D139" s="34">
        <f>'[1]buses-marginal_price'!D137</f>
        <v>0</v>
      </c>
      <c r="E139" s="34">
        <f>'[1]buses-marginal_price'!E137</f>
        <v>0</v>
      </c>
      <c r="F139" s="34">
        <f>'[1]buses-marginal_price'!F137</f>
        <v>0</v>
      </c>
      <c r="G139" s="34">
        <f>'[1]buses-marginal_price'!G137</f>
        <v>0</v>
      </c>
      <c r="H139" s="34">
        <f>'[1]buses-marginal_price'!K137</f>
        <v>0</v>
      </c>
    </row>
    <row r="140" spans="1:8">
      <c r="A140" s="18">
        <v>136</v>
      </c>
      <c r="B140" s="34">
        <f>'[1]buses-marginal_price'!B138</f>
        <v>0</v>
      </c>
      <c r="C140" s="34">
        <f>'[1]buses-marginal_price'!C138</f>
        <v>8.4999999999999992E-2</v>
      </c>
      <c r="D140" s="34">
        <f>'[1]buses-marginal_price'!D138</f>
        <v>0</v>
      </c>
      <c r="E140" s="34">
        <f>'[1]buses-marginal_price'!E138</f>
        <v>0</v>
      </c>
      <c r="F140" s="34">
        <f>'[1]buses-marginal_price'!F138</f>
        <v>0</v>
      </c>
      <c r="G140" s="34">
        <f>'[1]buses-marginal_price'!G138</f>
        <v>0</v>
      </c>
      <c r="H140" s="34">
        <f>'[1]buses-marginal_price'!K138</f>
        <v>0</v>
      </c>
    </row>
    <row r="141" spans="1:8">
      <c r="A141" s="18">
        <v>137</v>
      </c>
      <c r="B141" s="34">
        <f>'[1]buses-marginal_price'!B139</f>
        <v>6.3749999999999987E-2</v>
      </c>
      <c r="C141" s="34">
        <f>'[1]buses-marginal_price'!C139</f>
        <v>8.4999999999999992E-2</v>
      </c>
      <c r="D141" s="34">
        <f>'[1]buses-marginal_price'!D139</f>
        <v>9.1071428571428567E-2</v>
      </c>
      <c r="E141" s="34">
        <f>'[1]buses-marginal_price'!E139</f>
        <v>6.3749999999999987E-2</v>
      </c>
      <c r="F141" s="34">
        <f>'[1]buses-marginal_price'!F139</f>
        <v>6.3749999999999987E-2</v>
      </c>
      <c r="G141" s="34">
        <f>'[1]buses-marginal_price'!G139</f>
        <v>0</v>
      </c>
      <c r="H141" s="34">
        <f>'[1]buses-marginal_price'!K139</f>
        <v>7.3749999999999996E-2</v>
      </c>
    </row>
    <row r="142" spans="1:8">
      <c r="A142" s="18">
        <v>138</v>
      </c>
      <c r="B142" s="34">
        <f>'[1]buses-marginal_price'!B140</f>
        <v>9.9999999999999992E-2</v>
      </c>
      <c r="C142" s="34">
        <f>'[1]buses-marginal_price'!C140</f>
        <v>8.4999999999999992E-2</v>
      </c>
      <c r="D142" s="34">
        <f>'[1]buses-marginal_price'!D140</f>
        <v>0.14285714285714279</v>
      </c>
      <c r="E142" s="34">
        <f>'[1]buses-marginal_price'!E140</f>
        <v>9.9999999999999992E-2</v>
      </c>
      <c r="F142" s="34">
        <f>'[1]buses-marginal_price'!F140</f>
        <v>9.9999999999999992E-2</v>
      </c>
      <c r="G142" s="34">
        <f>'[1]buses-marginal_price'!G140</f>
        <v>0.1</v>
      </c>
      <c r="H142" s="34">
        <f>'[1]buses-marginal_price'!K140</f>
        <v>0.11</v>
      </c>
    </row>
    <row r="143" spans="1:8">
      <c r="A143" s="18">
        <v>139</v>
      </c>
      <c r="B143" s="34">
        <f>'[1]buses-marginal_price'!B141</f>
        <v>9.9999999999999992E-2</v>
      </c>
      <c r="C143" s="34">
        <f>'[1]buses-marginal_price'!C141</f>
        <v>8.4999999999999992E-2</v>
      </c>
      <c r="D143" s="34">
        <f>'[1]buses-marginal_price'!D141</f>
        <v>0.14285714285714279</v>
      </c>
      <c r="E143" s="34">
        <f>'[1]buses-marginal_price'!E141</f>
        <v>9.9999999999999992E-2</v>
      </c>
      <c r="F143" s="34">
        <f>'[1]buses-marginal_price'!F141</f>
        <v>9.9999999999999992E-2</v>
      </c>
      <c r="G143" s="34">
        <f>'[1]buses-marginal_price'!G141</f>
        <v>0.1</v>
      </c>
      <c r="H143" s="34">
        <f>'[1]buses-marginal_price'!K141</f>
        <v>9.9999999999999992E-2</v>
      </c>
    </row>
    <row r="144" spans="1:8">
      <c r="A144" s="18">
        <v>140</v>
      </c>
      <c r="B144" s="34">
        <f>'[1]buses-marginal_price'!B142</f>
        <v>9.0000000000000011E-2</v>
      </c>
      <c r="C144" s="34">
        <f>'[1]buses-marginal_price'!C142</f>
        <v>8.4999999999999992E-2</v>
      </c>
      <c r="D144" s="34">
        <f>'[1]buses-marginal_price'!D142</f>
        <v>0.12857142857142859</v>
      </c>
      <c r="E144" s="34">
        <f>'[1]buses-marginal_price'!E142</f>
        <v>9.0000000000000011E-2</v>
      </c>
      <c r="F144" s="34">
        <f>'[1]buses-marginal_price'!F142</f>
        <v>9.0000000000000011E-2</v>
      </c>
      <c r="G144" s="34">
        <f>'[1]buses-marginal_price'!G142</f>
        <v>0.1</v>
      </c>
      <c r="H144" s="34">
        <f>'[1]buses-marginal_price'!K142</f>
        <v>0</v>
      </c>
    </row>
    <row r="145" spans="1:8">
      <c r="A145" s="18">
        <v>141</v>
      </c>
      <c r="B145" s="34">
        <f>'[1]buses-marginal_price'!B143</f>
        <v>6.3749999999999987E-2</v>
      </c>
      <c r="C145" s="34">
        <f>'[1]buses-marginal_price'!C143</f>
        <v>8.4999999999999992E-2</v>
      </c>
      <c r="D145" s="34">
        <f>'[1]buses-marginal_price'!D143</f>
        <v>9.1071428571428567E-2</v>
      </c>
      <c r="E145" s="34">
        <f>'[1]buses-marginal_price'!E143</f>
        <v>6.3749999999999987E-2</v>
      </c>
      <c r="F145" s="34">
        <f>'[1]buses-marginal_price'!F143</f>
        <v>6.3749999999999987E-2</v>
      </c>
      <c r="G145" s="34">
        <f>'[1]buses-marginal_price'!G143</f>
        <v>7.3749999999999996E-2</v>
      </c>
      <c r="H145" s="34">
        <f>'[1]buses-marginal_price'!K143</f>
        <v>0</v>
      </c>
    </row>
    <row r="146" spans="1:8">
      <c r="A146" s="18">
        <v>142</v>
      </c>
      <c r="B146" s="34">
        <f>'[1]buses-marginal_price'!B144</f>
        <v>6.3749999999999987E-2</v>
      </c>
      <c r="C146" s="34">
        <f>'[1]buses-marginal_price'!C144</f>
        <v>8.4999999999999992E-2</v>
      </c>
      <c r="D146" s="34">
        <f>'[1]buses-marginal_price'!D144</f>
        <v>9.1071428571428567E-2</v>
      </c>
      <c r="E146" s="34">
        <f>'[1]buses-marginal_price'!E144</f>
        <v>6.3749999999999987E-2</v>
      </c>
      <c r="F146" s="34">
        <f>'[1]buses-marginal_price'!F144</f>
        <v>6.3749999999999987E-2</v>
      </c>
      <c r="G146" s="34">
        <f>'[1]buses-marginal_price'!G144</f>
        <v>7.3749999999999996E-2</v>
      </c>
      <c r="H146" s="34">
        <f>'[1]buses-marginal_price'!K144</f>
        <v>0</v>
      </c>
    </row>
    <row r="147" spans="1:8">
      <c r="A147" s="18">
        <v>143</v>
      </c>
      <c r="B147" s="34">
        <f>'[1]buses-marginal_price'!B145</f>
        <v>0.01</v>
      </c>
      <c r="C147" s="34">
        <f>'[1]buses-marginal_price'!C145</f>
        <v>8.4999999999999992E-2</v>
      </c>
      <c r="D147" s="34">
        <f>'[1]buses-marginal_price'!D145</f>
        <v>1.428571428571429E-2</v>
      </c>
      <c r="E147" s="34">
        <f>'[1]buses-marginal_price'!E145</f>
        <v>0.01</v>
      </c>
      <c r="F147" s="34">
        <f>'[1]buses-marginal_price'!F145</f>
        <v>0.01</v>
      </c>
      <c r="G147" s="34">
        <f>'[1]buses-marginal_price'!G145</f>
        <v>0.02</v>
      </c>
      <c r="H147" s="34">
        <f>'[1]buses-marginal_price'!K145</f>
        <v>0</v>
      </c>
    </row>
    <row r="148" spans="1:8">
      <c r="A148" s="18">
        <v>144</v>
      </c>
      <c r="B148" s="34">
        <f>'[1]buses-marginal_price'!B146</f>
        <v>0</v>
      </c>
      <c r="C148" s="34">
        <f>'[1]buses-marginal_price'!C146</f>
        <v>8.4999999999999992E-2</v>
      </c>
      <c r="D148" s="34">
        <f>'[1]buses-marginal_price'!D146</f>
        <v>0</v>
      </c>
      <c r="E148" s="34">
        <f>'[1]buses-marginal_price'!E146</f>
        <v>0</v>
      </c>
      <c r="F148" s="34">
        <f>'[1]buses-marginal_price'!F146</f>
        <v>0</v>
      </c>
      <c r="G148" s="34">
        <f>'[1]buses-marginal_price'!G146</f>
        <v>0.01</v>
      </c>
      <c r="H148" s="34">
        <f>'[1]buses-marginal_price'!K146</f>
        <v>0</v>
      </c>
    </row>
    <row r="149" spans="1:8">
      <c r="A149" s="18">
        <v>145</v>
      </c>
      <c r="B149" s="34">
        <f>'[1]buses-marginal_price'!B147</f>
        <v>0</v>
      </c>
      <c r="C149" s="34">
        <f>'[1]buses-marginal_price'!C147</f>
        <v>8.4999999999999992E-2</v>
      </c>
      <c r="D149" s="34">
        <f>'[1]buses-marginal_price'!D147</f>
        <v>0</v>
      </c>
      <c r="E149" s="34">
        <f>'[1]buses-marginal_price'!E147</f>
        <v>0</v>
      </c>
      <c r="F149" s="34">
        <f>'[1]buses-marginal_price'!F147</f>
        <v>0</v>
      </c>
      <c r="G149" s="34">
        <f>'[1]buses-marginal_price'!G147</f>
        <v>0.01</v>
      </c>
      <c r="H149" s="34">
        <f>'[1]buses-marginal_price'!K147</f>
        <v>0</v>
      </c>
    </row>
    <row r="150" spans="1:8">
      <c r="A150" s="18">
        <v>146</v>
      </c>
      <c r="B150" s="34">
        <f>'[1]buses-marginal_price'!B148</f>
        <v>0</v>
      </c>
      <c r="C150" s="34">
        <f>'[1]buses-marginal_price'!C148</f>
        <v>8.4999999999999992E-2</v>
      </c>
      <c r="D150" s="34">
        <f>'[1]buses-marginal_price'!D148</f>
        <v>0</v>
      </c>
      <c r="E150" s="34">
        <f>'[1]buses-marginal_price'!E148</f>
        <v>0</v>
      </c>
      <c r="F150" s="34">
        <f>'[1]buses-marginal_price'!F148</f>
        <v>0</v>
      </c>
      <c r="G150" s="34">
        <f>'[1]buses-marginal_price'!G148</f>
        <v>0.01</v>
      </c>
      <c r="H150" s="34">
        <f>'[1]buses-marginal_price'!K148</f>
        <v>0</v>
      </c>
    </row>
    <row r="151" spans="1:8">
      <c r="A151" s="18">
        <v>147</v>
      </c>
      <c r="B151" s="34">
        <f>'[1]buses-marginal_price'!B149</f>
        <v>0</v>
      </c>
      <c r="C151" s="34">
        <f>'[1]buses-marginal_price'!C149</f>
        <v>8.4999999999999992E-2</v>
      </c>
      <c r="D151" s="34">
        <f>'[1]buses-marginal_price'!D149</f>
        <v>0</v>
      </c>
      <c r="E151" s="34">
        <f>'[1]buses-marginal_price'!E149</f>
        <v>0</v>
      </c>
      <c r="F151" s="34">
        <f>'[1]buses-marginal_price'!F149</f>
        <v>0</v>
      </c>
      <c r="G151" s="34">
        <f>'[1]buses-marginal_price'!G149</f>
        <v>0.01</v>
      </c>
      <c r="H151" s="34">
        <f>'[1]buses-marginal_price'!K149</f>
        <v>0</v>
      </c>
    </row>
    <row r="152" spans="1:8">
      <c r="A152" s="18">
        <v>148</v>
      </c>
      <c r="B152" s="34">
        <f>'[1]buses-marginal_price'!B150</f>
        <v>0</v>
      </c>
      <c r="C152" s="34">
        <f>'[1]buses-marginal_price'!C150</f>
        <v>8.4999999999999992E-2</v>
      </c>
      <c r="D152" s="34">
        <f>'[1]buses-marginal_price'!D150</f>
        <v>0</v>
      </c>
      <c r="E152" s="34">
        <f>'[1]buses-marginal_price'!E150</f>
        <v>0</v>
      </c>
      <c r="F152" s="34">
        <f>'[1]buses-marginal_price'!F150</f>
        <v>0</v>
      </c>
      <c r="G152" s="34">
        <f>'[1]buses-marginal_price'!G150</f>
        <v>0.01</v>
      </c>
      <c r="H152" s="34">
        <f>'[1]buses-marginal_price'!K150</f>
        <v>0</v>
      </c>
    </row>
    <row r="153" spans="1:8">
      <c r="A153" s="18">
        <v>149</v>
      </c>
      <c r="B153" s="34">
        <f>'[1]buses-marginal_price'!B151</f>
        <v>0</v>
      </c>
      <c r="C153" s="34">
        <f>'[1]buses-marginal_price'!C151</f>
        <v>8.4999999999999992E-2</v>
      </c>
      <c r="D153" s="34">
        <f>'[1]buses-marginal_price'!D151</f>
        <v>0</v>
      </c>
      <c r="E153" s="34">
        <f>'[1]buses-marginal_price'!E151</f>
        <v>0</v>
      </c>
      <c r="F153" s="34">
        <f>'[1]buses-marginal_price'!F151</f>
        <v>0</v>
      </c>
      <c r="G153" s="34">
        <f>'[1]buses-marginal_price'!G151</f>
        <v>0.01</v>
      </c>
      <c r="H153" s="34">
        <f>'[1]buses-marginal_price'!K151</f>
        <v>0</v>
      </c>
    </row>
    <row r="154" spans="1:8">
      <c r="A154" s="18">
        <v>150</v>
      </c>
      <c r="B154" s="34">
        <f>'[1]buses-marginal_price'!B152</f>
        <v>0</v>
      </c>
      <c r="C154" s="34">
        <f>'[1]buses-marginal_price'!C152</f>
        <v>8.4999999999999992E-2</v>
      </c>
      <c r="D154" s="34">
        <f>'[1]buses-marginal_price'!D152</f>
        <v>0</v>
      </c>
      <c r="E154" s="34">
        <f>'[1]buses-marginal_price'!E152</f>
        <v>0</v>
      </c>
      <c r="F154" s="34">
        <f>'[1]buses-marginal_price'!F152</f>
        <v>0</v>
      </c>
      <c r="G154" s="34">
        <f>'[1]buses-marginal_price'!G152</f>
        <v>0.01</v>
      </c>
      <c r="H154" s="34">
        <f>'[1]buses-marginal_price'!K152</f>
        <v>0</v>
      </c>
    </row>
    <row r="155" spans="1:8">
      <c r="A155" s="18">
        <v>151</v>
      </c>
      <c r="B155" s="34">
        <f>'[1]buses-marginal_price'!B153</f>
        <v>0</v>
      </c>
      <c r="C155" s="34">
        <f>'[1]buses-marginal_price'!C153</f>
        <v>8.4999999999999992E-2</v>
      </c>
      <c r="D155" s="34">
        <f>'[1]buses-marginal_price'!D153</f>
        <v>0</v>
      </c>
      <c r="E155" s="34">
        <f>'[1]buses-marginal_price'!E153</f>
        <v>0</v>
      </c>
      <c r="F155" s="34">
        <f>'[1]buses-marginal_price'!F153</f>
        <v>0</v>
      </c>
      <c r="G155" s="34">
        <f>'[1]buses-marginal_price'!G153</f>
        <v>0.01</v>
      </c>
      <c r="H155" s="34">
        <f>'[1]buses-marginal_price'!K153</f>
        <v>0</v>
      </c>
    </row>
    <row r="156" spans="1:8">
      <c r="A156" s="18">
        <v>152</v>
      </c>
      <c r="B156" s="34">
        <f>'[1]buses-marginal_price'!B154</f>
        <v>0</v>
      </c>
      <c r="C156" s="34">
        <f>'[1]buses-marginal_price'!C154</f>
        <v>8.4999999999999992E-2</v>
      </c>
      <c r="D156" s="34">
        <f>'[1]buses-marginal_price'!D154</f>
        <v>0</v>
      </c>
      <c r="E156" s="34">
        <f>'[1]buses-marginal_price'!E154</f>
        <v>0</v>
      </c>
      <c r="F156" s="34">
        <f>'[1]buses-marginal_price'!F154</f>
        <v>0</v>
      </c>
      <c r="G156" s="34">
        <f>'[1]buses-marginal_price'!G154</f>
        <v>0.01</v>
      </c>
      <c r="H156" s="34">
        <f>'[1]buses-marginal_price'!K154</f>
        <v>0</v>
      </c>
    </row>
    <row r="157" spans="1:8">
      <c r="A157" s="18">
        <v>153</v>
      </c>
      <c r="B157" s="34">
        <f>'[1]buses-marginal_price'!B155</f>
        <v>0</v>
      </c>
      <c r="C157" s="34">
        <f>'[1]buses-marginal_price'!C155</f>
        <v>8.4999999999999992E-2</v>
      </c>
      <c r="D157" s="34">
        <f>'[1]buses-marginal_price'!D155</f>
        <v>0</v>
      </c>
      <c r="E157" s="34">
        <f>'[1]buses-marginal_price'!E155</f>
        <v>0</v>
      </c>
      <c r="F157" s="34">
        <f>'[1]buses-marginal_price'!F155</f>
        <v>0</v>
      </c>
      <c r="G157" s="34">
        <f>'[1]buses-marginal_price'!G155</f>
        <v>0.01</v>
      </c>
      <c r="H157" s="34">
        <f>'[1]buses-marginal_price'!K155</f>
        <v>0</v>
      </c>
    </row>
    <row r="158" spans="1:8">
      <c r="A158" s="18">
        <v>154</v>
      </c>
      <c r="B158" s="34">
        <f>'[1]buses-marginal_price'!B156</f>
        <v>0</v>
      </c>
      <c r="C158" s="34">
        <f>'[1]buses-marginal_price'!C156</f>
        <v>8.4999999999999992E-2</v>
      </c>
      <c r="D158" s="34">
        <f>'[1]buses-marginal_price'!D156</f>
        <v>0</v>
      </c>
      <c r="E158" s="34">
        <f>'[1]buses-marginal_price'!E156</f>
        <v>0</v>
      </c>
      <c r="F158" s="34">
        <f>'[1]buses-marginal_price'!F156</f>
        <v>0</v>
      </c>
      <c r="G158" s="34">
        <f>'[1]buses-marginal_price'!G156</f>
        <v>0</v>
      </c>
      <c r="H158" s="34">
        <f>'[1]buses-marginal_price'!K156</f>
        <v>0</v>
      </c>
    </row>
    <row r="159" spans="1:8">
      <c r="A159" s="18">
        <v>155</v>
      </c>
      <c r="B159" s="34">
        <f>'[1]buses-marginal_price'!B157</f>
        <v>0</v>
      </c>
      <c r="C159" s="34">
        <f>'[1]buses-marginal_price'!C157</f>
        <v>8.4999999999999992E-2</v>
      </c>
      <c r="D159" s="34">
        <f>'[1]buses-marginal_price'!D157</f>
        <v>0</v>
      </c>
      <c r="E159" s="34">
        <f>'[1]buses-marginal_price'!E157</f>
        <v>0</v>
      </c>
      <c r="F159" s="34">
        <f>'[1]buses-marginal_price'!F157</f>
        <v>0</v>
      </c>
      <c r="G159" s="34">
        <f>'[1]buses-marginal_price'!G157</f>
        <v>0</v>
      </c>
      <c r="H159" s="34">
        <f>'[1]buses-marginal_price'!K157</f>
        <v>0</v>
      </c>
    </row>
    <row r="160" spans="1:8">
      <c r="A160" s="18">
        <v>156</v>
      </c>
      <c r="B160" s="34">
        <f>'[1]buses-marginal_price'!B158</f>
        <v>0</v>
      </c>
      <c r="C160" s="34">
        <f>'[1]buses-marginal_price'!C158</f>
        <v>8.4999999999999992E-2</v>
      </c>
      <c r="D160" s="34">
        <f>'[1]buses-marginal_price'!D158</f>
        <v>0</v>
      </c>
      <c r="E160" s="34">
        <f>'[1]buses-marginal_price'!E158</f>
        <v>0</v>
      </c>
      <c r="F160" s="34">
        <f>'[1]buses-marginal_price'!F158</f>
        <v>0</v>
      </c>
      <c r="G160" s="34">
        <f>'[1]buses-marginal_price'!G158</f>
        <v>0</v>
      </c>
      <c r="H160" s="34">
        <f>'[1]buses-marginal_price'!K158</f>
        <v>0</v>
      </c>
    </row>
    <row r="161" spans="1:8">
      <c r="A161" s="18">
        <v>157</v>
      </c>
      <c r="B161" s="34">
        <f>'[1]buses-marginal_price'!B159</f>
        <v>0</v>
      </c>
      <c r="C161" s="34">
        <f>'[1]buses-marginal_price'!C159</f>
        <v>8.4999999999999992E-2</v>
      </c>
      <c r="D161" s="34">
        <f>'[1]buses-marginal_price'!D159</f>
        <v>0</v>
      </c>
      <c r="E161" s="34">
        <f>'[1]buses-marginal_price'!E159</f>
        <v>0</v>
      </c>
      <c r="F161" s="34">
        <f>'[1]buses-marginal_price'!F159</f>
        <v>0</v>
      </c>
      <c r="G161" s="34">
        <f>'[1]buses-marginal_price'!G159</f>
        <v>0</v>
      </c>
      <c r="H161" s="34">
        <f>'[1]buses-marginal_price'!K159</f>
        <v>0</v>
      </c>
    </row>
    <row r="162" spans="1:8">
      <c r="A162" s="18">
        <v>158</v>
      </c>
      <c r="B162" s="34">
        <f>'[1]buses-marginal_price'!B160</f>
        <v>0</v>
      </c>
      <c r="C162" s="34">
        <f>'[1]buses-marginal_price'!C160</f>
        <v>8.4999999999999992E-2</v>
      </c>
      <c r="D162" s="34">
        <f>'[1]buses-marginal_price'!D160</f>
        <v>0</v>
      </c>
      <c r="E162" s="34">
        <f>'[1]buses-marginal_price'!E160</f>
        <v>0</v>
      </c>
      <c r="F162" s="34">
        <f>'[1]buses-marginal_price'!F160</f>
        <v>0</v>
      </c>
      <c r="G162" s="34">
        <f>'[1]buses-marginal_price'!G160</f>
        <v>0</v>
      </c>
      <c r="H162" s="34">
        <f>'[1]buses-marginal_price'!K160</f>
        <v>0</v>
      </c>
    </row>
    <row r="163" spans="1:8">
      <c r="A163" s="18">
        <v>159</v>
      </c>
      <c r="B163" s="34">
        <f>'[1]buses-marginal_price'!B161</f>
        <v>0</v>
      </c>
      <c r="C163" s="34">
        <f>'[1]buses-marginal_price'!C161</f>
        <v>8.4999999999999992E-2</v>
      </c>
      <c r="D163" s="34">
        <f>'[1]buses-marginal_price'!D161</f>
        <v>0</v>
      </c>
      <c r="E163" s="34">
        <f>'[1]buses-marginal_price'!E161</f>
        <v>0</v>
      </c>
      <c r="F163" s="34">
        <f>'[1]buses-marginal_price'!F161</f>
        <v>0</v>
      </c>
      <c r="G163" s="34">
        <f>'[1]buses-marginal_price'!G161</f>
        <v>0</v>
      </c>
      <c r="H163" s="34">
        <f>'[1]buses-marginal_price'!K161</f>
        <v>0</v>
      </c>
    </row>
    <row r="164" spans="1:8">
      <c r="A164" s="18">
        <v>160</v>
      </c>
      <c r="B164" s="34">
        <f>'[1]buses-marginal_price'!B162</f>
        <v>0</v>
      </c>
      <c r="C164" s="34">
        <f>'[1]buses-marginal_price'!C162</f>
        <v>8.4999999999999992E-2</v>
      </c>
      <c r="D164" s="34">
        <f>'[1]buses-marginal_price'!D162</f>
        <v>0</v>
      </c>
      <c r="E164" s="34">
        <f>'[1]buses-marginal_price'!E162</f>
        <v>0</v>
      </c>
      <c r="F164" s="34">
        <f>'[1]buses-marginal_price'!F162</f>
        <v>0</v>
      </c>
      <c r="G164" s="34">
        <f>'[1]buses-marginal_price'!G162</f>
        <v>0</v>
      </c>
      <c r="H164" s="34">
        <f>'[1]buses-marginal_price'!K162</f>
        <v>0</v>
      </c>
    </row>
    <row r="165" spans="1:8">
      <c r="A165" s="18">
        <v>161</v>
      </c>
      <c r="B165" s="34">
        <f>'[1]buses-marginal_price'!B163</f>
        <v>0</v>
      </c>
      <c r="C165" s="34">
        <f>'[1]buses-marginal_price'!C163</f>
        <v>8.4999999999999992E-2</v>
      </c>
      <c r="D165" s="34">
        <f>'[1]buses-marginal_price'!D163</f>
        <v>0</v>
      </c>
      <c r="E165" s="34">
        <f>'[1]buses-marginal_price'!E163</f>
        <v>0</v>
      </c>
      <c r="F165" s="34">
        <f>'[1]buses-marginal_price'!F163</f>
        <v>0</v>
      </c>
      <c r="G165" s="34">
        <f>'[1]buses-marginal_price'!G163</f>
        <v>0</v>
      </c>
      <c r="H165" s="34">
        <f>'[1]buses-marginal_price'!K163</f>
        <v>0</v>
      </c>
    </row>
    <row r="166" spans="1:8">
      <c r="A166" s="18">
        <v>162</v>
      </c>
      <c r="B166" s="34">
        <f>'[1]buses-marginal_price'!B164</f>
        <v>0</v>
      </c>
      <c r="C166" s="34">
        <f>'[1]buses-marginal_price'!C164</f>
        <v>8.4999999999999992E-2</v>
      </c>
      <c r="D166" s="34">
        <f>'[1]buses-marginal_price'!D164</f>
        <v>0</v>
      </c>
      <c r="E166" s="34">
        <f>'[1]buses-marginal_price'!E164</f>
        <v>0</v>
      </c>
      <c r="F166" s="34">
        <f>'[1]buses-marginal_price'!F164</f>
        <v>0</v>
      </c>
      <c r="G166" s="34">
        <f>'[1]buses-marginal_price'!G164</f>
        <v>0.01</v>
      </c>
      <c r="H166" s="34">
        <f>'[1]buses-marginal_price'!K164</f>
        <v>0</v>
      </c>
    </row>
    <row r="167" spans="1:8">
      <c r="A167" s="18">
        <v>163</v>
      </c>
      <c r="B167" s="34">
        <f>'[1]buses-marginal_price'!B165</f>
        <v>0</v>
      </c>
      <c r="C167" s="34">
        <f>'[1]buses-marginal_price'!C165</f>
        <v>8.4999999999999992E-2</v>
      </c>
      <c r="D167" s="34">
        <f>'[1]buses-marginal_price'!D165</f>
        <v>0</v>
      </c>
      <c r="E167" s="34">
        <f>'[1]buses-marginal_price'!E165</f>
        <v>0</v>
      </c>
      <c r="F167" s="34">
        <f>'[1]buses-marginal_price'!F165</f>
        <v>0</v>
      </c>
      <c r="G167" s="34">
        <f>'[1]buses-marginal_price'!G165</f>
        <v>0.01</v>
      </c>
      <c r="H167" s="34">
        <f>'[1]buses-marginal_price'!K165</f>
        <v>0</v>
      </c>
    </row>
    <row r="168" spans="1:8">
      <c r="A168" s="18">
        <v>164</v>
      </c>
      <c r="B168" s="34">
        <f>'[1]buses-marginal_price'!B166</f>
        <v>0</v>
      </c>
      <c r="C168" s="34">
        <f>'[1]buses-marginal_price'!C166</f>
        <v>8.4999999999999992E-2</v>
      </c>
      <c r="D168" s="34">
        <f>'[1]buses-marginal_price'!D166</f>
        <v>0</v>
      </c>
      <c r="E168" s="34">
        <f>'[1]buses-marginal_price'!E166</f>
        <v>0</v>
      </c>
      <c r="F168" s="34">
        <f>'[1]buses-marginal_price'!F166</f>
        <v>0</v>
      </c>
      <c r="G168" s="34">
        <f>'[1]buses-marginal_price'!G166</f>
        <v>0.01</v>
      </c>
      <c r="H168" s="34">
        <f>'[1]buses-marginal_price'!K166</f>
        <v>0</v>
      </c>
    </row>
    <row r="169" spans="1:8">
      <c r="A169" s="18">
        <v>165</v>
      </c>
      <c r="B169" s="34">
        <f>'[1]buses-marginal_price'!B167</f>
        <v>0</v>
      </c>
      <c r="C169" s="34">
        <f>'[1]buses-marginal_price'!C167</f>
        <v>8.4999999999999992E-2</v>
      </c>
      <c r="D169" s="34">
        <f>'[1]buses-marginal_price'!D167</f>
        <v>0</v>
      </c>
      <c r="E169" s="34">
        <f>'[1]buses-marginal_price'!E167</f>
        <v>0</v>
      </c>
      <c r="F169" s="34">
        <f>'[1]buses-marginal_price'!F167</f>
        <v>0</v>
      </c>
      <c r="G169" s="34">
        <f>'[1]buses-marginal_price'!G167</f>
        <v>0.01</v>
      </c>
      <c r="H169" s="34">
        <f>'[1]buses-marginal_price'!K167</f>
        <v>0</v>
      </c>
    </row>
    <row r="170" spans="1:8">
      <c r="A170" s="18">
        <v>166</v>
      </c>
      <c r="B170" s="34">
        <f>'[1]buses-marginal_price'!B168</f>
        <v>0</v>
      </c>
      <c r="C170" s="34">
        <f>'[1]buses-marginal_price'!C168</f>
        <v>8.4999999999999992E-2</v>
      </c>
      <c r="D170" s="34">
        <f>'[1]buses-marginal_price'!D168</f>
        <v>0</v>
      </c>
      <c r="E170" s="34">
        <f>'[1]buses-marginal_price'!E168</f>
        <v>0</v>
      </c>
      <c r="F170" s="34">
        <f>'[1]buses-marginal_price'!F168</f>
        <v>0</v>
      </c>
      <c r="G170" s="34">
        <f>'[1]buses-marginal_price'!G168</f>
        <v>0.01</v>
      </c>
      <c r="H170" s="34">
        <f>'[1]buses-marginal_price'!K168</f>
        <v>0</v>
      </c>
    </row>
    <row r="171" spans="1:8">
      <c r="A171" s="30">
        <v>167</v>
      </c>
      <c r="B171" s="34">
        <f>'[1]buses-marginal_price'!B169</f>
        <v>0</v>
      </c>
      <c r="C171" s="34">
        <f>'[1]buses-marginal_price'!C169</f>
        <v>8.4999999999999992E-2</v>
      </c>
      <c r="D171" s="34">
        <f>'[1]buses-marginal_price'!D169</f>
        <v>0</v>
      </c>
      <c r="E171" s="34">
        <f>'[1]buses-marginal_price'!E169</f>
        <v>0</v>
      </c>
      <c r="F171" s="34">
        <f>'[1]buses-marginal_price'!F169</f>
        <v>0</v>
      </c>
      <c r="G171" s="34">
        <f>'[1]buses-marginal_price'!G169</f>
        <v>0.01</v>
      </c>
      <c r="H171" s="34">
        <f>'[1]buses-marginal_price'!K169</f>
        <v>0</v>
      </c>
    </row>
  </sheetData>
  <mergeCells count="2">
    <mergeCell ref="J46:J49"/>
    <mergeCell ref="B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08DB-D42E-43A6-B377-F56855FBE1E0}">
  <sheetPr>
    <tabColor rgb="FFFFE07D"/>
  </sheetPr>
  <dimension ref="A1:P169"/>
  <sheetViews>
    <sheetView zoomScale="85" zoomScaleNormal="85" workbookViewId="0">
      <selection activeCell="C38" sqref="C38"/>
    </sheetView>
  </sheetViews>
  <sheetFormatPr baseColWidth="10" defaultRowHeight="14"/>
  <cols>
    <col min="1" max="1" width="10.90625" style="1"/>
    <col min="2" max="2" width="24.36328125" style="1" bestFit="1" customWidth="1"/>
    <col min="3" max="3" width="17.1796875" style="1" bestFit="1" customWidth="1"/>
    <col min="4" max="4" width="24.81640625" style="1" bestFit="1" customWidth="1"/>
    <col min="5" max="5" width="24.54296875" style="1" bestFit="1" customWidth="1"/>
    <col min="6" max="6" width="3.36328125" style="37" customWidth="1"/>
    <col min="7" max="7" width="30.6328125" style="1" bestFit="1" customWidth="1"/>
    <col min="8" max="8" width="29.453125" style="1" bestFit="1" customWidth="1"/>
    <col min="9" max="9" width="3.54296875" style="37" customWidth="1"/>
    <col min="10" max="10" width="6.08984375" style="1" bestFit="1" customWidth="1"/>
    <col min="11" max="11" width="17.90625" style="1" bestFit="1" customWidth="1"/>
    <col min="12" max="12" width="24.54296875" style="1" bestFit="1" customWidth="1"/>
    <col min="13" max="16384" width="10.90625" style="1"/>
  </cols>
  <sheetData>
    <row r="1" spans="1:16">
      <c r="A1" s="1" t="s">
        <v>19</v>
      </c>
      <c r="B1" s="1" t="str">
        <f>'[1]buses-marginal_price'!G1</f>
        <v>PT_electricity_market_bus</v>
      </c>
      <c r="C1" s="1" t="str">
        <f>'[1]buses-marginal_price'!H1</f>
        <v>PT_hydrogen_bus</v>
      </c>
      <c r="D1" s="1" t="str">
        <f>'[1]buses-marginal_price'!I1</f>
        <v>PT_SRES_excedentes_bus</v>
      </c>
      <c r="E1" s="1" t="str">
        <f>'[1]buses-marginal_price'!J1</f>
        <v>PT_SRES_electrolyzer_bus</v>
      </c>
      <c r="G1" s="1" t="str">
        <f>'[1]links-p0'!O1</f>
        <v>ES_PT_interconexion_electricidad</v>
      </c>
      <c r="H1" s="1" t="str">
        <f>'[1]links-p0'!P1</f>
        <v>ES_PT_interconexion_hidrogeno</v>
      </c>
      <c r="J1" s="1" t="s">
        <v>19</v>
      </c>
      <c r="K1" s="1" t="s">
        <v>36</v>
      </c>
      <c r="L1" s="1" t="s">
        <v>37</v>
      </c>
    </row>
    <row r="2" spans="1:16">
      <c r="A2" s="1">
        <v>1</v>
      </c>
      <c r="B2" s="1">
        <f>'[1]buses-marginal_price'!G2</f>
        <v>0.09</v>
      </c>
      <c r="C2" s="1">
        <f>'[1]buses-marginal_price'!H2</f>
        <v>0.15285714285714291</v>
      </c>
      <c r="D2" s="1">
        <f>'[1]buses-marginal_price'!I2</f>
        <v>0.09</v>
      </c>
      <c r="E2" s="1">
        <f>'[1]buses-marginal_price'!J2</f>
        <v>0.107</v>
      </c>
      <c r="G2" s="1">
        <f>'[1]links-p0'!O2</f>
        <v>0</v>
      </c>
      <c r="H2" s="1">
        <f>'[1]links-p0'!P2</f>
        <v>366.50117356925989</v>
      </c>
      <c r="J2" s="1">
        <v>1</v>
      </c>
      <c r="K2" s="1">
        <f>IF(B2=C2,1,)</f>
        <v>0</v>
      </c>
      <c r="L2" s="1">
        <f t="shared" ref="L2:L33" si="0">IF(B2=E2,1,)</f>
        <v>0</v>
      </c>
    </row>
    <row r="3" spans="1:16">
      <c r="A3" s="1">
        <f>1+A2</f>
        <v>2</v>
      </c>
      <c r="B3" s="1">
        <f>'[1]buses-marginal_price'!G3</f>
        <v>0</v>
      </c>
      <c r="C3" s="1">
        <f>'[1]buses-marginal_price'!H3</f>
        <v>0.1010714285714286</v>
      </c>
      <c r="D3" s="1">
        <f>'[1]buses-marginal_price'!I3</f>
        <v>0</v>
      </c>
      <c r="E3" s="1">
        <f>'[1]buses-marginal_price'!J3</f>
        <v>7.0749999999999993E-2</v>
      </c>
      <c r="G3" s="1">
        <f>'[1]links-p0'!O3</f>
        <v>0</v>
      </c>
      <c r="H3" s="1">
        <f>'[1]links-p0'!P3</f>
        <v>312.77831536379267</v>
      </c>
      <c r="J3" s="1">
        <v>2</v>
      </c>
      <c r="K3" s="1">
        <f t="shared" ref="K3:K66" si="1">IF(B3=C3,1,)</f>
        <v>0</v>
      </c>
      <c r="L3" s="1">
        <f t="shared" si="0"/>
        <v>0</v>
      </c>
    </row>
    <row r="4" spans="1:16">
      <c r="A4" s="1">
        <f t="shared" ref="A4:A67" si="2">1+A3</f>
        <v>3</v>
      </c>
      <c r="B4" s="1">
        <f>'[1]buses-marginal_price'!G4</f>
        <v>0</v>
      </c>
      <c r="C4" s="1">
        <f>'[1]buses-marginal_price'!H4</f>
        <v>0.1010714285714286</v>
      </c>
      <c r="D4" s="1">
        <f>'[1]buses-marginal_price'!I4</f>
        <v>0</v>
      </c>
      <c r="E4" s="1">
        <f>'[1]buses-marginal_price'!J4</f>
        <v>7.0749999999999993E-2</v>
      </c>
      <c r="G4" s="1">
        <f>'[1]links-p0'!O4</f>
        <v>0</v>
      </c>
      <c r="H4" s="1">
        <f>'[1]links-p0'!P4</f>
        <v>315.50750259998671</v>
      </c>
      <c r="J4" s="1">
        <v>3</v>
      </c>
      <c r="K4" s="1">
        <f t="shared" si="1"/>
        <v>0</v>
      </c>
      <c r="L4" s="1">
        <f t="shared" si="0"/>
        <v>0</v>
      </c>
    </row>
    <row r="5" spans="1:16">
      <c r="A5" s="1">
        <f t="shared" si="2"/>
        <v>4</v>
      </c>
      <c r="B5" s="1">
        <f>'[1]buses-marginal_price'!G5</f>
        <v>0</v>
      </c>
      <c r="C5" s="1">
        <f>'[1]buses-marginal_price'!H5</f>
        <v>0.1010714285714286</v>
      </c>
      <c r="D5" s="1">
        <f>'[1]buses-marginal_price'!I5</f>
        <v>0</v>
      </c>
      <c r="E5" s="1">
        <f>'[1]buses-marginal_price'!J5</f>
        <v>7.0749999999999993E-2</v>
      </c>
      <c r="G5" s="1">
        <f>'[1]links-p0'!O5</f>
        <v>0</v>
      </c>
      <c r="H5" s="1">
        <f>'[1]links-p0'!P5</f>
        <v>442.41236122958611</v>
      </c>
      <c r="J5" s="1">
        <v>4</v>
      </c>
      <c r="K5" s="1">
        <f t="shared" si="1"/>
        <v>0</v>
      </c>
      <c r="L5" s="1">
        <f t="shared" si="0"/>
        <v>0</v>
      </c>
      <c r="P5" s="1" t="s">
        <v>38</v>
      </c>
    </row>
    <row r="6" spans="1:16">
      <c r="A6" s="1">
        <f t="shared" si="2"/>
        <v>5</v>
      </c>
      <c r="B6" s="1">
        <f>'[1]buses-marginal_price'!G6</f>
        <v>0</v>
      </c>
      <c r="C6" s="1">
        <f>'[1]buses-marginal_price'!H6</f>
        <v>0.1010714285714286</v>
      </c>
      <c r="D6" s="1">
        <f>'[1]buses-marginal_price'!I6</f>
        <v>0</v>
      </c>
      <c r="E6" s="1">
        <f>'[1]buses-marginal_price'!J6</f>
        <v>7.0749999999999993E-2</v>
      </c>
      <c r="G6" s="1">
        <f>'[1]links-p0'!O6</f>
        <v>0</v>
      </c>
      <c r="H6" s="1">
        <f>'[1]links-p0'!P6</f>
        <v>494.68932021459278</v>
      </c>
      <c r="J6" s="1">
        <v>5</v>
      </c>
      <c r="K6" s="1">
        <f t="shared" si="1"/>
        <v>0</v>
      </c>
      <c r="L6" s="1">
        <f t="shared" si="0"/>
        <v>0</v>
      </c>
    </row>
    <row r="7" spans="1:16">
      <c r="A7" s="1">
        <f t="shared" si="2"/>
        <v>6</v>
      </c>
      <c r="B7" s="1">
        <f>'[1]buses-marginal_price'!G7</f>
        <v>0</v>
      </c>
      <c r="C7" s="1">
        <f>'[1]buses-marginal_price'!H7</f>
        <v>0.1010714285714286</v>
      </c>
      <c r="D7" s="1">
        <f>'[1]buses-marginal_price'!I7</f>
        <v>0</v>
      </c>
      <c r="E7" s="1">
        <f>'[1]buses-marginal_price'!J7</f>
        <v>7.0749999999999993E-2</v>
      </c>
      <c r="G7" s="1">
        <f>'[1]links-p0'!O7</f>
        <v>0</v>
      </c>
      <c r="H7" s="1">
        <f>'[1]links-p0'!P7</f>
        <v>557.05313280582425</v>
      </c>
      <c r="J7" s="1">
        <v>6</v>
      </c>
      <c r="K7" s="1">
        <f t="shared" si="1"/>
        <v>0</v>
      </c>
      <c r="L7" s="1">
        <f t="shared" si="0"/>
        <v>0</v>
      </c>
    </row>
    <row r="8" spans="1:16">
      <c r="A8" s="1">
        <f t="shared" si="2"/>
        <v>7</v>
      </c>
      <c r="B8" s="1">
        <f>'[1]buses-marginal_price'!G8</f>
        <v>0</v>
      </c>
      <c r="C8" s="1">
        <f>'[1]buses-marginal_price'!H8</f>
        <v>0.1010714285714286</v>
      </c>
      <c r="D8" s="1">
        <f>'[1]buses-marginal_price'!I8</f>
        <v>0</v>
      </c>
      <c r="E8" s="1">
        <f>'[1]buses-marginal_price'!J8</f>
        <v>7.0749999999999993E-2</v>
      </c>
      <c r="G8" s="1">
        <f>'[1]links-p0'!O8</f>
        <v>0</v>
      </c>
      <c r="H8" s="1">
        <f>'[1]links-p0'!P8</f>
        <v>625.26580486964167</v>
      </c>
      <c r="J8" s="1">
        <v>7</v>
      </c>
      <c r="K8" s="1">
        <f t="shared" si="1"/>
        <v>0</v>
      </c>
      <c r="L8" s="1">
        <f t="shared" si="0"/>
        <v>0</v>
      </c>
    </row>
    <row r="9" spans="1:16">
      <c r="A9" s="1">
        <f t="shared" si="2"/>
        <v>8</v>
      </c>
      <c r="B9" s="1">
        <f>'[1]buses-marginal_price'!G9</f>
        <v>0</v>
      </c>
      <c r="C9" s="1">
        <f>'[1]buses-marginal_price'!H9</f>
        <v>0.15285714285714291</v>
      </c>
      <c r="D9" s="1">
        <f>'[1]buses-marginal_price'!I9</f>
        <v>0</v>
      </c>
      <c r="E9" s="1">
        <f>'[1]buses-marginal_price'!J9</f>
        <v>0.107</v>
      </c>
      <c r="G9" s="1">
        <f>'[1]links-p0'!O9</f>
        <v>0</v>
      </c>
      <c r="H9" s="1">
        <f>'[1]links-p0'!P9</f>
        <v>641.15411412980632</v>
      </c>
      <c r="J9" s="1">
        <v>8</v>
      </c>
      <c r="K9" s="1">
        <f t="shared" si="1"/>
        <v>0</v>
      </c>
      <c r="L9" s="1">
        <f t="shared" si="0"/>
        <v>0</v>
      </c>
    </row>
    <row r="10" spans="1:16">
      <c r="A10" s="1">
        <f t="shared" si="2"/>
        <v>9</v>
      </c>
      <c r="B10" s="1">
        <f>'[1]buses-marginal_price'!G10</f>
        <v>0</v>
      </c>
      <c r="C10" s="1">
        <f>'[1]buses-marginal_price'!H10</f>
        <v>0.15285714285714291</v>
      </c>
      <c r="D10" s="1">
        <f>'[1]buses-marginal_price'!I10</f>
        <v>0</v>
      </c>
      <c r="E10" s="1">
        <f>'[1]buses-marginal_price'!J10</f>
        <v>0.107</v>
      </c>
      <c r="G10" s="1">
        <f>'[1]links-p0'!O10</f>
        <v>0</v>
      </c>
      <c r="H10" s="1">
        <f>'[1]links-p0'!P10</f>
        <v>675.85944119948931</v>
      </c>
      <c r="J10" s="1">
        <v>9</v>
      </c>
      <c r="K10" s="1">
        <f t="shared" si="1"/>
        <v>0</v>
      </c>
      <c r="L10" s="1">
        <f t="shared" si="0"/>
        <v>0</v>
      </c>
    </row>
    <row r="11" spans="1:16">
      <c r="A11" s="1">
        <f t="shared" si="2"/>
        <v>10</v>
      </c>
      <c r="B11" s="1">
        <f>'[1]buses-marginal_price'!G11</f>
        <v>0</v>
      </c>
      <c r="C11" s="1">
        <f>'[1]buses-marginal_price'!H11</f>
        <v>2.4285714285714289E-2</v>
      </c>
      <c r="D11" s="1">
        <f>'[1]buses-marginal_price'!I11</f>
        <v>0</v>
      </c>
      <c r="E11" s="1">
        <f>'[1]buses-marginal_price'!J11</f>
        <v>1.7000000000000001E-2</v>
      </c>
      <c r="G11" s="1">
        <f>'[1]links-p0'!O11</f>
        <v>0</v>
      </c>
      <c r="H11" s="1">
        <f>'[1]links-p0'!P11</f>
        <v>179.2213345285079</v>
      </c>
      <c r="J11" s="1">
        <v>10</v>
      </c>
      <c r="K11" s="1">
        <f t="shared" si="1"/>
        <v>0</v>
      </c>
      <c r="L11" s="1">
        <f t="shared" si="0"/>
        <v>0</v>
      </c>
    </row>
    <row r="12" spans="1:16">
      <c r="A12" s="1">
        <f t="shared" si="2"/>
        <v>11</v>
      </c>
      <c r="B12" s="1">
        <f>'[1]buses-marginal_price'!G12</f>
        <v>0</v>
      </c>
      <c r="C12" s="1">
        <f>'[1]buses-marginal_price'!H12</f>
        <v>0</v>
      </c>
      <c r="D12" s="1">
        <f>'[1]buses-marginal_price'!I12</f>
        <v>0</v>
      </c>
      <c r="E12" s="1">
        <f>'[1]buses-marginal_price'!J12</f>
        <v>0</v>
      </c>
      <c r="G12" s="1">
        <f>'[1]links-p0'!O12</f>
        <v>0</v>
      </c>
      <c r="H12" s="1">
        <f>'[1]links-p0'!P12</f>
        <v>0</v>
      </c>
      <c r="J12" s="1">
        <v>11</v>
      </c>
      <c r="K12" s="1">
        <f t="shared" si="1"/>
        <v>1</v>
      </c>
      <c r="L12" s="1">
        <f t="shared" si="0"/>
        <v>1</v>
      </c>
    </row>
    <row r="13" spans="1:16">
      <c r="A13" s="1">
        <f t="shared" si="2"/>
        <v>12</v>
      </c>
      <c r="B13" s="1">
        <f>'[1]buses-marginal_price'!G13</f>
        <v>0</v>
      </c>
      <c r="C13" s="1">
        <f>'[1]buses-marginal_price'!H13</f>
        <v>0</v>
      </c>
      <c r="D13" s="1">
        <f>'[1]buses-marginal_price'!I13</f>
        <v>0</v>
      </c>
      <c r="E13" s="1">
        <f>'[1]buses-marginal_price'!J13</f>
        <v>0</v>
      </c>
      <c r="G13" s="1">
        <f>'[1]links-p0'!O13</f>
        <v>0</v>
      </c>
      <c r="H13" s="1">
        <f>'[1]links-p0'!P13</f>
        <v>0</v>
      </c>
      <c r="J13" s="1">
        <v>12</v>
      </c>
      <c r="K13" s="1">
        <f t="shared" si="1"/>
        <v>1</v>
      </c>
      <c r="L13" s="1">
        <f t="shared" si="0"/>
        <v>1</v>
      </c>
    </row>
    <row r="14" spans="1:16">
      <c r="A14" s="1">
        <f t="shared" si="2"/>
        <v>13</v>
      </c>
      <c r="B14" s="1">
        <f>'[1]buses-marginal_price'!G14</f>
        <v>0</v>
      </c>
      <c r="C14" s="1">
        <f>'[1]buses-marginal_price'!H14</f>
        <v>0</v>
      </c>
      <c r="D14" s="1">
        <f>'[1]buses-marginal_price'!I14</f>
        <v>0</v>
      </c>
      <c r="E14" s="1">
        <f>'[1]buses-marginal_price'!J14</f>
        <v>0</v>
      </c>
      <c r="G14" s="1">
        <f>'[1]links-p0'!O14</f>
        <v>0</v>
      </c>
      <c r="H14" s="1">
        <f>'[1]links-p0'!P14</f>
        <v>0</v>
      </c>
      <c r="J14" s="1">
        <v>13</v>
      </c>
      <c r="K14" s="1">
        <f t="shared" si="1"/>
        <v>1</v>
      </c>
      <c r="L14" s="1">
        <f t="shared" si="0"/>
        <v>1</v>
      </c>
    </row>
    <row r="15" spans="1:16">
      <c r="A15" s="1">
        <f t="shared" si="2"/>
        <v>14</v>
      </c>
      <c r="B15" s="1">
        <f>'[1]buses-marginal_price'!G15</f>
        <v>0</v>
      </c>
      <c r="C15" s="1">
        <f>'[1]buses-marginal_price'!H15</f>
        <v>0</v>
      </c>
      <c r="D15" s="1">
        <f>'[1]buses-marginal_price'!I15</f>
        <v>0</v>
      </c>
      <c r="E15" s="1">
        <f>'[1]buses-marginal_price'!J15</f>
        <v>0</v>
      </c>
      <c r="G15" s="1">
        <f>'[1]links-p0'!O15</f>
        <v>0</v>
      </c>
      <c r="H15" s="1">
        <f>'[1]links-p0'!P15</f>
        <v>0</v>
      </c>
      <c r="J15" s="1">
        <v>14</v>
      </c>
      <c r="K15" s="1">
        <f t="shared" si="1"/>
        <v>1</v>
      </c>
      <c r="L15" s="1">
        <f t="shared" si="0"/>
        <v>1</v>
      </c>
    </row>
    <row r="16" spans="1:16">
      <c r="A16" s="1">
        <f t="shared" si="2"/>
        <v>15</v>
      </c>
      <c r="B16" s="1">
        <f>'[1]buses-marginal_price'!G16</f>
        <v>0</v>
      </c>
      <c r="C16" s="1">
        <f>'[1]buses-marginal_price'!H16</f>
        <v>0</v>
      </c>
      <c r="D16" s="1">
        <f>'[1]buses-marginal_price'!I16</f>
        <v>0</v>
      </c>
      <c r="E16" s="1">
        <f>'[1]buses-marginal_price'!J16</f>
        <v>0</v>
      </c>
      <c r="G16" s="1">
        <f>'[1]links-p0'!O16</f>
        <v>0</v>
      </c>
      <c r="H16" s="1">
        <f>'[1]links-p0'!P16</f>
        <v>0</v>
      </c>
      <c r="J16" s="1">
        <v>15</v>
      </c>
      <c r="K16" s="1">
        <f t="shared" si="1"/>
        <v>1</v>
      </c>
      <c r="L16" s="1">
        <f t="shared" si="0"/>
        <v>1</v>
      </c>
    </row>
    <row r="17" spans="1:12">
      <c r="A17" s="1">
        <f t="shared" si="2"/>
        <v>16</v>
      </c>
      <c r="B17" s="1">
        <f>'[1]buses-marginal_price'!G17</f>
        <v>0</v>
      </c>
      <c r="C17" s="1">
        <f>'[1]buses-marginal_price'!H17</f>
        <v>0</v>
      </c>
      <c r="D17" s="1">
        <f>'[1]buses-marginal_price'!I17</f>
        <v>0</v>
      </c>
      <c r="E17" s="1">
        <f>'[1]buses-marginal_price'!J17</f>
        <v>0</v>
      </c>
      <c r="G17" s="1">
        <f>'[1]links-p0'!O17</f>
        <v>0</v>
      </c>
      <c r="H17" s="1">
        <f>'[1]links-p0'!P17</f>
        <v>0</v>
      </c>
      <c r="J17" s="1">
        <v>16</v>
      </c>
      <c r="K17" s="1">
        <f t="shared" si="1"/>
        <v>1</v>
      </c>
      <c r="L17" s="1">
        <f t="shared" si="0"/>
        <v>1</v>
      </c>
    </row>
    <row r="18" spans="1:12">
      <c r="A18" s="1">
        <f t="shared" si="2"/>
        <v>17</v>
      </c>
      <c r="B18" s="1">
        <f>'[1]buses-marginal_price'!G18</f>
        <v>0</v>
      </c>
      <c r="C18" s="1">
        <f>'[1]buses-marginal_price'!H18</f>
        <v>0</v>
      </c>
      <c r="D18" s="1">
        <f>'[1]buses-marginal_price'!I18</f>
        <v>0</v>
      </c>
      <c r="E18" s="1">
        <f>'[1]buses-marginal_price'!J18</f>
        <v>0</v>
      </c>
      <c r="G18" s="1">
        <f>'[1]links-p0'!O18</f>
        <v>0</v>
      </c>
      <c r="H18" s="1">
        <f>'[1]links-p0'!P18</f>
        <v>0</v>
      </c>
      <c r="J18" s="1">
        <v>17</v>
      </c>
      <c r="K18" s="1">
        <f t="shared" si="1"/>
        <v>1</v>
      </c>
      <c r="L18" s="1">
        <f t="shared" si="0"/>
        <v>1</v>
      </c>
    </row>
    <row r="19" spans="1:12">
      <c r="A19" s="1">
        <f t="shared" si="2"/>
        <v>18</v>
      </c>
      <c r="B19" s="1">
        <f>'[1]buses-marginal_price'!G19</f>
        <v>0</v>
      </c>
      <c r="C19" s="1">
        <f>'[1]buses-marginal_price'!H19</f>
        <v>0.15285714285714291</v>
      </c>
      <c r="D19" s="1">
        <f>'[1]buses-marginal_price'!I19</f>
        <v>0</v>
      </c>
      <c r="E19" s="1">
        <f>'[1]buses-marginal_price'!J19</f>
        <v>0.107</v>
      </c>
      <c r="G19" s="1">
        <f>'[1]links-p0'!O19</f>
        <v>0</v>
      </c>
      <c r="H19" s="1">
        <f>'[1]links-p0'!P19</f>
        <v>169.02993135326409</v>
      </c>
      <c r="J19" s="1">
        <v>18</v>
      </c>
      <c r="K19" s="1">
        <f t="shared" si="1"/>
        <v>0</v>
      </c>
      <c r="L19" s="1">
        <f t="shared" si="0"/>
        <v>0</v>
      </c>
    </row>
    <row r="20" spans="1:12">
      <c r="A20" s="1">
        <f t="shared" si="2"/>
        <v>19</v>
      </c>
      <c r="B20" s="1">
        <f>'[1]buses-marginal_price'!G20</f>
        <v>0.1</v>
      </c>
      <c r="C20" s="1">
        <f>'[1]buses-marginal_price'!H20</f>
        <v>0.15285714285714291</v>
      </c>
      <c r="D20" s="1">
        <f>'[1]buses-marginal_price'!I20</f>
        <v>0.1</v>
      </c>
      <c r="E20" s="1">
        <f>'[1]buses-marginal_price'!J20</f>
        <v>0.107</v>
      </c>
      <c r="G20" s="1">
        <f>'[1]links-p0'!O20</f>
        <v>0</v>
      </c>
      <c r="H20" s="1">
        <f>'[1]links-p0'!P20</f>
        <v>1160.5493731631659</v>
      </c>
      <c r="J20" s="1">
        <v>19</v>
      </c>
      <c r="K20" s="1">
        <f t="shared" si="1"/>
        <v>0</v>
      </c>
      <c r="L20" s="1">
        <f t="shared" si="0"/>
        <v>0</v>
      </c>
    </row>
    <row r="21" spans="1:12">
      <c r="A21" s="1">
        <f t="shared" si="2"/>
        <v>20</v>
      </c>
      <c r="B21" s="1">
        <f>'[1]buses-marginal_price'!G21</f>
        <v>0.1</v>
      </c>
      <c r="C21" s="1">
        <f>'[1]buses-marginal_price'!H21</f>
        <v>0.15285714285714291</v>
      </c>
      <c r="D21" s="1">
        <f>'[1]buses-marginal_price'!I21</f>
        <v>0.1</v>
      </c>
      <c r="E21" s="1">
        <f>'[1]buses-marginal_price'!J21</f>
        <v>0.107</v>
      </c>
      <c r="G21" s="1">
        <f>'[1]links-p0'!O21</f>
        <v>0</v>
      </c>
      <c r="H21" s="1">
        <f>'[1]links-p0'!P21</f>
        <v>987.09850773280471</v>
      </c>
      <c r="J21" s="1">
        <v>20</v>
      </c>
      <c r="K21" s="1">
        <f t="shared" si="1"/>
        <v>0</v>
      </c>
      <c r="L21" s="1">
        <f t="shared" si="0"/>
        <v>0</v>
      </c>
    </row>
    <row r="22" spans="1:12">
      <c r="A22" s="1">
        <f t="shared" si="2"/>
        <v>21</v>
      </c>
      <c r="B22" s="1">
        <f>'[1]buses-marginal_price'!G22</f>
        <v>0.1</v>
      </c>
      <c r="C22" s="1">
        <f>'[1]buses-marginal_price'!H22</f>
        <v>0.15285714285714291</v>
      </c>
      <c r="D22" s="1">
        <f>'[1]buses-marginal_price'!I22</f>
        <v>0.1</v>
      </c>
      <c r="E22" s="1">
        <f>'[1]buses-marginal_price'!J22</f>
        <v>0.107</v>
      </c>
      <c r="G22" s="1">
        <f>'[1]links-p0'!O22</f>
        <v>0</v>
      </c>
      <c r="H22" s="1">
        <f>'[1]links-p0'!P22</f>
        <v>866.88196313539129</v>
      </c>
      <c r="J22" s="1">
        <v>21</v>
      </c>
      <c r="K22" s="1">
        <f t="shared" si="1"/>
        <v>0</v>
      </c>
      <c r="L22" s="1">
        <f t="shared" si="0"/>
        <v>0</v>
      </c>
    </row>
    <row r="23" spans="1:12">
      <c r="A23" s="1">
        <f t="shared" si="2"/>
        <v>22</v>
      </c>
      <c r="B23" s="1">
        <f>'[1]buses-marginal_price'!G23</f>
        <v>9.0000000000000011E-2</v>
      </c>
      <c r="C23" s="1">
        <f>'[1]buses-marginal_price'!H23</f>
        <v>0.15285714285714291</v>
      </c>
      <c r="D23" s="1">
        <f>'[1]buses-marginal_price'!I23</f>
        <v>9.0000000000000011E-2</v>
      </c>
      <c r="E23" s="1">
        <f>'[1]buses-marginal_price'!J23</f>
        <v>0.107</v>
      </c>
      <c r="G23" s="1">
        <f>'[1]links-p0'!O23</f>
        <v>0</v>
      </c>
      <c r="H23" s="1">
        <f>'[1]links-p0'!P23</f>
        <v>689.34434750994058</v>
      </c>
      <c r="J23" s="1">
        <v>22</v>
      </c>
      <c r="K23" s="1">
        <f t="shared" si="1"/>
        <v>0</v>
      </c>
      <c r="L23" s="1">
        <f t="shared" si="0"/>
        <v>0</v>
      </c>
    </row>
    <row r="24" spans="1:12">
      <c r="A24" s="1">
        <f t="shared" si="2"/>
        <v>23</v>
      </c>
      <c r="B24" s="1">
        <f>'[1]buses-marginal_price'!G24</f>
        <v>9.0000000000000011E-2</v>
      </c>
      <c r="C24" s="1">
        <f>'[1]buses-marginal_price'!H24</f>
        <v>0.15285714285714291</v>
      </c>
      <c r="D24" s="1">
        <f>'[1]buses-marginal_price'!I24</f>
        <v>9.0000000000000011E-2</v>
      </c>
      <c r="E24" s="1">
        <f>'[1]buses-marginal_price'!J24</f>
        <v>0.107</v>
      </c>
      <c r="G24" s="1">
        <f>'[1]links-p0'!O24</f>
        <v>0</v>
      </c>
      <c r="H24" s="1">
        <f>'[1]links-p0'!P24</f>
        <v>621.37281099601057</v>
      </c>
      <c r="J24" s="1">
        <v>23</v>
      </c>
      <c r="K24" s="1">
        <f t="shared" si="1"/>
        <v>0</v>
      </c>
      <c r="L24" s="1">
        <f t="shared" si="0"/>
        <v>0</v>
      </c>
    </row>
    <row r="25" spans="1:12">
      <c r="A25" s="1">
        <f t="shared" si="2"/>
        <v>24</v>
      </c>
      <c r="B25" s="1">
        <f>'[1]buses-marginal_price'!G25</f>
        <v>0.09</v>
      </c>
      <c r="C25" s="1">
        <f>'[1]buses-marginal_price'!H25</f>
        <v>0.15285714285714291</v>
      </c>
      <c r="D25" s="1">
        <f>'[1]buses-marginal_price'!I25</f>
        <v>0.09</v>
      </c>
      <c r="E25" s="1">
        <f>'[1]buses-marginal_price'!J25</f>
        <v>0.107</v>
      </c>
      <c r="G25" s="1">
        <f>'[1]links-p0'!O25</f>
        <v>0</v>
      </c>
      <c r="H25" s="1">
        <f>'[1]links-p0'!P25</f>
        <v>539.54363524103633</v>
      </c>
      <c r="J25" s="1">
        <v>24</v>
      </c>
      <c r="K25" s="1">
        <f t="shared" si="1"/>
        <v>0</v>
      </c>
      <c r="L25" s="1">
        <f t="shared" si="0"/>
        <v>0</v>
      </c>
    </row>
    <row r="26" spans="1:12">
      <c r="A26" s="1">
        <f t="shared" si="2"/>
        <v>25</v>
      </c>
      <c r="B26" s="1">
        <f>'[1]buses-marginal_price'!G26</f>
        <v>9.0000000000000011E-2</v>
      </c>
      <c r="C26" s="1">
        <f>'[1]buses-marginal_price'!H26</f>
        <v>0.15285714285714291</v>
      </c>
      <c r="D26" s="1">
        <f>'[1]buses-marginal_price'!I26</f>
        <v>9.0000000000000011E-2</v>
      </c>
      <c r="E26" s="1">
        <f>'[1]buses-marginal_price'!J26</f>
        <v>0.107</v>
      </c>
      <c r="G26" s="1">
        <f>'[1]links-p0'!O26</f>
        <v>0</v>
      </c>
      <c r="H26" s="1">
        <f>'[1]links-p0'!P26</f>
        <v>428.33090497537029</v>
      </c>
      <c r="J26" s="1">
        <v>25</v>
      </c>
      <c r="K26" s="1">
        <f t="shared" si="1"/>
        <v>0</v>
      </c>
      <c r="L26" s="1">
        <f t="shared" si="0"/>
        <v>0</v>
      </c>
    </row>
    <row r="27" spans="1:12">
      <c r="A27" s="1">
        <f t="shared" si="2"/>
        <v>26</v>
      </c>
      <c r="B27" s="1">
        <f>'[1]buses-marginal_price'!G27</f>
        <v>9.0000000000000011E-2</v>
      </c>
      <c r="C27" s="1">
        <f>'[1]buses-marginal_price'!H27</f>
        <v>0.15285714285714291</v>
      </c>
      <c r="D27" s="1">
        <f>'[1]buses-marginal_price'!I27</f>
        <v>9.0000000000000011E-2</v>
      </c>
      <c r="E27" s="1">
        <f>'[1]buses-marginal_price'!J27</f>
        <v>0.107</v>
      </c>
      <c r="G27" s="1">
        <f>'[1]links-p0'!O27</f>
        <v>0</v>
      </c>
      <c r="H27" s="1">
        <f>'[1]links-p0'!P27</f>
        <v>312.19433359392752</v>
      </c>
      <c r="J27" s="1">
        <v>26</v>
      </c>
      <c r="K27" s="1">
        <f t="shared" si="1"/>
        <v>0</v>
      </c>
      <c r="L27" s="1">
        <f t="shared" si="0"/>
        <v>0</v>
      </c>
    </row>
    <row r="28" spans="1:12">
      <c r="A28" s="1">
        <f t="shared" si="2"/>
        <v>27</v>
      </c>
      <c r="B28" s="1">
        <f>'[1]buses-marginal_price'!G28</f>
        <v>0</v>
      </c>
      <c r="C28" s="1">
        <f>'[1]buses-marginal_price'!H28</f>
        <v>0.15285714285714291</v>
      </c>
      <c r="D28" s="1">
        <f>'[1]buses-marginal_price'!I28</f>
        <v>0</v>
      </c>
      <c r="E28" s="1">
        <f>'[1]buses-marginal_price'!J28</f>
        <v>0.107</v>
      </c>
      <c r="G28" s="1">
        <f>'[1]links-p0'!O28</f>
        <v>0</v>
      </c>
      <c r="H28" s="1">
        <f>'[1]links-p0'!P28</f>
        <v>256.44228536376318</v>
      </c>
      <c r="J28" s="1">
        <v>27</v>
      </c>
      <c r="K28" s="1">
        <f t="shared" si="1"/>
        <v>0</v>
      </c>
      <c r="L28" s="1">
        <f t="shared" si="0"/>
        <v>0</v>
      </c>
    </row>
    <row r="29" spans="1:12">
      <c r="A29" s="1">
        <f t="shared" si="2"/>
        <v>28</v>
      </c>
      <c r="B29" s="1">
        <f>'[1]buses-marginal_price'!G29</f>
        <v>0</v>
      </c>
      <c r="C29" s="1">
        <f>'[1]buses-marginal_price'!H29</f>
        <v>0.15285714285714291</v>
      </c>
      <c r="D29" s="1">
        <f>'[1]buses-marginal_price'!I29</f>
        <v>0</v>
      </c>
      <c r="E29" s="1">
        <f>'[1]buses-marginal_price'!J29</f>
        <v>0.107</v>
      </c>
      <c r="G29" s="1">
        <f>'[1]links-p0'!O29</f>
        <v>0</v>
      </c>
      <c r="H29" s="1">
        <f>'[1]links-p0'!P29</f>
        <v>262.17011604786558</v>
      </c>
      <c r="J29" s="1">
        <v>28</v>
      </c>
      <c r="K29" s="1">
        <f t="shared" si="1"/>
        <v>0</v>
      </c>
      <c r="L29" s="1">
        <f t="shared" si="0"/>
        <v>0</v>
      </c>
    </row>
    <row r="30" spans="1:12">
      <c r="A30" s="1">
        <f t="shared" si="2"/>
        <v>29</v>
      </c>
      <c r="B30" s="1">
        <f>'[1]buses-marginal_price'!G30</f>
        <v>0</v>
      </c>
      <c r="C30" s="1">
        <f>'[1]buses-marginal_price'!H30</f>
        <v>0.15285714285714291</v>
      </c>
      <c r="D30" s="1">
        <f>'[1]buses-marginal_price'!I30</f>
        <v>0</v>
      </c>
      <c r="E30" s="1">
        <f>'[1]buses-marginal_price'!J30</f>
        <v>0.107</v>
      </c>
      <c r="G30" s="1">
        <f>'[1]links-p0'!O30</f>
        <v>0</v>
      </c>
      <c r="H30" s="1">
        <f>'[1]links-p0'!P30</f>
        <v>237.25789398462621</v>
      </c>
      <c r="J30" s="1">
        <v>29</v>
      </c>
      <c r="K30" s="1">
        <f t="shared" si="1"/>
        <v>0</v>
      </c>
      <c r="L30" s="1">
        <f t="shared" si="0"/>
        <v>0</v>
      </c>
    </row>
    <row r="31" spans="1:12">
      <c r="A31" s="1">
        <f t="shared" si="2"/>
        <v>30</v>
      </c>
      <c r="B31" s="1">
        <f>'[1]buses-marginal_price'!G31</f>
        <v>0</v>
      </c>
      <c r="C31" s="1">
        <f>'[1]buses-marginal_price'!H31</f>
        <v>0.15285714285714291</v>
      </c>
      <c r="D31" s="1">
        <f>'[1]buses-marginal_price'!I31</f>
        <v>0</v>
      </c>
      <c r="E31" s="1">
        <f>'[1]buses-marginal_price'!J31</f>
        <v>0.107</v>
      </c>
      <c r="G31" s="1">
        <f>'[1]links-p0'!O31</f>
        <v>0</v>
      </c>
      <c r="H31" s="1">
        <f>'[1]links-p0'!P31</f>
        <v>429.266691067848</v>
      </c>
      <c r="J31" s="1">
        <v>30</v>
      </c>
      <c r="K31" s="1">
        <f t="shared" si="1"/>
        <v>0</v>
      </c>
      <c r="L31" s="1">
        <f t="shared" si="0"/>
        <v>0</v>
      </c>
    </row>
    <row r="32" spans="1:12">
      <c r="A32" s="1">
        <f t="shared" si="2"/>
        <v>31</v>
      </c>
      <c r="B32" s="1">
        <f>'[1]buses-marginal_price'!G32</f>
        <v>9.0000000000000011E-2</v>
      </c>
      <c r="C32" s="1">
        <f>'[1]buses-marginal_price'!H32</f>
        <v>0.15285714285714291</v>
      </c>
      <c r="D32" s="1">
        <f>'[1]buses-marginal_price'!I32</f>
        <v>9.0000000000000011E-2</v>
      </c>
      <c r="E32" s="1">
        <f>'[1]buses-marginal_price'!J32</f>
        <v>0.107</v>
      </c>
      <c r="G32" s="1">
        <f>'[1]links-p0'!O32</f>
        <v>0</v>
      </c>
      <c r="H32" s="1">
        <f>'[1]links-p0'!P32</f>
        <v>576.99899561576478</v>
      </c>
      <c r="J32" s="1">
        <v>31</v>
      </c>
      <c r="K32" s="1">
        <f t="shared" si="1"/>
        <v>0</v>
      </c>
      <c r="L32" s="1">
        <f t="shared" si="0"/>
        <v>0</v>
      </c>
    </row>
    <row r="33" spans="1:12">
      <c r="A33" s="1">
        <f t="shared" si="2"/>
        <v>32</v>
      </c>
      <c r="B33" s="1">
        <f>'[1]buses-marginal_price'!G33</f>
        <v>9.0000000000000011E-2</v>
      </c>
      <c r="C33" s="1">
        <f>'[1]buses-marginal_price'!H33</f>
        <v>0.15285714285714291</v>
      </c>
      <c r="D33" s="1">
        <f>'[1]buses-marginal_price'!I33</f>
        <v>9.0000000000000011E-2</v>
      </c>
      <c r="E33" s="1">
        <f>'[1]buses-marginal_price'!J33</f>
        <v>0.107</v>
      </c>
      <c r="G33" s="1">
        <f>'[1]links-p0'!O33</f>
        <v>0</v>
      </c>
      <c r="H33" s="1">
        <f>'[1]links-p0'!P33</f>
        <v>662.8056933886005</v>
      </c>
      <c r="J33" s="1">
        <v>32</v>
      </c>
      <c r="K33" s="1">
        <f t="shared" si="1"/>
        <v>0</v>
      </c>
      <c r="L33" s="1">
        <f t="shared" si="0"/>
        <v>0</v>
      </c>
    </row>
    <row r="34" spans="1:12">
      <c r="A34" s="1">
        <f t="shared" si="2"/>
        <v>33</v>
      </c>
      <c r="B34" s="1">
        <f>'[1]buses-marginal_price'!G34</f>
        <v>9.0000000000000011E-2</v>
      </c>
      <c r="C34" s="1">
        <f>'[1]buses-marginal_price'!H34</f>
        <v>0.15285714285714291</v>
      </c>
      <c r="D34" s="1">
        <f>'[1]buses-marginal_price'!I34</f>
        <v>9.0000000000000011E-2</v>
      </c>
      <c r="E34" s="1">
        <f>'[1]buses-marginal_price'!J34</f>
        <v>0.107</v>
      </c>
      <c r="G34" s="1">
        <f>'[1]links-p0'!O34</f>
        <v>0</v>
      </c>
      <c r="H34" s="1">
        <f>'[1]links-p0'!P34</f>
        <v>702.09637126370319</v>
      </c>
      <c r="J34" s="1">
        <v>33</v>
      </c>
      <c r="K34" s="1">
        <f t="shared" si="1"/>
        <v>0</v>
      </c>
      <c r="L34" s="1">
        <f t="shared" ref="L34:L65" si="3">IF(B34=E34,1,)</f>
        <v>0</v>
      </c>
    </row>
    <row r="35" spans="1:12">
      <c r="A35" s="1">
        <f t="shared" si="2"/>
        <v>34</v>
      </c>
      <c r="B35" s="1">
        <f>'[1]buses-marginal_price'!G35</f>
        <v>0</v>
      </c>
      <c r="C35" s="1">
        <f>'[1]buses-marginal_price'!H35</f>
        <v>0.15285714285714291</v>
      </c>
      <c r="D35" s="1">
        <f>'[1]buses-marginal_price'!I35</f>
        <v>0</v>
      </c>
      <c r="E35" s="1">
        <f>'[1]buses-marginal_price'!J35</f>
        <v>0.107</v>
      </c>
      <c r="G35" s="1">
        <f>'[1]links-p0'!O35</f>
        <v>0</v>
      </c>
      <c r="H35" s="1">
        <f>'[1]links-p0'!P35</f>
        <v>44.483042244264198</v>
      </c>
      <c r="J35" s="1">
        <v>34</v>
      </c>
      <c r="K35" s="1">
        <f t="shared" si="1"/>
        <v>0</v>
      </c>
      <c r="L35" s="1">
        <f t="shared" si="3"/>
        <v>0</v>
      </c>
    </row>
    <row r="36" spans="1:12">
      <c r="A36" s="1">
        <f t="shared" si="2"/>
        <v>35</v>
      </c>
      <c r="B36" s="1">
        <f>'[1]buses-marginal_price'!G36</f>
        <v>0</v>
      </c>
      <c r="C36" s="1">
        <f>'[1]buses-marginal_price'!H36</f>
        <v>0</v>
      </c>
      <c r="D36" s="1">
        <f>'[1]buses-marginal_price'!I36</f>
        <v>0</v>
      </c>
      <c r="E36" s="1">
        <f>'[1]buses-marginal_price'!J36</f>
        <v>0</v>
      </c>
      <c r="G36" s="1">
        <f>'[1]links-p0'!O36</f>
        <v>0</v>
      </c>
      <c r="H36" s="1">
        <f>'[1]links-p0'!P36</f>
        <v>0</v>
      </c>
      <c r="J36" s="1">
        <v>35</v>
      </c>
      <c r="K36" s="1">
        <f t="shared" si="1"/>
        <v>1</v>
      </c>
      <c r="L36" s="1">
        <f t="shared" si="3"/>
        <v>1</v>
      </c>
    </row>
    <row r="37" spans="1:12">
      <c r="A37" s="1">
        <f t="shared" si="2"/>
        <v>36</v>
      </c>
      <c r="B37" s="1">
        <f>'[1]buses-marginal_price'!G37</f>
        <v>0</v>
      </c>
      <c r="C37" s="1">
        <f>'[1]buses-marginal_price'!H37</f>
        <v>0</v>
      </c>
      <c r="D37" s="1">
        <f>'[1]buses-marginal_price'!I37</f>
        <v>0</v>
      </c>
      <c r="E37" s="1">
        <f>'[1]buses-marginal_price'!J37</f>
        <v>0</v>
      </c>
      <c r="G37" s="1">
        <f>'[1]links-p0'!O37</f>
        <v>0</v>
      </c>
      <c r="H37" s="1">
        <f>'[1]links-p0'!P37</f>
        <v>0</v>
      </c>
      <c r="J37" s="1">
        <v>36</v>
      </c>
      <c r="K37" s="1">
        <f t="shared" si="1"/>
        <v>1</v>
      </c>
      <c r="L37" s="1">
        <f t="shared" si="3"/>
        <v>1</v>
      </c>
    </row>
    <row r="38" spans="1:12">
      <c r="A38" s="1">
        <f t="shared" si="2"/>
        <v>37</v>
      </c>
      <c r="B38" s="1">
        <f>'[1]buses-marginal_price'!G38</f>
        <v>0</v>
      </c>
      <c r="C38" s="1">
        <f>'[1]buses-marginal_price'!H38</f>
        <v>0</v>
      </c>
      <c r="D38" s="1">
        <f>'[1]buses-marginal_price'!I38</f>
        <v>0</v>
      </c>
      <c r="E38" s="1">
        <f>'[1]buses-marginal_price'!J38</f>
        <v>0</v>
      </c>
      <c r="G38" s="1">
        <f>'[1]links-p0'!O38</f>
        <v>0</v>
      </c>
      <c r="H38" s="1">
        <f>'[1]links-p0'!P38</f>
        <v>0</v>
      </c>
      <c r="J38" s="1">
        <v>37</v>
      </c>
      <c r="K38" s="1">
        <f t="shared" si="1"/>
        <v>1</v>
      </c>
      <c r="L38" s="1">
        <f t="shared" si="3"/>
        <v>1</v>
      </c>
    </row>
    <row r="39" spans="1:12">
      <c r="A39" s="1">
        <f t="shared" si="2"/>
        <v>38</v>
      </c>
      <c r="B39" s="1">
        <f>'[1]buses-marginal_price'!G39</f>
        <v>0</v>
      </c>
      <c r="C39" s="1">
        <f>'[1]buses-marginal_price'!H39</f>
        <v>0</v>
      </c>
      <c r="D39" s="1">
        <f>'[1]buses-marginal_price'!I39</f>
        <v>0</v>
      </c>
      <c r="E39" s="1">
        <f>'[1]buses-marginal_price'!J39</f>
        <v>0</v>
      </c>
      <c r="G39" s="1">
        <f>'[1]links-p0'!O39</f>
        <v>0</v>
      </c>
      <c r="H39" s="1">
        <f>'[1]links-p0'!P39</f>
        <v>0</v>
      </c>
      <c r="J39" s="1">
        <v>38</v>
      </c>
      <c r="K39" s="1">
        <f t="shared" si="1"/>
        <v>1</v>
      </c>
      <c r="L39" s="1">
        <f t="shared" si="3"/>
        <v>1</v>
      </c>
    </row>
    <row r="40" spans="1:12">
      <c r="A40" s="1">
        <f t="shared" si="2"/>
        <v>39</v>
      </c>
      <c r="B40" s="1">
        <f>'[1]buses-marginal_price'!G40</f>
        <v>0</v>
      </c>
      <c r="C40" s="1">
        <f>'[1]buses-marginal_price'!H40</f>
        <v>0</v>
      </c>
      <c r="D40" s="1">
        <f>'[1]buses-marginal_price'!I40</f>
        <v>0</v>
      </c>
      <c r="E40" s="1">
        <f>'[1]buses-marginal_price'!J40</f>
        <v>0</v>
      </c>
      <c r="G40" s="1">
        <f>'[1]links-p0'!O40</f>
        <v>0</v>
      </c>
      <c r="H40" s="1">
        <f>'[1]links-p0'!P40</f>
        <v>0</v>
      </c>
      <c r="J40" s="1">
        <v>39</v>
      </c>
      <c r="K40" s="1">
        <f t="shared" si="1"/>
        <v>1</v>
      </c>
      <c r="L40" s="1">
        <f t="shared" si="3"/>
        <v>1</v>
      </c>
    </row>
    <row r="41" spans="1:12">
      <c r="A41" s="1">
        <f t="shared" si="2"/>
        <v>40</v>
      </c>
      <c r="B41" s="1">
        <f>'[1]buses-marginal_price'!G41</f>
        <v>0</v>
      </c>
      <c r="C41" s="1">
        <f>'[1]buses-marginal_price'!H41</f>
        <v>0</v>
      </c>
      <c r="D41" s="1">
        <f>'[1]buses-marginal_price'!I41</f>
        <v>0</v>
      </c>
      <c r="E41" s="1">
        <f>'[1]buses-marginal_price'!J41</f>
        <v>0</v>
      </c>
      <c r="G41" s="1">
        <f>'[1]links-p0'!O41</f>
        <v>0</v>
      </c>
      <c r="H41" s="1">
        <f>'[1]links-p0'!P41</f>
        <v>0</v>
      </c>
      <c r="J41" s="1">
        <v>40</v>
      </c>
      <c r="K41" s="1">
        <f t="shared" si="1"/>
        <v>1</v>
      </c>
      <c r="L41" s="1">
        <f t="shared" si="3"/>
        <v>1</v>
      </c>
    </row>
    <row r="42" spans="1:12">
      <c r="A42" s="1">
        <f t="shared" si="2"/>
        <v>41</v>
      </c>
      <c r="B42" s="1">
        <f>'[1]buses-marginal_price'!G42</f>
        <v>0</v>
      </c>
      <c r="C42" s="1">
        <f>'[1]buses-marginal_price'!H42</f>
        <v>0</v>
      </c>
      <c r="D42" s="1">
        <f>'[1]buses-marginal_price'!I42</f>
        <v>0</v>
      </c>
      <c r="E42" s="1">
        <f>'[1]buses-marginal_price'!J42</f>
        <v>0</v>
      </c>
      <c r="G42" s="1">
        <f>'[1]links-p0'!O42</f>
        <v>0</v>
      </c>
      <c r="H42" s="1">
        <f>'[1]links-p0'!P42</f>
        <v>0</v>
      </c>
      <c r="J42" s="1">
        <v>41</v>
      </c>
      <c r="K42" s="1">
        <f t="shared" si="1"/>
        <v>1</v>
      </c>
      <c r="L42" s="1">
        <f t="shared" si="3"/>
        <v>1</v>
      </c>
    </row>
    <row r="43" spans="1:12">
      <c r="A43" s="1">
        <f t="shared" si="2"/>
        <v>42</v>
      </c>
      <c r="B43" s="1">
        <f>'[1]buses-marginal_price'!G43</f>
        <v>0</v>
      </c>
      <c r="C43" s="1">
        <f>'[1]buses-marginal_price'!H43</f>
        <v>0.1328571428571429</v>
      </c>
      <c r="D43" s="1">
        <f>'[1]buses-marginal_price'!I43</f>
        <v>0</v>
      </c>
      <c r="E43" s="1">
        <f>'[1]buses-marginal_price'!J43</f>
        <v>9.3000000000000013E-2</v>
      </c>
      <c r="G43" s="1">
        <f>'[1]links-p0'!O43</f>
        <v>0</v>
      </c>
      <c r="H43" s="1">
        <f>'[1]links-p0'!P43</f>
        <v>0</v>
      </c>
      <c r="J43" s="1">
        <v>42</v>
      </c>
      <c r="K43" s="1">
        <f t="shared" si="1"/>
        <v>0</v>
      </c>
      <c r="L43" s="1">
        <f t="shared" si="3"/>
        <v>0</v>
      </c>
    </row>
    <row r="44" spans="1:12">
      <c r="A44" s="1">
        <f t="shared" si="2"/>
        <v>43</v>
      </c>
      <c r="B44" s="1">
        <f>'[1]buses-marginal_price'!G44</f>
        <v>0</v>
      </c>
      <c r="C44" s="1">
        <f>'[1]buses-marginal_price'!H44</f>
        <v>0.1328571428571429</v>
      </c>
      <c r="D44" s="1">
        <f>'[1]buses-marginal_price'!I44</f>
        <v>0</v>
      </c>
      <c r="E44" s="1">
        <f>'[1]buses-marginal_price'!J44</f>
        <v>9.3000000000000013E-2</v>
      </c>
      <c r="G44" s="1">
        <f>'[1]links-p0'!O44</f>
        <v>0</v>
      </c>
      <c r="H44" s="1">
        <f>'[1]links-p0'!P44</f>
        <v>0</v>
      </c>
      <c r="J44" s="1">
        <v>43</v>
      </c>
      <c r="K44" s="1">
        <f t="shared" si="1"/>
        <v>0</v>
      </c>
      <c r="L44" s="1">
        <f t="shared" si="3"/>
        <v>0</v>
      </c>
    </row>
    <row r="45" spans="1:12">
      <c r="A45" s="1">
        <f t="shared" si="2"/>
        <v>44</v>
      </c>
      <c r="B45" s="1">
        <f>'[1]buses-marginal_price'!G45</f>
        <v>0</v>
      </c>
      <c r="C45" s="1">
        <f>'[1]buses-marginal_price'!H45</f>
        <v>0.1328571428571429</v>
      </c>
      <c r="D45" s="1">
        <f>'[1]buses-marginal_price'!I45</f>
        <v>0</v>
      </c>
      <c r="E45" s="1">
        <f>'[1]buses-marginal_price'!J45</f>
        <v>9.3000000000000013E-2</v>
      </c>
      <c r="G45" s="1">
        <f>'[1]links-p0'!O45</f>
        <v>0</v>
      </c>
      <c r="H45" s="1">
        <f>'[1]links-p0'!P45</f>
        <v>0</v>
      </c>
      <c r="J45" s="1">
        <v>44</v>
      </c>
      <c r="K45" s="1">
        <f t="shared" si="1"/>
        <v>0</v>
      </c>
      <c r="L45" s="1">
        <f t="shared" si="3"/>
        <v>0</v>
      </c>
    </row>
    <row r="46" spans="1:12">
      <c r="A46" s="1">
        <f t="shared" si="2"/>
        <v>45</v>
      </c>
      <c r="B46" s="1">
        <f>'[1]buses-marginal_price'!G46</f>
        <v>0</v>
      </c>
      <c r="C46" s="1">
        <f>'[1]buses-marginal_price'!H46</f>
        <v>0.1328571428571429</v>
      </c>
      <c r="D46" s="1">
        <f>'[1]buses-marginal_price'!I46</f>
        <v>0</v>
      </c>
      <c r="E46" s="1">
        <f>'[1]buses-marginal_price'!J46</f>
        <v>9.3000000000000013E-2</v>
      </c>
      <c r="G46" s="1">
        <f>'[1]links-p0'!O46</f>
        <v>0</v>
      </c>
      <c r="H46" s="1">
        <f>'[1]links-p0'!P46</f>
        <v>0</v>
      </c>
      <c r="J46" s="1">
        <v>45</v>
      </c>
      <c r="K46" s="1">
        <f t="shared" si="1"/>
        <v>0</v>
      </c>
      <c r="L46" s="1">
        <f t="shared" si="3"/>
        <v>0</v>
      </c>
    </row>
    <row r="47" spans="1:12">
      <c r="A47" s="1">
        <f t="shared" si="2"/>
        <v>46</v>
      </c>
      <c r="B47" s="1">
        <f>'[1]buses-marginal_price'!G47</f>
        <v>0</v>
      </c>
      <c r="C47" s="1">
        <f>'[1]buses-marginal_price'!H47</f>
        <v>0.1328571428571429</v>
      </c>
      <c r="D47" s="1">
        <f>'[1]buses-marginal_price'!I47</f>
        <v>0</v>
      </c>
      <c r="E47" s="1">
        <f>'[1]buses-marginal_price'!J47</f>
        <v>9.3000000000000013E-2</v>
      </c>
      <c r="G47" s="1">
        <f>'[1]links-p0'!O47</f>
        <v>0</v>
      </c>
      <c r="H47" s="1">
        <f>'[1]links-p0'!P47</f>
        <v>0</v>
      </c>
      <c r="J47" s="1">
        <v>46</v>
      </c>
      <c r="K47" s="1">
        <f t="shared" si="1"/>
        <v>0</v>
      </c>
      <c r="L47" s="1">
        <f t="shared" si="3"/>
        <v>0</v>
      </c>
    </row>
    <row r="48" spans="1:12">
      <c r="A48" s="1">
        <f t="shared" si="2"/>
        <v>47</v>
      </c>
      <c r="B48" s="1">
        <f>'[1]buses-marginal_price'!G48</f>
        <v>0</v>
      </c>
      <c r="C48" s="1">
        <f>'[1]buses-marginal_price'!H48</f>
        <v>0.1328571428571429</v>
      </c>
      <c r="D48" s="1">
        <f>'[1]buses-marginal_price'!I48</f>
        <v>0</v>
      </c>
      <c r="E48" s="1">
        <f>'[1]buses-marginal_price'!J48</f>
        <v>9.3000000000000013E-2</v>
      </c>
      <c r="G48" s="1">
        <f>'[1]links-p0'!O48</f>
        <v>0</v>
      </c>
      <c r="H48" s="1">
        <f>'[1]links-p0'!P48</f>
        <v>0</v>
      </c>
      <c r="J48" s="1">
        <v>47</v>
      </c>
      <c r="K48" s="1">
        <f t="shared" si="1"/>
        <v>0</v>
      </c>
      <c r="L48" s="1">
        <f t="shared" si="3"/>
        <v>0</v>
      </c>
    </row>
    <row r="49" spans="1:12">
      <c r="A49" s="1">
        <f t="shared" si="2"/>
        <v>48</v>
      </c>
      <c r="B49" s="1">
        <f>'[1]buses-marginal_price'!G49</f>
        <v>0</v>
      </c>
      <c r="C49" s="1">
        <f>'[1]buses-marginal_price'!H49</f>
        <v>0.1328571428571429</v>
      </c>
      <c r="D49" s="1">
        <f>'[1]buses-marginal_price'!I49</f>
        <v>0</v>
      </c>
      <c r="E49" s="1">
        <f>'[1]buses-marginal_price'!J49</f>
        <v>9.3000000000000013E-2</v>
      </c>
      <c r="G49" s="1">
        <f>'[1]links-p0'!O49</f>
        <v>0</v>
      </c>
      <c r="H49" s="1">
        <f>'[1]links-p0'!P49</f>
        <v>0</v>
      </c>
      <c r="J49" s="1">
        <v>48</v>
      </c>
      <c r="K49" s="1">
        <f t="shared" si="1"/>
        <v>0</v>
      </c>
      <c r="L49" s="1">
        <f t="shared" si="3"/>
        <v>0</v>
      </c>
    </row>
    <row r="50" spans="1:12">
      <c r="A50" s="1">
        <f t="shared" si="2"/>
        <v>49</v>
      </c>
      <c r="B50" s="1">
        <f>'[1]buses-marginal_price'!G50</f>
        <v>0</v>
      </c>
      <c r="C50" s="1">
        <f>'[1]buses-marginal_price'!H50</f>
        <v>0.13285714285714281</v>
      </c>
      <c r="D50" s="1">
        <f>'[1]buses-marginal_price'!I50</f>
        <v>0</v>
      </c>
      <c r="E50" s="1">
        <f>'[1]buses-marginal_price'!J50</f>
        <v>9.2999999999999999E-2</v>
      </c>
      <c r="G50" s="1">
        <f>'[1]links-p0'!O50</f>
        <v>0</v>
      </c>
      <c r="H50" s="1">
        <f>'[1]links-p0'!P50</f>
        <v>0</v>
      </c>
      <c r="J50" s="1">
        <v>49</v>
      </c>
      <c r="K50" s="1">
        <f t="shared" si="1"/>
        <v>0</v>
      </c>
      <c r="L50" s="1">
        <f t="shared" si="3"/>
        <v>0</v>
      </c>
    </row>
    <row r="51" spans="1:12">
      <c r="A51" s="1">
        <f t="shared" si="2"/>
        <v>50</v>
      </c>
      <c r="B51" s="1">
        <f>'[1]buses-marginal_price'!G51</f>
        <v>0</v>
      </c>
      <c r="C51" s="1">
        <f>'[1]buses-marginal_price'!H51</f>
        <v>0.13285714285714281</v>
      </c>
      <c r="D51" s="1">
        <f>'[1]buses-marginal_price'!I51</f>
        <v>0</v>
      </c>
      <c r="E51" s="1">
        <f>'[1]buses-marginal_price'!J51</f>
        <v>9.2999999999999999E-2</v>
      </c>
      <c r="G51" s="1">
        <f>'[1]links-p0'!O51</f>
        <v>0</v>
      </c>
      <c r="H51" s="1">
        <f>'[1]links-p0'!P51</f>
        <v>0</v>
      </c>
      <c r="J51" s="1">
        <v>50</v>
      </c>
      <c r="K51" s="1">
        <f t="shared" si="1"/>
        <v>0</v>
      </c>
      <c r="L51" s="1">
        <f t="shared" si="3"/>
        <v>0</v>
      </c>
    </row>
    <row r="52" spans="1:12">
      <c r="A52" s="1">
        <f t="shared" si="2"/>
        <v>51</v>
      </c>
      <c r="B52" s="1">
        <f>'[1]buses-marginal_price'!G52</f>
        <v>0</v>
      </c>
      <c r="C52" s="1">
        <f>'[1]buses-marginal_price'!H52</f>
        <v>0.1328571428571429</v>
      </c>
      <c r="D52" s="1">
        <f>'[1]buses-marginal_price'!I52</f>
        <v>0</v>
      </c>
      <c r="E52" s="1">
        <f>'[1]buses-marginal_price'!J52</f>
        <v>9.3000000000000013E-2</v>
      </c>
      <c r="G52" s="1">
        <f>'[1]links-p0'!O52</f>
        <v>0</v>
      </c>
      <c r="H52" s="1">
        <f>'[1]links-p0'!P52</f>
        <v>0</v>
      </c>
      <c r="J52" s="1">
        <v>51</v>
      </c>
      <c r="K52" s="1">
        <f t="shared" si="1"/>
        <v>0</v>
      </c>
      <c r="L52" s="1">
        <f t="shared" si="3"/>
        <v>0</v>
      </c>
    </row>
    <row r="53" spans="1:12">
      <c r="A53" s="1">
        <f t="shared" si="2"/>
        <v>52</v>
      </c>
      <c r="B53" s="1">
        <f>'[1]buses-marginal_price'!G53</f>
        <v>0</v>
      </c>
      <c r="C53" s="1">
        <f>'[1]buses-marginal_price'!H53</f>
        <v>0.1328571428571429</v>
      </c>
      <c r="D53" s="1">
        <f>'[1]buses-marginal_price'!I53</f>
        <v>0</v>
      </c>
      <c r="E53" s="1">
        <f>'[1]buses-marginal_price'!J53</f>
        <v>9.3000000000000013E-2</v>
      </c>
      <c r="G53" s="1">
        <f>'[1]links-p0'!O53</f>
        <v>0</v>
      </c>
      <c r="H53" s="1">
        <f>'[1]links-p0'!P53</f>
        <v>0</v>
      </c>
      <c r="J53" s="1">
        <v>52</v>
      </c>
      <c r="K53" s="1">
        <f t="shared" si="1"/>
        <v>0</v>
      </c>
      <c r="L53" s="1">
        <f t="shared" si="3"/>
        <v>0</v>
      </c>
    </row>
    <row r="54" spans="1:12">
      <c r="A54" s="1">
        <f t="shared" si="2"/>
        <v>53</v>
      </c>
      <c r="B54" s="1">
        <f>'[1]buses-marginal_price'!G54</f>
        <v>0</v>
      </c>
      <c r="C54" s="1">
        <f>'[1]buses-marginal_price'!H54</f>
        <v>0.1328571428571429</v>
      </c>
      <c r="D54" s="1">
        <f>'[1]buses-marginal_price'!I54</f>
        <v>0</v>
      </c>
      <c r="E54" s="1">
        <f>'[1]buses-marginal_price'!J54</f>
        <v>9.3000000000000013E-2</v>
      </c>
      <c r="G54" s="1">
        <f>'[1]links-p0'!O54</f>
        <v>0</v>
      </c>
      <c r="H54" s="1">
        <f>'[1]links-p0'!P54</f>
        <v>0</v>
      </c>
      <c r="J54" s="1">
        <v>53</v>
      </c>
      <c r="K54" s="1">
        <f t="shared" si="1"/>
        <v>0</v>
      </c>
      <c r="L54" s="1">
        <f t="shared" si="3"/>
        <v>0</v>
      </c>
    </row>
    <row r="55" spans="1:12">
      <c r="A55" s="1">
        <f t="shared" si="2"/>
        <v>54</v>
      </c>
      <c r="B55" s="1">
        <f>'[1]buses-marginal_price'!G55</f>
        <v>0</v>
      </c>
      <c r="C55" s="1">
        <f>'[1]buses-marginal_price'!H55</f>
        <v>0.1328571428571429</v>
      </c>
      <c r="D55" s="1">
        <f>'[1]buses-marginal_price'!I55</f>
        <v>0</v>
      </c>
      <c r="E55" s="1">
        <f>'[1]buses-marginal_price'!J55</f>
        <v>9.3000000000000013E-2</v>
      </c>
      <c r="G55" s="1">
        <f>'[1]links-p0'!O55</f>
        <v>0</v>
      </c>
      <c r="H55" s="1">
        <f>'[1]links-p0'!P55</f>
        <v>0</v>
      </c>
      <c r="J55" s="1">
        <v>54</v>
      </c>
      <c r="K55" s="1">
        <f t="shared" si="1"/>
        <v>0</v>
      </c>
      <c r="L55" s="1">
        <f t="shared" si="3"/>
        <v>0</v>
      </c>
    </row>
    <row r="56" spans="1:12">
      <c r="A56" s="1">
        <f t="shared" si="2"/>
        <v>55</v>
      </c>
      <c r="B56" s="1">
        <f>'[1]buses-marginal_price'!G56</f>
        <v>0</v>
      </c>
      <c r="C56" s="1">
        <f>'[1]buses-marginal_price'!H56</f>
        <v>0.1328571428571429</v>
      </c>
      <c r="D56" s="1">
        <f>'[1]buses-marginal_price'!I56</f>
        <v>0</v>
      </c>
      <c r="E56" s="1">
        <f>'[1]buses-marginal_price'!J56</f>
        <v>9.3000000000000013E-2</v>
      </c>
      <c r="G56" s="1">
        <f>'[1]links-p0'!O56</f>
        <v>0</v>
      </c>
      <c r="H56" s="1">
        <f>'[1]links-p0'!P56</f>
        <v>0</v>
      </c>
      <c r="J56" s="1">
        <v>55</v>
      </c>
      <c r="K56" s="1">
        <f t="shared" si="1"/>
        <v>0</v>
      </c>
      <c r="L56" s="1">
        <f t="shared" si="3"/>
        <v>0</v>
      </c>
    </row>
    <row r="57" spans="1:12">
      <c r="A57" s="1">
        <f t="shared" si="2"/>
        <v>56</v>
      </c>
      <c r="B57" s="1">
        <f>'[1]buses-marginal_price'!G57</f>
        <v>0</v>
      </c>
      <c r="C57" s="1">
        <f>'[1]buses-marginal_price'!H57</f>
        <v>0.1328571428571429</v>
      </c>
      <c r="D57" s="1">
        <f>'[1]buses-marginal_price'!I57</f>
        <v>0</v>
      </c>
      <c r="E57" s="1">
        <f>'[1]buses-marginal_price'!J57</f>
        <v>9.3000000000000013E-2</v>
      </c>
      <c r="G57" s="1">
        <f>'[1]links-p0'!O57</f>
        <v>0</v>
      </c>
      <c r="H57" s="1">
        <f>'[1]links-p0'!P57</f>
        <v>0</v>
      </c>
      <c r="J57" s="1">
        <v>56</v>
      </c>
      <c r="K57" s="1">
        <f t="shared" si="1"/>
        <v>0</v>
      </c>
      <c r="L57" s="1">
        <f t="shared" si="3"/>
        <v>0</v>
      </c>
    </row>
    <row r="58" spans="1:12">
      <c r="A58" s="1">
        <f t="shared" si="2"/>
        <v>57</v>
      </c>
      <c r="B58" s="1">
        <f>'[1]buses-marginal_price'!G58</f>
        <v>0</v>
      </c>
      <c r="C58" s="1">
        <f>'[1]buses-marginal_price'!H58</f>
        <v>0.1328571428571429</v>
      </c>
      <c r="D58" s="1">
        <f>'[1]buses-marginal_price'!I58</f>
        <v>0</v>
      </c>
      <c r="E58" s="1">
        <f>'[1]buses-marginal_price'!J58</f>
        <v>9.3000000000000013E-2</v>
      </c>
      <c r="G58" s="1">
        <f>'[1]links-p0'!O58</f>
        <v>0</v>
      </c>
      <c r="H58" s="1">
        <f>'[1]links-p0'!P58</f>
        <v>0</v>
      </c>
      <c r="J58" s="1">
        <v>57</v>
      </c>
      <c r="K58" s="1">
        <f t="shared" si="1"/>
        <v>0</v>
      </c>
      <c r="L58" s="1">
        <f t="shared" si="3"/>
        <v>0</v>
      </c>
    </row>
    <row r="59" spans="1:12">
      <c r="A59" s="1">
        <f t="shared" si="2"/>
        <v>58</v>
      </c>
      <c r="B59" s="1">
        <f>'[1]buses-marginal_price'!G59</f>
        <v>0</v>
      </c>
      <c r="C59" s="1">
        <f>'[1]buses-marginal_price'!H59</f>
        <v>8.1071428571428572E-2</v>
      </c>
      <c r="D59" s="1">
        <f>'[1]buses-marginal_price'!I59</f>
        <v>0</v>
      </c>
      <c r="E59" s="1">
        <f>'[1]buses-marginal_price'!J59</f>
        <v>5.6749999999999988E-2</v>
      </c>
      <c r="G59" s="1">
        <f>'[1]links-p0'!O59</f>
        <v>0</v>
      </c>
      <c r="H59" s="1">
        <f>'[1]links-p0'!P59</f>
        <v>0</v>
      </c>
      <c r="J59" s="1">
        <v>58</v>
      </c>
      <c r="K59" s="1">
        <f t="shared" si="1"/>
        <v>0</v>
      </c>
      <c r="L59" s="1">
        <f t="shared" si="3"/>
        <v>0</v>
      </c>
    </row>
    <row r="60" spans="1:12">
      <c r="A60" s="1">
        <f t="shared" si="2"/>
        <v>59</v>
      </c>
      <c r="B60" s="1">
        <f>'[1]buses-marginal_price'!G60</f>
        <v>0</v>
      </c>
      <c r="C60" s="1">
        <f>'[1]buses-marginal_price'!H60</f>
        <v>0</v>
      </c>
      <c r="D60" s="1">
        <f>'[1]buses-marginal_price'!I60</f>
        <v>0</v>
      </c>
      <c r="E60" s="1">
        <f>'[1]buses-marginal_price'!J60</f>
        <v>0</v>
      </c>
      <c r="G60" s="1">
        <f>'[1]links-p0'!O60</f>
        <v>0</v>
      </c>
      <c r="H60" s="1">
        <f>'[1]links-p0'!P60</f>
        <v>0</v>
      </c>
      <c r="J60" s="1">
        <v>59</v>
      </c>
      <c r="K60" s="1">
        <f t="shared" si="1"/>
        <v>1</v>
      </c>
      <c r="L60" s="1">
        <f t="shared" si="3"/>
        <v>1</v>
      </c>
    </row>
    <row r="61" spans="1:12">
      <c r="A61" s="1">
        <f t="shared" si="2"/>
        <v>60</v>
      </c>
      <c r="B61" s="1">
        <f>'[1]buses-marginal_price'!G61</f>
        <v>0</v>
      </c>
      <c r="C61" s="1">
        <f>'[1]buses-marginal_price'!H61</f>
        <v>0</v>
      </c>
      <c r="D61" s="1">
        <f>'[1]buses-marginal_price'!I61</f>
        <v>0</v>
      </c>
      <c r="E61" s="1">
        <f>'[1]buses-marginal_price'!J61</f>
        <v>0</v>
      </c>
      <c r="G61" s="1">
        <f>'[1]links-p0'!O61</f>
        <v>0</v>
      </c>
      <c r="H61" s="1">
        <f>'[1]links-p0'!P61</f>
        <v>0</v>
      </c>
      <c r="J61" s="1">
        <v>60</v>
      </c>
      <c r="K61" s="1">
        <f t="shared" si="1"/>
        <v>1</v>
      </c>
      <c r="L61" s="1">
        <f t="shared" si="3"/>
        <v>1</v>
      </c>
    </row>
    <row r="62" spans="1:12">
      <c r="A62" s="1">
        <f t="shared" si="2"/>
        <v>61</v>
      </c>
      <c r="B62" s="1">
        <f>'[1]buses-marginal_price'!G62</f>
        <v>0</v>
      </c>
      <c r="C62" s="1">
        <f>'[1]buses-marginal_price'!H62</f>
        <v>0</v>
      </c>
      <c r="D62" s="1">
        <f>'[1]buses-marginal_price'!I62</f>
        <v>0</v>
      </c>
      <c r="E62" s="1">
        <f>'[1]buses-marginal_price'!J62</f>
        <v>0</v>
      </c>
      <c r="G62" s="1">
        <f>'[1]links-p0'!O62</f>
        <v>0</v>
      </c>
      <c r="H62" s="1">
        <f>'[1]links-p0'!P62</f>
        <v>0</v>
      </c>
      <c r="J62" s="1">
        <v>61</v>
      </c>
      <c r="K62" s="1">
        <f t="shared" si="1"/>
        <v>1</v>
      </c>
      <c r="L62" s="1">
        <f t="shared" si="3"/>
        <v>1</v>
      </c>
    </row>
    <row r="63" spans="1:12">
      <c r="A63" s="1">
        <f t="shared" si="2"/>
        <v>62</v>
      </c>
      <c r="B63" s="1">
        <f>'[1]buses-marginal_price'!G63</f>
        <v>0</v>
      </c>
      <c r="C63" s="1">
        <f>'[1]buses-marginal_price'!H63</f>
        <v>0</v>
      </c>
      <c r="D63" s="1">
        <f>'[1]buses-marginal_price'!I63</f>
        <v>0</v>
      </c>
      <c r="E63" s="1">
        <f>'[1]buses-marginal_price'!J63</f>
        <v>0</v>
      </c>
      <c r="G63" s="1">
        <f>'[1]links-p0'!O63</f>
        <v>0</v>
      </c>
      <c r="H63" s="1">
        <f>'[1]links-p0'!P63</f>
        <v>0</v>
      </c>
      <c r="J63" s="1">
        <v>62</v>
      </c>
      <c r="K63" s="1">
        <f t="shared" si="1"/>
        <v>1</v>
      </c>
      <c r="L63" s="1">
        <f t="shared" si="3"/>
        <v>1</v>
      </c>
    </row>
    <row r="64" spans="1:12">
      <c r="A64" s="1">
        <f t="shared" si="2"/>
        <v>63</v>
      </c>
      <c r="B64" s="1">
        <f>'[1]buses-marginal_price'!G64</f>
        <v>0</v>
      </c>
      <c r="C64" s="1">
        <f>'[1]buses-marginal_price'!H64</f>
        <v>0</v>
      </c>
      <c r="D64" s="1">
        <f>'[1]buses-marginal_price'!I64</f>
        <v>0</v>
      </c>
      <c r="E64" s="1">
        <f>'[1]buses-marginal_price'!J64</f>
        <v>0</v>
      </c>
      <c r="G64" s="1">
        <f>'[1]links-p0'!O64</f>
        <v>0</v>
      </c>
      <c r="H64" s="1">
        <f>'[1]links-p0'!P64</f>
        <v>0</v>
      </c>
      <c r="J64" s="1">
        <v>63</v>
      </c>
      <c r="K64" s="1">
        <f t="shared" si="1"/>
        <v>1</v>
      </c>
      <c r="L64" s="1">
        <f t="shared" si="3"/>
        <v>1</v>
      </c>
    </row>
    <row r="65" spans="1:12">
      <c r="A65" s="1">
        <f t="shared" si="2"/>
        <v>64</v>
      </c>
      <c r="B65" s="1">
        <f>'[1]buses-marginal_price'!G65</f>
        <v>0</v>
      </c>
      <c r="C65" s="1">
        <f>'[1]buses-marginal_price'!H65</f>
        <v>0</v>
      </c>
      <c r="D65" s="1">
        <f>'[1]buses-marginal_price'!I65</f>
        <v>0</v>
      </c>
      <c r="E65" s="1">
        <f>'[1]buses-marginal_price'!J65</f>
        <v>0</v>
      </c>
      <c r="G65" s="1">
        <f>'[1]links-p0'!O65</f>
        <v>0</v>
      </c>
      <c r="H65" s="1">
        <f>'[1]links-p0'!P65</f>
        <v>0</v>
      </c>
      <c r="J65" s="1">
        <v>64</v>
      </c>
      <c r="K65" s="1">
        <f t="shared" si="1"/>
        <v>1</v>
      </c>
      <c r="L65" s="1">
        <f t="shared" si="3"/>
        <v>1</v>
      </c>
    </row>
    <row r="66" spans="1:12">
      <c r="A66" s="1">
        <f t="shared" si="2"/>
        <v>65</v>
      </c>
      <c r="B66" s="1">
        <f>'[1]buses-marginal_price'!G66</f>
        <v>0</v>
      </c>
      <c r="C66" s="1">
        <f>'[1]buses-marginal_price'!H66</f>
        <v>0</v>
      </c>
      <c r="D66" s="1">
        <f>'[1]buses-marginal_price'!I66</f>
        <v>0</v>
      </c>
      <c r="E66" s="1">
        <f>'[1]buses-marginal_price'!J66</f>
        <v>0</v>
      </c>
      <c r="G66" s="1">
        <f>'[1]links-p0'!O66</f>
        <v>0</v>
      </c>
      <c r="H66" s="1">
        <f>'[1]links-p0'!P66</f>
        <v>0</v>
      </c>
      <c r="J66" s="1">
        <v>65</v>
      </c>
      <c r="K66" s="1">
        <f t="shared" si="1"/>
        <v>1</v>
      </c>
      <c r="L66" s="1">
        <f t="shared" ref="L66:L97" si="4">IF(B66=E66,1,)</f>
        <v>1</v>
      </c>
    </row>
    <row r="67" spans="1:12">
      <c r="A67" s="1">
        <f t="shared" si="2"/>
        <v>66</v>
      </c>
      <c r="B67" s="1">
        <f>'[1]buses-marginal_price'!G67</f>
        <v>0</v>
      </c>
      <c r="C67" s="1">
        <f>'[1]buses-marginal_price'!H67</f>
        <v>22.304285714285719</v>
      </c>
      <c r="D67" s="1">
        <f>'[1]buses-marginal_price'!I67</f>
        <v>0</v>
      </c>
      <c r="E67" s="1">
        <f>'[1]buses-marginal_price'!J67</f>
        <v>15.613</v>
      </c>
      <c r="G67" s="1">
        <f>'[1]links-p0'!O67</f>
        <v>0</v>
      </c>
      <c r="H67" s="1">
        <f>'[1]links-p0'!P67</f>
        <v>0</v>
      </c>
      <c r="J67" s="1">
        <v>66</v>
      </c>
      <c r="K67" s="1">
        <f t="shared" ref="K67:K130" si="5">IF(B67=C67,1,)</f>
        <v>0</v>
      </c>
      <c r="L67" s="1">
        <f t="shared" si="4"/>
        <v>0</v>
      </c>
    </row>
    <row r="68" spans="1:12">
      <c r="A68" s="1">
        <f t="shared" ref="A68:A131" si="6">1+A67</f>
        <v>67</v>
      </c>
      <c r="B68" s="1">
        <f>'[1]buses-marginal_price'!G68</f>
        <v>0</v>
      </c>
      <c r="C68" s="1">
        <f>'[1]buses-marginal_price'!H68</f>
        <v>22.304285714285719</v>
      </c>
      <c r="D68" s="1">
        <f>'[1]buses-marginal_price'!I68</f>
        <v>0</v>
      </c>
      <c r="E68" s="1">
        <f>'[1]buses-marginal_price'!J68</f>
        <v>15.613</v>
      </c>
      <c r="G68" s="1">
        <f>'[1]links-p0'!O68</f>
        <v>0</v>
      </c>
      <c r="H68" s="1">
        <f>'[1]links-p0'!P68</f>
        <v>0</v>
      </c>
      <c r="J68" s="1">
        <v>67</v>
      </c>
      <c r="K68" s="1">
        <f t="shared" si="5"/>
        <v>0</v>
      </c>
      <c r="L68" s="1">
        <f t="shared" si="4"/>
        <v>0</v>
      </c>
    </row>
    <row r="69" spans="1:12">
      <c r="A69" s="1">
        <f t="shared" si="6"/>
        <v>68</v>
      </c>
      <c r="B69" s="1">
        <f>'[1]buses-marginal_price'!G69</f>
        <v>0</v>
      </c>
      <c r="C69" s="1">
        <f>'[1]buses-marginal_price'!H69</f>
        <v>22.304285714285719</v>
      </c>
      <c r="D69" s="1">
        <f>'[1]buses-marginal_price'!I69</f>
        <v>0</v>
      </c>
      <c r="E69" s="1">
        <f>'[1]buses-marginal_price'!J69</f>
        <v>15.613</v>
      </c>
      <c r="G69" s="1">
        <f>'[1]links-p0'!O69</f>
        <v>0</v>
      </c>
      <c r="H69" s="1">
        <f>'[1]links-p0'!P69</f>
        <v>0</v>
      </c>
      <c r="J69" s="1">
        <v>68</v>
      </c>
      <c r="K69" s="1">
        <f t="shared" si="5"/>
        <v>0</v>
      </c>
      <c r="L69" s="1">
        <f t="shared" si="4"/>
        <v>0</v>
      </c>
    </row>
    <row r="70" spans="1:12">
      <c r="A70" s="1">
        <f t="shared" si="6"/>
        <v>69</v>
      </c>
      <c r="B70" s="1">
        <f>'[1]buses-marginal_price'!G70</f>
        <v>0</v>
      </c>
      <c r="C70" s="1">
        <f>'[1]buses-marginal_price'!H70</f>
        <v>22.304285714285719</v>
      </c>
      <c r="D70" s="1">
        <f>'[1]buses-marginal_price'!I70</f>
        <v>0</v>
      </c>
      <c r="E70" s="1">
        <f>'[1]buses-marginal_price'!J70</f>
        <v>15.613</v>
      </c>
      <c r="G70" s="1">
        <f>'[1]links-p0'!O70</f>
        <v>0</v>
      </c>
      <c r="H70" s="1">
        <f>'[1]links-p0'!P70</f>
        <v>0</v>
      </c>
      <c r="J70" s="1">
        <v>69</v>
      </c>
      <c r="K70" s="1">
        <f t="shared" si="5"/>
        <v>0</v>
      </c>
      <c r="L70" s="1">
        <f t="shared" si="4"/>
        <v>0</v>
      </c>
    </row>
    <row r="71" spans="1:12">
      <c r="A71" s="1">
        <f t="shared" si="6"/>
        <v>70</v>
      </c>
      <c r="B71" s="1">
        <f>'[1]buses-marginal_price'!G71</f>
        <v>0</v>
      </c>
      <c r="C71" s="1">
        <f>'[1]buses-marginal_price'!H71</f>
        <v>22.304285714285719</v>
      </c>
      <c r="D71" s="1">
        <f>'[1]buses-marginal_price'!I71</f>
        <v>0</v>
      </c>
      <c r="E71" s="1">
        <f>'[1]buses-marginal_price'!J71</f>
        <v>15.613</v>
      </c>
      <c r="G71" s="1">
        <f>'[1]links-p0'!O71</f>
        <v>0</v>
      </c>
      <c r="H71" s="1">
        <f>'[1]links-p0'!P71</f>
        <v>0</v>
      </c>
      <c r="J71" s="1">
        <v>70</v>
      </c>
      <c r="K71" s="1">
        <f t="shared" si="5"/>
        <v>0</v>
      </c>
      <c r="L71" s="1">
        <f t="shared" si="4"/>
        <v>0</v>
      </c>
    </row>
    <row r="72" spans="1:12">
      <c r="A72" s="1">
        <f t="shared" si="6"/>
        <v>71</v>
      </c>
      <c r="B72" s="1">
        <f>'[1]buses-marginal_price'!G72</f>
        <v>0</v>
      </c>
      <c r="C72" s="1">
        <f>'[1]buses-marginal_price'!H72</f>
        <v>22.304285714285719</v>
      </c>
      <c r="D72" s="1">
        <f>'[1]buses-marginal_price'!I72</f>
        <v>0</v>
      </c>
      <c r="E72" s="1">
        <f>'[1]buses-marginal_price'!J72</f>
        <v>15.613</v>
      </c>
      <c r="G72" s="1">
        <f>'[1]links-p0'!O72</f>
        <v>0</v>
      </c>
      <c r="H72" s="1">
        <f>'[1]links-p0'!P72</f>
        <v>0</v>
      </c>
      <c r="J72" s="1">
        <v>71</v>
      </c>
      <c r="K72" s="1">
        <f t="shared" si="5"/>
        <v>0</v>
      </c>
      <c r="L72" s="1">
        <f t="shared" si="4"/>
        <v>0</v>
      </c>
    </row>
    <row r="73" spans="1:12">
      <c r="A73" s="1">
        <f t="shared" si="6"/>
        <v>72</v>
      </c>
      <c r="B73" s="1">
        <f>'[1]buses-marginal_price'!G73</f>
        <v>0</v>
      </c>
      <c r="C73" s="1">
        <f>'[1]buses-marginal_price'!H73</f>
        <v>22.304285714285719</v>
      </c>
      <c r="D73" s="1">
        <f>'[1]buses-marginal_price'!I73</f>
        <v>0</v>
      </c>
      <c r="E73" s="1">
        <f>'[1]buses-marginal_price'!J73</f>
        <v>15.613</v>
      </c>
      <c r="G73" s="1">
        <f>'[1]links-p0'!O73</f>
        <v>0</v>
      </c>
      <c r="H73" s="1">
        <f>'[1]links-p0'!P73</f>
        <v>0</v>
      </c>
      <c r="J73" s="1">
        <v>72</v>
      </c>
      <c r="K73" s="1">
        <f t="shared" si="5"/>
        <v>0</v>
      </c>
      <c r="L73" s="1">
        <f t="shared" si="4"/>
        <v>0</v>
      </c>
    </row>
    <row r="74" spans="1:12">
      <c r="A74" s="1">
        <f t="shared" si="6"/>
        <v>73</v>
      </c>
      <c r="B74" s="1">
        <f>'[1]buses-marginal_price'!G74</f>
        <v>0</v>
      </c>
      <c r="C74" s="1">
        <f>'[1]buses-marginal_price'!H74</f>
        <v>22.304285714285719</v>
      </c>
      <c r="D74" s="1">
        <f>'[1]buses-marginal_price'!I74</f>
        <v>0</v>
      </c>
      <c r="E74" s="1">
        <f>'[1]buses-marginal_price'!J74</f>
        <v>15.613</v>
      </c>
      <c r="G74" s="1">
        <f>'[1]links-p0'!O74</f>
        <v>0</v>
      </c>
      <c r="H74" s="1">
        <f>'[1]links-p0'!P74</f>
        <v>0</v>
      </c>
      <c r="J74" s="1">
        <v>73</v>
      </c>
      <c r="K74" s="1">
        <f t="shared" si="5"/>
        <v>0</v>
      </c>
      <c r="L74" s="1">
        <f t="shared" si="4"/>
        <v>0</v>
      </c>
    </row>
    <row r="75" spans="1:12">
      <c r="A75" s="1">
        <f t="shared" si="6"/>
        <v>74</v>
      </c>
      <c r="B75" s="1">
        <f>'[1]buses-marginal_price'!G75</f>
        <v>0</v>
      </c>
      <c r="C75" s="1">
        <f>'[1]buses-marginal_price'!H75</f>
        <v>22.304285714285719</v>
      </c>
      <c r="D75" s="1">
        <f>'[1]buses-marginal_price'!I75</f>
        <v>0</v>
      </c>
      <c r="E75" s="1">
        <f>'[1]buses-marginal_price'!J75</f>
        <v>15.613</v>
      </c>
      <c r="G75" s="1">
        <f>'[1]links-p0'!O75</f>
        <v>0</v>
      </c>
      <c r="H75" s="1">
        <f>'[1]links-p0'!P75</f>
        <v>0</v>
      </c>
      <c r="J75" s="1">
        <v>74</v>
      </c>
      <c r="K75" s="1">
        <f t="shared" si="5"/>
        <v>0</v>
      </c>
      <c r="L75" s="1">
        <f t="shared" si="4"/>
        <v>0</v>
      </c>
    </row>
    <row r="76" spans="1:12">
      <c r="A76" s="1">
        <f t="shared" si="6"/>
        <v>75</v>
      </c>
      <c r="B76" s="1">
        <f>'[1]buses-marginal_price'!G76</f>
        <v>0</v>
      </c>
      <c r="C76" s="1">
        <f>'[1]buses-marginal_price'!H76</f>
        <v>22.304285714285719</v>
      </c>
      <c r="D76" s="1">
        <f>'[1]buses-marginal_price'!I76</f>
        <v>0</v>
      </c>
      <c r="E76" s="1">
        <f>'[1]buses-marginal_price'!J76</f>
        <v>15.613</v>
      </c>
      <c r="G76" s="1">
        <f>'[1]links-p0'!O76</f>
        <v>0</v>
      </c>
      <c r="H76" s="1">
        <f>'[1]links-p0'!P76</f>
        <v>0</v>
      </c>
      <c r="J76" s="1">
        <v>75</v>
      </c>
      <c r="K76" s="1">
        <f t="shared" si="5"/>
        <v>0</v>
      </c>
      <c r="L76" s="1">
        <f t="shared" si="4"/>
        <v>0</v>
      </c>
    </row>
    <row r="77" spans="1:12">
      <c r="A77" s="1">
        <f t="shared" si="6"/>
        <v>76</v>
      </c>
      <c r="B77" s="1">
        <f>'[1]buses-marginal_price'!G77</f>
        <v>0</v>
      </c>
      <c r="C77" s="1">
        <f>'[1]buses-marginal_price'!H77</f>
        <v>22.304285714285719</v>
      </c>
      <c r="D77" s="1">
        <f>'[1]buses-marginal_price'!I77</f>
        <v>0</v>
      </c>
      <c r="E77" s="1">
        <f>'[1]buses-marginal_price'!J77</f>
        <v>15.613</v>
      </c>
      <c r="G77" s="1">
        <f>'[1]links-p0'!O77</f>
        <v>0</v>
      </c>
      <c r="H77" s="1">
        <f>'[1]links-p0'!P77</f>
        <v>0</v>
      </c>
      <c r="J77" s="1">
        <v>76</v>
      </c>
      <c r="K77" s="1">
        <f t="shared" si="5"/>
        <v>0</v>
      </c>
      <c r="L77" s="1">
        <f t="shared" si="4"/>
        <v>0</v>
      </c>
    </row>
    <row r="78" spans="1:12">
      <c r="A78" s="1">
        <f t="shared" si="6"/>
        <v>77</v>
      </c>
      <c r="B78" s="1">
        <f>'[1]buses-marginal_price'!G78</f>
        <v>0</v>
      </c>
      <c r="C78" s="1">
        <f>'[1]buses-marginal_price'!H78</f>
        <v>22.304285714285719</v>
      </c>
      <c r="D78" s="1">
        <f>'[1]buses-marginal_price'!I78</f>
        <v>0</v>
      </c>
      <c r="E78" s="1">
        <f>'[1]buses-marginal_price'!J78</f>
        <v>15.613</v>
      </c>
      <c r="G78" s="1">
        <f>'[1]links-p0'!O78</f>
        <v>0</v>
      </c>
      <c r="H78" s="1">
        <f>'[1]links-p0'!P78</f>
        <v>0</v>
      </c>
      <c r="J78" s="1">
        <v>77</v>
      </c>
      <c r="K78" s="1">
        <f t="shared" si="5"/>
        <v>0</v>
      </c>
      <c r="L78" s="1">
        <f t="shared" si="4"/>
        <v>0</v>
      </c>
    </row>
    <row r="79" spans="1:12">
      <c r="A79" s="1">
        <f t="shared" si="6"/>
        <v>78</v>
      </c>
      <c r="B79" s="1">
        <f>'[1]buses-marginal_price'!G79</f>
        <v>0</v>
      </c>
      <c r="C79" s="1">
        <f>'[1]buses-marginal_price'!H79</f>
        <v>22.304285714285719</v>
      </c>
      <c r="D79" s="1">
        <f>'[1]buses-marginal_price'!I79</f>
        <v>0</v>
      </c>
      <c r="E79" s="1">
        <f>'[1]buses-marginal_price'!J79</f>
        <v>15.613</v>
      </c>
      <c r="G79" s="1">
        <f>'[1]links-p0'!O79</f>
        <v>0</v>
      </c>
      <c r="H79" s="1">
        <f>'[1]links-p0'!P79</f>
        <v>0</v>
      </c>
      <c r="J79" s="1">
        <v>78</v>
      </c>
      <c r="K79" s="1">
        <f t="shared" si="5"/>
        <v>0</v>
      </c>
      <c r="L79" s="1">
        <f t="shared" si="4"/>
        <v>0</v>
      </c>
    </row>
    <row r="80" spans="1:12">
      <c r="A80" s="1">
        <f t="shared" si="6"/>
        <v>79</v>
      </c>
      <c r="B80" s="1">
        <f>'[1]buses-marginal_price'!G80</f>
        <v>0</v>
      </c>
      <c r="C80" s="1">
        <f>'[1]buses-marginal_price'!H80</f>
        <v>22.304285714285719</v>
      </c>
      <c r="D80" s="1">
        <f>'[1]buses-marginal_price'!I80</f>
        <v>0</v>
      </c>
      <c r="E80" s="1">
        <f>'[1]buses-marginal_price'!J80</f>
        <v>15.613</v>
      </c>
      <c r="G80" s="1">
        <f>'[1]links-p0'!O80</f>
        <v>0</v>
      </c>
      <c r="H80" s="1">
        <f>'[1]links-p0'!P80</f>
        <v>0</v>
      </c>
      <c r="J80" s="1">
        <v>79</v>
      </c>
      <c r="K80" s="1">
        <f t="shared" si="5"/>
        <v>0</v>
      </c>
      <c r="L80" s="1">
        <f t="shared" si="4"/>
        <v>0</v>
      </c>
    </row>
    <row r="81" spans="1:12">
      <c r="A81" s="1">
        <f t="shared" si="6"/>
        <v>80</v>
      </c>
      <c r="B81" s="1">
        <f>'[1]buses-marginal_price'!G81</f>
        <v>0</v>
      </c>
      <c r="C81" s="1">
        <f>'[1]buses-marginal_price'!H81</f>
        <v>22.304285714285719</v>
      </c>
      <c r="D81" s="1">
        <f>'[1]buses-marginal_price'!I81</f>
        <v>0</v>
      </c>
      <c r="E81" s="1">
        <f>'[1]buses-marginal_price'!J81</f>
        <v>15.613</v>
      </c>
      <c r="G81" s="1">
        <f>'[1]links-p0'!O81</f>
        <v>0</v>
      </c>
      <c r="H81" s="1">
        <f>'[1]links-p0'!P81</f>
        <v>0</v>
      </c>
      <c r="J81" s="1">
        <v>80</v>
      </c>
      <c r="K81" s="1">
        <f t="shared" si="5"/>
        <v>0</v>
      </c>
      <c r="L81" s="1">
        <f t="shared" si="4"/>
        <v>0</v>
      </c>
    </row>
    <row r="82" spans="1:12">
      <c r="A82" s="1">
        <f t="shared" si="6"/>
        <v>81</v>
      </c>
      <c r="B82" s="1">
        <f>'[1]buses-marginal_price'!G82</f>
        <v>0</v>
      </c>
      <c r="C82" s="1">
        <f>'[1]buses-marginal_price'!H82</f>
        <v>22.324285714285711</v>
      </c>
      <c r="D82" s="1">
        <f>'[1]buses-marginal_price'!I82</f>
        <v>0</v>
      </c>
      <c r="E82" s="1">
        <f>'[1]buses-marginal_price'!J82</f>
        <v>15.627000000000001</v>
      </c>
      <c r="G82" s="1">
        <f>'[1]links-p0'!O82</f>
        <v>0</v>
      </c>
      <c r="H82" s="1">
        <f>'[1]links-p0'!P82</f>
        <v>36.468832563188023</v>
      </c>
      <c r="J82" s="1">
        <v>81</v>
      </c>
      <c r="K82" s="1">
        <f t="shared" si="5"/>
        <v>0</v>
      </c>
      <c r="L82" s="1">
        <f t="shared" si="4"/>
        <v>0</v>
      </c>
    </row>
    <row r="83" spans="1:12">
      <c r="A83" s="1">
        <f t="shared" si="6"/>
        <v>82</v>
      </c>
      <c r="B83" s="1">
        <f>'[1]buses-marginal_price'!G83</f>
        <v>0</v>
      </c>
      <c r="C83" s="1">
        <f>'[1]buses-marginal_price'!H83</f>
        <v>0.15285714285714291</v>
      </c>
      <c r="D83" s="1">
        <f>'[1]buses-marginal_price'!I83</f>
        <v>0</v>
      </c>
      <c r="E83" s="1">
        <f>'[1]buses-marginal_price'!J83</f>
        <v>0.107</v>
      </c>
      <c r="G83" s="1">
        <f>'[1]links-p0'!O83</f>
        <v>0</v>
      </c>
      <c r="H83" s="1">
        <f>'[1]links-p0'!P83</f>
        <v>4.9542352153926004</v>
      </c>
      <c r="J83" s="1">
        <v>82</v>
      </c>
      <c r="K83" s="1">
        <f t="shared" si="5"/>
        <v>0</v>
      </c>
      <c r="L83" s="1">
        <f t="shared" si="4"/>
        <v>0</v>
      </c>
    </row>
    <row r="84" spans="1:12">
      <c r="A84" s="1">
        <f t="shared" si="6"/>
        <v>83</v>
      </c>
      <c r="B84" s="1">
        <f>'[1]buses-marginal_price'!G84</f>
        <v>0</v>
      </c>
      <c r="C84" s="1">
        <f>'[1]buses-marginal_price'!H84</f>
        <v>0</v>
      </c>
      <c r="D84" s="1">
        <f>'[1]buses-marginal_price'!I84</f>
        <v>0</v>
      </c>
      <c r="E84" s="1">
        <f>'[1]buses-marginal_price'!J84</f>
        <v>0</v>
      </c>
      <c r="G84" s="1">
        <f>'[1]links-p0'!O84</f>
        <v>0</v>
      </c>
      <c r="H84" s="1">
        <f>'[1]links-p0'!P84</f>
        <v>0</v>
      </c>
      <c r="J84" s="1">
        <v>83</v>
      </c>
      <c r="K84" s="1">
        <f t="shared" si="5"/>
        <v>1</v>
      </c>
      <c r="L84" s="1">
        <f t="shared" si="4"/>
        <v>1</v>
      </c>
    </row>
    <row r="85" spans="1:12">
      <c r="A85" s="1">
        <f t="shared" si="6"/>
        <v>84</v>
      </c>
      <c r="B85" s="1">
        <f>'[1]buses-marginal_price'!G85</f>
        <v>0</v>
      </c>
      <c r="C85" s="1">
        <f>'[1]buses-marginal_price'!H85</f>
        <v>0</v>
      </c>
      <c r="D85" s="1">
        <f>'[1]buses-marginal_price'!I85</f>
        <v>0</v>
      </c>
      <c r="E85" s="1">
        <f>'[1]buses-marginal_price'!J85</f>
        <v>0</v>
      </c>
      <c r="G85" s="1">
        <f>'[1]links-p0'!O85</f>
        <v>0</v>
      </c>
      <c r="H85" s="1">
        <f>'[1]links-p0'!P85</f>
        <v>0</v>
      </c>
      <c r="J85" s="1">
        <v>84</v>
      </c>
      <c r="K85" s="1">
        <f t="shared" si="5"/>
        <v>1</v>
      </c>
      <c r="L85" s="1">
        <f t="shared" si="4"/>
        <v>1</v>
      </c>
    </row>
    <row r="86" spans="1:12">
      <c r="A86" s="1">
        <f t="shared" si="6"/>
        <v>85</v>
      </c>
      <c r="B86" s="1">
        <f>'[1]buses-marginal_price'!G86</f>
        <v>0</v>
      </c>
      <c r="C86" s="1">
        <f>'[1]buses-marginal_price'!H86</f>
        <v>0</v>
      </c>
      <c r="D86" s="1">
        <f>'[1]buses-marginal_price'!I86</f>
        <v>0</v>
      </c>
      <c r="E86" s="1">
        <f>'[1]buses-marginal_price'!J86</f>
        <v>0</v>
      </c>
      <c r="G86" s="1">
        <f>'[1]links-p0'!O86</f>
        <v>0</v>
      </c>
      <c r="H86" s="1">
        <f>'[1]links-p0'!P86</f>
        <v>0</v>
      </c>
      <c r="J86" s="1">
        <v>85</v>
      </c>
      <c r="K86" s="1">
        <f t="shared" si="5"/>
        <v>1</v>
      </c>
      <c r="L86" s="1">
        <f t="shared" si="4"/>
        <v>1</v>
      </c>
    </row>
    <row r="87" spans="1:12">
      <c r="A87" s="1">
        <f t="shared" si="6"/>
        <v>86</v>
      </c>
      <c r="B87" s="1">
        <f>'[1]buses-marginal_price'!G87</f>
        <v>0</v>
      </c>
      <c r="C87" s="1">
        <f>'[1]buses-marginal_price'!H87</f>
        <v>0</v>
      </c>
      <c r="D87" s="1">
        <f>'[1]buses-marginal_price'!I87</f>
        <v>0</v>
      </c>
      <c r="E87" s="1">
        <f>'[1]buses-marginal_price'!J87</f>
        <v>0</v>
      </c>
      <c r="G87" s="1">
        <f>'[1]links-p0'!O87</f>
        <v>0</v>
      </c>
      <c r="H87" s="1">
        <f>'[1]links-p0'!P87</f>
        <v>0</v>
      </c>
      <c r="J87" s="1">
        <v>86</v>
      </c>
      <c r="K87" s="1">
        <f t="shared" si="5"/>
        <v>1</v>
      </c>
      <c r="L87" s="1">
        <f t="shared" si="4"/>
        <v>1</v>
      </c>
    </row>
    <row r="88" spans="1:12">
      <c r="A88" s="1">
        <f t="shared" si="6"/>
        <v>87</v>
      </c>
      <c r="B88" s="1">
        <f>'[1]buses-marginal_price'!G88</f>
        <v>0</v>
      </c>
      <c r="C88" s="1">
        <f>'[1]buses-marginal_price'!H88</f>
        <v>0</v>
      </c>
      <c r="D88" s="1">
        <f>'[1]buses-marginal_price'!I88</f>
        <v>0</v>
      </c>
      <c r="E88" s="1">
        <f>'[1]buses-marginal_price'!J88</f>
        <v>0</v>
      </c>
      <c r="G88" s="1">
        <f>'[1]links-p0'!O88</f>
        <v>0</v>
      </c>
      <c r="H88" s="1">
        <f>'[1]links-p0'!P88</f>
        <v>0</v>
      </c>
      <c r="J88" s="1">
        <v>87</v>
      </c>
      <c r="K88" s="1">
        <f t="shared" si="5"/>
        <v>1</v>
      </c>
      <c r="L88" s="1">
        <f t="shared" si="4"/>
        <v>1</v>
      </c>
    </row>
    <row r="89" spans="1:12">
      <c r="A89" s="1">
        <f t="shared" si="6"/>
        <v>88</v>
      </c>
      <c r="B89" s="1">
        <f>'[1]buses-marginal_price'!G89</f>
        <v>0</v>
      </c>
      <c r="C89" s="1">
        <f>'[1]buses-marginal_price'!H89</f>
        <v>0</v>
      </c>
      <c r="D89" s="1">
        <f>'[1]buses-marginal_price'!I89</f>
        <v>0</v>
      </c>
      <c r="E89" s="1">
        <f>'[1]buses-marginal_price'!J89</f>
        <v>0</v>
      </c>
      <c r="G89" s="1">
        <f>'[1]links-p0'!O89</f>
        <v>0</v>
      </c>
      <c r="H89" s="1">
        <f>'[1]links-p0'!P89</f>
        <v>0</v>
      </c>
      <c r="J89" s="1">
        <v>88</v>
      </c>
      <c r="K89" s="1">
        <f t="shared" si="5"/>
        <v>1</v>
      </c>
      <c r="L89" s="1">
        <f t="shared" si="4"/>
        <v>1</v>
      </c>
    </row>
    <row r="90" spans="1:12">
      <c r="A90" s="1">
        <f t="shared" si="6"/>
        <v>89</v>
      </c>
      <c r="B90" s="1">
        <f>'[1]buses-marginal_price'!G90</f>
        <v>0</v>
      </c>
      <c r="C90" s="1">
        <f>'[1]buses-marginal_price'!H90</f>
        <v>0</v>
      </c>
      <c r="D90" s="1">
        <f>'[1]buses-marginal_price'!I90</f>
        <v>0</v>
      </c>
      <c r="E90" s="1">
        <f>'[1]buses-marginal_price'!J90</f>
        <v>0</v>
      </c>
      <c r="G90" s="1">
        <f>'[1]links-p0'!O90</f>
        <v>0</v>
      </c>
      <c r="H90" s="1">
        <f>'[1]links-p0'!P90</f>
        <v>0</v>
      </c>
      <c r="J90" s="1">
        <v>89</v>
      </c>
      <c r="K90" s="1">
        <f t="shared" si="5"/>
        <v>1</v>
      </c>
      <c r="L90" s="1">
        <f t="shared" si="4"/>
        <v>1</v>
      </c>
    </row>
    <row r="91" spans="1:12">
      <c r="A91" s="1">
        <f t="shared" si="6"/>
        <v>90</v>
      </c>
      <c r="B91" s="1">
        <f>'[1]buses-marginal_price'!G91</f>
        <v>0</v>
      </c>
      <c r="C91" s="1">
        <f>'[1]buses-marginal_price'!H91</f>
        <v>0.13285714285714281</v>
      </c>
      <c r="D91" s="1">
        <f>'[1]buses-marginal_price'!I91</f>
        <v>0</v>
      </c>
      <c r="E91" s="1">
        <f>'[1]buses-marginal_price'!J91</f>
        <v>9.2999999999999999E-2</v>
      </c>
      <c r="G91" s="1">
        <f>'[1]links-p0'!O91</f>
        <v>0</v>
      </c>
      <c r="H91" s="1">
        <f>'[1]links-p0'!P91</f>
        <v>0</v>
      </c>
      <c r="J91" s="1">
        <v>90</v>
      </c>
      <c r="K91" s="1">
        <f t="shared" si="5"/>
        <v>0</v>
      </c>
      <c r="L91" s="1">
        <f t="shared" si="4"/>
        <v>0</v>
      </c>
    </row>
    <row r="92" spans="1:12">
      <c r="A92" s="1">
        <f t="shared" si="6"/>
        <v>91</v>
      </c>
      <c r="B92" s="1">
        <f>'[1]buses-marginal_price'!G92</f>
        <v>0</v>
      </c>
      <c r="C92" s="1">
        <f>'[1]buses-marginal_price'!H92</f>
        <v>0.1328571428571429</v>
      </c>
      <c r="D92" s="1">
        <f>'[1]buses-marginal_price'!I92</f>
        <v>0</v>
      </c>
      <c r="E92" s="1">
        <f>'[1]buses-marginal_price'!J92</f>
        <v>9.3000000000000013E-2</v>
      </c>
      <c r="G92" s="1">
        <f>'[1]links-p0'!O92</f>
        <v>0</v>
      </c>
      <c r="H92" s="1">
        <f>'[1]links-p0'!P92</f>
        <v>0</v>
      </c>
      <c r="J92" s="1">
        <v>91</v>
      </c>
      <c r="K92" s="1">
        <f t="shared" si="5"/>
        <v>0</v>
      </c>
      <c r="L92" s="1">
        <f t="shared" si="4"/>
        <v>0</v>
      </c>
    </row>
    <row r="93" spans="1:12">
      <c r="A93" s="1">
        <f t="shared" si="6"/>
        <v>92</v>
      </c>
      <c r="B93" s="1">
        <f>'[1]buses-marginal_price'!G93</f>
        <v>0</v>
      </c>
      <c r="C93" s="1">
        <f>'[1]buses-marginal_price'!H93</f>
        <v>0.1328571428571429</v>
      </c>
      <c r="D93" s="1">
        <f>'[1]buses-marginal_price'!I93</f>
        <v>0</v>
      </c>
      <c r="E93" s="1">
        <f>'[1]buses-marginal_price'!J93</f>
        <v>9.3000000000000013E-2</v>
      </c>
      <c r="G93" s="1">
        <f>'[1]links-p0'!O93</f>
        <v>0</v>
      </c>
      <c r="H93" s="1">
        <f>'[1]links-p0'!P93</f>
        <v>0</v>
      </c>
      <c r="J93" s="1">
        <v>92</v>
      </c>
      <c r="K93" s="1">
        <f t="shared" si="5"/>
        <v>0</v>
      </c>
      <c r="L93" s="1">
        <f t="shared" si="4"/>
        <v>0</v>
      </c>
    </row>
    <row r="94" spans="1:12">
      <c r="A94" s="1">
        <f t="shared" si="6"/>
        <v>93</v>
      </c>
      <c r="B94" s="1">
        <f>'[1]buses-marginal_price'!G94</f>
        <v>0</v>
      </c>
      <c r="C94" s="1">
        <f>'[1]buses-marginal_price'!H94</f>
        <v>0.13285714285714281</v>
      </c>
      <c r="D94" s="1">
        <f>'[1]buses-marginal_price'!I94</f>
        <v>0</v>
      </c>
      <c r="E94" s="1">
        <f>'[1]buses-marginal_price'!J94</f>
        <v>9.2999999999999999E-2</v>
      </c>
      <c r="G94" s="1">
        <f>'[1]links-p0'!O94</f>
        <v>0</v>
      </c>
      <c r="H94" s="1">
        <f>'[1]links-p0'!P94</f>
        <v>0</v>
      </c>
      <c r="J94" s="1">
        <v>93</v>
      </c>
      <c r="K94" s="1">
        <f t="shared" si="5"/>
        <v>0</v>
      </c>
      <c r="L94" s="1">
        <f t="shared" si="4"/>
        <v>0</v>
      </c>
    </row>
    <row r="95" spans="1:12">
      <c r="A95" s="1">
        <f t="shared" si="6"/>
        <v>94</v>
      </c>
      <c r="B95" s="1">
        <f>'[1]buses-marginal_price'!G95</f>
        <v>0</v>
      </c>
      <c r="C95" s="1">
        <f>'[1]buses-marginal_price'!H95</f>
        <v>0.13285714285714281</v>
      </c>
      <c r="D95" s="1">
        <f>'[1]buses-marginal_price'!I95</f>
        <v>0</v>
      </c>
      <c r="E95" s="1">
        <f>'[1]buses-marginal_price'!J95</f>
        <v>9.2999999999999999E-2</v>
      </c>
      <c r="G95" s="1">
        <f>'[1]links-p0'!O95</f>
        <v>0</v>
      </c>
      <c r="H95" s="1">
        <f>'[1]links-p0'!P95</f>
        <v>0</v>
      </c>
      <c r="J95" s="1">
        <v>94</v>
      </c>
      <c r="K95" s="1">
        <f t="shared" si="5"/>
        <v>0</v>
      </c>
      <c r="L95" s="1">
        <f t="shared" si="4"/>
        <v>0</v>
      </c>
    </row>
    <row r="96" spans="1:12">
      <c r="A96" s="1">
        <f t="shared" si="6"/>
        <v>95</v>
      </c>
      <c r="B96" s="1">
        <f>'[1]buses-marginal_price'!G96</f>
        <v>0</v>
      </c>
      <c r="C96" s="1">
        <f>'[1]buses-marginal_price'!H96</f>
        <v>0.13285714285714281</v>
      </c>
      <c r="D96" s="1">
        <f>'[1]buses-marginal_price'!I96</f>
        <v>0</v>
      </c>
      <c r="E96" s="1">
        <f>'[1]buses-marginal_price'!J96</f>
        <v>9.2999999999999999E-2</v>
      </c>
      <c r="G96" s="1">
        <f>'[1]links-p0'!O96</f>
        <v>0</v>
      </c>
      <c r="H96" s="1">
        <f>'[1]links-p0'!P96</f>
        <v>0</v>
      </c>
      <c r="J96" s="1">
        <v>95</v>
      </c>
      <c r="K96" s="1">
        <f t="shared" si="5"/>
        <v>0</v>
      </c>
      <c r="L96" s="1">
        <f t="shared" si="4"/>
        <v>0</v>
      </c>
    </row>
    <row r="97" spans="1:12">
      <c r="A97" s="1">
        <f t="shared" si="6"/>
        <v>96</v>
      </c>
      <c r="B97" s="1">
        <f>'[1]buses-marginal_price'!G97</f>
        <v>0</v>
      </c>
      <c r="C97" s="1">
        <f>'[1]buses-marginal_price'!H97</f>
        <v>8.1071428571428572E-2</v>
      </c>
      <c r="D97" s="1">
        <f>'[1]buses-marginal_price'!I97</f>
        <v>0</v>
      </c>
      <c r="E97" s="1">
        <f>'[1]buses-marginal_price'!J97</f>
        <v>5.6749999999999988E-2</v>
      </c>
      <c r="G97" s="1">
        <f>'[1]links-p0'!O97</f>
        <v>0</v>
      </c>
      <c r="H97" s="1">
        <f>'[1]links-p0'!P97</f>
        <v>0</v>
      </c>
      <c r="J97" s="1">
        <v>96</v>
      </c>
      <c r="K97" s="1">
        <f t="shared" si="5"/>
        <v>0</v>
      </c>
      <c r="L97" s="1">
        <f t="shared" si="4"/>
        <v>0</v>
      </c>
    </row>
    <row r="98" spans="1:12">
      <c r="A98" s="1">
        <f t="shared" si="6"/>
        <v>97</v>
      </c>
      <c r="B98" s="1">
        <f>'[1]buses-marginal_price'!G98</f>
        <v>5.3749999999999992E-2</v>
      </c>
      <c r="C98" s="1">
        <f>'[1]buses-marginal_price'!H98</f>
        <v>0.1010714285714286</v>
      </c>
      <c r="D98" s="1">
        <f>'[1]buses-marginal_price'!I98</f>
        <v>5.3749999999999992E-2</v>
      </c>
      <c r="E98" s="1">
        <f>'[1]buses-marginal_price'!J98</f>
        <v>7.0749999999999993E-2</v>
      </c>
      <c r="G98" s="1">
        <f>'[1]links-p0'!O98</f>
        <v>0</v>
      </c>
      <c r="H98" s="1">
        <f>'[1]links-p0'!P98</f>
        <v>412.12010119806251</v>
      </c>
      <c r="J98" s="1">
        <v>97</v>
      </c>
      <c r="K98" s="1">
        <f t="shared" si="5"/>
        <v>0</v>
      </c>
      <c r="L98" s="1">
        <f t="shared" ref="L98:L129" si="7">IF(B98=E98,1,)</f>
        <v>0</v>
      </c>
    </row>
    <row r="99" spans="1:12">
      <c r="A99" s="1">
        <f t="shared" si="6"/>
        <v>98</v>
      </c>
      <c r="B99" s="1">
        <f>'[1]buses-marginal_price'!G99</f>
        <v>5.3749999999999992E-2</v>
      </c>
      <c r="C99" s="1">
        <f>'[1]buses-marginal_price'!H99</f>
        <v>0.1010714285714286</v>
      </c>
      <c r="D99" s="1">
        <f>'[1]buses-marginal_price'!I99</f>
        <v>5.3749999999999992E-2</v>
      </c>
      <c r="E99" s="1">
        <f>'[1]buses-marginal_price'!J99</f>
        <v>7.0749999999999993E-2</v>
      </c>
      <c r="G99" s="1">
        <f>'[1]links-p0'!O99</f>
        <v>0</v>
      </c>
      <c r="H99" s="1">
        <f>'[1]links-p0'!P99</f>
        <v>733.71458425885317</v>
      </c>
      <c r="J99" s="1">
        <v>98</v>
      </c>
      <c r="K99" s="1">
        <f t="shared" si="5"/>
        <v>0</v>
      </c>
      <c r="L99" s="1">
        <f t="shared" si="7"/>
        <v>0</v>
      </c>
    </row>
    <row r="100" spans="1:12">
      <c r="A100" s="1">
        <f t="shared" si="6"/>
        <v>99</v>
      </c>
      <c r="B100" s="1">
        <f>'[1]buses-marginal_price'!G100</f>
        <v>5.3749999999999992E-2</v>
      </c>
      <c r="C100" s="1">
        <f>'[1]buses-marginal_price'!H100</f>
        <v>0.1010714285714286</v>
      </c>
      <c r="D100" s="1">
        <f>'[1]buses-marginal_price'!I100</f>
        <v>5.3749999999999992E-2</v>
      </c>
      <c r="E100" s="1">
        <f>'[1]buses-marginal_price'!J100</f>
        <v>7.0749999999999993E-2</v>
      </c>
      <c r="G100" s="1">
        <f>'[1]links-p0'!O100</f>
        <v>0</v>
      </c>
      <c r="H100" s="1">
        <f>'[1]links-p0'!P100</f>
        <v>811.64726331380393</v>
      </c>
      <c r="J100" s="1">
        <v>99</v>
      </c>
      <c r="K100" s="1">
        <f t="shared" si="5"/>
        <v>0</v>
      </c>
      <c r="L100" s="1">
        <f t="shared" si="7"/>
        <v>0</v>
      </c>
    </row>
    <row r="101" spans="1:12">
      <c r="A101" s="1">
        <f t="shared" si="6"/>
        <v>100</v>
      </c>
      <c r="B101" s="1">
        <f>'[1]buses-marginal_price'!G101</f>
        <v>5.3749999999999992E-2</v>
      </c>
      <c r="C101" s="1">
        <f>'[1]buses-marginal_price'!H101</f>
        <v>0.1010714285714286</v>
      </c>
      <c r="D101" s="1">
        <f>'[1]buses-marginal_price'!I101</f>
        <v>5.3749999999999992E-2</v>
      </c>
      <c r="E101" s="1">
        <f>'[1]buses-marginal_price'!J101</f>
        <v>7.0749999999999993E-2</v>
      </c>
      <c r="G101" s="1">
        <f>'[1]links-p0'!O101</f>
        <v>0</v>
      </c>
      <c r="H101" s="1">
        <f>'[1]links-p0'!P101</f>
        <v>890.42656708137497</v>
      </c>
      <c r="J101" s="1">
        <v>100</v>
      </c>
      <c r="K101" s="1">
        <f t="shared" si="5"/>
        <v>0</v>
      </c>
      <c r="L101" s="1">
        <f t="shared" si="7"/>
        <v>0</v>
      </c>
    </row>
    <row r="102" spans="1:12">
      <c r="A102" s="1">
        <f t="shared" si="6"/>
        <v>101</v>
      </c>
      <c r="B102" s="1">
        <f>'[1]buses-marginal_price'!G102</f>
        <v>7.3749999999999996E-2</v>
      </c>
      <c r="C102" s="1">
        <f>'[1]buses-marginal_price'!H102</f>
        <v>0.1010714285714286</v>
      </c>
      <c r="D102" s="1">
        <f>'[1]buses-marginal_price'!I102</f>
        <v>7.3749999999999996E-2</v>
      </c>
      <c r="E102" s="1">
        <f>'[1]buses-marginal_price'!J102</f>
        <v>7.0749999999999993E-2</v>
      </c>
      <c r="G102" s="1">
        <f>'[1]links-p0'!O102</f>
        <v>176.15218191426169</v>
      </c>
      <c r="H102" s="1">
        <f>'[1]links-p0'!P102</f>
        <v>951.29716451645982</v>
      </c>
      <c r="J102" s="1">
        <v>101</v>
      </c>
      <c r="K102" s="1">
        <f t="shared" si="5"/>
        <v>0</v>
      </c>
      <c r="L102" s="1">
        <f t="shared" si="7"/>
        <v>0</v>
      </c>
    </row>
    <row r="103" spans="1:12">
      <c r="A103" s="1">
        <f t="shared" si="6"/>
        <v>102</v>
      </c>
      <c r="B103" s="1">
        <f>'[1]buses-marginal_price'!G103</f>
        <v>0.02</v>
      </c>
      <c r="C103" s="1">
        <f>'[1]buses-marginal_price'!H103</f>
        <v>2.4285714285714289E-2</v>
      </c>
      <c r="D103" s="1">
        <f>'[1]buses-marginal_price'!I103</f>
        <v>0.02</v>
      </c>
      <c r="E103" s="1">
        <f>'[1]buses-marginal_price'!J103</f>
        <v>1.7000000000000001E-2</v>
      </c>
      <c r="G103" s="1">
        <f>'[1]links-p0'!O103</f>
        <v>528.98647520719101</v>
      </c>
      <c r="H103" s="1">
        <f>'[1]links-p0'!P103</f>
        <v>1084.899945785329</v>
      </c>
      <c r="J103" s="1">
        <v>102</v>
      </c>
      <c r="K103" s="1">
        <f t="shared" si="5"/>
        <v>0</v>
      </c>
      <c r="L103" s="1">
        <f t="shared" si="7"/>
        <v>0</v>
      </c>
    </row>
    <row r="104" spans="1:12">
      <c r="A104" s="1">
        <f t="shared" si="6"/>
        <v>103</v>
      </c>
      <c r="B104" s="1">
        <f>'[1]buses-marginal_price'!G104</f>
        <v>0.02</v>
      </c>
      <c r="C104" s="1">
        <f>'[1]buses-marginal_price'!H104</f>
        <v>2.4285714285714289E-2</v>
      </c>
      <c r="D104" s="1">
        <f>'[1]buses-marginal_price'!I104</f>
        <v>0.02</v>
      </c>
      <c r="E104" s="1">
        <f>'[1]buses-marginal_price'!J104</f>
        <v>1.7000000000000001E-2</v>
      </c>
      <c r="G104" s="1">
        <f>'[1]links-p0'!O104</f>
        <v>892.68473554286561</v>
      </c>
      <c r="H104" s="1">
        <f>'[1]links-p0'!P104</f>
        <v>1183.884224252997</v>
      </c>
      <c r="J104" s="1">
        <v>103</v>
      </c>
      <c r="K104" s="1">
        <f t="shared" si="5"/>
        <v>0</v>
      </c>
      <c r="L104" s="1">
        <f t="shared" si="7"/>
        <v>0</v>
      </c>
    </row>
    <row r="105" spans="1:12">
      <c r="A105" s="1">
        <f t="shared" si="6"/>
        <v>104</v>
      </c>
      <c r="B105" s="1">
        <f>'[1]buses-marginal_price'!G105</f>
        <v>0.02</v>
      </c>
      <c r="C105" s="1">
        <f>'[1]buses-marginal_price'!H105</f>
        <v>2.4285714285714289E-2</v>
      </c>
      <c r="D105" s="1">
        <f>'[1]buses-marginal_price'!I105</f>
        <v>0.02</v>
      </c>
      <c r="E105" s="1">
        <f>'[1]buses-marginal_price'!J105</f>
        <v>1.7000000000000001E-2</v>
      </c>
      <c r="G105" s="1">
        <f>'[1]links-p0'!O105</f>
        <v>1455.227486494276</v>
      </c>
      <c r="H105" s="1">
        <f>'[1]links-p0'!P105</f>
        <v>1282.6915052162101</v>
      </c>
      <c r="J105" s="1">
        <v>104</v>
      </c>
      <c r="K105" s="1">
        <f t="shared" si="5"/>
        <v>0</v>
      </c>
      <c r="L105" s="1">
        <f t="shared" si="7"/>
        <v>0</v>
      </c>
    </row>
    <row r="106" spans="1:12">
      <c r="A106" s="1">
        <f t="shared" si="6"/>
        <v>105</v>
      </c>
      <c r="B106" s="1">
        <f>'[1]buses-marginal_price'!G106</f>
        <v>0.02</v>
      </c>
      <c r="C106" s="1">
        <f>'[1]buses-marginal_price'!H106</f>
        <v>2.4285714285714289E-2</v>
      </c>
      <c r="D106" s="1">
        <f>'[1]buses-marginal_price'!I106</f>
        <v>0.02</v>
      </c>
      <c r="E106" s="1">
        <f>'[1]buses-marginal_price'!J106</f>
        <v>1.7000000000000001E-2</v>
      </c>
      <c r="G106" s="1">
        <f>'[1]links-p0'!O106</f>
        <v>2191.2643953800621</v>
      </c>
      <c r="H106" s="1">
        <f>'[1]links-p0'!P106</f>
        <v>1421.9847418364791</v>
      </c>
      <c r="J106" s="1">
        <v>105</v>
      </c>
      <c r="K106" s="1">
        <f t="shared" si="5"/>
        <v>0</v>
      </c>
      <c r="L106" s="1">
        <f t="shared" si="7"/>
        <v>0</v>
      </c>
    </row>
    <row r="107" spans="1:12">
      <c r="A107" s="1">
        <f t="shared" si="6"/>
        <v>106</v>
      </c>
      <c r="B107" s="1">
        <f>'[1]buses-marginal_price'!G107</f>
        <v>0</v>
      </c>
      <c r="C107" s="1">
        <f>'[1]buses-marginal_price'!H107</f>
        <v>0.01</v>
      </c>
      <c r="D107" s="1">
        <f>'[1]buses-marginal_price'!I107</f>
        <v>0</v>
      </c>
      <c r="E107" s="1">
        <f>'[1]buses-marginal_price'!J107</f>
        <v>6.9999999999999993E-3</v>
      </c>
      <c r="G107" s="1">
        <f>'[1]links-p0'!O107</f>
        <v>0</v>
      </c>
      <c r="H107" s="1">
        <f>'[1]links-p0'!P107</f>
        <v>1030.582964590365</v>
      </c>
      <c r="J107" s="1">
        <v>106</v>
      </c>
      <c r="K107" s="1">
        <f t="shared" si="5"/>
        <v>0</v>
      </c>
      <c r="L107" s="1">
        <f t="shared" si="7"/>
        <v>0</v>
      </c>
    </row>
    <row r="108" spans="1:12">
      <c r="A108" s="1">
        <f t="shared" si="6"/>
        <v>107</v>
      </c>
      <c r="B108" s="1">
        <f>'[1]buses-marginal_price'!G108</f>
        <v>0</v>
      </c>
      <c r="C108" s="1">
        <f>'[1]buses-marginal_price'!H108</f>
        <v>0</v>
      </c>
      <c r="D108" s="1">
        <f>'[1]buses-marginal_price'!I108</f>
        <v>0</v>
      </c>
      <c r="E108" s="1">
        <f>'[1]buses-marginal_price'!J108</f>
        <v>0</v>
      </c>
      <c r="G108" s="1">
        <f>'[1]links-p0'!O108</f>
        <v>0</v>
      </c>
      <c r="H108" s="1">
        <f>'[1]links-p0'!P108</f>
        <v>0</v>
      </c>
      <c r="J108" s="1">
        <v>107</v>
      </c>
      <c r="K108" s="1">
        <f t="shared" si="5"/>
        <v>1</v>
      </c>
      <c r="L108" s="1">
        <f t="shared" si="7"/>
        <v>1</v>
      </c>
    </row>
    <row r="109" spans="1:12">
      <c r="A109" s="1">
        <f t="shared" si="6"/>
        <v>108</v>
      </c>
      <c r="B109" s="1">
        <f>'[1]buses-marginal_price'!G109</f>
        <v>0</v>
      </c>
      <c r="C109" s="1">
        <f>'[1]buses-marginal_price'!H109</f>
        <v>0</v>
      </c>
      <c r="D109" s="1">
        <f>'[1]buses-marginal_price'!I109</f>
        <v>0</v>
      </c>
      <c r="E109" s="1">
        <f>'[1]buses-marginal_price'!J109</f>
        <v>0</v>
      </c>
      <c r="G109" s="1">
        <f>'[1]links-p0'!O109</f>
        <v>0</v>
      </c>
      <c r="H109" s="1">
        <f>'[1]links-p0'!P109</f>
        <v>0</v>
      </c>
      <c r="J109" s="1">
        <v>108</v>
      </c>
      <c r="K109" s="1">
        <f t="shared" si="5"/>
        <v>1</v>
      </c>
      <c r="L109" s="1">
        <f t="shared" si="7"/>
        <v>1</v>
      </c>
    </row>
    <row r="110" spans="1:12">
      <c r="A110" s="1">
        <f t="shared" si="6"/>
        <v>109</v>
      </c>
      <c r="B110" s="1">
        <f>'[1]buses-marginal_price'!G110</f>
        <v>0</v>
      </c>
      <c r="C110" s="1">
        <f>'[1]buses-marginal_price'!H110</f>
        <v>0</v>
      </c>
      <c r="D110" s="1">
        <f>'[1]buses-marginal_price'!I110</f>
        <v>0</v>
      </c>
      <c r="E110" s="1">
        <f>'[1]buses-marginal_price'!J110</f>
        <v>0</v>
      </c>
      <c r="G110" s="1">
        <f>'[1]links-p0'!O110</f>
        <v>0</v>
      </c>
      <c r="H110" s="1">
        <f>'[1]links-p0'!P110</f>
        <v>0</v>
      </c>
      <c r="J110" s="1">
        <v>109</v>
      </c>
      <c r="K110" s="1">
        <f t="shared" si="5"/>
        <v>1</v>
      </c>
      <c r="L110" s="1">
        <f t="shared" si="7"/>
        <v>1</v>
      </c>
    </row>
    <row r="111" spans="1:12">
      <c r="A111" s="1">
        <f t="shared" si="6"/>
        <v>110</v>
      </c>
      <c r="B111" s="1">
        <f>'[1]buses-marginal_price'!G111</f>
        <v>0</v>
      </c>
      <c r="C111" s="1">
        <f>'[1]buses-marginal_price'!H111</f>
        <v>0</v>
      </c>
      <c r="D111" s="1">
        <f>'[1]buses-marginal_price'!I111</f>
        <v>0</v>
      </c>
      <c r="E111" s="1">
        <f>'[1]buses-marginal_price'!J111</f>
        <v>0</v>
      </c>
      <c r="G111" s="1">
        <f>'[1]links-p0'!O111</f>
        <v>0</v>
      </c>
      <c r="H111" s="1">
        <f>'[1]links-p0'!P111</f>
        <v>0</v>
      </c>
      <c r="J111" s="1">
        <v>110</v>
      </c>
      <c r="K111" s="1">
        <f t="shared" si="5"/>
        <v>1</v>
      </c>
      <c r="L111" s="1">
        <f t="shared" si="7"/>
        <v>1</v>
      </c>
    </row>
    <row r="112" spans="1:12">
      <c r="A112" s="1">
        <f t="shared" si="6"/>
        <v>111</v>
      </c>
      <c r="B112" s="1">
        <f>'[1]buses-marginal_price'!G112</f>
        <v>0</v>
      </c>
      <c r="C112" s="1">
        <f>'[1]buses-marginal_price'!H112</f>
        <v>0</v>
      </c>
      <c r="D112" s="1">
        <f>'[1]buses-marginal_price'!I112</f>
        <v>0</v>
      </c>
      <c r="E112" s="1">
        <f>'[1]buses-marginal_price'!J112</f>
        <v>0</v>
      </c>
      <c r="G112" s="1">
        <f>'[1]links-p0'!O112</f>
        <v>0</v>
      </c>
      <c r="H112" s="1">
        <f>'[1]links-p0'!P112</f>
        <v>0</v>
      </c>
      <c r="J112" s="1">
        <v>111</v>
      </c>
      <c r="K112" s="1">
        <f t="shared" si="5"/>
        <v>1</v>
      </c>
      <c r="L112" s="1">
        <f t="shared" si="7"/>
        <v>1</v>
      </c>
    </row>
    <row r="113" spans="1:12">
      <c r="A113" s="1">
        <f t="shared" si="6"/>
        <v>112</v>
      </c>
      <c r="B113" s="1">
        <f>'[1]buses-marginal_price'!G113</f>
        <v>0</v>
      </c>
      <c r="C113" s="1">
        <f>'[1]buses-marginal_price'!H113</f>
        <v>0</v>
      </c>
      <c r="D113" s="1">
        <f>'[1]buses-marginal_price'!I113</f>
        <v>0</v>
      </c>
      <c r="E113" s="1">
        <f>'[1]buses-marginal_price'!J113</f>
        <v>0</v>
      </c>
      <c r="G113" s="1">
        <f>'[1]links-p0'!O113</f>
        <v>0</v>
      </c>
      <c r="H113" s="1">
        <f>'[1]links-p0'!P113</f>
        <v>0</v>
      </c>
      <c r="J113" s="1">
        <v>112</v>
      </c>
      <c r="K113" s="1">
        <f t="shared" si="5"/>
        <v>1</v>
      </c>
      <c r="L113" s="1">
        <f t="shared" si="7"/>
        <v>1</v>
      </c>
    </row>
    <row r="114" spans="1:12">
      <c r="A114" s="1">
        <f t="shared" si="6"/>
        <v>113</v>
      </c>
      <c r="B114" s="1">
        <f>'[1]buses-marginal_price'!G114</f>
        <v>0</v>
      </c>
      <c r="C114" s="1">
        <f>'[1]buses-marginal_price'!H114</f>
        <v>0</v>
      </c>
      <c r="D114" s="1">
        <f>'[1]buses-marginal_price'!I114</f>
        <v>0</v>
      </c>
      <c r="E114" s="1">
        <f>'[1]buses-marginal_price'!J114</f>
        <v>0</v>
      </c>
      <c r="G114" s="1">
        <f>'[1]links-p0'!O114</f>
        <v>0</v>
      </c>
      <c r="H114" s="1">
        <f>'[1]links-p0'!P114</f>
        <v>0</v>
      </c>
      <c r="J114" s="1">
        <v>113</v>
      </c>
      <c r="K114" s="1">
        <f t="shared" si="5"/>
        <v>1</v>
      </c>
      <c r="L114" s="1">
        <f t="shared" si="7"/>
        <v>1</v>
      </c>
    </row>
    <row r="115" spans="1:12">
      <c r="A115" s="1">
        <f t="shared" si="6"/>
        <v>114</v>
      </c>
      <c r="B115" s="1">
        <f>'[1]buses-marginal_price'!G115</f>
        <v>0</v>
      </c>
      <c r="C115" s="1">
        <f>'[1]buses-marginal_price'!H115</f>
        <v>0.01</v>
      </c>
      <c r="D115" s="1">
        <f>'[1]buses-marginal_price'!I115</f>
        <v>0</v>
      </c>
      <c r="E115" s="1">
        <f>'[1]buses-marginal_price'!J115</f>
        <v>6.9999999999999993E-3</v>
      </c>
      <c r="G115" s="1">
        <f>'[1]links-p0'!O115</f>
        <v>0</v>
      </c>
      <c r="H115" s="1">
        <f>'[1]links-p0'!P115</f>
        <v>695.87308344821759</v>
      </c>
      <c r="J115" s="1">
        <v>114</v>
      </c>
      <c r="K115" s="1">
        <f t="shared" si="5"/>
        <v>0</v>
      </c>
      <c r="L115" s="1">
        <f t="shared" si="7"/>
        <v>0</v>
      </c>
    </row>
    <row r="116" spans="1:12">
      <c r="A116" s="1">
        <f t="shared" si="6"/>
        <v>115</v>
      </c>
      <c r="B116" s="1">
        <f>'[1]buses-marginal_price'!G116</f>
        <v>7.3749999999999996E-2</v>
      </c>
      <c r="C116" s="1">
        <f>'[1]buses-marginal_price'!H116</f>
        <v>0.1010714285714286</v>
      </c>
      <c r="D116" s="1">
        <f>'[1]buses-marginal_price'!I116</f>
        <v>7.3749999999999996E-2</v>
      </c>
      <c r="E116" s="1">
        <f>'[1]buses-marginal_price'!J116</f>
        <v>7.0749999999999993E-2</v>
      </c>
      <c r="G116" s="1">
        <f>'[1]links-p0'!O116</f>
        <v>3185.2953301128509</v>
      </c>
      <c r="H116" s="1">
        <f>'[1]links-p0'!P116</f>
        <v>1429.0879938670471</v>
      </c>
      <c r="J116" s="1">
        <v>115</v>
      </c>
      <c r="K116" s="1">
        <f t="shared" si="5"/>
        <v>0</v>
      </c>
      <c r="L116" s="1">
        <f t="shared" si="7"/>
        <v>0</v>
      </c>
    </row>
    <row r="117" spans="1:12">
      <c r="A117" s="1">
        <f t="shared" si="6"/>
        <v>116</v>
      </c>
      <c r="B117" s="1">
        <f>'[1]buses-marginal_price'!G117</f>
        <v>7.3749999999999996E-2</v>
      </c>
      <c r="C117" s="1">
        <f>'[1]buses-marginal_price'!H117</f>
        <v>0.1010714285714286</v>
      </c>
      <c r="D117" s="1">
        <f>'[1]buses-marginal_price'!I117</f>
        <v>7.3749999999999996E-2</v>
      </c>
      <c r="E117" s="1">
        <f>'[1]buses-marginal_price'!J117</f>
        <v>7.0749999999999993E-2</v>
      </c>
      <c r="G117" s="1">
        <f>'[1]links-p0'!O117</f>
        <v>3524.9753119936322</v>
      </c>
      <c r="H117" s="1">
        <f>'[1]links-p0'!P117</f>
        <v>1283.0881743196201</v>
      </c>
      <c r="J117" s="1">
        <v>116</v>
      </c>
      <c r="K117" s="1">
        <f t="shared" si="5"/>
        <v>0</v>
      </c>
      <c r="L117" s="1">
        <f t="shared" si="7"/>
        <v>0</v>
      </c>
    </row>
    <row r="118" spans="1:12">
      <c r="A118" s="1">
        <f t="shared" si="6"/>
        <v>117</v>
      </c>
      <c r="B118" s="1">
        <f>'[1]buses-marginal_price'!G118</f>
        <v>7.3749999999999996E-2</v>
      </c>
      <c r="C118" s="1">
        <f>'[1]buses-marginal_price'!H118</f>
        <v>0.1010714285714286</v>
      </c>
      <c r="D118" s="1">
        <f>'[1]buses-marginal_price'!I118</f>
        <v>7.3749999999999996E-2</v>
      </c>
      <c r="E118" s="1">
        <f>'[1]buses-marginal_price'!J118</f>
        <v>7.0749999999999993E-2</v>
      </c>
      <c r="G118" s="1">
        <f>'[1]links-p0'!O118</f>
        <v>3286.301855570382</v>
      </c>
      <c r="H118" s="1">
        <f>'[1]links-p0'!P118</f>
        <v>1186.2939443506159</v>
      </c>
      <c r="J118" s="1">
        <v>117</v>
      </c>
      <c r="K118" s="1">
        <f t="shared" si="5"/>
        <v>0</v>
      </c>
      <c r="L118" s="1">
        <f t="shared" si="7"/>
        <v>0</v>
      </c>
    </row>
    <row r="119" spans="1:12">
      <c r="A119" s="1">
        <f t="shared" si="6"/>
        <v>118</v>
      </c>
      <c r="B119" s="1">
        <f>'[1]buses-marginal_price'!G119</f>
        <v>7.3749999999999996E-2</v>
      </c>
      <c r="C119" s="1">
        <f>'[1]buses-marginal_price'!H119</f>
        <v>0.1010714285714286</v>
      </c>
      <c r="D119" s="1">
        <f>'[1]buses-marginal_price'!I119</f>
        <v>7.3749999999999996E-2</v>
      </c>
      <c r="E119" s="1">
        <f>'[1]buses-marginal_price'!J119</f>
        <v>7.0749999999999993E-2</v>
      </c>
      <c r="G119" s="1">
        <f>'[1]links-p0'!O119</f>
        <v>2873.483704321347</v>
      </c>
      <c r="H119" s="1">
        <f>'[1]links-p0'!P119</f>
        <v>1113.8592367959</v>
      </c>
      <c r="J119" s="1">
        <v>118</v>
      </c>
      <c r="K119" s="1">
        <f t="shared" si="5"/>
        <v>0</v>
      </c>
      <c r="L119" s="1">
        <f t="shared" si="7"/>
        <v>0</v>
      </c>
    </row>
    <row r="120" spans="1:12">
      <c r="A120" s="1">
        <f t="shared" si="6"/>
        <v>119</v>
      </c>
      <c r="B120" s="1">
        <f>'[1]buses-marginal_price'!G120</f>
        <v>7.3749999999999996E-2</v>
      </c>
      <c r="C120" s="1">
        <f>'[1]buses-marginal_price'!H120</f>
        <v>0.1010714285714286</v>
      </c>
      <c r="D120" s="1">
        <f>'[1]buses-marginal_price'!I120</f>
        <v>7.3749999999999996E-2</v>
      </c>
      <c r="E120" s="1">
        <f>'[1]buses-marginal_price'!J120</f>
        <v>7.0749999999999993E-2</v>
      </c>
      <c r="G120" s="1">
        <f>'[1]links-p0'!O120</f>
        <v>3053.8956089089138</v>
      </c>
      <c r="H120" s="1">
        <f>'[1]links-p0'!P120</f>
        <v>1067.8532134962829</v>
      </c>
      <c r="J120" s="1">
        <v>119</v>
      </c>
      <c r="K120" s="1">
        <f t="shared" si="5"/>
        <v>0</v>
      </c>
      <c r="L120" s="1">
        <f t="shared" si="7"/>
        <v>0</v>
      </c>
    </row>
    <row r="121" spans="1:12">
      <c r="A121" s="1">
        <f t="shared" si="6"/>
        <v>120</v>
      </c>
      <c r="B121" s="1">
        <f>'[1]buses-marginal_price'!G121</f>
        <v>7.3749999999999996E-2</v>
      </c>
      <c r="C121" s="1">
        <f>'[1]buses-marginal_price'!H121</f>
        <v>0.1010714285714286</v>
      </c>
      <c r="D121" s="1">
        <f>'[1]buses-marginal_price'!I121</f>
        <v>7.3749999999999996E-2</v>
      </c>
      <c r="E121" s="1">
        <f>'[1]buses-marginal_price'!J121</f>
        <v>7.0749999999999993E-2</v>
      </c>
      <c r="G121" s="1">
        <f>'[1]links-p0'!O121</f>
        <v>2510.9131099907258</v>
      </c>
      <c r="H121" s="1">
        <f>'[1]links-p0'!P121</f>
        <v>1058.076306833814</v>
      </c>
      <c r="J121" s="1">
        <v>120</v>
      </c>
      <c r="K121" s="1">
        <f t="shared" si="5"/>
        <v>0</v>
      </c>
      <c r="L121" s="1">
        <f t="shared" si="7"/>
        <v>0</v>
      </c>
    </row>
    <row r="122" spans="1:12">
      <c r="A122" s="1">
        <f t="shared" si="6"/>
        <v>121</v>
      </c>
      <c r="B122" s="1">
        <f>'[1]buses-marginal_price'!G122</f>
        <v>0.02</v>
      </c>
      <c r="C122" s="1">
        <f>'[1]buses-marginal_price'!H122</f>
        <v>2.4285714285714289E-2</v>
      </c>
      <c r="D122" s="1">
        <f>'[1]buses-marginal_price'!I122</f>
        <v>0.02</v>
      </c>
      <c r="E122" s="1">
        <f>'[1]buses-marginal_price'!J122</f>
        <v>1.7000000000000001E-2</v>
      </c>
      <c r="G122" s="1">
        <f>'[1]links-p0'!O122</f>
        <v>1495.3343898442549</v>
      </c>
      <c r="H122" s="1">
        <f>'[1]links-p0'!P122</f>
        <v>1429.9287930004341</v>
      </c>
      <c r="J122" s="1">
        <v>121</v>
      </c>
      <c r="K122" s="1">
        <f t="shared" si="5"/>
        <v>0</v>
      </c>
      <c r="L122" s="1">
        <f t="shared" si="7"/>
        <v>0</v>
      </c>
    </row>
    <row r="123" spans="1:12">
      <c r="A123" s="1">
        <f t="shared" si="6"/>
        <v>122</v>
      </c>
      <c r="B123" s="1">
        <f>'[1]buses-marginal_price'!G123</f>
        <v>0.01</v>
      </c>
      <c r="C123" s="1">
        <f>'[1]buses-marginal_price'!H123</f>
        <v>0.01</v>
      </c>
      <c r="D123" s="1">
        <f>'[1]buses-marginal_price'!I123</f>
        <v>0.01</v>
      </c>
      <c r="E123" s="1">
        <f>'[1]buses-marginal_price'!J123</f>
        <v>6.9999999999999993E-3</v>
      </c>
      <c r="G123" s="1">
        <f>'[1]links-p0'!O123</f>
        <v>968.99528750846673</v>
      </c>
      <c r="H123" s="1">
        <f>'[1]links-p0'!P123</f>
        <v>1408.699514875965</v>
      </c>
      <c r="J123" s="1">
        <v>122</v>
      </c>
      <c r="K123" s="1">
        <f t="shared" si="5"/>
        <v>1</v>
      </c>
      <c r="L123" s="1">
        <f t="shared" si="7"/>
        <v>0</v>
      </c>
    </row>
    <row r="124" spans="1:12">
      <c r="A124" s="1">
        <f t="shared" si="6"/>
        <v>123</v>
      </c>
      <c r="B124" s="1">
        <f>'[1]buses-marginal_price'!G124</f>
        <v>0.01</v>
      </c>
      <c r="C124" s="1">
        <f>'[1]buses-marginal_price'!H124</f>
        <v>0.01</v>
      </c>
      <c r="D124" s="1">
        <f>'[1]buses-marginal_price'!I124</f>
        <v>0.01</v>
      </c>
      <c r="E124" s="1">
        <f>'[1]buses-marginal_price'!J124</f>
        <v>6.9999999999999993E-3</v>
      </c>
      <c r="G124" s="1">
        <f>'[1]links-p0'!O124</f>
        <v>127.9106882386014</v>
      </c>
      <c r="H124" s="1">
        <f>'[1]links-p0'!P124</f>
        <v>1347.9089149831909</v>
      </c>
      <c r="J124" s="1">
        <v>123</v>
      </c>
      <c r="K124" s="1">
        <f t="shared" si="5"/>
        <v>1</v>
      </c>
      <c r="L124" s="1">
        <f t="shared" si="7"/>
        <v>0</v>
      </c>
    </row>
    <row r="125" spans="1:12">
      <c r="A125" s="1">
        <f t="shared" si="6"/>
        <v>124</v>
      </c>
      <c r="B125" s="1">
        <f>'[1]buses-marginal_price'!G125</f>
        <v>0</v>
      </c>
      <c r="C125" s="1">
        <f>'[1]buses-marginal_price'!H125</f>
        <v>0.01</v>
      </c>
      <c r="D125" s="1">
        <f>'[1]buses-marginal_price'!I125</f>
        <v>0</v>
      </c>
      <c r="E125" s="1">
        <f>'[1]buses-marginal_price'!J125</f>
        <v>6.9999999999999993E-3</v>
      </c>
      <c r="G125" s="1">
        <f>'[1]links-p0'!O125</f>
        <v>0</v>
      </c>
      <c r="H125" s="1">
        <f>'[1]links-p0'!P125</f>
        <v>1274.282494397444</v>
      </c>
      <c r="J125" s="1">
        <v>124</v>
      </c>
      <c r="K125" s="1">
        <f t="shared" si="5"/>
        <v>0</v>
      </c>
      <c r="L125" s="1">
        <f t="shared" si="7"/>
        <v>0</v>
      </c>
    </row>
    <row r="126" spans="1:12">
      <c r="A126" s="1">
        <f t="shared" si="6"/>
        <v>125</v>
      </c>
      <c r="B126" s="1">
        <f>'[1]buses-marginal_price'!G126</f>
        <v>0</v>
      </c>
      <c r="C126" s="1">
        <f>'[1]buses-marginal_price'!H126</f>
        <v>0.01</v>
      </c>
      <c r="D126" s="1">
        <f>'[1]buses-marginal_price'!I126</f>
        <v>0</v>
      </c>
      <c r="E126" s="1">
        <f>'[1]buses-marginal_price'!J126</f>
        <v>6.9999999999999993E-3</v>
      </c>
      <c r="G126" s="1">
        <f>'[1]links-p0'!O126</f>
        <v>0</v>
      </c>
      <c r="H126" s="1">
        <f>'[1]links-p0'!P126</f>
        <v>1173.6050259113811</v>
      </c>
      <c r="J126" s="1">
        <v>125</v>
      </c>
      <c r="K126" s="1">
        <f t="shared" si="5"/>
        <v>0</v>
      </c>
      <c r="L126" s="1">
        <f t="shared" si="7"/>
        <v>0</v>
      </c>
    </row>
    <row r="127" spans="1:12">
      <c r="A127" s="1">
        <f t="shared" si="6"/>
        <v>126</v>
      </c>
      <c r="B127" s="1">
        <f>'[1]buses-marginal_price'!G127</f>
        <v>0</v>
      </c>
      <c r="C127" s="1">
        <f>'[1]buses-marginal_price'!H127</f>
        <v>0.01</v>
      </c>
      <c r="D127" s="1">
        <f>'[1]buses-marginal_price'!I127</f>
        <v>0</v>
      </c>
      <c r="E127" s="1">
        <f>'[1]buses-marginal_price'!J127</f>
        <v>6.9999999999999993E-3</v>
      </c>
      <c r="G127" s="1">
        <f>'[1]links-p0'!O127</f>
        <v>0</v>
      </c>
      <c r="H127" s="1">
        <f>'[1]links-p0'!P127</f>
        <v>1091.988188439009</v>
      </c>
      <c r="J127" s="1">
        <v>126</v>
      </c>
      <c r="K127" s="1">
        <f t="shared" si="5"/>
        <v>0</v>
      </c>
      <c r="L127" s="1">
        <f t="shared" si="7"/>
        <v>0</v>
      </c>
    </row>
    <row r="128" spans="1:12">
      <c r="A128" s="1">
        <f t="shared" si="6"/>
        <v>127</v>
      </c>
      <c r="B128" s="1">
        <f>'[1]buses-marginal_price'!G128</f>
        <v>0</v>
      </c>
      <c r="C128" s="1">
        <f>'[1]buses-marginal_price'!H128</f>
        <v>0.01</v>
      </c>
      <c r="D128" s="1">
        <f>'[1]buses-marginal_price'!I128</f>
        <v>0</v>
      </c>
      <c r="E128" s="1">
        <f>'[1]buses-marginal_price'!J128</f>
        <v>6.9999999999999993E-3</v>
      </c>
      <c r="G128" s="1">
        <f>'[1]links-p0'!O128</f>
        <v>0</v>
      </c>
      <c r="H128" s="1">
        <f>'[1]links-p0'!P128</f>
        <v>1048.882552142494</v>
      </c>
      <c r="J128" s="1">
        <v>127</v>
      </c>
      <c r="K128" s="1">
        <f t="shared" si="5"/>
        <v>0</v>
      </c>
      <c r="L128" s="1">
        <f t="shared" si="7"/>
        <v>0</v>
      </c>
    </row>
    <row r="129" spans="1:12">
      <c r="A129" s="1">
        <f t="shared" si="6"/>
        <v>128</v>
      </c>
      <c r="B129" s="1">
        <f>'[1]buses-marginal_price'!G129</f>
        <v>0</v>
      </c>
      <c r="C129" s="1">
        <f>'[1]buses-marginal_price'!H129</f>
        <v>0.01</v>
      </c>
      <c r="D129" s="1">
        <f>'[1]buses-marginal_price'!I129</f>
        <v>0</v>
      </c>
      <c r="E129" s="1">
        <f>'[1]buses-marginal_price'!J129</f>
        <v>6.9999999999999993E-3</v>
      </c>
      <c r="G129" s="1">
        <f>'[1]links-p0'!O129</f>
        <v>0</v>
      </c>
      <c r="H129" s="1">
        <f>'[1]links-p0'!P129</f>
        <v>1071.107910718659</v>
      </c>
      <c r="J129" s="1">
        <v>128</v>
      </c>
      <c r="K129" s="1">
        <f t="shared" si="5"/>
        <v>0</v>
      </c>
      <c r="L129" s="1">
        <f t="shared" si="7"/>
        <v>0</v>
      </c>
    </row>
    <row r="130" spans="1:12">
      <c r="A130" s="1">
        <f t="shared" si="6"/>
        <v>129</v>
      </c>
      <c r="B130" s="1">
        <f>'[1]buses-marginal_price'!G130</f>
        <v>0</v>
      </c>
      <c r="C130" s="1">
        <f>'[1]buses-marginal_price'!H130</f>
        <v>2.4285714285714289E-2</v>
      </c>
      <c r="D130" s="1">
        <f>'[1]buses-marginal_price'!I130</f>
        <v>0</v>
      </c>
      <c r="E130" s="1">
        <f>'[1]buses-marginal_price'!J130</f>
        <v>1.7000000000000001E-2</v>
      </c>
      <c r="G130" s="1">
        <f>'[1]links-p0'!O130</f>
        <v>0</v>
      </c>
      <c r="H130" s="1">
        <f>'[1]links-p0'!P130</f>
        <v>1216.3650636713719</v>
      </c>
      <c r="J130" s="1">
        <v>129</v>
      </c>
      <c r="K130" s="1">
        <f t="shared" si="5"/>
        <v>0</v>
      </c>
      <c r="L130" s="1">
        <f t="shared" ref="L130:L161" si="8">IF(B130=E130,1,)</f>
        <v>0</v>
      </c>
    </row>
    <row r="131" spans="1:12">
      <c r="A131" s="1">
        <f t="shared" si="6"/>
        <v>130</v>
      </c>
      <c r="B131" s="1">
        <f>'[1]buses-marginal_price'!G131</f>
        <v>0</v>
      </c>
      <c r="C131" s="1">
        <f>'[1]buses-marginal_price'!H131</f>
        <v>0.01</v>
      </c>
      <c r="D131" s="1">
        <f>'[1]buses-marginal_price'!I131</f>
        <v>0</v>
      </c>
      <c r="E131" s="1">
        <f>'[1]buses-marginal_price'!J131</f>
        <v>6.9999999999999993E-3</v>
      </c>
      <c r="G131" s="1">
        <f>'[1]links-p0'!O131</f>
        <v>0</v>
      </c>
      <c r="H131" s="1">
        <f>'[1]links-p0'!P131</f>
        <v>980.21007576518559</v>
      </c>
      <c r="J131" s="1">
        <v>130</v>
      </c>
      <c r="K131" s="1">
        <f t="shared" ref="K131:K169" si="9">IF(B131=C131,1,)</f>
        <v>0</v>
      </c>
      <c r="L131" s="1">
        <f t="shared" si="8"/>
        <v>0</v>
      </c>
    </row>
    <row r="132" spans="1:12">
      <c r="A132" s="1">
        <f t="shared" ref="A132:A169" si="10">1+A131</f>
        <v>131</v>
      </c>
      <c r="B132" s="1">
        <f>'[1]buses-marginal_price'!G132</f>
        <v>0</v>
      </c>
      <c r="C132" s="1">
        <f>'[1]buses-marginal_price'!H132</f>
        <v>0.01</v>
      </c>
      <c r="D132" s="1">
        <f>'[1]buses-marginal_price'!I132</f>
        <v>0</v>
      </c>
      <c r="E132" s="1">
        <f>'[1]buses-marginal_price'!J132</f>
        <v>6.9999999999999993E-3</v>
      </c>
      <c r="G132" s="1">
        <f>'[1]links-p0'!O132</f>
        <v>0</v>
      </c>
      <c r="H132" s="1">
        <f>'[1]links-p0'!P132</f>
        <v>52.380389045829823</v>
      </c>
      <c r="J132" s="1">
        <v>131</v>
      </c>
      <c r="K132" s="1">
        <f t="shared" si="9"/>
        <v>0</v>
      </c>
      <c r="L132" s="1">
        <f t="shared" si="8"/>
        <v>0</v>
      </c>
    </row>
    <row r="133" spans="1:12">
      <c r="A133" s="1">
        <f t="shared" si="10"/>
        <v>132</v>
      </c>
      <c r="B133" s="1">
        <f>'[1]buses-marginal_price'!G133</f>
        <v>0</v>
      </c>
      <c r="C133" s="1">
        <f>'[1]buses-marginal_price'!H133</f>
        <v>0</v>
      </c>
      <c r="D133" s="1">
        <f>'[1]buses-marginal_price'!I133</f>
        <v>0</v>
      </c>
      <c r="E133" s="1">
        <f>'[1]buses-marginal_price'!J133</f>
        <v>0</v>
      </c>
      <c r="G133" s="1">
        <f>'[1]links-p0'!O133</f>
        <v>0</v>
      </c>
      <c r="H133" s="1">
        <f>'[1]links-p0'!P133</f>
        <v>0</v>
      </c>
      <c r="J133" s="1">
        <v>132</v>
      </c>
      <c r="K133" s="1">
        <f t="shared" si="9"/>
        <v>1</v>
      </c>
      <c r="L133" s="1">
        <f t="shared" si="8"/>
        <v>1</v>
      </c>
    </row>
    <row r="134" spans="1:12">
      <c r="A134" s="1">
        <f t="shared" si="10"/>
        <v>133</v>
      </c>
      <c r="B134" s="1">
        <f>'[1]buses-marginal_price'!G134</f>
        <v>0</v>
      </c>
      <c r="C134" s="1">
        <f>'[1]buses-marginal_price'!H134</f>
        <v>0</v>
      </c>
      <c r="D134" s="1">
        <f>'[1]buses-marginal_price'!I134</f>
        <v>0</v>
      </c>
      <c r="E134" s="1">
        <f>'[1]buses-marginal_price'!J134</f>
        <v>0</v>
      </c>
      <c r="G134" s="1">
        <f>'[1]links-p0'!O134</f>
        <v>0</v>
      </c>
      <c r="H134" s="1">
        <f>'[1]links-p0'!P134</f>
        <v>0</v>
      </c>
      <c r="J134" s="1">
        <v>133</v>
      </c>
      <c r="K134" s="1">
        <f t="shared" si="9"/>
        <v>1</v>
      </c>
      <c r="L134" s="1">
        <f t="shared" si="8"/>
        <v>1</v>
      </c>
    </row>
    <row r="135" spans="1:12">
      <c r="A135" s="1">
        <f t="shared" si="10"/>
        <v>134</v>
      </c>
      <c r="B135" s="1">
        <f>'[1]buses-marginal_price'!G135</f>
        <v>0</v>
      </c>
      <c r="C135" s="1">
        <f>'[1]buses-marginal_price'!H135</f>
        <v>0</v>
      </c>
      <c r="D135" s="1">
        <f>'[1]buses-marginal_price'!I135</f>
        <v>0</v>
      </c>
      <c r="E135" s="1">
        <f>'[1]buses-marginal_price'!J135</f>
        <v>0</v>
      </c>
      <c r="G135" s="1">
        <f>'[1]links-p0'!O135</f>
        <v>0</v>
      </c>
      <c r="H135" s="1">
        <f>'[1]links-p0'!P135</f>
        <v>0</v>
      </c>
      <c r="J135" s="1">
        <v>134</v>
      </c>
      <c r="K135" s="1">
        <f t="shared" si="9"/>
        <v>1</v>
      </c>
      <c r="L135" s="1">
        <f t="shared" si="8"/>
        <v>1</v>
      </c>
    </row>
    <row r="136" spans="1:12">
      <c r="A136" s="1">
        <f t="shared" si="10"/>
        <v>135</v>
      </c>
      <c r="B136" s="1">
        <f>'[1]buses-marginal_price'!G136</f>
        <v>0</v>
      </c>
      <c r="C136" s="1">
        <f>'[1]buses-marginal_price'!H136</f>
        <v>0</v>
      </c>
      <c r="D136" s="1">
        <f>'[1]buses-marginal_price'!I136</f>
        <v>0</v>
      </c>
      <c r="E136" s="1">
        <f>'[1]buses-marginal_price'!J136</f>
        <v>0</v>
      </c>
      <c r="G136" s="1">
        <f>'[1]links-p0'!O136</f>
        <v>0</v>
      </c>
      <c r="H136" s="1">
        <f>'[1]links-p0'!P136</f>
        <v>0</v>
      </c>
      <c r="J136" s="1">
        <v>135</v>
      </c>
      <c r="K136" s="1">
        <f t="shared" si="9"/>
        <v>1</v>
      </c>
      <c r="L136" s="1">
        <f t="shared" si="8"/>
        <v>1</v>
      </c>
    </row>
    <row r="137" spans="1:12">
      <c r="A137" s="1">
        <f t="shared" si="10"/>
        <v>136</v>
      </c>
      <c r="B137" s="1">
        <f>'[1]buses-marginal_price'!G137</f>
        <v>0</v>
      </c>
      <c r="C137" s="1">
        <f>'[1]buses-marginal_price'!H137</f>
        <v>0</v>
      </c>
      <c r="D137" s="1">
        <f>'[1]buses-marginal_price'!I137</f>
        <v>0</v>
      </c>
      <c r="E137" s="1">
        <f>'[1]buses-marginal_price'!J137</f>
        <v>0</v>
      </c>
      <c r="G137" s="1">
        <f>'[1]links-p0'!O137</f>
        <v>0</v>
      </c>
      <c r="H137" s="1">
        <f>'[1]links-p0'!P137</f>
        <v>0</v>
      </c>
      <c r="J137" s="1">
        <v>136</v>
      </c>
      <c r="K137" s="1">
        <f t="shared" si="9"/>
        <v>1</v>
      </c>
      <c r="L137" s="1">
        <f t="shared" si="8"/>
        <v>1</v>
      </c>
    </row>
    <row r="138" spans="1:12">
      <c r="A138" s="1">
        <f t="shared" si="10"/>
        <v>137</v>
      </c>
      <c r="B138" s="1">
        <f>'[1]buses-marginal_price'!G138</f>
        <v>0</v>
      </c>
      <c r="C138" s="1">
        <f>'[1]buses-marginal_price'!H138</f>
        <v>0.01</v>
      </c>
      <c r="D138" s="1">
        <f>'[1]buses-marginal_price'!I138</f>
        <v>0</v>
      </c>
      <c r="E138" s="1">
        <f>'[1]buses-marginal_price'!J138</f>
        <v>6.9999999999999993E-3</v>
      </c>
      <c r="G138" s="1">
        <f>'[1]links-p0'!O138</f>
        <v>0</v>
      </c>
      <c r="H138" s="1">
        <f>'[1]links-p0'!P138</f>
        <v>190.55267810506601</v>
      </c>
      <c r="J138" s="1">
        <v>137</v>
      </c>
      <c r="K138" s="1">
        <f t="shared" si="9"/>
        <v>0</v>
      </c>
      <c r="L138" s="1">
        <f t="shared" si="8"/>
        <v>0</v>
      </c>
    </row>
    <row r="139" spans="1:12">
      <c r="A139" s="1">
        <f t="shared" si="10"/>
        <v>138</v>
      </c>
      <c r="B139" s="1">
        <f>'[1]buses-marginal_price'!G139</f>
        <v>0</v>
      </c>
      <c r="C139" s="1">
        <f>'[1]buses-marginal_price'!H139</f>
        <v>0.1010714285714286</v>
      </c>
      <c r="D139" s="1">
        <f>'[1]buses-marginal_price'!I139</f>
        <v>0</v>
      </c>
      <c r="E139" s="1">
        <f>'[1]buses-marginal_price'!J139</f>
        <v>7.0749999999999993E-2</v>
      </c>
      <c r="G139" s="1">
        <f>'[1]links-p0'!O139</f>
        <v>0</v>
      </c>
      <c r="H139" s="1">
        <f>'[1]links-p0'!P139</f>
        <v>1072.4840086353249</v>
      </c>
      <c r="J139" s="1">
        <v>138</v>
      </c>
      <c r="K139" s="1">
        <f t="shared" si="9"/>
        <v>0</v>
      </c>
      <c r="L139" s="1">
        <f t="shared" si="8"/>
        <v>0</v>
      </c>
    </row>
    <row r="140" spans="1:12">
      <c r="A140" s="1">
        <f t="shared" si="10"/>
        <v>139</v>
      </c>
      <c r="B140" s="1">
        <f>'[1]buses-marginal_price'!G140</f>
        <v>0.1</v>
      </c>
      <c r="C140" s="1">
        <f>'[1]buses-marginal_price'!H140</f>
        <v>0.15285714285714291</v>
      </c>
      <c r="D140" s="1">
        <f>'[1]buses-marginal_price'!I140</f>
        <v>0.1</v>
      </c>
      <c r="E140" s="1">
        <f>'[1]buses-marginal_price'!J140</f>
        <v>0.107</v>
      </c>
      <c r="G140" s="1">
        <f>'[1]links-p0'!O140</f>
        <v>0</v>
      </c>
      <c r="H140" s="1">
        <f>'[1]links-p0'!P140</f>
        <v>1589.244153766527</v>
      </c>
      <c r="J140" s="1">
        <v>139</v>
      </c>
      <c r="K140" s="1">
        <f t="shared" si="9"/>
        <v>0</v>
      </c>
      <c r="L140" s="1">
        <f t="shared" si="8"/>
        <v>0</v>
      </c>
    </row>
    <row r="141" spans="1:12">
      <c r="A141" s="1">
        <f t="shared" si="10"/>
        <v>140</v>
      </c>
      <c r="B141" s="1">
        <f>'[1]buses-marginal_price'!G141</f>
        <v>0.1</v>
      </c>
      <c r="C141" s="1">
        <f>'[1]buses-marginal_price'!H141</f>
        <v>0.15285714285714291</v>
      </c>
      <c r="D141" s="1">
        <f>'[1]buses-marginal_price'!I141</f>
        <v>0.1</v>
      </c>
      <c r="E141" s="1">
        <f>'[1]buses-marginal_price'!J141</f>
        <v>0.107</v>
      </c>
      <c r="G141" s="1">
        <f>'[1]links-p0'!O141</f>
        <v>0</v>
      </c>
      <c r="H141" s="1">
        <f>'[1]links-p0'!P141</f>
        <v>1625.3922898820999</v>
      </c>
      <c r="J141" s="1">
        <v>140</v>
      </c>
      <c r="K141" s="1">
        <f t="shared" si="9"/>
        <v>0</v>
      </c>
      <c r="L141" s="1">
        <f t="shared" si="8"/>
        <v>0</v>
      </c>
    </row>
    <row r="142" spans="1:12">
      <c r="A142" s="1">
        <f t="shared" si="10"/>
        <v>141</v>
      </c>
      <c r="B142" s="1">
        <f>'[1]buses-marginal_price'!G142</f>
        <v>0.1</v>
      </c>
      <c r="C142" s="1">
        <f>'[1]buses-marginal_price'!H142</f>
        <v>0.1385714285714286</v>
      </c>
      <c r="D142" s="1">
        <f>'[1]buses-marginal_price'!I142</f>
        <v>0.1</v>
      </c>
      <c r="E142" s="1">
        <f>'[1]buses-marginal_price'!J142</f>
        <v>9.7000000000000003E-2</v>
      </c>
      <c r="G142" s="1">
        <f>'[1]links-p0'!O142</f>
        <v>2598.1047825406531</v>
      </c>
      <c r="H142" s="1">
        <f>'[1]links-p0'!P142</f>
        <v>1633.7577394395239</v>
      </c>
      <c r="J142" s="1">
        <v>141</v>
      </c>
      <c r="K142" s="1">
        <f t="shared" si="9"/>
        <v>0</v>
      </c>
      <c r="L142" s="1">
        <f t="shared" si="8"/>
        <v>0</v>
      </c>
    </row>
    <row r="143" spans="1:12">
      <c r="A143" s="1">
        <f t="shared" si="10"/>
        <v>142</v>
      </c>
      <c r="B143" s="1">
        <f>'[1]buses-marginal_price'!G143</f>
        <v>7.3749999999999996E-2</v>
      </c>
      <c r="C143" s="1">
        <f>'[1]buses-marginal_price'!H143</f>
        <v>0.1010714285714286</v>
      </c>
      <c r="D143" s="1">
        <f>'[1]buses-marginal_price'!I143</f>
        <v>7.3749999999999996E-2</v>
      </c>
      <c r="E143" s="1">
        <f>'[1]buses-marginal_price'!J143</f>
        <v>7.0749999999999993E-2</v>
      </c>
      <c r="G143" s="1">
        <f>'[1]links-p0'!O143</f>
        <v>3247.3767797898931</v>
      </c>
      <c r="H143" s="1">
        <f>'[1]links-p0'!P143</f>
        <v>1641.430162560167</v>
      </c>
      <c r="J143" s="1">
        <v>142</v>
      </c>
      <c r="K143" s="1">
        <f t="shared" si="9"/>
        <v>0</v>
      </c>
      <c r="L143" s="1">
        <f t="shared" si="8"/>
        <v>0</v>
      </c>
    </row>
    <row r="144" spans="1:12">
      <c r="A144" s="1">
        <f t="shared" si="10"/>
        <v>143</v>
      </c>
      <c r="B144" s="1">
        <f>'[1]buses-marginal_price'!G144</f>
        <v>7.3749999999999996E-2</v>
      </c>
      <c r="C144" s="1">
        <f>'[1]buses-marginal_price'!H144</f>
        <v>0.1010714285714286</v>
      </c>
      <c r="D144" s="1">
        <f>'[1]buses-marginal_price'!I144</f>
        <v>7.3749999999999996E-2</v>
      </c>
      <c r="E144" s="1">
        <f>'[1]buses-marginal_price'!J144</f>
        <v>7.0749999999999993E-2</v>
      </c>
      <c r="G144" s="1">
        <f>'[1]links-p0'!O144</f>
        <v>3433.1384724623522</v>
      </c>
      <c r="H144" s="1">
        <f>'[1]links-p0'!P144</f>
        <v>1636.9713206534459</v>
      </c>
      <c r="J144" s="1">
        <v>143</v>
      </c>
      <c r="K144" s="1">
        <f t="shared" si="9"/>
        <v>0</v>
      </c>
      <c r="L144" s="1">
        <f t="shared" si="8"/>
        <v>0</v>
      </c>
    </row>
    <row r="145" spans="1:12">
      <c r="A145" s="1">
        <f t="shared" si="10"/>
        <v>144</v>
      </c>
      <c r="B145" s="1">
        <f>'[1]buses-marginal_price'!G145</f>
        <v>0.02</v>
      </c>
      <c r="C145" s="1">
        <f>'[1]buses-marginal_price'!H145</f>
        <v>2.4285714285714289E-2</v>
      </c>
      <c r="D145" s="1">
        <f>'[1]buses-marginal_price'!I145</f>
        <v>0.02</v>
      </c>
      <c r="E145" s="1">
        <f>'[1]buses-marginal_price'!J145</f>
        <v>1.7000000000000001E-2</v>
      </c>
      <c r="G145" s="1">
        <f>'[1]links-p0'!O145</f>
        <v>3058.9369751988202</v>
      </c>
      <c r="H145" s="1">
        <f>'[1]links-p0'!P145</f>
        <v>1634.725766266238</v>
      </c>
      <c r="J145" s="1">
        <v>144</v>
      </c>
      <c r="K145" s="1">
        <f t="shared" si="9"/>
        <v>0</v>
      </c>
      <c r="L145" s="1">
        <f t="shared" si="8"/>
        <v>0</v>
      </c>
    </row>
    <row r="146" spans="1:12">
      <c r="A146" s="1">
        <f t="shared" si="10"/>
        <v>145</v>
      </c>
      <c r="B146" s="1">
        <f>'[1]buses-marginal_price'!G146</f>
        <v>0.01</v>
      </c>
      <c r="C146" s="1">
        <f>'[1]buses-marginal_price'!H146</f>
        <v>0.01</v>
      </c>
      <c r="D146" s="1">
        <f>'[1]buses-marginal_price'!I146</f>
        <v>0.01</v>
      </c>
      <c r="E146" s="1">
        <f>'[1]buses-marginal_price'!J146</f>
        <v>6.9999999999999993E-3</v>
      </c>
      <c r="G146" s="1">
        <f>'[1]links-p0'!O146</f>
        <v>2545.356198420503</v>
      </c>
      <c r="H146" s="1">
        <f>'[1]links-p0'!P146</f>
        <v>1667.979109265608</v>
      </c>
      <c r="J146" s="1">
        <v>145</v>
      </c>
      <c r="K146" s="1">
        <f t="shared" si="9"/>
        <v>1</v>
      </c>
      <c r="L146" s="1">
        <f t="shared" si="8"/>
        <v>0</v>
      </c>
    </row>
    <row r="147" spans="1:12">
      <c r="A147" s="1">
        <f t="shared" si="10"/>
        <v>146</v>
      </c>
      <c r="B147" s="1">
        <f>'[1]buses-marginal_price'!G147</f>
        <v>0.01</v>
      </c>
      <c r="C147" s="1">
        <f>'[1]buses-marginal_price'!H147</f>
        <v>0.01</v>
      </c>
      <c r="D147" s="1">
        <f>'[1]buses-marginal_price'!I147</f>
        <v>0.01</v>
      </c>
      <c r="E147" s="1">
        <f>'[1]buses-marginal_price'!J147</f>
        <v>6.9999999999999993E-3</v>
      </c>
      <c r="G147" s="1">
        <f>'[1]links-p0'!O147</f>
        <v>2150.064606762744</v>
      </c>
      <c r="H147" s="1">
        <f>'[1]links-p0'!P147</f>
        <v>1665.712763170279</v>
      </c>
      <c r="J147" s="1">
        <v>146</v>
      </c>
      <c r="K147" s="1">
        <f t="shared" si="9"/>
        <v>1</v>
      </c>
      <c r="L147" s="1">
        <f t="shared" si="8"/>
        <v>0</v>
      </c>
    </row>
    <row r="148" spans="1:12">
      <c r="A148" s="1">
        <f t="shared" si="10"/>
        <v>147</v>
      </c>
      <c r="B148" s="1">
        <f>'[1]buses-marginal_price'!G148</f>
        <v>0.01</v>
      </c>
      <c r="C148" s="1">
        <f>'[1]buses-marginal_price'!H148</f>
        <v>0.01</v>
      </c>
      <c r="D148" s="1">
        <f>'[1]buses-marginal_price'!I148</f>
        <v>0.01</v>
      </c>
      <c r="E148" s="1">
        <f>'[1]buses-marginal_price'!J148</f>
        <v>6.9999999999999993E-3</v>
      </c>
      <c r="G148" s="1">
        <f>'[1]links-p0'!O148</f>
        <v>1677.680873229137</v>
      </c>
      <c r="H148" s="1">
        <f>'[1]links-p0'!P148</f>
        <v>1663.8709855016441</v>
      </c>
      <c r="J148" s="1">
        <v>147</v>
      </c>
      <c r="K148" s="1">
        <f t="shared" si="9"/>
        <v>1</v>
      </c>
      <c r="L148" s="1">
        <f t="shared" si="8"/>
        <v>0</v>
      </c>
    </row>
    <row r="149" spans="1:12">
      <c r="A149" s="1">
        <f t="shared" si="10"/>
        <v>148</v>
      </c>
      <c r="B149" s="1">
        <f>'[1]buses-marginal_price'!G149</f>
        <v>0.01</v>
      </c>
      <c r="C149" s="1">
        <f>'[1]buses-marginal_price'!H149</f>
        <v>0.01</v>
      </c>
      <c r="D149" s="1">
        <f>'[1]buses-marginal_price'!I149</f>
        <v>0.01</v>
      </c>
      <c r="E149" s="1">
        <f>'[1]buses-marginal_price'!J149</f>
        <v>6.9999999999999993E-3</v>
      </c>
      <c r="G149" s="1">
        <f>'[1]links-p0'!O149</f>
        <v>1482.5299699126899</v>
      </c>
      <c r="H149" s="1">
        <f>'[1]links-p0'!P149</f>
        <v>1657.015698553796</v>
      </c>
      <c r="J149" s="1">
        <v>148</v>
      </c>
      <c r="K149" s="1">
        <f t="shared" si="9"/>
        <v>1</v>
      </c>
      <c r="L149" s="1">
        <f t="shared" si="8"/>
        <v>0</v>
      </c>
    </row>
    <row r="150" spans="1:12">
      <c r="A150" s="1">
        <f t="shared" si="10"/>
        <v>149</v>
      </c>
      <c r="B150" s="1">
        <f>'[1]buses-marginal_price'!G150</f>
        <v>0.01</v>
      </c>
      <c r="C150" s="1">
        <f>'[1]buses-marginal_price'!H150</f>
        <v>0.01</v>
      </c>
      <c r="D150" s="1">
        <f>'[1]buses-marginal_price'!I150</f>
        <v>0.01</v>
      </c>
      <c r="E150" s="1">
        <f>'[1]buses-marginal_price'!J150</f>
        <v>6.9999999999999993E-3</v>
      </c>
      <c r="G150" s="1">
        <f>'[1]links-p0'!O150</f>
        <v>1461.766876469022</v>
      </c>
      <c r="H150" s="1">
        <f>'[1]links-p0'!P150</f>
        <v>1659.7554958414839</v>
      </c>
      <c r="J150" s="1">
        <v>149</v>
      </c>
      <c r="K150" s="1">
        <f t="shared" si="9"/>
        <v>1</v>
      </c>
      <c r="L150" s="1">
        <f t="shared" si="8"/>
        <v>0</v>
      </c>
    </row>
    <row r="151" spans="1:12">
      <c r="A151" s="1">
        <f t="shared" si="10"/>
        <v>150</v>
      </c>
      <c r="B151" s="1">
        <f>'[1]buses-marginal_price'!G151</f>
        <v>0.01</v>
      </c>
      <c r="C151" s="1">
        <f>'[1]buses-marginal_price'!H151</f>
        <v>0.01</v>
      </c>
      <c r="D151" s="1">
        <f>'[1]buses-marginal_price'!I151</f>
        <v>0.01</v>
      </c>
      <c r="E151" s="1">
        <f>'[1]buses-marginal_price'!J151</f>
        <v>6.9999999999999993E-3</v>
      </c>
      <c r="G151" s="1">
        <f>'[1]links-p0'!O151</f>
        <v>1464.354544904814</v>
      </c>
      <c r="H151" s="1">
        <f>'[1]links-p0'!P151</f>
        <v>1655.07470796147</v>
      </c>
      <c r="J151" s="1">
        <v>150</v>
      </c>
      <c r="K151" s="1">
        <f t="shared" si="9"/>
        <v>1</v>
      </c>
      <c r="L151" s="1">
        <f t="shared" si="8"/>
        <v>0</v>
      </c>
    </row>
    <row r="152" spans="1:12">
      <c r="A152" s="1">
        <f t="shared" si="10"/>
        <v>151</v>
      </c>
      <c r="B152" s="1">
        <f>'[1]buses-marginal_price'!G152</f>
        <v>0.01</v>
      </c>
      <c r="C152" s="1">
        <f>'[1]buses-marginal_price'!H152</f>
        <v>0.01</v>
      </c>
      <c r="D152" s="1">
        <f>'[1]buses-marginal_price'!I152</f>
        <v>0.01</v>
      </c>
      <c r="E152" s="1">
        <f>'[1]buses-marginal_price'!J152</f>
        <v>6.9999999999999993E-3</v>
      </c>
      <c r="G152" s="1">
        <f>'[1]links-p0'!O152</f>
        <v>1467.7154069404619</v>
      </c>
      <c r="H152" s="1">
        <f>'[1]links-p0'!P152</f>
        <v>1647.121049849876</v>
      </c>
      <c r="J152" s="1">
        <v>151</v>
      </c>
      <c r="K152" s="1">
        <f t="shared" si="9"/>
        <v>1</v>
      </c>
      <c r="L152" s="1">
        <f t="shared" si="8"/>
        <v>0</v>
      </c>
    </row>
    <row r="153" spans="1:12">
      <c r="A153" s="1">
        <f t="shared" si="10"/>
        <v>152</v>
      </c>
      <c r="B153" s="1">
        <f>'[1]buses-marginal_price'!G153</f>
        <v>0.01</v>
      </c>
      <c r="C153" s="1">
        <f>'[1]buses-marginal_price'!H153</f>
        <v>0.01</v>
      </c>
      <c r="D153" s="1">
        <f>'[1]buses-marginal_price'!I153</f>
        <v>0.01</v>
      </c>
      <c r="E153" s="1">
        <f>'[1]buses-marginal_price'!J153</f>
        <v>6.9999999999999993E-3</v>
      </c>
      <c r="G153" s="1">
        <f>'[1]links-p0'!O153</f>
        <v>1351.814856225335</v>
      </c>
      <c r="H153" s="1">
        <f>'[1]links-p0'!P153</f>
        <v>1636.939659409345</v>
      </c>
      <c r="J153" s="1">
        <v>152</v>
      </c>
      <c r="K153" s="1">
        <f t="shared" si="9"/>
        <v>1</v>
      </c>
      <c r="L153" s="1">
        <f t="shared" si="8"/>
        <v>0</v>
      </c>
    </row>
    <row r="154" spans="1:12">
      <c r="A154" s="1">
        <f t="shared" si="10"/>
        <v>153</v>
      </c>
      <c r="B154" s="1">
        <f>'[1]buses-marginal_price'!G154</f>
        <v>0.01</v>
      </c>
      <c r="C154" s="1">
        <f>'[1]buses-marginal_price'!H154</f>
        <v>0.01</v>
      </c>
      <c r="D154" s="1">
        <f>'[1]buses-marginal_price'!I154</f>
        <v>0.01</v>
      </c>
      <c r="E154" s="1">
        <f>'[1]buses-marginal_price'!J154</f>
        <v>6.9999999999999993E-3</v>
      </c>
      <c r="G154" s="1">
        <f>'[1]links-p0'!O154</f>
        <v>1296.346428256154</v>
      </c>
      <c r="H154" s="1">
        <f>'[1]links-p0'!P154</f>
        <v>1626.4466470565719</v>
      </c>
      <c r="J154" s="1">
        <v>153</v>
      </c>
      <c r="K154" s="1">
        <f t="shared" si="9"/>
        <v>1</v>
      </c>
      <c r="L154" s="1">
        <f t="shared" si="8"/>
        <v>0</v>
      </c>
    </row>
    <row r="155" spans="1:12">
      <c r="A155" s="1">
        <f t="shared" si="10"/>
        <v>154</v>
      </c>
      <c r="B155" s="1">
        <f>'[1]buses-marginal_price'!G155</f>
        <v>0.01</v>
      </c>
      <c r="C155" s="1">
        <f>'[1]buses-marginal_price'!H155</f>
        <v>0.01</v>
      </c>
      <c r="D155" s="1">
        <f>'[1]buses-marginal_price'!I155</f>
        <v>0.01</v>
      </c>
      <c r="E155" s="1">
        <f>'[1]buses-marginal_price'!J155</f>
        <v>6.9999999999999993E-3</v>
      </c>
      <c r="G155" s="1">
        <f>'[1]links-p0'!O155</f>
        <v>28.688300289483522</v>
      </c>
      <c r="H155" s="1">
        <f>'[1]links-p0'!P155</f>
        <v>1505.3980899414009</v>
      </c>
      <c r="J155" s="1">
        <v>154</v>
      </c>
      <c r="K155" s="1">
        <f t="shared" si="9"/>
        <v>1</v>
      </c>
      <c r="L155" s="1">
        <f t="shared" si="8"/>
        <v>0</v>
      </c>
    </row>
    <row r="156" spans="1:12">
      <c r="A156" s="1">
        <f t="shared" si="10"/>
        <v>155</v>
      </c>
      <c r="B156" s="1">
        <f>'[1]buses-marginal_price'!G156</f>
        <v>0</v>
      </c>
      <c r="C156" s="1">
        <f>'[1]buses-marginal_price'!H156</f>
        <v>0.01</v>
      </c>
      <c r="D156" s="1">
        <f>'[1]buses-marginal_price'!I156</f>
        <v>0</v>
      </c>
      <c r="E156" s="1">
        <f>'[1]buses-marginal_price'!J156</f>
        <v>6.9999999999999993E-3</v>
      </c>
      <c r="G156" s="1">
        <f>'[1]links-p0'!O156</f>
        <v>0</v>
      </c>
      <c r="H156" s="1">
        <f>'[1]links-p0'!P156</f>
        <v>1254.781818696722</v>
      </c>
      <c r="J156" s="1">
        <v>155</v>
      </c>
      <c r="K156" s="1">
        <f t="shared" si="9"/>
        <v>0</v>
      </c>
      <c r="L156" s="1">
        <f t="shared" si="8"/>
        <v>0</v>
      </c>
    </row>
    <row r="157" spans="1:12">
      <c r="A157" s="1">
        <f t="shared" si="10"/>
        <v>156</v>
      </c>
      <c r="B157" s="1">
        <f>'[1]buses-marginal_price'!G157</f>
        <v>0</v>
      </c>
      <c r="C157" s="1">
        <f>'[1]buses-marginal_price'!H157</f>
        <v>0.01</v>
      </c>
      <c r="D157" s="1">
        <f>'[1]buses-marginal_price'!I157</f>
        <v>0</v>
      </c>
      <c r="E157" s="1">
        <f>'[1]buses-marginal_price'!J157</f>
        <v>6.9999999999999993E-3</v>
      </c>
      <c r="G157" s="1">
        <f>'[1]links-p0'!O157</f>
        <v>0</v>
      </c>
      <c r="H157" s="1">
        <f>'[1]links-p0'!P157</f>
        <v>743.87632529817984</v>
      </c>
      <c r="J157" s="1">
        <v>156</v>
      </c>
      <c r="K157" s="1">
        <f t="shared" si="9"/>
        <v>0</v>
      </c>
      <c r="L157" s="1">
        <f t="shared" si="8"/>
        <v>0</v>
      </c>
    </row>
    <row r="158" spans="1:12">
      <c r="A158" s="1">
        <f t="shared" si="10"/>
        <v>157</v>
      </c>
      <c r="B158" s="1">
        <f>'[1]buses-marginal_price'!G158</f>
        <v>0</v>
      </c>
      <c r="C158" s="1">
        <f>'[1]buses-marginal_price'!H158</f>
        <v>0.01</v>
      </c>
      <c r="D158" s="1">
        <f>'[1]buses-marginal_price'!I158</f>
        <v>0</v>
      </c>
      <c r="E158" s="1">
        <f>'[1]buses-marginal_price'!J158</f>
        <v>6.9999999999999993E-3</v>
      </c>
      <c r="G158" s="1">
        <f>'[1]links-p0'!O158</f>
        <v>0</v>
      </c>
      <c r="H158" s="1">
        <f>'[1]links-p0'!P158</f>
        <v>90.716761192090416</v>
      </c>
      <c r="J158" s="1">
        <v>157</v>
      </c>
      <c r="K158" s="1">
        <f t="shared" si="9"/>
        <v>0</v>
      </c>
      <c r="L158" s="1">
        <f t="shared" si="8"/>
        <v>0</v>
      </c>
    </row>
    <row r="159" spans="1:12">
      <c r="A159" s="1">
        <f t="shared" si="10"/>
        <v>158</v>
      </c>
      <c r="B159" s="1">
        <f>'[1]buses-marginal_price'!G159</f>
        <v>0</v>
      </c>
      <c r="C159" s="1">
        <f>'[1]buses-marginal_price'!H159</f>
        <v>0</v>
      </c>
      <c r="D159" s="1">
        <f>'[1]buses-marginal_price'!I159</f>
        <v>0</v>
      </c>
      <c r="E159" s="1">
        <f>'[1]buses-marginal_price'!J159</f>
        <v>0</v>
      </c>
      <c r="G159" s="1">
        <f>'[1]links-p0'!O159</f>
        <v>0</v>
      </c>
      <c r="H159" s="1">
        <f>'[1]links-p0'!P159</f>
        <v>0</v>
      </c>
      <c r="J159" s="1">
        <v>158</v>
      </c>
      <c r="K159" s="1">
        <f t="shared" si="9"/>
        <v>1</v>
      </c>
      <c r="L159" s="1">
        <f t="shared" si="8"/>
        <v>1</v>
      </c>
    </row>
    <row r="160" spans="1:12">
      <c r="A160" s="1">
        <f t="shared" si="10"/>
        <v>159</v>
      </c>
      <c r="B160" s="1">
        <f>'[1]buses-marginal_price'!G160</f>
        <v>0</v>
      </c>
      <c r="C160" s="1">
        <f>'[1]buses-marginal_price'!H160</f>
        <v>0</v>
      </c>
      <c r="D160" s="1">
        <f>'[1]buses-marginal_price'!I160</f>
        <v>0</v>
      </c>
      <c r="E160" s="1">
        <f>'[1]buses-marginal_price'!J160</f>
        <v>0</v>
      </c>
      <c r="G160" s="1">
        <f>'[1]links-p0'!O160</f>
        <v>0</v>
      </c>
      <c r="H160" s="1">
        <f>'[1]links-p0'!P160</f>
        <v>0</v>
      </c>
      <c r="J160" s="1">
        <v>159</v>
      </c>
      <c r="K160" s="1">
        <f t="shared" si="9"/>
        <v>1</v>
      </c>
      <c r="L160" s="1">
        <f t="shared" si="8"/>
        <v>1</v>
      </c>
    </row>
    <row r="161" spans="1:12">
      <c r="A161" s="1">
        <f t="shared" si="10"/>
        <v>160</v>
      </c>
      <c r="B161" s="1">
        <f>'[1]buses-marginal_price'!G161</f>
        <v>0</v>
      </c>
      <c r="C161" s="1">
        <f>'[1]buses-marginal_price'!H161</f>
        <v>0</v>
      </c>
      <c r="D161" s="1">
        <f>'[1]buses-marginal_price'!I161</f>
        <v>0</v>
      </c>
      <c r="E161" s="1">
        <f>'[1]buses-marginal_price'!J161</f>
        <v>0</v>
      </c>
      <c r="G161" s="1">
        <f>'[1]links-p0'!O161</f>
        <v>0</v>
      </c>
      <c r="H161" s="1">
        <f>'[1]links-p0'!P161</f>
        <v>0</v>
      </c>
      <c r="J161" s="1">
        <v>160</v>
      </c>
      <c r="K161" s="1">
        <f t="shared" si="9"/>
        <v>1</v>
      </c>
      <c r="L161" s="1">
        <f t="shared" si="8"/>
        <v>1</v>
      </c>
    </row>
    <row r="162" spans="1:12">
      <c r="A162" s="1">
        <f t="shared" si="10"/>
        <v>161</v>
      </c>
      <c r="B162" s="1">
        <f>'[1]buses-marginal_price'!G162</f>
        <v>0</v>
      </c>
      <c r="C162" s="1">
        <f>'[1]buses-marginal_price'!H162</f>
        <v>0.01</v>
      </c>
      <c r="D162" s="1">
        <f>'[1]buses-marginal_price'!I162</f>
        <v>0</v>
      </c>
      <c r="E162" s="1">
        <f>'[1]buses-marginal_price'!J162</f>
        <v>6.9999999999999993E-3</v>
      </c>
      <c r="G162" s="1">
        <f>'[1]links-p0'!O162</f>
        <v>0</v>
      </c>
      <c r="H162" s="1">
        <f>'[1]links-p0'!P162</f>
        <v>122.0870330916275</v>
      </c>
      <c r="J162" s="1">
        <v>161</v>
      </c>
      <c r="K162" s="1">
        <f t="shared" si="9"/>
        <v>0</v>
      </c>
      <c r="L162" s="1">
        <f t="shared" ref="L162:L169" si="11">IF(B162=E162,1,)</f>
        <v>0</v>
      </c>
    </row>
    <row r="163" spans="1:12">
      <c r="A163" s="1">
        <f t="shared" si="10"/>
        <v>162</v>
      </c>
      <c r="B163" s="1">
        <f>'[1]buses-marginal_price'!G163</f>
        <v>0</v>
      </c>
      <c r="C163" s="1">
        <f>'[1]buses-marginal_price'!H163</f>
        <v>0.01</v>
      </c>
      <c r="D163" s="1">
        <f>'[1]buses-marginal_price'!I163</f>
        <v>0</v>
      </c>
      <c r="E163" s="1">
        <f>'[1]buses-marginal_price'!J163</f>
        <v>6.9999999999999993E-3</v>
      </c>
      <c r="G163" s="1">
        <f>'[1]links-p0'!O163</f>
        <v>0</v>
      </c>
      <c r="H163" s="1">
        <f>'[1]links-p0'!P163</f>
        <v>821.33293376574227</v>
      </c>
      <c r="J163" s="1">
        <v>162</v>
      </c>
      <c r="K163" s="1">
        <f t="shared" si="9"/>
        <v>0</v>
      </c>
      <c r="L163" s="1">
        <f t="shared" si="11"/>
        <v>0</v>
      </c>
    </row>
    <row r="164" spans="1:12">
      <c r="A164" s="1">
        <f t="shared" si="10"/>
        <v>163</v>
      </c>
      <c r="B164" s="1">
        <f>'[1]buses-marginal_price'!G164</f>
        <v>0.01</v>
      </c>
      <c r="C164" s="1">
        <f>'[1]buses-marginal_price'!H164</f>
        <v>0.01</v>
      </c>
      <c r="D164" s="1">
        <f>'[1]buses-marginal_price'!I164</f>
        <v>0.01</v>
      </c>
      <c r="E164" s="1">
        <f>'[1]buses-marginal_price'!J164</f>
        <v>6.9999999999999993E-3</v>
      </c>
      <c r="G164" s="1">
        <f>'[1]links-p0'!O164</f>
        <v>2245.5112031473091</v>
      </c>
      <c r="H164" s="1">
        <f>'[1]links-p0'!P164</f>
        <v>1484.5460386383629</v>
      </c>
      <c r="J164" s="1">
        <v>163</v>
      </c>
      <c r="K164" s="1">
        <f t="shared" si="9"/>
        <v>1</v>
      </c>
      <c r="L164" s="1">
        <f t="shared" si="11"/>
        <v>0</v>
      </c>
    </row>
    <row r="165" spans="1:12">
      <c r="A165" s="1">
        <f t="shared" si="10"/>
        <v>164</v>
      </c>
      <c r="B165" s="1">
        <f>'[1]buses-marginal_price'!G165</f>
        <v>0.01</v>
      </c>
      <c r="C165" s="1">
        <f>'[1]buses-marginal_price'!H165</f>
        <v>0.01</v>
      </c>
      <c r="D165" s="1">
        <f>'[1]buses-marginal_price'!I165</f>
        <v>0.01</v>
      </c>
      <c r="E165" s="1">
        <f>'[1]buses-marginal_price'!J165</f>
        <v>6.9999999999999993E-3</v>
      </c>
      <c r="G165" s="1">
        <f>'[1]links-p0'!O165</f>
        <v>2909.7410841655742</v>
      </c>
      <c r="H165" s="1">
        <f>'[1]links-p0'!P165</f>
        <v>1521.3077621354171</v>
      </c>
      <c r="J165" s="1">
        <v>164</v>
      </c>
      <c r="K165" s="1">
        <f t="shared" si="9"/>
        <v>1</v>
      </c>
      <c r="L165" s="1">
        <f t="shared" si="11"/>
        <v>0</v>
      </c>
    </row>
    <row r="166" spans="1:12">
      <c r="A166" s="1">
        <f t="shared" si="10"/>
        <v>165</v>
      </c>
      <c r="B166" s="1">
        <f>'[1]buses-marginal_price'!G166</f>
        <v>0.01</v>
      </c>
      <c r="C166" s="1">
        <f>'[1]buses-marginal_price'!H166</f>
        <v>0.01</v>
      </c>
      <c r="D166" s="1">
        <f>'[1]buses-marginal_price'!I166</f>
        <v>0.01</v>
      </c>
      <c r="E166" s="1">
        <f>'[1]buses-marginal_price'!J166</f>
        <v>6.9999999999999993E-3</v>
      </c>
      <c r="G166" s="1">
        <f>'[1]links-p0'!O166</f>
        <v>2658.9827254990701</v>
      </c>
      <c r="H166" s="1">
        <f>'[1]links-p0'!P166</f>
        <v>1507.44391437941</v>
      </c>
      <c r="J166" s="1">
        <v>165</v>
      </c>
      <c r="K166" s="1">
        <f t="shared" si="9"/>
        <v>1</v>
      </c>
      <c r="L166" s="1">
        <f t="shared" si="11"/>
        <v>0</v>
      </c>
    </row>
    <row r="167" spans="1:12">
      <c r="A167" s="1">
        <f t="shared" si="10"/>
        <v>166</v>
      </c>
      <c r="B167" s="1">
        <f>'[1]buses-marginal_price'!G167</f>
        <v>0.01</v>
      </c>
      <c r="C167" s="1">
        <f>'[1]buses-marginal_price'!H167</f>
        <v>0.01</v>
      </c>
      <c r="D167" s="1">
        <f>'[1]buses-marginal_price'!I167</f>
        <v>0.01</v>
      </c>
      <c r="E167" s="1">
        <f>'[1]buses-marginal_price'!J167</f>
        <v>6.9999999999999993E-3</v>
      </c>
      <c r="G167" s="1">
        <f>'[1]links-p0'!O167</f>
        <v>2441.4239437455249</v>
      </c>
      <c r="H167" s="1">
        <f>'[1]links-p0'!P167</f>
        <v>1535.6782346512921</v>
      </c>
      <c r="J167" s="1">
        <v>166</v>
      </c>
      <c r="K167" s="1">
        <f t="shared" si="9"/>
        <v>1</v>
      </c>
      <c r="L167" s="1">
        <f t="shared" si="11"/>
        <v>0</v>
      </c>
    </row>
    <row r="168" spans="1:12">
      <c r="A168" s="1">
        <f t="shared" si="10"/>
        <v>167</v>
      </c>
      <c r="B168" s="1">
        <f>'[1]buses-marginal_price'!G168</f>
        <v>0.01</v>
      </c>
      <c r="C168" s="1">
        <f>'[1]buses-marginal_price'!H168</f>
        <v>0.01</v>
      </c>
      <c r="D168" s="1">
        <f>'[1]buses-marginal_price'!I168</f>
        <v>0.01</v>
      </c>
      <c r="E168" s="1">
        <f>'[1]buses-marginal_price'!J168</f>
        <v>6.9999999999999993E-3</v>
      </c>
      <c r="G168" s="1">
        <f>'[1]links-p0'!O168</f>
        <v>2618.349137195185</v>
      </c>
      <c r="H168" s="1">
        <f>'[1]links-p0'!P168</f>
        <v>1531.3522117898101</v>
      </c>
      <c r="J168" s="1">
        <v>167</v>
      </c>
      <c r="K168" s="1">
        <f t="shared" si="9"/>
        <v>1</v>
      </c>
      <c r="L168" s="1">
        <f t="shared" si="11"/>
        <v>0</v>
      </c>
    </row>
    <row r="169" spans="1:12">
      <c r="A169" s="1">
        <f t="shared" si="10"/>
        <v>168</v>
      </c>
      <c r="B169" s="1">
        <f>'[1]buses-marginal_price'!G169</f>
        <v>0.01</v>
      </c>
      <c r="C169" s="1">
        <f>'[1]buses-marginal_price'!H169</f>
        <v>0.01</v>
      </c>
      <c r="D169" s="1">
        <f>'[1]buses-marginal_price'!I169</f>
        <v>0.01</v>
      </c>
      <c r="E169" s="1">
        <f>'[1]buses-marginal_price'!J169</f>
        <v>6.9999999999999993E-3</v>
      </c>
      <c r="G169" s="1">
        <f>'[1]links-p0'!O169</f>
        <v>2092.2035287465542</v>
      </c>
      <c r="H169" s="1">
        <f>'[1]links-p0'!P169</f>
        <v>1502.982947135052</v>
      </c>
      <c r="J169" s="1">
        <v>168</v>
      </c>
      <c r="K169" s="1">
        <f t="shared" si="9"/>
        <v>1</v>
      </c>
      <c r="L169" s="1">
        <f t="shared" si="11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GuideSheet</vt:lpstr>
      <vt:lpstr>Para Comparar SRES</vt:lpstr>
      <vt:lpstr>Mode.1busSRES</vt:lpstr>
      <vt:lpstr>Mode.2busSRES</vt:lpstr>
      <vt:lpstr>Utilizacion de Interconexiones</vt:lpstr>
      <vt:lpstr>Precios ES</vt:lpstr>
      <vt:lpstr>Precios 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Batres Fernandez, Ana</dc:creator>
  <cp:lastModifiedBy>Batres Fernandez, Ana</cp:lastModifiedBy>
  <dcterms:created xsi:type="dcterms:W3CDTF">2026-03-25T10:01:59Z</dcterms:created>
  <dcterms:modified xsi:type="dcterms:W3CDTF">2026-03-27T09:05:07Z</dcterms:modified>
</cp:coreProperties>
</file>