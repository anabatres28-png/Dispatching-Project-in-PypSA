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hojas_de_datos\"/>
    </mc:Choice>
  </mc:AlternateContent>
  <xr:revisionPtr revIDLastSave="0" documentId="13_ncr:1_{242DE310-1E28-4EA8-9E55-87EE2C1ED53D}" xr6:coauthVersionLast="47" xr6:coauthVersionMax="47" xr10:uidLastSave="{00000000-0000-0000-0000-000000000000}"/>
  <bookViews>
    <workbookView xWindow="28690" yWindow="-110" windowWidth="29020" windowHeight="15700" activeTab="1" xr2:uid="{C31BDA35-E5F6-4CBA-8EA8-6D33A4CBE005}"/>
  </bookViews>
  <sheets>
    <sheet name="generadores" sheetId="1" r:id="rId1"/>
    <sheet name="interconexiones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" i="2" l="1"/>
  <c r="AF7" i="2" s="1"/>
  <c r="AF8" i="2" s="1"/>
  <c r="AF9" i="2" s="1"/>
  <c r="AF10" i="2" s="1"/>
  <c r="AF11" i="2" s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AF38" i="2" s="1"/>
  <c r="AF39" i="2" s="1"/>
  <c r="AF40" i="2" s="1"/>
  <c r="AF41" i="2" s="1"/>
  <c r="AF42" i="2" s="1"/>
  <c r="AF43" i="2" s="1"/>
  <c r="AF44" i="2" s="1"/>
  <c r="AF45" i="2" s="1"/>
  <c r="AF46" i="2" s="1"/>
  <c r="AF47" i="2" s="1"/>
  <c r="AF48" i="2" s="1"/>
  <c r="AF49" i="2" s="1"/>
  <c r="AF50" i="2" s="1"/>
  <c r="AF51" i="2" s="1"/>
  <c r="AF52" i="2" s="1"/>
  <c r="AF53" i="2" s="1"/>
  <c r="AF54" i="2" s="1"/>
  <c r="AF55" i="2" s="1"/>
  <c r="AF56" i="2" s="1"/>
  <c r="AF57" i="2" s="1"/>
  <c r="AF58" i="2" s="1"/>
  <c r="AF59" i="2" s="1"/>
  <c r="AF60" i="2" s="1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F83" i="2" s="1"/>
  <c r="AF84" i="2" s="1"/>
  <c r="AF85" i="2" s="1"/>
  <c r="AF86" i="2" s="1"/>
  <c r="AF87" i="2" s="1"/>
  <c r="AF88" i="2" s="1"/>
  <c r="AF89" i="2" s="1"/>
  <c r="AF90" i="2" s="1"/>
  <c r="AF91" i="2" s="1"/>
  <c r="AF92" i="2" s="1"/>
  <c r="AF93" i="2" s="1"/>
  <c r="AF94" i="2" s="1"/>
  <c r="AF95" i="2" s="1"/>
  <c r="AF96" i="2" s="1"/>
  <c r="AF97" i="2" s="1"/>
  <c r="AF98" i="2" s="1"/>
  <c r="AF99" i="2" s="1"/>
  <c r="AF100" i="2" s="1"/>
  <c r="AF101" i="2" s="1"/>
  <c r="AF102" i="2" s="1"/>
  <c r="AF103" i="2" s="1"/>
  <c r="AF104" i="2" s="1"/>
  <c r="AF105" i="2" s="1"/>
  <c r="AF106" i="2" s="1"/>
  <c r="AF107" i="2" s="1"/>
  <c r="AF108" i="2" s="1"/>
  <c r="AF109" i="2" s="1"/>
  <c r="AF110" i="2" s="1"/>
  <c r="AF111" i="2" s="1"/>
  <c r="AF112" i="2" s="1"/>
  <c r="AF113" i="2" s="1"/>
  <c r="AF114" i="2" s="1"/>
  <c r="AF115" i="2" s="1"/>
  <c r="AF116" i="2" s="1"/>
  <c r="AF117" i="2" s="1"/>
  <c r="AF118" i="2" s="1"/>
  <c r="AF119" i="2" s="1"/>
  <c r="AF120" i="2" s="1"/>
  <c r="AF121" i="2" s="1"/>
  <c r="AF122" i="2" s="1"/>
  <c r="AF123" i="2" s="1"/>
  <c r="AF124" i="2" s="1"/>
  <c r="AF125" i="2" s="1"/>
  <c r="AF126" i="2" s="1"/>
  <c r="AF127" i="2" s="1"/>
  <c r="AF128" i="2" s="1"/>
  <c r="AF129" i="2" s="1"/>
  <c r="AF130" i="2" s="1"/>
  <c r="AF131" i="2" s="1"/>
  <c r="AF132" i="2" s="1"/>
  <c r="AF133" i="2" s="1"/>
  <c r="AF134" i="2" s="1"/>
  <c r="AF135" i="2" s="1"/>
  <c r="AF136" i="2" s="1"/>
  <c r="AF137" i="2" s="1"/>
  <c r="AF138" i="2" s="1"/>
  <c r="AF139" i="2" s="1"/>
  <c r="AF140" i="2" s="1"/>
  <c r="AF141" i="2" s="1"/>
  <c r="AF142" i="2" s="1"/>
  <c r="AF143" i="2" s="1"/>
  <c r="AF144" i="2" s="1"/>
  <c r="AF145" i="2" s="1"/>
  <c r="AF146" i="2" s="1"/>
  <c r="AF147" i="2" s="1"/>
  <c r="AF148" i="2" s="1"/>
  <c r="AF149" i="2" s="1"/>
  <c r="AF150" i="2" s="1"/>
  <c r="AF151" i="2" s="1"/>
  <c r="AF152" i="2" s="1"/>
  <c r="AF153" i="2" s="1"/>
  <c r="AF154" i="2" s="1"/>
  <c r="AF155" i="2" s="1"/>
  <c r="AF156" i="2" s="1"/>
  <c r="AF157" i="2" s="1"/>
  <c r="AF158" i="2" s="1"/>
  <c r="AF159" i="2" s="1"/>
  <c r="AF160" i="2" s="1"/>
  <c r="AF161" i="2" s="1"/>
  <c r="AF162" i="2" s="1"/>
  <c r="AF163" i="2" s="1"/>
  <c r="AF164" i="2" s="1"/>
  <c r="AF165" i="2" s="1"/>
  <c r="AF166" i="2" s="1"/>
  <c r="AF167" i="2" s="1"/>
  <c r="AF168" i="2" s="1"/>
  <c r="AF169" i="2" s="1"/>
  <c r="AF170" i="2" s="1"/>
  <c r="AF171" i="2" s="1"/>
  <c r="AF172" i="2" s="1"/>
  <c r="AF173" i="2" s="1"/>
  <c r="AH3" i="2"/>
  <c r="AG3" i="2"/>
  <c r="AH4" i="2" s="1"/>
  <c r="Z6" i="2"/>
  <c r="Z7" i="2" s="1"/>
  <c r="Z8" i="2" s="1"/>
  <c r="Z9" i="2" s="1"/>
  <c r="Z10" i="2" s="1"/>
  <c r="Z11" i="2" s="1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Z38" i="2" s="1"/>
  <c r="Z39" i="2" s="1"/>
  <c r="Z40" i="2" s="1"/>
  <c r="Z41" i="2" s="1"/>
  <c r="Z42" i="2" s="1"/>
  <c r="Z43" i="2" s="1"/>
  <c r="Z44" i="2" s="1"/>
  <c r="Z45" i="2" s="1"/>
  <c r="Z46" i="2" s="1"/>
  <c r="Z47" i="2" s="1"/>
  <c r="Z48" i="2" s="1"/>
  <c r="Z49" i="2" s="1"/>
  <c r="Z50" i="2" s="1"/>
  <c r="Z51" i="2" s="1"/>
  <c r="Z52" i="2" s="1"/>
  <c r="Z53" i="2" s="1"/>
  <c r="Z54" i="2" s="1"/>
  <c r="Z55" i="2" s="1"/>
  <c r="Z56" i="2" s="1"/>
  <c r="Z57" i="2" s="1"/>
  <c r="Z58" i="2" s="1"/>
  <c r="Z59" i="2" s="1"/>
  <c r="Z60" i="2" s="1"/>
  <c r="Z61" i="2" s="1"/>
  <c r="Z62" i="2" s="1"/>
  <c r="Z63" i="2" s="1"/>
  <c r="Z64" i="2" s="1"/>
  <c r="Z65" i="2" s="1"/>
  <c r="Z66" i="2" s="1"/>
  <c r="Z67" i="2" s="1"/>
  <c r="Z68" i="2" s="1"/>
  <c r="Z69" i="2" s="1"/>
  <c r="Z70" i="2" s="1"/>
  <c r="Z71" i="2" s="1"/>
  <c r="Z72" i="2" s="1"/>
  <c r="Z73" i="2" s="1"/>
  <c r="Z74" i="2" s="1"/>
  <c r="Z75" i="2" s="1"/>
  <c r="Z76" i="2" s="1"/>
  <c r="Z77" i="2" s="1"/>
  <c r="Z78" i="2" s="1"/>
  <c r="Z79" i="2" s="1"/>
  <c r="Z80" i="2" s="1"/>
  <c r="Z81" i="2" s="1"/>
  <c r="Z82" i="2" s="1"/>
  <c r="Z83" i="2" s="1"/>
  <c r="Z84" i="2" s="1"/>
  <c r="Z85" i="2" s="1"/>
  <c r="Z86" i="2" s="1"/>
  <c r="Z87" i="2" s="1"/>
  <c r="Z88" i="2" s="1"/>
  <c r="Z89" i="2" s="1"/>
  <c r="Z90" i="2" s="1"/>
  <c r="Z91" i="2" s="1"/>
  <c r="Z92" i="2" s="1"/>
  <c r="Z93" i="2" s="1"/>
  <c r="Z94" i="2" s="1"/>
  <c r="Z95" i="2" s="1"/>
  <c r="Z96" i="2" s="1"/>
  <c r="Z97" i="2" s="1"/>
  <c r="Z98" i="2" s="1"/>
  <c r="Z99" i="2" s="1"/>
  <c r="Z100" i="2" s="1"/>
  <c r="Z101" i="2" s="1"/>
  <c r="Z102" i="2" s="1"/>
  <c r="Z103" i="2" s="1"/>
  <c r="Z104" i="2" s="1"/>
  <c r="Z105" i="2" s="1"/>
  <c r="Z106" i="2" s="1"/>
  <c r="Z107" i="2" s="1"/>
  <c r="Z108" i="2" s="1"/>
  <c r="Z109" i="2" s="1"/>
  <c r="Z110" i="2" s="1"/>
  <c r="Z111" i="2" s="1"/>
  <c r="Z112" i="2" s="1"/>
  <c r="Z113" i="2" s="1"/>
  <c r="Z114" i="2" s="1"/>
  <c r="Z115" i="2" s="1"/>
  <c r="Z116" i="2" s="1"/>
  <c r="Z117" i="2" s="1"/>
  <c r="Z118" i="2" s="1"/>
  <c r="Z119" i="2" s="1"/>
  <c r="Z120" i="2" s="1"/>
  <c r="Z121" i="2" s="1"/>
  <c r="Z122" i="2" s="1"/>
  <c r="Z123" i="2" s="1"/>
  <c r="Z124" i="2" s="1"/>
  <c r="Z125" i="2" s="1"/>
  <c r="Z126" i="2" s="1"/>
  <c r="Z127" i="2" s="1"/>
  <c r="Z128" i="2" s="1"/>
  <c r="Z129" i="2" s="1"/>
  <c r="Z130" i="2" s="1"/>
  <c r="Z131" i="2" s="1"/>
  <c r="Z132" i="2" s="1"/>
  <c r="Z133" i="2" s="1"/>
  <c r="Z134" i="2" s="1"/>
  <c r="Z135" i="2" s="1"/>
  <c r="Z136" i="2" s="1"/>
  <c r="Z137" i="2" s="1"/>
  <c r="Z138" i="2" s="1"/>
  <c r="Z139" i="2" s="1"/>
  <c r="Z140" i="2" s="1"/>
  <c r="Z141" i="2" s="1"/>
  <c r="Z142" i="2" s="1"/>
  <c r="Z143" i="2" s="1"/>
  <c r="Z144" i="2" s="1"/>
  <c r="Z145" i="2" s="1"/>
  <c r="Z146" i="2" s="1"/>
  <c r="Z147" i="2" s="1"/>
  <c r="Z148" i="2" s="1"/>
  <c r="Z149" i="2" s="1"/>
  <c r="Z150" i="2" s="1"/>
  <c r="Z151" i="2" s="1"/>
  <c r="Z152" i="2" s="1"/>
  <c r="Z153" i="2" s="1"/>
  <c r="Z154" i="2" s="1"/>
  <c r="Z155" i="2" s="1"/>
  <c r="Z156" i="2" s="1"/>
  <c r="Z157" i="2" s="1"/>
  <c r="Z158" i="2" s="1"/>
  <c r="Z159" i="2" s="1"/>
  <c r="Z160" i="2" s="1"/>
  <c r="Z161" i="2" s="1"/>
  <c r="Z162" i="2" s="1"/>
  <c r="Z163" i="2" s="1"/>
  <c r="Z164" i="2" s="1"/>
  <c r="Z165" i="2" s="1"/>
  <c r="Z166" i="2" s="1"/>
  <c r="Z167" i="2" s="1"/>
  <c r="Z168" i="2" s="1"/>
  <c r="Z169" i="2" s="1"/>
  <c r="Z170" i="2" s="1"/>
  <c r="Z171" i="2" s="1"/>
  <c r="Z172" i="2" s="1"/>
  <c r="Z173" i="2" s="1"/>
  <c r="AB3" i="2"/>
  <c r="AA3" i="2"/>
  <c r="AB4" i="2" s="1"/>
  <c r="T6" i="2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T93" i="2" s="1"/>
  <c r="T94" i="2" s="1"/>
  <c r="T95" i="2" s="1"/>
  <c r="T96" i="2" s="1"/>
  <c r="T97" i="2" s="1"/>
  <c r="T98" i="2" s="1"/>
  <c r="T99" i="2" s="1"/>
  <c r="T100" i="2" s="1"/>
  <c r="T101" i="2" s="1"/>
  <c r="T102" i="2" s="1"/>
  <c r="T103" i="2" s="1"/>
  <c r="T104" i="2" s="1"/>
  <c r="T105" i="2" s="1"/>
  <c r="T106" i="2" s="1"/>
  <c r="T107" i="2" s="1"/>
  <c r="T108" i="2" s="1"/>
  <c r="T109" i="2" s="1"/>
  <c r="T110" i="2" s="1"/>
  <c r="T111" i="2" s="1"/>
  <c r="T112" i="2" s="1"/>
  <c r="T113" i="2" s="1"/>
  <c r="T114" i="2" s="1"/>
  <c r="T115" i="2" s="1"/>
  <c r="T116" i="2" s="1"/>
  <c r="T117" i="2" s="1"/>
  <c r="T118" i="2" s="1"/>
  <c r="T119" i="2" s="1"/>
  <c r="T120" i="2" s="1"/>
  <c r="T121" i="2" s="1"/>
  <c r="T122" i="2" s="1"/>
  <c r="T123" i="2" s="1"/>
  <c r="T124" i="2" s="1"/>
  <c r="T125" i="2" s="1"/>
  <c r="T126" i="2" s="1"/>
  <c r="T127" i="2" s="1"/>
  <c r="T128" i="2" s="1"/>
  <c r="T129" i="2" s="1"/>
  <c r="T130" i="2" s="1"/>
  <c r="T131" i="2" s="1"/>
  <c r="T132" i="2" s="1"/>
  <c r="T133" i="2" s="1"/>
  <c r="T134" i="2" s="1"/>
  <c r="T135" i="2" s="1"/>
  <c r="T136" i="2" s="1"/>
  <c r="T137" i="2" s="1"/>
  <c r="T138" i="2" s="1"/>
  <c r="T139" i="2" s="1"/>
  <c r="T140" i="2" s="1"/>
  <c r="T141" i="2" s="1"/>
  <c r="T142" i="2" s="1"/>
  <c r="T143" i="2" s="1"/>
  <c r="T144" i="2" s="1"/>
  <c r="T145" i="2" s="1"/>
  <c r="T146" i="2" s="1"/>
  <c r="T147" i="2" s="1"/>
  <c r="T148" i="2" s="1"/>
  <c r="T149" i="2" s="1"/>
  <c r="T150" i="2" s="1"/>
  <c r="T151" i="2" s="1"/>
  <c r="T152" i="2" s="1"/>
  <c r="T153" i="2" s="1"/>
  <c r="T154" i="2" s="1"/>
  <c r="T155" i="2" s="1"/>
  <c r="T156" i="2" s="1"/>
  <c r="T157" i="2" s="1"/>
  <c r="T158" i="2" s="1"/>
  <c r="T159" i="2" s="1"/>
  <c r="T160" i="2" s="1"/>
  <c r="T161" i="2" s="1"/>
  <c r="T162" i="2" s="1"/>
  <c r="T163" i="2" s="1"/>
  <c r="T164" i="2" s="1"/>
  <c r="T165" i="2" s="1"/>
  <c r="T166" i="2" s="1"/>
  <c r="T167" i="2" s="1"/>
  <c r="T168" i="2" s="1"/>
  <c r="T169" i="2" s="1"/>
  <c r="T170" i="2" s="1"/>
  <c r="T171" i="2" s="1"/>
  <c r="T172" i="2" s="1"/>
  <c r="T173" i="2" s="1"/>
  <c r="V3" i="2"/>
  <c r="U3" i="2"/>
  <c r="N6" i="2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P3" i="2"/>
  <c r="O3" i="2"/>
  <c r="H6" i="2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J3" i="2"/>
  <c r="I3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D3" i="2"/>
  <c r="C3" i="2"/>
  <c r="V4" i="2" l="1"/>
  <c r="P4" i="2"/>
  <c r="J4" i="2"/>
  <c r="D4" i="2"/>
  <c r="AB7" i="1" l="1"/>
  <c r="AB8" i="1"/>
  <c r="AB3" i="1" s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6" i="1"/>
  <c r="Z6" i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6" i="1"/>
  <c r="T6" i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6" i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6" i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6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I3" i="1" l="1"/>
  <c r="J4" i="1" s="1"/>
  <c r="AA3" i="1"/>
  <c r="AB4" i="1" s="1"/>
  <c r="D3" i="1"/>
  <c r="C3" i="1"/>
  <c r="D4" i="1" s="1"/>
  <c r="V3" i="1"/>
  <c r="J3" i="1"/>
  <c r="U3" i="1"/>
  <c r="V4" i="1" s="1"/>
  <c r="O3" i="1"/>
  <c r="P3" i="1"/>
  <c r="P4" i="1" l="1"/>
</calcChain>
</file>

<file path=xl/sharedStrings.xml><?xml version="1.0" encoding="utf-8"?>
<sst xmlns="http://schemas.openxmlformats.org/spreadsheetml/2006/main" count="100" uniqueCount="23">
  <si>
    <t>SENSIBILIDADES</t>
  </si>
  <si>
    <t>Modelo Implementado Original PyPSA</t>
  </si>
  <si>
    <t>Sensibilidad 2 (MAh2)</t>
  </si>
  <si>
    <t>Sensibilidad 1 (e-liquids)</t>
  </si>
  <si>
    <t>hora</t>
  </si>
  <si>
    <t>Sensibilidad 3 (Ammonia)</t>
  </si>
  <si>
    <t>Suma</t>
  </si>
  <si>
    <t>Diferencia Sensibilidades</t>
  </si>
  <si>
    <t xml:space="preserve"> </t>
  </si>
  <si>
    <t>CCGT Portugal</t>
  </si>
  <si>
    <t>CCGT España</t>
  </si>
  <si>
    <t>Electrolizadores del Mercado Eléctrico España</t>
  </si>
  <si>
    <t>BarMar</t>
  </si>
  <si>
    <t>BarMar Francia España</t>
  </si>
  <si>
    <t>Sensibilidad 1 (MAh2)</t>
  </si>
  <si>
    <t>Sensibilidad 2 (E-Liquids)</t>
  </si>
  <si>
    <t>Modelo Implementado PyPSA</t>
  </si>
  <si>
    <t>Interconexión Electricidad. España - Francia</t>
  </si>
  <si>
    <t>Interconexión Electricidad. España - Portugal</t>
  </si>
  <si>
    <t>Interconexión Hidrógeno. España - Portugal</t>
  </si>
  <si>
    <t>Interconexión Hidrógeno. España - Marruecos</t>
  </si>
  <si>
    <t>Interconexión Hidrógeno. España - Francia BarMar</t>
  </si>
  <si>
    <t>Interconexión Hidrógeno. España - Francia Irun Larrao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</si>
</sst>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1" xfId="0" applyFont="1" applyFill="1" applyBorder="1"/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CCGT España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1000803869573307E-2"/>
          <c:y val="0.11817581299920647"/>
          <c:w val="0.93590308834407454"/>
          <c:h val="0.7266938304058429"/>
        </c:manualLayout>
      </c:layout>
      <c:lineChart>
        <c:grouping val="standard"/>
        <c:varyColors val="0"/>
        <c:ser>
          <c:idx val="0"/>
          <c:order val="0"/>
          <c:tx>
            <c:strRef>
              <c:f>generadores!$C$5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generadores!$C$6:$C$173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7393.0362460000006</c:v>
                </c:pt>
                <c:pt idx="20">
                  <c:v>0</c:v>
                </c:pt>
                <c:pt idx="21">
                  <c:v>5310.8740303196801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23.8054476937541</c:v>
                </c:pt>
                <c:pt idx="26">
                  <c:v>0</c:v>
                </c:pt>
                <c:pt idx="27">
                  <c:v>1318.224664636007</c:v>
                </c:pt>
                <c:pt idx="28">
                  <c:v>2466.58847162861</c:v>
                </c:pt>
                <c:pt idx="29">
                  <c:v>0</c:v>
                </c:pt>
                <c:pt idx="30">
                  <c:v>0</c:v>
                </c:pt>
                <c:pt idx="31">
                  <c:v>7393.0362460000006</c:v>
                </c:pt>
                <c:pt idx="32">
                  <c:v>7393.0362460000006</c:v>
                </c:pt>
                <c:pt idx="33">
                  <c:v>5016.2266945292731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5678.6944982671339</c:v>
                </c:pt>
                <c:pt idx="42">
                  <c:v>7393.0362460000006</c:v>
                </c:pt>
                <c:pt idx="43">
                  <c:v>7393.0362460000006</c:v>
                </c:pt>
                <c:pt idx="44">
                  <c:v>5672.7637368986434</c:v>
                </c:pt>
                <c:pt idx="45">
                  <c:v>7393.0362460000006</c:v>
                </c:pt>
                <c:pt idx="46">
                  <c:v>0</c:v>
                </c:pt>
                <c:pt idx="47">
                  <c:v>7393.0362460000006</c:v>
                </c:pt>
                <c:pt idx="48">
                  <c:v>0</c:v>
                </c:pt>
                <c:pt idx="49">
                  <c:v>1794.4878264444681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3289.3851161205121</c:v>
                </c:pt>
                <c:pt idx="54">
                  <c:v>3009.297076312449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2942.3893763679939</c:v>
                </c:pt>
                <c:pt idx="65">
                  <c:v>7393.0362460000006</c:v>
                </c:pt>
                <c:pt idx="66">
                  <c:v>7393.0362460000006</c:v>
                </c:pt>
                <c:pt idx="67">
                  <c:v>7393.0362460000006</c:v>
                </c:pt>
                <c:pt idx="68">
                  <c:v>7393.0362460000006</c:v>
                </c:pt>
                <c:pt idx="69">
                  <c:v>7393.0362460000006</c:v>
                </c:pt>
                <c:pt idx="70">
                  <c:v>7393.0362460000006</c:v>
                </c:pt>
                <c:pt idx="71">
                  <c:v>6759.0505896273926</c:v>
                </c:pt>
                <c:pt idx="72">
                  <c:v>6650.2267580152466</c:v>
                </c:pt>
                <c:pt idx="73">
                  <c:v>5220.4776055740349</c:v>
                </c:pt>
                <c:pt idx="74">
                  <c:v>5430.3541265130307</c:v>
                </c:pt>
                <c:pt idx="75">
                  <c:v>5676.3923851289173</c:v>
                </c:pt>
                <c:pt idx="76">
                  <c:v>5865.9963389753493</c:v>
                </c:pt>
                <c:pt idx="77">
                  <c:v>5397.4107600215348</c:v>
                </c:pt>
                <c:pt idx="78">
                  <c:v>7246.4316305743541</c:v>
                </c:pt>
                <c:pt idx="79">
                  <c:v>7393.0362460000006</c:v>
                </c:pt>
                <c:pt idx="80">
                  <c:v>7393.0362460000006</c:v>
                </c:pt>
                <c:pt idx="81">
                  <c:v>7393.0362460000006</c:v>
                </c:pt>
                <c:pt idx="82">
                  <c:v>2087.056823099947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3813.4572474568122</c:v>
                </c:pt>
                <c:pt idx="91">
                  <c:v>0</c:v>
                </c:pt>
                <c:pt idx="92">
                  <c:v>0</c:v>
                </c:pt>
                <c:pt idx="93">
                  <c:v>1262.7237098667561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9-42A6-A428-7D831C06E17B}"/>
            </c:ext>
          </c:extLst>
        </c:ser>
        <c:ser>
          <c:idx val="1"/>
          <c:order val="1"/>
          <c:tx>
            <c:strRef>
              <c:f>generadores!$D$5</c:f>
              <c:strCache>
                <c:ptCount val="1"/>
                <c:pt idx="0">
                  <c:v>Sensibilidad 1 (e-liquids)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generadores!$D$6:$D$173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7393.0362460000006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7393.0362460000006</c:v>
                </c:pt>
                <c:pt idx="31">
                  <c:v>0</c:v>
                </c:pt>
                <c:pt idx="32">
                  <c:v>6413.413956685733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1242.216936284537</c:v>
                </c:pt>
                <c:pt idx="42">
                  <c:v>7393.0362460000006</c:v>
                </c:pt>
                <c:pt idx="43">
                  <c:v>0</c:v>
                </c:pt>
                <c:pt idx="44">
                  <c:v>5208.7679978004944</c:v>
                </c:pt>
                <c:pt idx="45">
                  <c:v>0</c:v>
                </c:pt>
                <c:pt idx="46">
                  <c:v>4649.7920475747223</c:v>
                </c:pt>
                <c:pt idx="47">
                  <c:v>0</c:v>
                </c:pt>
                <c:pt idx="48">
                  <c:v>0</c:v>
                </c:pt>
                <c:pt idx="49">
                  <c:v>1571.1356118602371</c:v>
                </c:pt>
                <c:pt idx="50">
                  <c:v>0</c:v>
                </c:pt>
                <c:pt idx="51">
                  <c:v>20.87734847624824</c:v>
                </c:pt>
                <c:pt idx="52">
                  <c:v>1800.955608197736</c:v>
                </c:pt>
                <c:pt idx="53">
                  <c:v>0</c:v>
                </c:pt>
                <c:pt idx="54">
                  <c:v>1900.34207631245</c:v>
                </c:pt>
                <c:pt idx="55">
                  <c:v>7393.0362460000006</c:v>
                </c:pt>
                <c:pt idx="56">
                  <c:v>7393.0362460000006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2502.6149038947592</c:v>
                </c:pt>
                <c:pt idx="65">
                  <c:v>7393.0362460000006</c:v>
                </c:pt>
                <c:pt idx="66">
                  <c:v>7393.0362460000006</c:v>
                </c:pt>
                <c:pt idx="67">
                  <c:v>7393.0362460000006</c:v>
                </c:pt>
                <c:pt idx="68">
                  <c:v>7393.0362460000006</c:v>
                </c:pt>
                <c:pt idx="69">
                  <c:v>7393.0362460000006</c:v>
                </c:pt>
                <c:pt idx="70">
                  <c:v>7393.0362460000006</c:v>
                </c:pt>
                <c:pt idx="71">
                  <c:v>6263.4044401606589</c:v>
                </c:pt>
                <c:pt idx="72">
                  <c:v>6087.2136061742895</c:v>
                </c:pt>
                <c:pt idx="73">
                  <c:v>4695.490992050336</c:v>
                </c:pt>
                <c:pt idx="74">
                  <c:v>4809.8089417532419</c:v>
                </c:pt>
                <c:pt idx="75">
                  <c:v>4888.7727608202349</c:v>
                </c:pt>
                <c:pt idx="76">
                  <c:v>4887.0387757483022</c:v>
                </c:pt>
                <c:pt idx="77">
                  <c:v>4480.9527600215342</c:v>
                </c:pt>
                <c:pt idx="78">
                  <c:v>6330.0526305743524</c:v>
                </c:pt>
                <c:pt idx="79">
                  <c:v>7393.0362460000006</c:v>
                </c:pt>
                <c:pt idx="80">
                  <c:v>7393.0362460000006</c:v>
                </c:pt>
                <c:pt idx="81">
                  <c:v>7393.0362460000006</c:v>
                </c:pt>
                <c:pt idx="82">
                  <c:v>822.48923309994825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39-42A6-A428-7D831C06E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CCGT Portugal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generadores!$I$5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generadores!$I$6:$I$173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1533.83664</c:v>
                </c:pt>
                <c:pt idx="67">
                  <c:v>1533.83664</c:v>
                </c:pt>
                <c:pt idx="68">
                  <c:v>0</c:v>
                </c:pt>
                <c:pt idx="69">
                  <c:v>1533.83664</c:v>
                </c:pt>
                <c:pt idx="70">
                  <c:v>1533.83664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1142.132674460202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B-4B0C-B677-F9ED19F0A9F7}"/>
            </c:ext>
          </c:extLst>
        </c:ser>
        <c:ser>
          <c:idx val="1"/>
          <c:order val="1"/>
          <c:tx>
            <c:strRef>
              <c:f>generadores!$J$5</c:f>
              <c:strCache>
                <c:ptCount val="1"/>
                <c:pt idx="0">
                  <c:v>Sensibilidad 1 (e-liquids)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generadores!$J$6:$J$173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710.61312262711999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EB-4B0C-B677-F9ED19F0A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Electrolizadores del Mercado Eléctrico España</a:t>
            </a:r>
          </a:p>
        </c:rich>
      </c:tx>
      <c:layout>
        <c:manualLayout>
          <c:xMode val="edge"/>
          <c:yMode val="edge"/>
          <c:x val="0.31640345361434241"/>
          <c:y val="2.2303329292475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generadores!$O$5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generadores!$O$6:$O$173</c:f>
              <c:numCache>
                <c:formatCode>0</c:formatCode>
                <c:ptCount val="168"/>
                <c:pt idx="0">
                  <c:v>6785.4027407111562</c:v>
                </c:pt>
                <c:pt idx="1">
                  <c:v>6366.4650136270202</c:v>
                </c:pt>
                <c:pt idx="2">
                  <c:v>6341.2955787583433</c:v>
                </c:pt>
                <c:pt idx="3">
                  <c:v>6274.6525793444844</c:v>
                </c:pt>
                <c:pt idx="4">
                  <c:v>6084.7461725868798</c:v>
                </c:pt>
                <c:pt idx="5">
                  <c:v>6358.0422368737054</c:v>
                </c:pt>
                <c:pt idx="6">
                  <c:v>7126.2950505817244</c:v>
                </c:pt>
                <c:pt idx="7">
                  <c:v>8772.9290393802476</c:v>
                </c:pt>
                <c:pt idx="8">
                  <c:v>10120.589174304991</c:v>
                </c:pt>
                <c:pt idx="9">
                  <c:v>7021.303890156003</c:v>
                </c:pt>
                <c:pt idx="10">
                  <c:v>3514.4331817208358</c:v>
                </c:pt>
                <c:pt idx="11">
                  <c:v>1370.4002872536439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315.49870002063562</c:v>
                </c:pt>
                <c:pt idx="16">
                  <c:v>2547.976973557752</c:v>
                </c:pt>
                <c:pt idx="17">
                  <c:v>5327.3502140538212</c:v>
                </c:pt>
                <c:pt idx="18">
                  <c:v>5502.1599542446756</c:v>
                </c:pt>
                <c:pt idx="19">
                  <c:v>3302.1702073848719</c:v>
                </c:pt>
                <c:pt idx="20">
                  <c:v>978.43555563731115</c:v>
                </c:pt>
                <c:pt idx="21">
                  <c:v>0</c:v>
                </c:pt>
                <c:pt idx="22">
                  <c:v>0</c:v>
                </c:pt>
                <c:pt idx="23">
                  <c:v>1670.9002970448009</c:v>
                </c:pt>
                <c:pt idx="24">
                  <c:v>3624.9270449704341</c:v>
                </c:pt>
                <c:pt idx="25">
                  <c:v>5970.2820177304866</c:v>
                </c:pt>
                <c:pt idx="26">
                  <c:v>6727.4673270496023</c:v>
                </c:pt>
                <c:pt idx="27">
                  <c:v>5072.1928169279236</c:v>
                </c:pt>
                <c:pt idx="28">
                  <c:v>3402.982559650341</c:v>
                </c:pt>
                <c:pt idx="29">
                  <c:v>1909.9393044545261</c:v>
                </c:pt>
                <c:pt idx="30">
                  <c:v>2472.3227279018688</c:v>
                </c:pt>
                <c:pt idx="31">
                  <c:v>5134.45383489497</c:v>
                </c:pt>
                <c:pt idx="32">
                  <c:v>7159.5224504592697</c:v>
                </c:pt>
                <c:pt idx="33">
                  <c:v>6151.5099931124851</c:v>
                </c:pt>
                <c:pt idx="34">
                  <c:v>4567.9528952392484</c:v>
                </c:pt>
                <c:pt idx="35">
                  <c:v>2492.5209062888889</c:v>
                </c:pt>
                <c:pt idx="36">
                  <c:v>1348.6797540190939</c:v>
                </c:pt>
                <c:pt idx="37">
                  <c:v>199.5253113537938</c:v>
                </c:pt>
                <c:pt idx="38">
                  <c:v>34.222521106276872</c:v>
                </c:pt>
                <c:pt idx="39">
                  <c:v>990.98884595426352</c:v>
                </c:pt>
                <c:pt idx="40">
                  <c:v>2346.7689343282482</c:v>
                </c:pt>
                <c:pt idx="41">
                  <c:v>4244.7222943282477</c:v>
                </c:pt>
                <c:pt idx="42">
                  <c:v>2999.7236600585002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1372.847746091544</c:v>
                </c:pt>
                <c:pt idx="56">
                  <c:v>3510.4375327939961</c:v>
                </c:pt>
                <c:pt idx="57">
                  <c:v>2496.9082219199781</c:v>
                </c:pt>
                <c:pt idx="58">
                  <c:v>1789.236803464235</c:v>
                </c:pt>
                <c:pt idx="59">
                  <c:v>1379.7670406408761</c:v>
                </c:pt>
                <c:pt idx="60">
                  <c:v>1791.211925223289</c:v>
                </c:pt>
                <c:pt idx="61">
                  <c:v>1516.0978713487871</c:v>
                </c:pt>
                <c:pt idx="62">
                  <c:v>1232.405736801265</c:v>
                </c:pt>
                <c:pt idx="63">
                  <c:v>691.069835733236</c:v>
                </c:pt>
                <c:pt idx="64">
                  <c:v>1083.3118257332339</c:v>
                </c:pt>
                <c:pt idx="65">
                  <c:v>3747.940885733236</c:v>
                </c:pt>
                <c:pt idx="66">
                  <c:v>2854.128833945997</c:v>
                </c:pt>
                <c:pt idx="67">
                  <c:v>594.02759639287183</c:v>
                </c:pt>
                <c:pt idx="68">
                  <c:v>762.84536145986203</c:v>
                </c:pt>
                <c:pt idx="69">
                  <c:v>778.89977304797003</c:v>
                </c:pt>
                <c:pt idx="70">
                  <c:v>638.82501451228234</c:v>
                </c:pt>
                <c:pt idx="71">
                  <c:v>644.57307311593411</c:v>
                </c:pt>
                <c:pt idx="72">
                  <c:v>589.20318888015731</c:v>
                </c:pt>
                <c:pt idx="73">
                  <c:v>504.27192056289891</c:v>
                </c:pt>
                <c:pt idx="74">
                  <c:v>448.48689179898872</c:v>
                </c:pt>
                <c:pt idx="75">
                  <c:v>395.12408134788211</c:v>
                </c:pt>
                <c:pt idx="76">
                  <c:v>293.45459302624732</c:v>
                </c:pt>
                <c:pt idx="77">
                  <c:v>0</c:v>
                </c:pt>
                <c:pt idx="78">
                  <c:v>0</c:v>
                </c:pt>
                <c:pt idx="79">
                  <c:v>1921.627147610506</c:v>
                </c:pt>
                <c:pt idx="80">
                  <c:v>3714.2505096549962</c:v>
                </c:pt>
                <c:pt idx="81">
                  <c:v>3291.016944833807</c:v>
                </c:pt>
                <c:pt idx="82">
                  <c:v>3045.3617805196259</c:v>
                </c:pt>
                <c:pt idx="83">
                  <c:v>2101.5944279292648</c:v>
                </c:pt>
                <c:pt idx="84">
                  <c:v>1746.9002679686839</c:v>
                </c:pt>
                <c:pt idx="85">
                  <c:v>1399.9666904541839</c:v>
                </c:pt>
                <c:pt idx="86">
                  <c:v>972.567631517466</c:v>
                </c:pt>
                <c:pt idx="87">
                  <c:v>1739.7804424754891</c:v>
                </c:pt>
                <c:pt idx="88">
                  <c:v>3616.99006834802</c:v>
                </c:pt>
                <c:pt idx="89">
                  <c:v>6422.260227479951</c:v>
                </c:pt>
                <c:pt idx="90">
                  <c:v>7177.476421438897</c:v>
                </c:pt>
                <c:pt idx="91">
                  <c:v>6002.9588242353111</c:v>
                </c:pt>
                <c:pt idx="92">
                  <c:v>5032.9218922137125</c:v>
                </c:pt>
                <c:pt idx="93">
                  <c:v>4122.5434800920721</c:v>
                </c:pt>
                <c:pt idx="94">
                  <c:v>3967.085309722504</c:v>
                </c:pt>
                <c:pt idx="95">
                  <c:v>3970.659950617709</c:v>
                </c:pt>
                <c:pt idx="96">
                  <c:v>3527.04072083251</c:v>
                </c:pt>
                <c:pt idx="97">
                  <c:v>4171.6690726606766</c:v>
                </c:pt>
                <c:pt idx="98">
                  <c:v>4657.203389948987</c:v>
                </c:pt>
                <c:pt idx="99">
                  <c:v>4326.8705219647272</c:v>
                </c:pt>
                <c:pt idx="100">
                  <c:v>2723.810339690805</c:v>
                </c:pt>
                <c:pt idx="101">
                  <c:v>1546.9096921091691</c:v>
                </c:pt>
                <c:pt idx="102">
                  <c:v>1297.445877816823</c:v>
                </c:pt>
                <c:pt idx="103">
                  <c:v>1087.6868667645581</c:v>
                </c:pt>
                <c:pt idx="104">
                  <c:v>582.70826630422653</c:v>
                </c:pt>
                <c:pt idx="105">
                  <c:v>0</c:v>
                </c:pt>
                <c:pt idx="106">
                  <c:v>6555.5531973387842</c:v>
                </c:pt>
                <c:pt idx="107">
                  <c:v>15500</c:v>
                </c:pt>
                <c:pt idx="108">
                  <c:v>15500</c:v>
                </c:pt>
                <c:pt idx="109">
                  <c:v>15500</c:v>
                </c:pt>
                <c:pt idx="110">
                  <c:v>15500</c:v>
                </c:pt>
                <c:pt idx="111">
                  <c:v>15500</c:v>
                </c:pt>
                <c:pt idx="112">
                  <c:v>11227.84991862234</c:v>
                </c:pt>
                <c:pt idx="113">
                  <c:v>0</c:v>
                </c:pt>
                <c:pt idx="114">
                  <c:v>1560.7037990598419</c:v>
                </c:pt>
                <c:pt idx="115">
                  <c:v>2396.5780931974441</c:v>
                </c:pt>
                <c:pt idx="116">
                  <c:v>2740.8327184520658</c:v>
                </c:pt>
                <c:pt idx="117">
                  <c:v>3044.6501874354981</c:v>
                </c:pt>
                <c:pt idx="118">
                  <c:v>2823.4564555706052</c:v>
                </c:pt>
                <c:pt idx="119">
                  <c:v>3115.5006577697432</c:v>
                </c:pt>
                <c:pt idx="120">
                  <c:v>3629.7231171351782</c:v>
                </c:pt>
                <c:pt idx="121">
                  <c:v>4591.3200185817032</c:v>
                </c:pt>
                <c:pt idx="122">
                  <c:v>4650.5539488312752</c:v>
                </c:pt>
                <c:pt idx="123">
                  <c:v>5176.4342042282187</c:v>
                </c:pt>
                <c:pt idx="124">
                  <c:v>5418.9190743744657</c:v>
                </c:pt>
                <c:pt idx="125">
                  <c:v>4912.7150568478592</c:v>
                </c:pt>
                <c:pt idx="126">
                  <c:v>5965.2245044851588</c:v>
                </c:pt>
                <c:pt idx="127">
                  <c:v>6043.0788673494199</c:v>
                </c:pt>
                <c:pt idx="128">
                  <c:v>6420.8146875452912</c:v>
                </c:pt>
                <c:pt idx="129">
                  <c:v>3584.5172660873541</c:v>
                </c:pt>
                <c:pt idx="130">
                  <c:v>252.9098493212505</c:v>
                </c:pt>
                <c:pt idx="131">
                  <c:v>15500</c:v>
                </c:pt>
                <c:pt idx="132">
                  <c:v>15500</c:v>
                </c:pt>
                <c:pt idx="133">
                  <c:v>8438.536985361714</c:v>
                </c:pt>
                <c:pt idx="134">
                  <c:v>10174.71750979693</c:v>
                </c:pt>
                <c:pt idx="135">
                  <c:v>10428.793555777829</c:v>
                </c:pt>
                <c:pt idx="136">
                  <c:v>5193.1354912878314</c:v>
                </c:pt>
                <c:pt idx="137">
                  <c:v>4413.2273480790354</c:v>
                </c:pt>
                <c:pt idx="138">
                  <c:v>7018.0135170063058</c:v>
                </c:pt>
                <c:pt idx="139">
                  <c:v>5374.1689915073039</c:v>
                </c:pt>
                <c:pt idx="140">
                  <c:v>4600.351362206542</c:v>
                </c:pt>
                <c:pt idx="141">
                  <c:v>3425.577750940723</c:v>
                </c:pt>
                <c:pt idx="142">
                  <c:v>1915.7297194649</c:v>
                </c:pt>
                <c:pt idx="143">
                  <c:v>1468.3213323941179</c:v>
                </c:pt>
                <c:pt idx="144">
                  <c:v>3362.6236046072322</c:v>
                </c:pt>
                <c:pt idx="145">
                  <c:v>393.80198966719848</c:v>
                </c:pt>
                <c:pt idx="146">
                  <c:v>96.819119847198635</c:v>
                </c:pt>
                <c:pt idx="147">
                  <c:v>2576.271360336712</c:v>
                </c:pt>
                <c:pt idx="148">
                  <c:v>5629.0510374801597</c:v>
                </c:pt>
                <c:pt idx="149">
                  <c:v>1285.2338532699459</c:v>
                </c:pt>
                <c:pt idx="150">
                  <c:v>10684.19128187563</c:v>
                </c:pt>
                <c:pt idx="151">
                  <c:v>2372.7993132699439</c:v>
                </c:pt>
                <c:pt idx="152">
                  <c:v>10621.82406445995</c:v>
                </c:pt>
                <c:pt idx="153">
                  <c:v>10564.536484219951</c:v>
                </c:pt>
                <c:pt idx="154">
                  <c:v>5850.0582122833684</c:v>
                </c:pt>
                <c:pt idx="155">
                  <c:v>10807.72393832665</c:v>
                </c:pt>
                <c:pt idx="156">
                  <c:v>13300.488026511361</c:v>
                </c:pt>
                <c:pt idx="157">
                  <c:v>15500</c:v>
                </c:pt>
                <c:pt idx="158">
                  <c:v>15500</c:v>
                </c:pt>
                <c:pt idx="159">
                  <c:v>15500</c:v>
                </c:pt>
                <c:pt idx="160">
                  <c:v>10444.655515089949</c:v>
                </c:pt>
                <c:pt idx="161">
                  <c:v>8125.1209619103956</c:v>
                </c:pt>
                <c:pt idx="162">
                  <c:v>10427.143683105631</c:v>
                </c:pt>
                <c:pt idx="163">
                  <c:v>1306.7168932699431</c:v>
                </c:pt>
                <c:pt idx="164">
                  <c:v>10383.87862895425</c:v>
                </c:pt>
                <c:pt idx="165">
                  <c:v>2160.59556348857</c:v>
                </c:pt>
                <c:pt idx="166">
                  <c:v>10245.4012997972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0-4B2D-9F90-10A0B9B38C8D}"/>
            </c:ext>
          </c:extLst>
        </c:ser>
        <c:ser>
          <c:idx val="1"/>
          <c:order val="1"/>
          <c:tx>
            <c:strRef>
              <c:f>generadores!$P$5</c:f>
              <c:strCache>
                <c:ptCount val="1"/>
                <c:pt idx="0">
                  <c:v>Sensibilidad 1 (e-liquids)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generadores!$P$6:$P$173</c:f>
              <c:numCache>
                <c:formatCode>0</c:formatCode>
                <c:ptCount val="168"/>
                <c:pt idx="0">
                  <c:v>4051.1987557111529</c:v>
                </c:pt>
                <c:pt idx="1">
                  <c:v>3607.320028627018</c:v>
                </c:pt>
                <c:pt idx="2">
                  <c:v>3522.6065937583421</c:v>
                </c:pt>
                <c:pt idx="3">
                  <c:v>3367.4275943444832</c:v>
                </c:pt>
                <c:pt idx="4">
                  <c:v>3016.667187586881</c:v>
                </c:pt>
                <c:pt idx="5">
                  <c:v>3113.0002518737051</c:v>
                </c:pt>
                <c:pt idx="6">
                  <c:v>3816.7990655817221</c:v>
                </c:pt>
                <c:pt idx="7">
                  <c:v>5471.0270543802471</c:v>
                </c:pt>
                <c:pt idx="8">
                  <c:v>6895.0061893049879</c:v>
                </c:pt>
                <c:pt idx="9">
                  <c:v>3874.1149051560028</c:v>
                </c:pt>
                <c:pt idx="10">
                  <c:v>439.05419672083548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2004.8906690438221</c:v>
                </c:pt>
                <c:pt idx="18">
                  <c:v>3226.4076528946762</c:v>
                </c:pt>
                <c:pt idx="19">
                  <c:v>2074.301149704871</c:v>
                </c:pt>
                <c:pt idx="20">
                  <c:v>841.13974161731153</c:v>
                </c:pt>
                <c:pt idx="21">
                  <c:v>0</c:v>
                </c:pt>
                <c:pt idx="22">
                  <c:v>65.754834468461922</c:v>
                </c:pt>
                <c:pt idx="23">
                  <c:v>885.55060199480158</c:v>
                </c:pt>
                <c:pt idx="24">
                  <c:v>1757.765614980435</c:v>
                </c:pt>
                <c:pt idx="25">
                  <c:v>3035.9365877404889</c:v>
                </c:pt>
                <c:pt idx="26">
                  <c:v>3551.7060045096032</c:v>
                </c:pt>
                <c:pt idx="27">
                  <c:v>2860.7414943879239</c:v>
                </c:pt>
                <c:pt idx="28">
                  <c:v>2098.5429934603399</c:v>
                </c:pt>
                <c:pt idx="29">
                  <c:v>1441.7762509345259</c:v>
                </c:pt>
                <c:pt idx="30">
                  <c:v>1953.87867765187</c:v>
                </c:pt>
                <c:pt idx="31">
                  <c:v>3589.5085409849721</c:v>
                </c:pt>
                <c:pt idx="32">
                  <c:v>4648.5451565492722</c:v>
                </c:pt>
                <c:pt idx="33">
                  <c:v>2665.8846992024851</c:v>
                </c:pt>
                <c:pt idx="34">
                  <c:v>1513.8839102392481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815.64255532824995</c:v>
                </c:pt>
                <c:pt idx="41">
                  <c:v>2779.792505328247</c:v>
                </c:pt>
                <c:pt idx="42">
                  <c:v>2578.9551147185002</c:v>
                </c:pt>
                <c:pt idx="43">
                  <c:v>620.29532133469252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525.91965623467968</c:v>
                </c:pt>
                <c:pt idx="55">
                  <c:v>2080.3847689615441</c:v>
                </c:pt>
                <c:pt idx="56">
                  <c:v>3249.8435556639952</c:v>
                </c:pt>
                <c:pt idx="57">
                  <c:v>1257.06324478998</c:v>
                </c:pt>
                <c:pt idx="58">
                  <c:v>520.54923633423755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3329.7715324732371</c:v>
                </c:pt>
                <c:pt idx="66">
                  <c:v>3807.034423275999</c:v>
                </c:pt>
                <c:pt idx="67">
                  <c:v>2511.2360449651219</c:v>
                </c:pt>
                <c:pt idx="68">
                  <c:v>1647.9066949506609</c:v>
                </c:pt>
                <c:pt idx="69">
                  <c:v>697.93298845876961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631.38030296524357</c:v>
                </c:pt>
                <c:pt idx="78">
                  <c:v>1563.1813401854299</c:v>
                </c:pt>
                <c:pt idx="79">
                  <c:v>2598.7174222205072</c:v>
                </c:pt>
                <c:pt idx="80">
                  <c:v>3388.8877842649972</c:v>
                </c:pt>
                <c:pt idx="81">
                  <c:v>1970.415219443807</c:v>
                </c:pt>
                <c:pt idx="82">
                  <c:v>198.48646512962841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868.76779702739759</c:v>
                </c:pt>
                <c:pt idx="89">
                  <c:v>2346.8681149099511</c:v>
                </c:pt>
                <c:pt idx="90">
                  <c:v>3102.5849549588961</c:v>
                </c:pt>
                <c:pt idx="91">
                  <c:v>1913.1437960253099</c:v>
                </c:pt>
                <c:pt idx="92">
                  <c:v>965.59508416371045</c:v>
                </c:pt>
                <c:pt idx="93">
                  <c:v>103.8246535320723</c:v>
                </c:pt>
                <c:pt idx="94">
                  <c:v>1322.4697145492071</c:v>
                </c:pt>
                <c:pt idx="95">
                  <c:v>1398.720762659224</c:v>
                </c:pt>
                <c:pt idx="96">
                  <c:v>1046.4070712225091</c:v>
                </c:pt>
                <c:pt idx="97">
                  <c:v>1671.862311940675</c:v>
                </c:pt>
                <c:pt idx="98">
                  <c:v>2109.8359934289851</c:v>
                </c:pt>
                <c:pt idx="99">
                  <c:v>1712.395750954727</c:v>
                </c:pt>
                <c:pt idx="100">
                  <c:v>13.0904431708052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6555.5531973387842</c:v>
                </c:pt>
                <c:pt idx="107">
                  <c:v>15500</c:v>
                </c:pt>
                <c:pt idx="108">
                  <c:v>15500</c:v>
                </c:pt>
                <c:pt idx="109">
                  <c:v>15500</c:v>
                </c:pt>
                <c:pt idx="110">
                  <c:v>15500</c:v>
                </c:pt>
                <c:pt idx="111">
                  <c:v>15500</c:v>
                </c:pt>
                <c:pt idx="112">
                  <c:v>11227.84991862234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137.35433427206499</c:v>
                </c:pt>
                <c:pt idx="117">
                  <c:v>520.49003988549794</c:v>
                </c:pt>
                <c:pt idx="118">
                  <c:v>361.54206728060223</c:v>
                </c:pt>
                <c:pt idx="119">
                  <c:v>644.30500404974191</c:v>
                </c:pt>
                <c:pt idx="120">
                  <c:v>1131.3982391351769</c:v>
                </c:pt>
                <c:pt idx="121">
                  <c:v>2332.9930546525302</c:v>
                </c:pt>
                <c:pt idx="122">
                  <c:v>2699.8546789869229</c:v>
                </c:pt>
                <c:pt idx="123">
                  <c:v>2704.3512816820462</c:v>
                </c:pt>
                <c:pt idx="124">
                  <c:v>3130.6184028065782</c:v>
                </c:pt>
                <c:pt idx="125">
                  <c:v>3241.8778839242309</c:v>
                </c:pt>
                <c:pt idx="126">
                  <c:v>3061.0940297751581</c:v>
                </c:pt>
                <c:pt idx="127">
                  <c:v>3141.183472879417</c:v>
                </c:pt>
                <c:pt idx="128">
                  <c:v>3578.434525595289</c:v>
                </c:pt>
                <c:pt idx="129">
                  <c:v>3584.5172660873541</c:v>
                </c:pt>
                <c:pt idx="130">
                  <c:v>12436.20672171082</c:v>
                </c:pt>
                <c:pt idx="131">
                  <c:v>15500</c:v>
                </c:pt>
                <c:pt idx="132">
                  <c:v>5727.2660625512508</c:v>
                </c:pt>
                <c:pt idx="133">
                  <c:v>14024.116219410889</c:v>
                </c:pt>
                <c:pt idx="134">
                  <c:v>7511.5121955769337</c:v>
                </c:pt>
                <c:pt idx="135">
                  <c:v>7762.4350625478291</c:v>
                </c:pt>
                <c:pt idx="136">
                  <c:v>2526.5571297478282</c:v>
                </c:pt>
                <c:pt idx="137">
                  <c:v>1759.699953609032</c:v>
                </c:pt>
                <c:pt idx="138">
                  <c:v>4367.3184126663073</c:v>
                </c:pt>
                <c:pt idx="139">
                  <c:v>2731.0214612373011</c:v>
                </c:pt>
                <c:pt idx="140">
                  <c:v>1992.5476632165421</c:v>
                </c:pt>
                <c:pt idx="141">
                  <c:v>900.99940792072084</c:v>
                </c:pt>
                <c:pt idx="142">
                  <c:v>0</c:v>
                </c:pt>
                <c:pt idx="143">
                  <c:v>0</c:v>
                </c:pt>
                <c:pt idx="144">
                  <c:v>1098.003588537199</c:v>
                </c:pt>
                <c:pt idx="145">
                  <c:v>0</c:v>
                </c:pt>
                <c:pt idx="146">
                  <c:v>106.8682624171997</c:v>
                </c:pt>
                <c:pt idx="147">
                  <c:v>3734.5668496172798</c:v>
                </c:pt>
                <c:pt idx="148">
                  <c:v>9714.6669939196217</c:v>
                </c:pt>
                <c:pt idx="149">
                  <c:v>11851.493298471971</c:v>
                </c:pt>
                <c:pt idx="150">
                  <c:v>7761.9721816456276</c:v>
                </c:pt>
                <c:pt idx="151">
                  <c:v>662.27359582280724</c:v>
                </c:pt>
                <c:pt idx="152">
                  <c:v>7762.436048599945</c:v>
                </c:pt>
                <c:pt idx="153">
                  <c:v>7762.4360485999432</c:v>
                </c:pt>
                <c:pt idx="154">
                  <c:v>3099.633515353366</c:v>
                </c:pt>
                <c:pt idx="155">
                  <c:v>10807.72393832665</c:v>
                </c:pt>
                <c:pt idx="156">
                  <c:v>13300.488026511361</c:v>
                </c:pt>
                <c:pt idx="157">
                  <c:v>15500</c:v>
                </c:pt>
                <c:pt idx="158">
                  <c:v>15500</c:v>
                </c:pt>
                <c:pt idx="159">
                  <c:v>15500</c:v>
                </c:pt>
                <c:pt idx="160">
                  <c:v>13995.30460148678</c:v>
                </c:pt>
                <c:pt idx="161">
                  <c:v>15500</c:v>
                </c:pt>
                <c:pt idx="162">
                  <c:v>7778.0215956524862</c:v>
                </c:pt>
                <c:pt idx="163">
                  <c:v>0</c:v>
                </c:pt>
                <c:pt idx="164">
                  <c:v>7762.8999155542551</c:v>
                </c:pt>
                <c:pt idx="165">
                  <c:v>2503.1169586081451</c:v>
                </c:pt>
                <c:pt idx="166">
                  <c:v>7764.2915164471997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20-4B2D-9F90-10A0B9B38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Flujos</a:t>
            </a:r>
            <a:r>
              <a:rPr lang="es-ES" sz="1400" b="1" baseline="0"/>
              <a:t> BarMar España - Francia</a:t>
            </a:r>
            <a:endParaRPr lang="es-ES" sz="1400" b="1"/>
          </a:p>
        </c:rich>
      </c:tx>
      <c:layout>
        <c:manualLayout>
          <c:xMode val="edge"/>
          <c:yMode val="edge"/>
          <c:x val="0.38188399254610339"/>
          <c:y val="3.5048088888175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generadores!$U$5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generadores!$U$6:$U$173</c:f>
              <c:numCache>
                <c:formatCode>0</c:formatCode>
                <c:ptCount val="168"/>
                <c:pt idx="0">
                  <c:v>1553.6722856992001</c:v>
                </c:pt>
                <c:pt idx="1">
                  <c:v>1553.6722856992001</c:v>
                </c:pt>
                <c:pt idx="2">
                  <c:v>1553.6722856992001</c:v>
                </c:pt>
                <c:pt idx="3">
                  <c:v>1553.6722856992001</c:v>
                </c:pt>
                <c:pt idx="4">
                  <c:v>1553.6722856992001</c:v>
                </c:pt>
                <c:pt idx="5">
                  <c:v>1553.6722856992001</c:v>
                </c:pt>
                <c:pt idx="6">
                  <c:v>1553.6722856992001</c:v>
                </c:pt>
                <c:pt idx="7">
                  <c:v>1553.6722856992001</c:v>
                </c:pt>
                <c:pt idx="8">
                  <c:v>1553.6722856992001</c:v>
                </c:pt>
                <c:pt idx="9">
                  <c:v>1553.6722856992001</c:v>
                </c:pt>
                <c:pt idx="10">
                  <c:v>902.4533580231855</c:v>
                </c:pt>
                <c:pt idx="11">
                  <c:v>572.91324163001764</c:v>
                </c:pt>
                <c:pt idx="12">
                  <c:v>243.37312353764969</c:v>
                </c:pt>
                <c:pt idx="13">
                  <c:v>496.16281960764968</c:v>
                </c:pt>
                <c:pt idx="14">
                  <c:v>572.91324163001764</c:v>
                </c:pt>
                <c:pt idx="15">
                  <c:v>572.45335972238547</c:v>
                </c:pt>
                <c:pt idx="16">
                  <c:v>1259.3933561852691</c:v>
                </c:pt>
                <c:pt idx="17">
                  <c:v>1553.6722856992001</c:v>
                </c:pt>
                <c:pt idx="18">
                  <c:v>1553.6722856992001</c:v>
                </c:pt>
                <c:pt idx="19">
                  <c:v>1553.6722856992001</c:v>
                </c:pt>
                <c:pt idx="20">
                  <c:v>1553.6722856992001</c:v>
                </c:pt>
                <c:pt idx="21">
                  <c:v>1553.6722856992001</c:v>
                </c:pt>
                <c:pt idx="22">
                  <c:v>1553.6722856992001</c:v>
                </c:pt>
                <c:pt idx="23">
                  <c:v>1553.6722856992001</c:v>
                </c:pt>
                <c:pt idx="24">
                  <c:v>1553.6722856992001</c:v>
                </c:pt>
                <c:pt idx="25">
                  <c:v>1553.6722856992001</c:v>
                </c:pt>
                <c:pt idx="26">
                  <c:v>1553.6722856992001</c:v>
                </c:pt>
                <c:pt idx="27">
                  <c:v>1553.6722856992001</c:v>
                </c:pt>
                <c:pt idx="28">
                  <c:v>1553.6722856992001</c:v>
                </c:pt>
                <c:pt idx="29">
                  <c:v>1553.6722856992001</c:v>
                </c:pt>
                <c:pt idx="30">
                  <c:v>1553.6722856992001</c:v>
                </c:pt>
                <c:pt idx="31">
                  <c:v>1553.6722856992001</c:v>
                </c:pt>
                <c:pt idx="32">
                  <c:v>1553.6722856992001</c:v>
                </c:pt>
                <c:pt idx="33">
                  <c:v>1553.6722856992001</c:v>
                </c:pt>
                <c:pt idx="34">
                  <c:v>1553.6722856992001</c:v>
                </c:pt>
                <c:pt idx="35">
                  <c:v>1553.6722856992001</c:v>
                </c:pt>
                <c:pt idx="36">
                  <c:v>702.95252521764462</c:v>
                </c:pt>
                <c:pt idx="37">
                  <c:v>903.37410788844454</c:v>
                </c:pt>
                <c:pt idx="38">
                  <c:v>902.9142259808126</c:v>
                </c:pt>
                <c:pt idx="39">
                  <c:v>902.45434407318055</c:v>
                </c:pt>
                <c:pt idx="40">
                  <c:v>1553.6722856992001</c:v>
                </c:pt>
                <c:pt idx="41">
                  <c:v>1553.6722856992001</c:v>
                </c:pt>
                <c:pt idx="42">
                  <c:v>1553.6722856992001</c:v>
                </c:pt>
                <c:pt idx="43">
                  <c:v>1553.6722856992001</c:v>
                </c:pt>
                <c:pt idx="44">
                  <c:v>1553.6722856992001</c:v>
                </c:pt>
                <c:pt idx="45">
                  <c:v>1553.6722856992001</c:v>
                </c:pt>
                <c:pt idx="46">
                  <c:v>1553.6722856992001</c:v>
                </c:pt>
                <c:pt idx="47">
                  <c:v>1553.6722856992001</c:v>
                </c:pt>
                <c:pt idx="48">
                  <c:v>1553.6722856992001</c:v>
                </c:pt>
                <c:pt idx="49">
                  <c:v>601.35247797999909</c:v>
                </c:pt>
                <c:pt idx="50">
                  <c:v>786.14701797999987</c:v>
                </c:pt>
                <c:pt idx="51">
                  <c:v>1553.6722856992001</c:v>
                </c:pt>
                <c:pt idx="52">
                  <c:v>336.9371580299985</c:v>
                </c:pt>
                <c:pt idx="53">
                  <c:v>330</c:v>
                </c:pt>
                <c:pt idx="54">
                  <c:v>1553.672284287207</c:v>
                </c:pt>
                <c:pt idx="55">
                  <c:v>1553.6722856992001</c:v>
                </c:pt>
                <c:pt idx="56">
                  <c:v>1553.6722856992001</c:v>
                </c:pt>
                <c:pt idx="57">
                  <c:v>1553.6722856992001</c:v>
                </c:pt>
                <c:pt idx="58">
                  <c:v>1553.6722856992001</c:v>
                </c:pt>
                <c:pt idx="59">
                  <c:v>1388.1676459221981</c:v>
                </c:pt>
                <c:pt idx="60">
                  <c:v>903.37509393843948</c:v>
                </c:pt>
                <c:pt idx="61">
                  <c:v>903.37509393843948</c:v>
                </c:pt>
                <c:pt idx="62">
                  <c:v>902.91521203080742</c:v>
                </c:pt>
                <c:pt idx="63">
                  <c:v>1553.6722856992001</c:v>
                </c:pt>
                <c:pt idx="64">
                  <c:v>1553.6722856992001</c:v>
                </c:pt>
                <c:pt idx="65">
                  <c:v>1553.6722856992001</c:v>
                </c:pt>
                <c:pt idx="66">
                  <c:v>902.91521373000739</c:v>
                </c:pt>
                <c:pt idx="67">
                  <c:v>969.3849709677487</c:v>
                </c:pt>
                <c:pt idx="68">
                  <c:v>330</c:v>
                </c:pt>
                <c:pt idx="69">
                  <c:v>330</c:v>
                </c:pt>
                <c:pt idx="70">
                  <c:v>330</c:v>
                </c:pt>
                <c:pt idx="71">
                  <c:v>330</c:v>
                </c:pt>
                <c:pt idx="72">
                  <c:v>330</c:v>
                </c:pt>
                <c:pt idx="73">
                  <c:v>1553.6722856992001</c:v>
                </c:pt>
                <c:pt idx="74">
                  <c:v>330</c:v>
                </c:pt>
                <c:pt idx="75">
                  <c:v>1553.6722856992001</c:v>
                </c:pt>
                <c:pt idx="76">
                  <c:v>330</c:v>
                </c:pt>
                <c:pt idx="77">
                  <c:v>1553.6722856992001</c:v>
                </c:pt>
                <c:pt idx="78">
                  <c:v>1553.6722856992001</c:v>
                </c:pt>
                <c:pt idx="79">
                  <c:v>1553.6722856992001</c:v>
                </c:pt>
                <c:pt idx="80">
                  <c:v>1553.6722856992001</c:v>
                </c:pt>
                <c:pt idx="81">
                  <c:v>1553.6722856992001</c:v>
                </c:pt>
                <c:pt idx="82">
                  <c:v>1553.6722856992001</c:v>
                </c:pt>
                <c:pt idx="83">
                  <c:v>1553.6722856992001</c:v>
                </c:pt>
                <c:pt idx="84">
                  <c:v>903.3760799884343</c:v>
                </c:pt>
                <c:pt idx="85">
                  <c:v>903.37607998843453</c:v>
                </c:pt>
                <c:pt idx="86">
                  <c:v>902.91619978000244</c:v>
                </c:pt>
                <c:pt idx="87">
                  <c:v>902.45631787237028</c:v>
                </c:pt>
                <c:pt idx="88">
                  <c:v>1553.6722856992001</c:v>
                </c:pt>
                <c:pt idx="89">
                  <c:v>1358.572286703788</c:v>
                </c:pt>
                <c:pt idx="90">
                  <c:v>1553.6722856992001</c:v>
                </c:pt>
                <c:pt idx="91">
                  <c:v>1553.6722856992001</c:v>
                </c:pt>
                <c:pt idx="92">
                  <c:v>1553.6722856992001</c:v>
                </c:pt>
                <c:pt idx="93">
                  <c:v>1553.6722856992001</c:v>
                </c:pt>
                <c:pt idx="94">
                  <c:v>1553.6722856992001</c:v>
                </c:pt>
                <c:pt idx="95">
                  <c:v>703.41240713053048</c:v>
                </c:pt>
                <c:pt idx="96">
                  <c:v>904.75671347052537</c:v>
                </c:pt>
                <c:pt idx="97">
                  <c:v>904.75671347052537</c:v>
                </c:pt>
                <c:pt idx="98">
                  <c:v>672.09336560052543</c:v>
                </c:pt>
                <c:pt idx="99">
                  <c:v>574.75671347052537</c:v>
                </c:pt>
                <c:pt idx="100">
                  <c:v>904.29683156289332</c:v>
                </c:pt>
                <c:pt idx="101">
                  <c:v>903.37706773762932</c:v>
                </c:pt>
                <c:pt idx="102">
                  <c:v>572.91718582999727</c:v>
                </c:pt>
                <c:pt idx="103">
                  <c:v>572.45730392236533</c:v>
                </c:pt>
                <c:pt idx="104">
                  <c:v>572.45730392236533</c:v>
                </c:pt>
                <c:pt idx="105">
                  <c:v>242.4573039223653</c:v>
                </c:pt>
                <c:pt idx="106">
                  <c:v>242.4573039223653</c:v>
                </c:pt>
                <c:pt idx="107">
                  <c:v>242.91718582999729</c:v>
                </c:pt>
                <c:pt idx="108">
                  <c:v>243.37706773762929</c:v>
                </c:pt>
                <c:pt idx="109">
                  <c:v>243.37706773762929</c:v>
                </c:pt>
                <c:pt idx="110">
                  <c:v>242.91718582999729</c:v>
                </c:pt>
                <c:pt idx="111">
                  <c:v>242.4573039223653</c:v>
                </c:pt>
                <c:pt idx="112">
                  <c:v>242.4573039223653</c:v>
                </c:pt>
                <c:pt idx="113">
                  <c:v>572.45730392236533</c:v>
                </c:pt>
                <c:pt idx="114">
                  <c:v>572.91718582999727</c:v>
                </c:pt>
                <c:pt idx="115">
                  <c:v>903.37706773762932</c:v>
                </c:pt>
                <c:pt idx="116">
                  <c:v>903.83694964526137</c:v>
                </c:pt>
                <c:pt idx="117">
                  <c:v>574.29683156289332</c:v>
                </c:pt>
                <c:pt idx="118">
                  <c:v>904.75671347052537</c:v>
                </c:pt>
                <c:pt idx="119">
                  <c:v>574.75671347052537</c:v>
                </c:pt>
                <c:pt idx="120">
                  <c:v>244.84032331009479</c:v>
                </c:pt>
                <c:pt idx="121">
                  <c:v>282.01795246009488</c:v>
                </c:pt>
                <c:pt idx="122">
                  <c:v>574.84032331009485</c:v>
                </c:pt>
                <c:pt idx="123">
                  <c:v>244.84032331009479</c:v>
                </c:pt>
                <c:pt idx="124">
                  <c:v>243.9125893948719</c:v>
                </c:pt>
                <c:pt idx="125">
                  <c:v>242.98485548964891</c:v>
                </c:pt>
                <c:pt idx="126">
                  <c:v>242.52098853203731</c:v>
                </c:pt>
                <c:pt idx="127">
                  <c:v>572.98485548964891</c:v>
                </c:pt>
                <c:pt idx="128">
                  <c:v>572.98485548964891</c:v>
                </c:pt>
                <c:pt idx="129">
                  <c:v>242.98485548964891</c:v>
                </c:pt>
                <c:pt idx="130">
                  <c:v>242.98485548964891</c:v>
                </c:pt>
                <c:pt idx="131">
                  <c:v>242.52098853203731</c:v>
                </c:pt>
                <c:pt idx="132">
                  <c:v>242.98485548964891</c:v>
                </c:pt>
                <c:pt idx="133">
                  <c:v>242.98485548964891</c:v>
                </c:pt>
                <c:pt idx="134">
                  <c:v>242.52098853203731</c:v>
                </c:pt>
                <c:pt idx="135">
                  <c:v>242.98485548964891</c:v>
                </c:pt>
                <c:pt idx="136">
                  <c:v>242.98485548964891</c:v>
                </c:pt>
                <c:pt idx="137">
                  <c:v>468.95712156964879</c:v>
                </c:pt>
                <c:pt idx="138">
                  <c:v>242.52098853203731</c:v>
                </c:pt>
                <c:pt idx="139">
                  <c:v>572.98485548964891</c:v>
                </c:pt>
                <c:pt idx="140">
                  <c:v>243.44872244726051</c:v>
                </c:pt>
                <c:pt idx="141">
                  <c:v>573.91258939487182</c:v>
                </c:pt>
                <c:pt idx="142">
                  <c:v>244.84032331009479</c:v>
                </c:pt>
                <c:pt idx="143">
                  <c:v>574.84032331009485</c:v>
                </c:pt>
                <c:pt idx="144">
                  <c:v>244.84130936008989</c:v>
                </c:pt>
                <c:pt idx="145">
                  <c:v>244.84130936008989</c:v>
                </c:pt>
                <c:pt idx="146">
                  <c:v>244.84130936008989</c:v>
                </c:pt>
                <c:pt idx="147">
                  <c:v>244.84130936008989</c:v>
                </c:pt>
                <c:pt idx="148">
                  <c:v>243.91357544486681</c:v>
                </c:pt>
                <c:pt idx="149">
                  <c:v>242.9858415396437</c:v>
                </c:pt>
                <c:pt idx="150">
                  <c:v>242.52197458203219</c:v>
                </c:pt>
                <c:pt idx="151">
                  <c:v>242.9858415396437</c:v>
                </c:pt>
                <c:pt idx="152">
                  <c:v>242.9858415396437</c:v>
                </c:pt>
                <c:pt idx="153">
                  <c:v>242.9858415396437</c:v>
                </c:pt>
                <c:pt idx="154">
                  <c:v>242.9858415396437</c:v>
                </c:pt>
                <c:pt idx="155">
                  <c:v>242.52197458203219</c:v>
                </c:pt>
                <c:pt idx="156">
                  <c:v>242.9858415396437</c:v>
                </c:pt>
                <c:pt idx="157">
                  <c:v>242.9858415396437</c:v>
                </c:pt>
                <c:pt idx="158">
                  <c:v>242.52197458203219</c:v>
                </c:pt>
                <c:pt idx="159">
                  <c:v>242.9858415396437</c:v>
                </c:pt>
                <c:pt idx="160">
                  <c:v>242.9858415396437</c:v>
                </c:pt>
                <c:pt idx="161">
                  <c:v>242.9858415396437</c:v>
                </c:pt>
                <c:pt idx="162">
                  <c:v>242.52197458203219</c:v>
                </c:pt>
                <c:pt idx="163">
                  <c:v>242.9858415396437</c:v>
                </c:pt>
                <c:pt idx="164">
                  <c:v>243.4497084972553</c:v>
                </c:pt>
                <c:pt idx="165">
                  <c:v>243.91357544486681</c:v>
                </c:pt>
                <c:pt idx="166">
                  <c:v>244.84130936008989</c:v>
                </c:pt>
                <c:pt idx="167">
                  <c:v>244.84130936008989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A-4A6B-A31C-A736AF6853E3}"/>
            </c:ext>
          </c:extLst>
        </c:ser>
        <c:ser>
          <c:idx val="1"/>
          <c:order val="1"/>
          <c:tx>
            <c:strRef>
              <c:f>generadores!$V$5</c:f>
              <c:strCache>
                <c:ptCount val="1"/>
                <c:pt idx="0">
                  <c:v>Sensibilidad 1 (e-liquids)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generadores!$V$6:$V$173</c:f>
              <c:numCache>
                <c:formatCode>0</c:formatCode>
                <c:ptCount val="168"/>
                <c:pt idx="0">
                  <c:v>3985.9887313007998</c:v>
                </c:pt>
                <c:pt idx="1">
                  <c:v>3985.9887313007998</c:v>
                </c:pt>
                <c:pt idx="2">
                  <c:v>3985.9887313007998</c:v>
                </c:pt>
                <c:pt idx="3">
                  <c:v>3985.9887313007998</c:v>
                </c:pt>
                <c:pt idx="4">
                  <c:v>3985.9887313007998</c:v>
                </c:pt>
                <c:pt idx="5">
                  <c:v>3985.9887313007998</c:v>
                </c:pt>
                <c:pt idx="6">
                  <c:v>3985.9887313007998</c:v>
                </c:pt>
                <c:pt idx="7">
                  <c:v>3985.9887313007998</c:v>
                </c:pt>
                <c:pt idx="8">
                  <c:v>3985.9887313007998</c:v>
                </c:pt>
                <c:pt idx="9">
                  <c:v>3985.9887313007998</c:v>
                </c:pt>
                <c:pt idx="10">
                  <c:v>5682.1076589768136</c:v>
                </c:pt>
                <c:pt idx="11">
                  <c:v>7024.7477753699823</c:v>
                </c:pt>
                <c:pt idx="12">
                  <c:v>7354.2878934623504</c:v>
                </c:pt>
                <c:pt idx="13">
                  <c:v>7101.4981973923504</c:v>
                </c:pt>
                <c:pt idx="14">
                  <c:v>7024.7477753699823</c:v>
                </c:pt>
                <c:pt idx="15">
                  <c:v>6012.1076572776146</c:v>
                </c:pt>
                <c:pt idx="16">
                  <c:v>4280.2676608147312</c:v>
                </c:pt>
                <c:pt idx="17">
                  <c:v>2941.0887313008002</c:v>
                </c:pt>
                <c:pt idx="18">
                  <c:v>1896.6486132108</c:v>
                </c:pt>
                <c:pt idx="19">
                  <c:v>852.20849513079975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663.34050921080006</c:v>
                </c:pt>
                <c:pt idx="24">
                  <c:v>1708.2414952608001</c:v>
                </c:pt>
                <c:pt idx="25">
                  <c:v>2753.1414952608002</c:v>
                </c:pt>
                <c:pt idx="26">
                  <c:v>2953.4013878008</c:v>
                </c:pt>
                <c:pt idx="27">
                  <c:v>1908.5013878008001</c:v>
                </c:pt>
                <c:pt idx="28">
                  <c:v>863.14150589080009</c:v>
                </c:pt>
                <c:pt idx="29">
                  <c:v>0</c:v>
                </c:pt>
                <c:pt idx="30">
                  <c:v>0</c:v>
                </c:pt>
                <c:pt idx="31">
                  <c:v>851.28873130080001</c:v>
                </c:pt>
                <c:pt idx="32">
                  <c:v>1896.1887313008001</c:v>
                </c:pt>
                <c:pt idx="33">
                  <c:v>2941.0887313008002</c:v>
                </c:pt>
                <c:pt idx="34">
                  <c:v>3985.9887313007998</c:v>
                </c:pt>
                <c:pt idx="35">
                  <c:v>5031.3486132108001</c:v>
                </c:pt>
                <c:pt idx="36">
                  <c:v>6076.7084917823558</c:v>
                </c:pt>
                <c:pt idx="37">
                  <c:v>5876.2869091115554</c:v>
                </c:pt>
                <c:pt idx="38">
                  <c:v>4892.7191680191881</c:v>
                </c:pt>
                <c:pt idx="39">
                  <c:v>3847.8191680168188</c:v>
                </c:pt>
                <c:pt idx="40">
                  <c:v>2151.7012263908</c:v>
                </c:pt>
                <c:pt idx="41">
                  <c:v>1106.8012263907999</c:v>
                </c:pt>
                <c:pt idx="42">
                  <c:v>62.36110830079997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858.40066562079983</c:v>
                </c:pt>
                <c:pt idx="58">
                  <c:v>1903.3006656207999</c:v>
                </c:pt>
                <c:pt idx="59">
                  <c:v>3114.1651873078022</c:v>
                </c:pt>
                <c:pt idx="60">
                  <c:v>4644.3176212115613</c:v>
                </c:pt>
                <c:pt idx="61">
                  <c:v>4995.3159973415604</c:v>
                </c:pt>
                <c:pt idx="62">
                  <c:v>3950.415997339192</c:v>
                </c:pt>
                <c:pt idx="63">
                  <c:v>2254.2990417607998</c:v>
                </c:pt>
                <c:pt idx="64">
                  <c:v>1209.3990417607999</c:v>
                </c:pt>
                <c:pt idx="65">
                  <c:v>164.49904176080011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58.351664980799796</c:v>
                </c:pt>
                <c:pt idx="81">
                  <c:v>1103.2516649807999</c:v>
                </c:pt>
                <c:pt idx="82">
                  <c:v>2148.1516649808</c:v>
                </c:pt>
                <c:pt idx="83">
                  <c:v>3193.5115469008001</c:v>
                </c:pt>
                <c:pt idx="84">
                  <c:v>4889.1676345215656</c:v>
                </c:pt>
                <c:pt idx="85">
                  <c:v>5876.2849370115646</c:v>
                </c:pt>
                <c:pt idx="86">
                  <c:v>5876.7448172199984</c:v>
                </c:pt>
                <c:pt idx="87">
                  <c:v>5877.2046991276302</c:v>
                </c:pt>
                <c:pt idx="88">
                  <c:v>5225.9887313008003</c:v>
                </c:pt>
                <c:pt idx="89">
                  <c:v>4181.0887302962128</c:v>
                </c:pt>
                <c:pt idx="90">
                  <c:v>3985.9887313007998</c:v>
                </c:pt>
                <c:pt idx="91">
                  <c:v>3985.9887313007998</c:v>
                </c:pt>
                <c:pt idx="92">
                  <c:v>3985.9887313007998</c:v>
                </c:pt>
                <c:pt idx="93">
                  <c:v>3985.9887313007998</c:v>
                </c:pt>
                <c:pt idx="94">
                  <c:v>5031.3486132108001</c:v>
                </c:pt>
                <c:pt idx="95">
                  <c:v>6076.2486098694699</c:v>
                </c:pt>
                <c:pt idx="96">
                  <c:v>5874.9043035294753</c:v>
                </c:pt>
                <c:pt idx="97">
                  <c:v>5874.9043035294753</c:v>
                </c:pt>
                <c:pt idx="98">
                  <c:v>6107.5676513994749</c:v>
                </c:pt>
                <c:pt idx="99">
                  <c:v>6204.9043035294753</c:v>
                </c:pt>
                <c:pt idx="100">
                  <c:v>5875.3641854371072</c:v>
                </c:pt>
                <c:pt idx="101">
                  <c:v>5876.2839492623707</c:v>
                </c:pt>
                <c:pt idx="102">
                  <c:v>6206.7438311700034</c:v>
                </c:pt>
                <c:pt idx="103">
                  <c:v>6207.2037130776353</c:v>
                </c:pt>
                <c:pt idx="104">
                  <c:v>6310.3037130776347</c:v>
                </c:pt>
                <c:pt idx="105">
                  <c:v>7355.2037130776353</c:v>
                </c:pt>
                <c:pt idx="106">
                  <c:v>7355.2037130776353</c:v>
                </c:pt>
                <c:pt idx="107">
                  <c:v>7354.7438311700034</c:v>
                </c:pt>
                <c:pt idx="108">
                  <c:v>7354.2839492623707</c:v>
                </c:pt>
                <c:pt idx="109">
                  <c:v>7354.2839492623707</c:v>
                </c:pt>
                <c:pt idx="110">
                  <c:v>7354.7438311700034</c:v>
                </c:pt>
                <c:pt idx="111">
                  <c:v>7355.2037130776353</c:v>
                </c:pt>
                <c:pt idx="112">
                  <c:v>7355.2037130776353</c:v>
                </c:pt>
                <c:pt idx="113">
                  <c:v>7025.2037130776353</c:v>
                </c:pt>
                <c:pt idx="114">
                  <c:v>6373.7442569700033</c:v>
                </c:pt>
                <c:pt idx="115">
                  <c:v>5876.2839492623707</c:v>
                </c:pt>
                <c:pt idx="116">
                  <c:v>5875.8240673547389</c:v>
                </c:pt>
                <c:pt idx="117">
                  <c:v>6205.3641854371072</c:v>
                </c:pt>
                <c:pt idx="118">
                  <c:v>5874.9043035294753</c:v>
                </c:pt>
                <c:pt idx="119">
                  <c:v>6204.9043035294753</c:v>
                </c:pt>
                <c:pt idx="120">
                  <c:v>6534.820693689906</c:v>
                </c:pt>
                <c:pt idx="121">
                  <c:v>7315.643064539905</c:v>
                </c:pt>
                <c:pt idx="122">
                  <c:v>7022.820693689906</c:v>
                </c:pt>
                <c:pt idx="123">
                  <c:v>7352.820693689906</c:v>
                </c:pt>
                <c:pt idx="124">
                  <c:v>7353.7484276051282</c:v>
                </c:pt>
                <c:pt idx="125">
                  <c:v>6536.6761615103514</c:v>
                </c:pt>
                <c:pt idx="126">
                  <c:v>7355.140028467963</c:v>
                </c:pt>
                <c:pt idx="127">
                  <c:v>7024.6761615103514</c:v>
                </c:pt>
                <c:pt idx="128">
                  <c:v>7024.6761615103514</c:v>
                </c:pt>
                <c:pt idx="129">
                  <c:v>7354.6761615103514</c:v>
                </c:pt>
                <c:pt idx="130">
                  <c:v>7354.6761615103514</c:v>
                </c:pt>
                <c:pt idx="131">
                  <c:v>7355.140028467963</c:v>
                </c:pt>
                <c:pt idx="132">
                  <c:v>7354.6761615103514</c:v>
                </c:pt>
                <c:pt idx="133">
                  <c:v>7354.6761615103514</c:v>
                </c:pt>
                <c:pt idx="134">
                  <c:v>7355.140028467963</c:v>
                </c:pt>
                <c:pt idx="135">
                  <c:v>7354.6761615103514</c:v>
                </c:pt>
                <c:pt idx="136">
                  <c:v>7354.6761615103514</c:v>
                </c:pt>
                <c:pt idx="137">
                  <c:v>6310.7038954303516</c:v>
                </c:pt>
                <c:pt idx="138">
                  <c:v>7355.140028467963</c:v>
                </c:pt>
                <c:pt idx="139">
                  <c:v>7024.6761615103514</c:v>
                </c:pt>
                <c:pt idx="140">
                  <c:v>7354.2122945527399</c:v>
                </c:pt>
                <c:pt idx="141">
                  <c:v>7023.7484276051282</c:v>
                </c:pt>
                <c:pt idx="142">
                  <c:v>6534.820693689906</c:v>
                </c:pt>
                <c:pt idx="143">
                  <c:v>7022.820693689906</c:v>
                </c:pt>
                <c:pt idx="144">
                  <c:v>7352.8197076399101</c:v>
                </c:pt>
                <c:pt idx="145">
                  <c:v>7352.8197076399101</c:v>
                </c:pt>
                <c:pt idx="146">
                  <c:v>7352.8197076399101</c:v>
                </c:pt>
                <c:pt idx="147">
                  <c:v>7352.8197076399101</c:v>
                </c:pt>
                <c:pt idx="148">
                  <c:v>7353.7474415551333</c:v>
                </c:pt>
                <c:pt idx="149">
                  <c:v>7354.6751754603574</c:v>
                </c:pt>
                <c:pt idx="150">
                  <c:v>7355.1390424179681</c:v>
                </c:pt>
                <c:pt idx="151">
                  <c:v>7354.6751754603574</c:v>
                </c:pt>
                <c:pt idx="152">
                  <c:v>7354.6751754603574</c:v>
                </c:pt>
                <c:pt idx="153">
                  <c:v>7354.6751754603574</c:v>
                </c:pt>
                <c:pt idx="154">
                  <c:v>7354.6751754603574</c:v>
                </c:pt>
                <c:pt idx="155">
                  <c:v>7355.1390424179681</c:v>
                </c:pt>
                <c:pt idx="156">
                  <c:v>7354.6751754603574</c:v>
                </c:pt>
                <c:pt idx="157">
                  <c:v>7354.6751754603574</c:v>
                </c:pt>
                <c:pt idx="158">
                  <c:v>7355.1390424179681</c:v>
                </c:pt>
                <c:pt idx="159">
                  <c:v>7354.6751754603574</c:v>
                </c:pt>
                <c:pt idx="160">
                  <c:v>7354.6751754603574</c:v>
                </c:pt>
                <c:pt idx="161">
                  <c:v>7354.6751754603574</c:v>
                </c:pt>
                <c:pt idx="162">
                  <c:v>7355.1390424179681</c:v>
                </c:pt>
                <c:pt idx="163">
                  <c:v>7354.6751754603574</c:v>
                </c:pt>
                <c:pt idx="164">
                  <c:v>7354.2113085027449</c:v>
                </c:pt>
                <c:pt idx="165">
                  <c:v>7353.7474415551333</c:v>
                </c:pt>
                <c:pt idx="166">
                  <c:v>7352.8197076399101</c:v>
                </c:pt>
                <c:pt idx="167">
                  <c:v>7352.8197076399101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FA-4A6B-A31C-A736AF685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Flujos</a:t>
            </a:r>
            <a:r>
              <a:rPr lang="es-ES" sz="1400" b="1" baseline="0"/>
              <a:t> BarMar Francia - España</a:t>
            </a:r>
            <a:endParaRPr lang="es-ES" sz="1400" b="1"/>
          </a:p>
        </c:rich>
      </c:tx>
      <c:layout>
        <c:manualLayout>
          <c:xMode val="edge"/>
          <c:yMode val="edge"/>
          <c:x val="0.38188399254610339"/>
          <c:y val="3.5048088888175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generadores!$AA$5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generadores!$AA$6:$AA$173</c:f>
              <c:numCache>
                <c:formatCode>0</c:formatCode>
                <c:ptCount val="168"/>
                <c:pt idx="0">
                  <c:v>6779.486412000002</c:v>
                </c:pt>
                <c:pt idx="1">
                  <c:v>6779.486412000002</c:v>
                </c:pt>
                <c:pt idx="2">
                  <c:v>6779.486412000002</c:v>
                </c:pt>
                <c:pt idx="3">
                  <c:v>6779.486412000002</c:v>
                </c:pt>
                <c:pt idx="4">
                  <c:v>6779.486412000002</c:v>
                </c:pt>
                <c:pt idx="5">
                  <c:v>6779.486412000002</c:v>
                </c:pt>
                <c:pt idx="6">
                  <c:v>6779.486412000002</c:v>
                </c:pt>
                <c:pt idx="7">
                  <c:v>6779.486412000002</c:v>
                </c:pt>
                <c:pt idx="8">
                  <c:v>6779.486412000002</c:v>
                </c:pt>
                <c:pt idx="9">
                  <c:v>6779.486412000002</c:v>
                </c:pt>
                <c:pt idx="10">
                  <c:v>6779.486412000002</c:v>
                </c:pt>
                <c:pt idx="11">
                  <c:v>6779.486412000002</c:v>
                </c:pt>
                <c:pt idx="12">
                  <c:v>6779.486412000002</c:v>
                </c:pt>
                <c:pt idx="13">
                  <c:v>6779.486412000002</c:v>
                </c:pt>
                <c:pt idx="14">
                  <c:v>6779.486412000002</c:v>
                </c:pt>
                <c:pt idx="15">
                  <c:v>6779.486412000002</c:v>
                </c:pt>
                <c:pt idx="16">
                  <c:v>6779.486412000002</c:v>
                </c:pt>
                <c:pt idx="17">
                  <c:v>5109.9525620099994</c:v>
                </c:pt>
                <c:pt idx="18">
                  <c:v>3029.3502002599998</c:v>
                </c:pt>
                <c:pt idx="19">
                  <c:v>948.74783851000029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595.84548996000012</c:v>
                </c:pt>
                <c:pt idx="24">
                  <c:v>2685.6652109499992</c:v>
                </c:pt>
                <c:pt idx="25">
                  <c:v>4775.4652109499984</c:v>
                </c:pt>
                <c:pt idx="26">
                  <c:v>5175.9849960399988</c:v>
                </c:pt>
                <c:pt idx="27">
                  <c:v>3086.18499604</c:v>
                </c:pt>
                <c:pt idx="28">
                  <c:v>987.18735777999973</c:v>
                </c:pt>
                <c:pt idx="29">
                  <c:v>0</c:v>
                </c:pt>
                <c:pt idx="30">
                  <c:v>0</c:v>
                </c:pt>
                <c:pt idx="31">
                  <c:v>930.37031090999881</c:v>
                </c:pt>
                <c:pt idx="32">
                  <c:v>3020.1703109099981</c:v>
                </c:pt>
                <c:pt idx="33">
                  <c:v>5109.970310910001</c:v>
                </c:pt>
                <c:pt idx="34">
                  <c:v>6779.486412000002</c:v>
                </c:pt>
                <c:pt idx="35">
                  <c:v>6779.486412000002</c:v>
                </c:pt>
                <c:pt idx="36">
                  <c:v>6779.486412000002</c:v>
                </c:pt>
                <c:pt idx="37">
                  <c:v>6779.486412000002</c:v>
                </c:pt>
                <c:pt idx="38">
                  <c:v>6779.486412000002</c:v>
                </c:pt>
                <c:pt idx="39">
                  <c:v>5620.995301089999</c:v>
                </c:pt>
                <c:pt idx="40">
                  <c:v>3531.1953010900002</c:v>
                </c:pt>
                <c:pt idx="41">
                  <c:v>1441.39530109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944.61192844999823</c:v>
                </c:pt>
                <c:pt idx="58">
                  <c:v>3034.4119284499989</c:v>
                </c:pt>
                <c:pt idx="59">
                  <c:v>5133.4095667000001</c:v>
                </c:pt>
                <c:pt idx="60">
                  <c:v>6779.486412000002</c:v>
                </c:pt>
                <c:pt idx="61">
                  <c:v>6779.486412000002</c:v>
                </c:pt>
                <c:pt idx="62">
                  <c:v>5835.4063189699991</c:v>
                </c:pt>
                <c:pt idx="63">
                  <c:v>3736.4086807200001</c:v>
                </c:pt>
                <c:pt idx="64">
                  <c:v>1646.608680719999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1434.33167607</c:v>
                </c:pt>
                <c:pt idx="82">
                  <c:v>3524.1316760699988</c:v>
                </c:pt>
                <c:pt idx="83">
                  <c:v>5623.129314329999</c:v>
                </c:pt>
                <c:pt idx="84">
                  <c:v>6779.486412000002</c:v>
                </c:pt>
                <c:pt idx="85">
                  <c:v>6779.486412000002</c:v>
                </c:pt>
                <c:pt idx="86">
                  <c:v>6779.486412000002</c:v>
                </c:pt>
                <c:pt idx="87">
                  <c:v>6779.486412000002</c:v>
                </c:pt>
                <c:pt idx="88">
                  <c:v>6779.486412000002</c:v>
                </c:pt>
                <c:pt idx="89">
                  <c:v>6779.486412000002</c:v>
                </c:pt>
                <c:pt idx="90">
                  <c:v>6779.486412000002</c:v>
                </c:pt>
                <c:pt idx="91">
                  <c:v>6779.486412000002</c:v>
                </c:pt>
                <c:pt idx="92">
                  <c:v>6779.486412000002</c:v>
                </c:pt>
                <c:pt idx="93">
                  <c:v>6779.486412000002</c:v>
                </c:pt>
                <c:pt idx="94">
                  <c:v>6779.486412000002</c:v>
                </c:pt>
                <c:pt idx="95">
                  <c:v>6779.486412000002</c:v>
                </c:pt>
                <c:pt idx="96">
                  <c:v>6779.486412000002</c:v>
                </c:pt>
                <c:pt idx="97">
                  <c:v>6779.486412000002</c:v>
                </c:pt>
                <c:pt idx="98">
                  <c:v>6779.486412000002</c:v>
                </c:pt>
                <c:pt idx="99">
                  <c:v>6779.486412000002</c:v>
                </c:pt>
                <c:pt idx="100">
                  <c:v>6779.486412000002</c:v>
                </c:pt>
                <c:pt idx="101">
                  <c:v>6779.486412000002</c:v>
                </c:pt>
                <c:pt idx="102">
                  <c:v>6779.486412000002</c:v>
                </c:pt>
                <c:pt idx="103">
                  <c:v>6779.486412000002</c:v>
                </c:pt>
                <c:pt idx="104">
                  <c:v>6779.486412000002</c:v>
                </c:pt>
                <c:pt idx="105">
                  <c:v>6779.486412000002</c:v>
                </c:pt>
                <c:pt idx="106">
                  <c:v>6779.486412000002</c:v>
                </c:pt>
                <c:pt idx="107">
                  <c:v>6779.486412000002</c:v>
                </c:pt>
                <c:pt idx="108">
                  <c:v>6779.486412000002</c:v>
                </c:pt>
                <c:pt idx="109">
                  <c:v>6779.486412000002</c:v>
                </c:pt>
                <c:pt idx="110">
                  <c:v>6779.486412000002</c:v>
                </c:pt>
                <c:pt idx="111">
                  <c:v>6779.486412000002</c:v>
                </c:pt>
                <c:pt idx="112">
                  <c:v>6779.486412000002</c:v>
                </c:pt>
                <c:pt idx="113">
                  <c:v>6779.486412000002</c:v>
                </c:pt>
                <c:pt idx="114">
                  <c:v>6779.486412000002</c:v>
                </c:pt>
                <c:pt idx="115">
                  <c:v>6779.486412000002</c:v>
                </c:pt>
                <c:pt idx="116">
                  <c:v>6779.486412000002</c:v>
                </c:pt>
                <c:pt idx="117">
                  <c:v>6779.486412000002</c:v>
                </c:pt>
                <c:pt idx="118">
                  <c:v>6779.486412000002</c:v>
                </c:pt>
                <c:pt idx="119">
                  <c:v>6779.486412000002</c:v>
                </c:pt>
                <c:pt idx="120">
                  <c:v>6779.486412000002</c:v>
                </c:pt>
                <c:pt idx="121">
                  <c:v>6779.486412000002</c:v>
                </c:pt>
                <c:pt idx="122">
                  <c:v>6779.486412000002</c:v>
                </c:pt>
                <c:pt idx="123">
                  <c:v>6779.486412000002</c:v>
                </c:pt>
                <c:pt idx="124">
                  <c:v>6779.486412000002</c:v>
                </c:pt>
                <c:pt idx="125">
                  <c:v>6779.486412000002</c:v>
                </c:pt>
                <c:pt idx="126">
                  <c:v>6779.486412000002</c:v>
                </c:pt>
                <c:pt idx="127">
                  <c:v>6779.486412000002</c:v>
                </c:pt>
                <c:pt idx="128">
                  <c:v>6779.486412000002</c:v>
                </c:pt>
                <c:pt idx="129">
                  <c:v>6779.486412000002</c:v>
                </c:pt>
                <c:pt idx="130">
                  <c:v>6779.486412000002</c:v>
                </c:pt>
                <c:pt idx="131">
                  <c:v>6779.486412000002</c:v>
                </c:pt>
                <c:pt idx="132">
                  <c:v>6779.486412000002</c:v>
                </c:pt>
                <c:pt idx="133">
                  <c:v>6779.486412000002</c:v>
                </c:pt>
                <c:pt idx="134">
                  <c:v>6779.486412000002</c:v>
                </c:pt>
                <c:pt idx="135">
                  <c:v>6779.486412000002</c:v>
                </c:pt>
                <c:pt idx="136">
                  <c:v>6779.486412000002</c:v>
                </c:pt>
                <c:pt idx="137">
                  <c:v>6779.486412000002</c:v>
                </c:pt>
                <c:pt idx="138">
                  <c:v>6779.486412000002</c:v>
                </c:pt>
                <c:pt idx="139">
                  <c:v>6779.486412000002</c:v>
                </c:pt>
                <c:pt idx="140">
                  <c:v>6779.486412000002</c:v>
                </c:pt>
                <c:pt idx="141">
                  <c:v>6779.486412000002</c:v>
                </c:pt>
                <c:pt idx="142">
                  <c:v>6779.486412000002</c:v>
                </c:pt>
                <c:pt idx="143">
                  <c:v>6779.486412000002</c:v>
                </c:pt>
                <c:pt idx="144">
                  <c:v>6779.486412000002</c:v>
                </c:pt>
                <c:pt idx="145">
                  <c:v>6779.486412000002</c:v>
                </c:pt>
                <c:pt idx="146">
                  <c:v>6779.486412000002</c:v>
                </c:pt>
                <c:pt idx="147">
                  <c:v>6779.486412000002</c:v>
                </c:pt>
                <c:pt idx="148">
                  <c:v>6779.486412000002</c:v>
                </c:pt>
                <c:pt idx="149">
                  <c:v>6779.486412000002</c:v>
                </c:pt>
                <c:pt idx="150">
                  <c:v>6779.486412000002</c:v>
                </c:pt>
                <c:pt idx="151">
                  <c:v>6779.486412000002</c:v>
                </c:pt>
                <c:pt idx="152">
                  <c:v>6779.486412000002</c:v>
                </c:pt>
                <c:pt idx="153">
                  <c:v>6779.486412000002</c:v>
                </c:pt>
                <c:pt idx="154">
                  <c:v>6779.486412000002</c:v>
                </c:pt>
                <c:pt idx="155">
                  <c:v>6779.486412000002</c:v>
                </c:pt>
                <c:pt idx="156">
                  <c:v>6779.486412000002</c:v>
                </c:pt>
                <c:pt idx="157">
                  <c:v>6779.486412000002</c:v>
                </c:pt>
                <c:pt idx="158">
                  <c:v>6779.486412000002</c:v>
                </c:pt>
                <c:pt idx="159">
                  <c:v>6779.486412000002</c:v>
                </c:pt>
                <c:pt idx="160">
                  <c:v>6779.486412000002</c:v>
                </c:pt>
                <c:pt idx="161">
                  <c:v>6779.486412000002</c:v>
                </c:pt>
                <c:pt idx="162">
                  <c:v>6779.486412000002</c:v>
                </c:pt>
                <c:pt idx="163">
                  <c:v>6779.486412000002</c:v>
                </c:pt>
                <c:pt idx="164">
                  <c:v>6779.486412000002</c:v>
                </c:pt>
                <c:pt idx="165">
                  <c:v>6779.486412000002</c:v>
                </c:pt>
                <c:pt idx="166">
                  <c:v>6779.486412000002</c:v>
                </c:pt>
                <c:pt idx="167">
                  <c:v>6779.486412000002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BB-4318-A419-A765FAA292EF}"/>
            </c:ext>
          </c:extLst>
        </c:ser>
        <c:ser>
          <c:idx val="1"/>
          <c:order val="1"/>
          <c:tx>
            <c:strRef>
              <c:f>generadores!$AB$5</c:f>
              <c:strCache>
                <c:ptCount val="1"/>
                <c:pt idx="0">
                  <c:v>Sensibilidad 1 (e-liquids)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generadores!$AB$6:$AB$173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192.23162295920019</c:v>
                </c:pt>
                <c:pt idx="21">
                  <c:v>1236.6717410491999</c:v>
                </c:pt>
                <c:pt idx="22">
                  <c:v>381.55949078920003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182.67825793920019</c:v>
                </c:pt>
                <c:pt idx="30">
                  <c:v>193.1513867891999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982.07900978919997</c:v>
                </c:pt>
                <c:pt idx="44">
                  <c:v>2026.5191278791999</c:v>
                </c:pt>
                <c:pt idx="45">
                  <c:v>2370.9623547391998</c:v>
                </c:pt>
                <c:pt idx="46">
                  <c:v>2470.5976317191999</c:v>
                </c:pt>
                <c:pt idx="47">
                  <c:v>2629.3273617191999</c:v>
                </c:pt>
                <c:pt idx="48">
                  <c:v>2618.8018486791998</c:v>
                </c:pt>
                <c:pt idx="49">
                  <c:v>2527.4830686792002</c:v>
                </c:pt>
                <c:pt idx="50">
                  <c:v>2435.0857986791998</c:v>
                </c:pt>
                <c:pt idx="51">
                  <c:v>2530.0177686791999</c:v>
                </c:pt>
                <c:pt idx="52">
                  <c:v>2655.5517914391999</c:v>
                </c:pt>
                <c:pt idx="53">
                  <c:v>2861.8570834492002</c:v>
                </c:pt>
                <c:pt idx="54">
                  <c:v>2275.839451057207</c:v>
                </c:pt>
                <c:pt idx="55">
                  <c:v>1231.3993343791999</c:v>
                </c:pt>
                <c:pt idx="56">
                  <c:v>186.49933437920029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879.94107968000753</c:v>
                </c:pt>
                <c:pt idx="67">
                  <c:v>1924.3811974277489</c:v>
                </c:pt>
                <c:pt idx="68">
                  <c:v>2968.8213125092002</c:v>
                </c:pt>
                <c:pt idx="69">
                  <c:v>4013.2614305891998</c:v>
                </c:pt>
                <c:pt idx="70">
                  <c:v>5057.7015486792006</c:v>
                </c:pt>
                <c:pt idx="71">
                  <c:v>4776.0455696491999</c:v>
                </c:pt>
                <c:pt idx="72">
                  <c:v>4653.3086830392003</c:v>
                </c:pt>
                <c:pt idx="73">
                  <c:v>4606.4039530392001</c:v>
                </c:pt>
                <c:pt idx="74">
                  <c:v>4455.0603530392</c:v>
                </c:pt>
                <c:pt idx="75">
                  <c:v>4234.6231030392</c:v>
                </c:pt>
                <c:pt idx="76">
                  <c:v>3941.6156757991998</c:v>
                </c:pt>
                <c:pt idx="77">
                  <c:v>3075.4285711891998</c:v>
                </c:pt>
                <c:pt idx="78">
                  <c:v>2030.9884530991999</c:v>
                </c:pt>
                <c:pt idx="79">
                  <c:v>986.54833501920007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BB-4318-A419-A765FAA29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Interconexión Electricidad. España - Francia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interconexiones!$C$5</c:f>
              <c:strCache>
                <c:ptCount val="1"/>
                <c:pt idx="0">
                  <c:v>Modelo Implementado PyPSA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interconexiones!$C$6:$C$173</c:f>
              <c:numCache>
                <c:formatCode>General</c:formatCode>
                <c:ptCount val="168"/>
                <c:pt idx="0">
                  <c:v>-5000</c:v>
                </c:pt>
                <c:pt idx="1">
                  <c:v>0</c:v>
                </c:pt>
                <c:pt idx="2">
                  <c:v>0</c:v>
                </c:pt>
                <c:pt idx="3">
                  <c:v>-4229.1625054333708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-2443.5794976116422</c:v>
                </c:pt>
                <c:pt idx="8">
                  <c:v>0</c:v>
                </c:pt>
                <c:pt idx="9">
                  <c:v>-2204.2283937933921</c:v>
                </c:pt>
                <c:pt idx="10">
                  <c:v>578.16100895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0</c:v>
                </c:pt>
                <c:pt idx="17">
                  <c:v>-5000</c:v>
                </c:pt>
                <c:pt idx="18">
                  <c:v>-5000</c:v>
                </c:pt>
                <c:pt idx="19">
                  <c:v>-5000</c:v>
                </c:pt>
                <c:pt idx="20">
                  <c:v>-5000</c:v>
                </c:pt>
                <c:pt idx="21">
                  <c:v>-5000</c:v>
                </c:pt>
                <c:pt idx="22">
                  <c:v>-5000</c:v>
                </c:pt>
                <c:pt idx="23">
                  <c:v>-5000</c:v>
                </c:pt>
                <c:pt idx="24">
                  <c:v>-5000</c:v>
                </c:pt>
                <c:pt idx="25">
                  <c:v>-5000</c:v>
                </c:pt>
                <c:pt idx="26">
                  <c:v>-5000</c:v>
                </c:pt>
                <c:pt idx="27">
                  <c:v>-5000</c:v>
                </c:pt>
                <c:pt idx="28">
                  <c:v>-5000</c:v>
                </c:pt>
                <c:pt idx="29">
                  <c:v>-5000</c:v>
                </c:pt>
                <c:pt idx="30">
                  <c:v>-5000</c:v>
                </c:pt>
                <c:pt idx="31">
                  <c:v>-5000</c:v>
                </c:pt>
                <c:pt idx="32">
                  <c:v>-5000</c:v>
                </c:pt>
                <c:pt idx="33">
                  <c:v>-5000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-3593.4465114408231</c:v>
                </c:pt>
                <c:pt idx="41">
                  <c:v>-5000</c:v>
                </c:pt>
                <c:pt idx="42">
                  <c:v>-5000</c:v>
                </c:pt>
                <c:pt idx="43">
                  <c:v>-5000</c:v>
                </c:pt>
                <c:pt idx="44">
                  <c:v>-5000</c:v>
                </c:pt>
                <c:pt idx="45">
                  <c:v>-5000</c:v>
                </c:pt>
                <c:pt idx="46">
                  <c:v>-5000</c:v>
                </c:pt>
                <c:pt idx="47">
                  <c:v>-5000</c:v>
                </c:pt>
                <c:pt idx="48">
                  <c:v>-5000</c:v>
                </c:pt>
                <c:pt idx="49">
                  <c:v>-5000</c:v>
                </c:pt>
                <c:pt idx="50">
                  <c:v>-5000</c:v>
                </c:pt>
                <c:pt idx="51">
                  <c:v>-5000</c:v>
                </c:pt>
                <c:pt idx="52">
                  <c:v>-5000</c:v>
                </c:pt>
                <c:pt idx="53">
                  <c:v>-5000</c:v>
                </c:pt>
                <c:pt idx="54">
                  <c:v>-5000</c:v>
                </c:pt>
                <c:pt idx="55">
                  <c:v>-5000</c:v>
                </c:pt>
                <c:pt idx="56">
                  <c:v>-5000</c:v>
                </c:pt>
                <c:pt idx="57">
                  <c:v>-5000</c:v>
                </c:pt>
                <c:pt idx="58">
                  <c:v>-3371.1965034756581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-5000</c:v>
                </c:pt>
                <c:pt idx="65">
                  <c:v>-5000</c:v>
                </c:pt>
                <c:pt idx="66">
                  <c:v>-5000</c:v>
                </c:pt>
                <c:pt idx="67">
                  <c:v>-5000</c:v>
                </c:pt>
                <c:pt idx="68">
                  <c:v>-5000</c:v>
                </c:pt>
                <c:pt idx="69">
                  <c:v>-5000</c:v>
                </c:pt>
                <c:pt idx="70">
                  <c:v>-5000</c:v>
                </c:pt>
                <c:pt idx="71">
                  <c:v>-5000</c:v>
                </c:pt>
                <c:pt idx="72">
                  <c:v>-5000</c:v>
                </c:pt>
                <c:pt idx="73">
                  <c:v>-5000</c:v>
                </c:pt>
                <c:pt idx="74">
                  <c:v>-5000</c:v>
                </c:pt>
                <c:pt idx="75">
                  <c:v>-5000</c:v>
                </c:pt>
                <c:pt idx="76">
                  <c:v>-5000</c:v>
                </c:pt>
                <c:pt idx="77">
                  <c:v>-5000</c:v>
                </c:pt>
                <c:pt idx="78">
                  <c:v>-5000</c:v>
                </c:pt>
                <c:pt idx="79">
                  <c:v>-5000</c:v>
                </c:pt>
                <c:pt idx="80">
                  <c:v>-5000</c:v>
                </c:pt>
                <c:pt idx="81">
                  <c:v>-5000</c:v>
                </c:pt>
                <c:pt idx="82">
                  <c:v>-5000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-3139.1474637299998</c:v>
                </c:pt>
                <c:pt idx="88">
                  <c:v>0</c:v>
                </c:pt>
                <c:pt idx="89">
                  <c:v>-5000</c:v>
                </c:pt>
                <c:pt idx="90">
                  <c:v>-5000</c:v>
                </c:pt>
                <c:pt idx="91">
                  <c:v>-5000</c:v>
                </c:pt>
                <c:pt idx="92">
                  <c:v>-5000</c:v>
                </c:pt>
                <c:pt idx="93">
                  <c:v>-5000</c:v>
                </c:pt>
                <c:pt idx="94">
                  <c:v>-746.27792890000001</c:v>
                </c:pt>
                <c:pt idx="95">
                  <c:v>0</c:v>
                </c:pt>
                <c:pt idx="96">
                  <c:v>0</c:v>
                </c:pt>
                <c:pt idx="97">
                  <c:v>353.90529597</c:v>
                </c:pt>
                <c:pt idx="98">
                  <c:v>2858.6637063200001</c:v>
                </c:pt>
                <c:pt idx="99">
                  <c:v>0</c:v>
                </c:pt>
                <c:pt idx="100">
                  <c:v>0</c:v>
                </c:pt>
                <c:pt idx="101">
                  <c:v>1329.8327752099999</c:v>
                </c:pt>
                <c:pt idx="102">
                  <c:v>3030.0808235099998</c:v>
                </c:pt>
                <c:pt idx="103">
                  <c:v>197.61554663999999</c:v>
                </c:pt>
                <c:pt idx="104">
                  <c:v>843.23938495000004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2797.6247696400001</c:v>
                </c:pt>
                <c:pt idx="117">
                  <c:v>0</c:v>
                </c:pt>
                <c:pt idx="118">
                  <c:v>29.88274315</c:v>
                </c:pt>
                <c:pt idx="119">
                  <c:v>2244.1603927199999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30-4F2B-864B-5558E102881A}"/>
            </c:ext>
          </c:extLst>
        </c:ser>
        <c:ser>
          <c:idx val="1"/>
          <c:order val="1"/>
          <c:tx>
            <c:strRef>
              <c:f>interconexiones!$D$5</c:f>
              <c:strCache>
                <c:ptCount val="1"/>
                <c:pt idx="0">
                  <c:v>Sensibilidad 1 (MAh2)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interconexiones!$D$6:$D$173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30-4F2B-864B-5558E102881A}"/>
            </c:ext>
          </c:extLst>
        </c:ser>
        <c:ser>
          <c:idx val="2"/>
          <c:order val="2"/>
          <c:tx>
            <c:strRef>
              <c:f>interconexiones!$E$5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interconexiones!$E$6:$E$173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30-4F2B-864B-5558E102881A}"/>
            </c:ext>
          </c:extLst>
        </c:ser>
        <c:ser>
          <c:idx val="3"/>
          <c:order val="3"/>
          <c:tx>
            <c:strRef>
              <c:f>interconexiones!$F$5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interconexiones!$F$6:$F$173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30-4F2B-864B-5558E1028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453760"/>
        <c:axId val="1142437440"/>
      </c:lineChart>
      <c:catAx>
        <c:axId val="1142453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2437440"/>
        <c:crosses val="autoZero"/>
        <c:auto val="1"/>
        <c:lblAlgn val="ctr"/>
        <c:lblOffset val="100"/>
        <c:noMultiLvlLbl val="0"/>
      </c:catAx>
      <c:valAx>
        <c:axId val="114243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245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Interconexión Electricidad. España - Portugal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interconexiones!$I$5</c:f>
              <c:strCache>
                <c:ptCount val="1"/>
                <c:pt idx="0">
                  <c:v>Modelo Implementado PyPSA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interconexiones!$I$6:$I$173</c:f>
              <c:numCache>
                <c:formatCode>General</c:formatCode>
                <c:ptCount val="168"/>
                <c:pt idx="0">
                  <c:v>-125.1149825182401</c:v>
                </c:pt>
                <c:pt idx="1">
                  <c:v>-3500</c:v>
                </c:pt>
                <c:pt idx="2">
                  <c:v>-3500</c:v>
                </c:pt>
                <c:pt idx="3">
                  <c:v>-1463.7733712935089</c:v>
                </c:pt>
                <c:pt idx="4">
                  <c:v>-3316.98062278923</c:v>
                </c:pt>
                <c:pt idx="5">
                  <c:v>-1122.3361027362139</c:v>
                </c:pt>
                <c:pt idx="6">
                  <c:v>-3284.8143033409192</c:v>
                </c:pt>
                <c:pt idx="7">
                  <c:v>-3500</c:v>
                </c:pt>
                <c:pt idx="8">
                  <c:v>-3500</c:v>
                </c:pt>
                <c:pt idx="9">
                  <c:v>-3500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153.67195201872161</c:v>
                </c:pt>
                <c:pt idx="17">
                  <c:v>-3500</c:v>
                </c:pt>
                <c:pt idx="18">
                  <c:v>-410.0732189624996</c:v>
                </c:pt>
                <c:pt idx="19">
                  <c:v>-3500</c:v>
                </c:pt>
                <c:pt idx="20">
                  <c:v>-902.51534151568012</c:v>
                </c:pt>
                <c:pt idx="21">
                  <c:v>-1389.2131713029189</c:v>
                </c:pt>
                <c:pt idx="22">
                  <c:v>-2662.9892144423889</c:v>
                </c:pt>
                <c:pt idx="23">
                  <c:v>-2056.337111728451</c:v>
                </c:pt>
                <c:pt idx="24">
                  <c:v>-3106.55460852242</c:v>
                </c:pt>
                <c:pt idx="25">
                  <c:v>-2730.52861385611</c:v>
                </c:pt>
                <c:pt idx="26">
                  <c:v>-3500</c:v>
                </c:pt>
                <c:pt idx="27">
                  <c:v>-3295.5286436433398</c:v>
                </c:pt>
                <c:pt idx="28">
                  <c:v>-3494.54778406888</c:v>
                </c:pt>
                <c:pt idx="29">
                  <c:v>-3500</c:v>
                </c:pt>
                <c:pt idx="30">
                  <c:v>-3500</c:v>
                </c:pt>
                <c:pt idx="31">
                  <c:v>-2242.46027683484</c:v>
                </c:pt>
                <c:pt idx="32">
                  <c:v>-3500</c:v>
                </c:pt>
                <c:pt idx="33">
                  <c:v>-2375.6311549316788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-1224.6992692983699</c:v>
                </c:pt>
                <c:pt idx="41">
                  <c:v>-3500</c:v>
                </c:pt>
                <c:pt idx="42">
                  <c:v>-3281.8706266220711</c:v>
                </c:pt>
                <c:pt idx="43">
                  <c:v>-1954.3142054111399</c:v>
                </c:pt>
                <c:pt idx="44">
                  <c:v>-1399.5149415156779</c:v>
                </c:pt>
                <c:pt idx="45">
                  <c:v>-3500</c:v>
                </c:pt>
                <c:pt idx="46">
                  <c:v>-2629.5749485414158</c:v>
                </c:pt>
                <c:pt idx="47">
                  <c:v>-2394.394383038531</c:v>
                </c:pt>
                <c:pt idx="48">
                  <c:v>-3500</c:v>
                </c:pt>
                <c:pt idx="49">
                  <c:v>-3500</c:v>
                </c:pt>
                <c:pt idx="50">
                  <c:v>-3293.3911292796911</c:v>
                </c:pt>
                <c:pt idx="51">
                  <c:v>-3500</c:v>
                </c:pt>
                <c:pt idx="52">
                  <c:v>-3500</c:v>
                </c:pt>
                <c:pt idx="53">
                  <c:v>-3500</c:v>
                </c:pt>
                <c:pt idx="54">
                  <c:v>-3500</c:v>
                </c:pt>
                <c:pt idx="55">
                  <c:v>-3500</c:v>
                </c:pt>
                <c:pt idx="56">
                  <c:v>-3500</c:v>
                </c:pt>
                <c:pt idx="57">
                  <c:v>-3500</c:v>
                </c:pt>
                <c:pt idx="58">
                  <c:v>-1964.42155653241</c:v>
                </c:pt>
                <c:pt idx="59">
                  <c:v>-1576.1193983396361</c:v>
                </c:pt>
                <c:pt idx="60">
                  <c:v>-1699.028611728452</c:v>
                </c:pt>
                <c:pt idx="61">
                  <c:v>-3500</c:v>
                </c:pt>
                <c:pt idx="62">
                  <c:v>-2422.7239415156801</c:v>
                </c:pt>
                <c:pt idx="63">
                  <c:v>-1328.06757130292</c:v>
                </c:pt>
                <c:pt idx="64">
                  <c:v>-1453.8950077401489</c:v>
                </c:pt>
                <c:pt idx="65">
                  <c:v>-425.65959993825351</c:v>
                </c:pt>
                <c:pt idx="66">
                  <c:v>-757.28426662206675</c:v>
                </c:pt>
                <c:pt idx="67">
                  <c:v>-3500</c:v>
                </c:pt>
                <c:pt idx="68">
                  <c:v>-2653.3935415156802</c:v>
                </c:pt>
                <c:pt idx="69">
                  <c:v>-3500</c:v>
                </c:pt>
                <c:pt idx="70">
                  <c:v>-2250.953554560153</c:v>
                </c:pt>
                <c:pt idx="71">
                  <c:v>-325.96989045184819</c:v>
                </c:pt>
                <c:pt idx="72">
                  <c:v>-944.28128619653944</c:v>
                </c:pt>
                <c:pt idx="73">
                  <c:v>-1334.4406010901489</c:v>
                </c:pt>
                <c:pt idx="74">
                  <c:v>-1705.07489470717</c:v>
                </c:pt>
                <c:pt idx="75">
                  <c:v>-1823.4439627922791</c:v>
                </c:pt>
                <c:pt idx="76">
                  <c:v>-1803.93458406888</c:v>
                </c:pt>
                <c:pt idx="77">
                  <c:v>-1689.5598061965391</c:v>
                </c:pt>
                <c:pt idx="78">
                  <c:v>-1332.8417185369599</c:v>
                </c:pt>
                <c:pt idx="79">
                  <c:v>-3500</c:v>
                </c:pt>
                <c:pt idx="80">
                  <c:v>-743.17613981355771</c:v>
                </c:pt>
                <c:pt idx="81">
                  <c:v>-2257.5941184176181</c:v>
                </c:pt>
                <c:pt idx="82">
                  <c:v>-1082.2101040771361</c:v>
                </c:pt>
                <c:pt idx="83">
                  <c:v>-1620.364388811332</c:v>
                </c:pt>
                <c:pt idx="84">
                  <c:v>467.72444346759272</c:v>
                </c:pt>
                <c:pt idx="85">
                  <c:v>-1187.862065043048</c:v>
                </c:pt>
                <c:pt idx="86">
                  <c:v>-2641.937486319639</c:v>
                </c:pt>
                <c:pt idx="87">
                  <c:v>-2766.066152726597</c:v>
                </c:pt>
                <c:pt idx="88">
                  <c:v>-3486.8248181760719</c:v>
                </c:pt>
                <c:pt idx="89">
                  <c:v>-3500</c:v>
                </c:pt>
                <c:pt idx="90">
                  <c:v>-3143.3485194194109</c:v>
                </c:pt>
                <c:pt idx="91">
                  <c:v>-2968.8187882256689</c:v>
                </c:pt>
                <c:pt idx="92">
                  <c:v>-3087.6860181114189</c:v>
                </c:pt>
                <c:pt idx="93">
                  <c:v>-1542.790190343334</c:v>
                </c:pt>
                <c:pt idx="94">
                  <c:v>-1686.854839406348</c:v>
                </c:pt>
                <c:pt idx="95">
                  <c:v>1.2568937952037229</c:v>
                </c:pt>
                <c:pt idx="96">
                  <c:v>-1609.060512493437</c:v>
                </c:pt>
                <c:pt idx="97">
                  <c:v>0</c:v>
                </c:pt>
                <c:pt idx="98">
                  <c:v>-3500</c:v>
                </c:pt>
                <c:pt idx="99">
                  <c:v>0</c:v>
                </c:pt>
                <c:pt idx="100">
                  <c:v>0</c:v>
                </c:pt>
                <c:pt idx="101">
                  <c:v>-851.3909670476005</c:v>
                </c:pt>
                <c:pt idx="102">
                  <c:v>-609.2307831277476</c:v>
                </c:pt>
                <c:pt idx="103">
                  <c:v>-674.59679683484001</c:v>
                </c:pt>
                <c:pt idx="104">
                  <c:v>0</c:v>
                </c:pt>
                <c:pt idx="105">
                  <c:v>1970.065362581212</c:v>
                </c:pt>
                <c:pt idx="106">
                  <c:v>2154.6702434675899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215.05464446382209</c:v>
                </c:pt>
                <c:pt idx="112">
                  <c:v>1438.9902541058909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B1-4B2E-B49B-CC56BAB1AACA}"/>
            </c:ext>
          </c:extLst>
        </c:ser>
        <c:ser>
          <c:idx val="1"/>
          <c:order val="1"/>
          <c:tx>
            <c:strRef>
              <c:f>interconexiones!$J$5</c:f>
              <c:strCache>
                <c:ptCount val="1"/>
                <c:pt idx="0">
                  <c:v>Sensibilidad 1 (MAh2)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interconexiones!$J$6:$J$173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B1-4B2E-B49B-CC56BAB1AACA}"/>
            </c:ext>
          </c:extLst>
        </c:ser>
        <c:ser>
          <c:idx val="2"/>
          <c:order val="2"/>
          <c:tx>
            <c:strRef>
              <c:f>interconexiones!$K$5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interconexiones!$K$6:$K$173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B1-4B2E-B49B-CC56BAB1AACA}"/>
            </c:ext>
          </c:extLst>
        </c:ser>
        <c:ser>
          <c:idx val="3"/>
          <c:order val="3"/>
          <c:tx>
            <c:strRef>
              <c:f>interconexiones!$L$5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interconexiones!$L$6:$L$173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B1-4B2E-B49B-CC56BAB1A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453760"/>
        <c:axId val="1142437440"/>
      </c:lineChart>
      <c:catAx>
        <c:axId val="1142453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2437440"/>
        <c:crosses val="autoZero"/>
        <c:auto val="1"/>
        <c:lblAlgn val="ctr"/>
        <c:lblOffset val="100"/>
        <c:noMultiLvlLbl val="0"/>
      </c:catAx>
      <c:valAx>
        <c:axId val="114243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245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Interconexión Hidrógeno. España - Portugal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interconexiones!$O$5</c:f>
              <c:strCache>
                <c:ptCount val="1"/>
                <c:pt idx="0">
                  <c:v>Modelo Implementado PyPSA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interconexiones!$O$6:$O$173</c:f>
              <c:numCache>
                <c:formatCode>General</c:formatCode>
                <c:ptCount val="168"/>
                <c:pt idx="0">
                  <c:v>250.3942113358145</c:v>
                </c:pt>
                <c:pt idx="1">
                  <c:v>327.05411425167739</c:v>
                </c:pt>
                <c:pt idx="2">
                  <c:v>377.87399938300251</c:v>
                </c:pt>
                <c:pt idx="3">
                  <c:v>425.47099996914289</c:v>
                </c:pt>
                <c:pt idx="4">
                  <c:v>459.44627236118907</c:v>
                </c:pt>
                <c:pt idx="5">
                  <c:v>576.41582494730415</c:v>
                </c:pt>
                <c:pt idx="6">
                  <c:v>697.69885780497282</c:v>
                </c:pt>
                <c:pt idx="7">
                  <c:v>787.54212575313625</c:v>
                </c:pt>
                <c:pt idx="8">
                  <c:v>885.90724067787733</c:v>
                </c:pt>
                <c:pt idx="9">
                  <c:v>431.83422652889362</c:v>
                </c:pt>
                <c:pt idx="10">
                  <c:v>-25.245719582288981</c:v>
                </c:pt>
                <c:pt idx="11">
                  <c:v>-460.00571959228893</c:v>
                </c:pt>
                <c:pt idx="12">
                  <c:v>-894.76571958328918</c:v>
                </c:pt>
                <c:pt idx="13">
                  <c:v>-696.80238301794998</c:v>
                </c:pt>
                <c:pt idx="14">
                  <c:v>-1149.005359583289</c:v>
                </c:pt>
                <c:pt idx="15">
                  <c:v>-714.2453595832892</c:v>
                </c:pt>
                <c:pt idx="16">
                  <c:v>-279.48535958328898</c:v>
                </c:pt>
                <c:pt idx="17">
                  <c:v>155.27464041671101</c:v>
                </c:pt>
                <c:pt idx="18">
                  <c:v>646.02709320792621</c:v>
                </c:pt>
                <c:pt idx="19">
                  <c:v>445.10913894847118</c:v>
                </c:pt>
                <c:pt idx="20">
                  <c:v>313.24163980127258</c:v>
                </c:pt>
                <c:pt idx="21">
                  <c:v>217.75197415692881</c:v>
                </c:pt>
                <c:pt idx="22">
                  <c:v>202.92047218312109</c:v>
                </c:pt>
                <c:pt idx="23">
                  <c:v>252.2638997094605</c:v>
                </c:pt>
                <c:pt idx="24">
                  <c:v>300.90906664509532</c:v>
                </c:pt>
                <c:pt idx="25">
                  <c:v>354.00191940514878</c:v>
                </c:pt>
                <c:pt idx="26">
                  <c:v>415.18447363426287</c:v>
                </c:pt>
                <c:pt idx="27">
                  <c:v>469.22590351258299</c:v>
                </c:pt>
                <c:pt idx="28">
                  <c:v>514.56869364465012</c:v>
                </c:pt>
                <c:pt idx="29">
                  <c:v>664.0886432481268</c:v>
                </c:pt>
                <c:pt idx="30">
                  <c:v>783.69960796512078</c:v>
                </c:pt>
                <c:pt idx="31">
                  <c:v>859.22646235786169</c:v>
                </c:pt>
                <c:pt idx="32">
                  <c:v>931.36368792216319</c:v>
                </c:pt>
                <c:pt idx="33">
                  <c:v>482.02552057537582</c:v>
                </c:pt>
                <c:pt idx="34">
                  <c:v>23.526711612138119</c:v>
                </c:pt>
                <c:pt idx="35">
                  <c:v>-411.23328839786183</c:v>
                </c:pt>
                <c:pt idx="36">
                  <c:v>-845.99328838886208</c:v>
                </c:pt>
                <c:pt idx="37">
                  <c:v>-1280.7532883833619</c:v>
                </c:pt>
                <c:pt idx="38">
                  <c:v>-1130.344738388862</c:v>
                </c:pt>
                <c:pt idx="39">
                  <c:v>-695.58473838886198</c:v>
                </c:pt>
                <c:pt idx="40">
                  <c:v>-260.82473838886199</c:v>
                </c:pt>
                <c:pt idx="41">
                  <c:v>173.935261611138</c:v>
                </c:pt>
                <c:pt idx="42">
                  <c:v>663.07244994175062</c:v>
                </c:pt>
                <c:pt idx="43">
                  <c:v>375.85005549829322</c:v>
                </c:pt>
                <c:pt idx="44">
                  <c:v>223.29674220211021</c:v>
                </c:pt>
                <c:pt idx="45">
                  <c:v>136.93445172470501</c:v>
                </c:pt>
                <c:pt idx="46">
                  <c:v>74.365940253939243</c:v>
                </c:pt>
                <c:pt idx="47">
                  <c:v>123.0736335392933</c:v>
                </c:pt>
                <c:pt idx="48">
                  <c:v>214.26435834143669</c:v>
                </c:pt>
                <c:pt idx="49">
                  <c:v>223.48016018889189</c:v>
                </c:pt>
                <c:pt idx="50">
                  <c:v>187.5172971825109</c:v>
                </c:pt>
                <c:pt idx="51">
                  <c:v>166.47174721960849</c:v>
                </c:pt>
                <c:pt idx="52">
                  <c:v>157.1253150486634</c:v>
                </c:pt>
                <c:pt idx="53">
                  <c:v>240.0727023060945</c:v>
                </c:pt>
                <c:pt idx="54">
                  <c:v>354.87848081593711</c:v>
                </c:pt>
                <c:pt idx="55">
                  <c:v>495.52756601443429</c:v>
                </c:pt>
                <c:pt idx="56">
                  <c:v>666.51041271688712</c:v>
                </c:pt>
                <c:pt idx="57">
                  <c:v>373.94002184287018</c:v>
                </c:pt>
                <c:pt idx="58">
                  <c:v>-135.5327766128739</c:v>
                </c:pt>
                <c:pt idx="59">
                  <c:v>-570.29277661287392</c:v>
                </c:pt>
                <c:pt idx="60">
                  <c:v>-1005.052776613874</c:v>
                </c:pt>
                <c:pt idx="61">
                  <c:v>-1439.8127766183741</c:v>
                </c:pt>
                <c:pt idx="62">
                  <c:v>-1213.6280766138741</c:v>
                </c:pt>
                <c:pt idx="63">
                  <c:v>-778.86807661387388</c:v>
                </c:pt>
                <c:pt idx="64">
                  <c:v>-344.10807661387412</c:v>
                </c:pt>
                <c:pt idx="65">
                  <c:v>90.6519233861261</c:v>
                </c:pt>
                <c:pt idx="66">
                  <c:v>587.34977648005679</c:v>
                </c:pt>
                <c:pt idx="67">
                  <c:v>369.67161676727142</c:v>
                </c:pt>
                <c:pt idx="68">
                  <c:v>262.40080268462128</c:v>
                </c:pt>
                <c:pt idx="69">
                  <c:v>257.21286512307921</c:v>
                </c:pt>
                <c:pt idx="70">
                  <c:v>249.1245674377418</c:v>
                </c:pt>
                <c:pt idx="71">
                  <c:v>295.67250604139218</c:v>
                </c:pt>
                <c:pt idx="72">
                  <c:v>261.64828180561631</c:v>
                </c:pt>
                <c:pt idx="73">
                  <c:v>317.53662348835837</c:v>
                </c:pt>
                <c:pt idx="74">
                  <c:v>325.4287047244469</c:v>
                </c:pt>
                <c:pt idx="75">
                  <c:v>319.32391427334142</c:v>
                </c:pt>
                <c:pt idx="76">
                  <c:v>292.36449510135731</c:v>
                </c:pt>
                <c:pt idx="77">
                  <c:v>351.50366852884338</c:v>
                </c:pt>
                <c:pt idx="78">
                  <c:v>403.57339680868182</c:v>
                </c:pt>
                <c:pt idx="79">
                  <c:v>484.41991991339762</c:v>
                </c:pt>
                <c:pt idx="80">
                  <c:v>559.23607195788827</c:v>
                </c:pt>
                <c:pt idx="81">
                  <c:v>340.78197713669829</c:v>
                </c:pt>
                <c:pt idx="82">
                  <c:v>-166.7219871774823</c:v>
                </c:pt>
                <c:pt idx="83">
                  <c:v>-601.4819871774821</c:v>
                </c:pt>
                <c:pt idx="84">
                  <c:v>-1036.2419871784821</c:v>
                </c:pt>
                <c:pt idx="85">
                  <c:v>-1471.001987182982</c:v>
                </c:pt>
                <c:pt idx="86">
                  <c:v>-1905.761987178483</c:v>
                </c:pt>
                <c:pt idx="87">
                  <c:v>-1864.5526389784529</c:v>
                </c:pt>
                <c:pt idx="88">
                  <c:v>-1305.648455279091</c:v>
                </c:pt>
                <c:pt idx="89">
                  <c:v>-954.58448514257202</c:v>
                </c:pt>
                <c:pt idx="90">
                  <c:v>-893.53189133785304</c:v>
                </c:pt>
                <c:pt idx="91">
                  <c:v>-1208.4258076910901</c:v>
                </c:pt>
                <c:pt idx="92">
                  <c:v>-1585.387948862329</c:v>
                </c:pt>
                <c:pt idx="93">
                  <c:v>-2059.25739013362</c:v>
                </c:pt>
                <c:pt idx="94">
                  <c:v>-2320.1964215628368</c:v>
                </c:pt>
                <c:pt idx="95">
                  <c:v>-2395.0449173263032</c:v>
                </c:pt>
                <c:pt idx="96">
                  <c:v>-2325.833840771505</c:v>
                </c:pt>
                <c:pt idx="97">
                  <c:v>-2368.3349189433411</c:v>
                </c:pt>
                <c:pt idx="98">
                  <c:v>-2390.1066395250291</c:v>
                </c:pt>
                <c:pt idx="99">
                  <c:v>-2296.0327096392889</c:v>
                </c:pt>
                <c:pt idx="100">
                  <c:v>-2164.3499746711932</c:v>
                </c:pt>
                <c:pt idx="101">
                  <c:v>-2023.1106477788021</c:v>
                </c:pt>
                <c:pt idx="102">
                  <c:v>-1948.9643948291309</c:v>
                </c:pt>
                <c:pt idx="103">
                  <c:v>-1717.5017786393889</c:v>
                </c:pt>
                <c:pt idx="104">
                  <c:v>-1394.90535909972</c:v>
                </c:pt>
                <c:pt idx="105">
                  <c:v>-1393.4775504039419</c:v>
                </c:pt>
                <c:pt idx="106">
                  <c:v>0</c:v>
                </c:pt>
                <c:pt idx="107">
                  <c:v>-853.82914512483603</c:v>
                </c:pt>
                <c:pt idx="108">
                  <c:v>0</c:v>
                </c:pt>
                <c:pt idx="109">
                  <c:v>0</c:v>
                </c:pt>
                <c:pt idx="110">
                  <c:v>4.1641214920673519E-9</c:v>
                </c:pt>
                <c:pt idx="111">
                  <c:v>-274.75316512583589</c:v>
                </c:pt>
                <c:pt idx="112">
                  <c:v>-709.51316512583617</c:v>
                </c:pt>
                <c:pt idx="113">
                  <c:v>-262.30735040394302</c:v>
                </c:pt>
                <c:pt idx="114">
                  <c:v>-576.39383938611218</c:v>
                </c:pt>
                <c:pt idx="115">
                  <c:v>-573.6102166905282</c:v>
                </c:pt>
                <c:pt idx="116">
                  <c:v>-532.71475867791173</c:v>
                </c:pt>
                <c:pt idx="117">
                  <c:v>-427.4932769264999</c:v>
                </c:pt>
                <c:pt idx="118">
                  <c:v>-243.44245603341321</c:v>
                </c:pt>
                <c:pt idx="119">
                  <c:v>-40.439583834273662</c:v>
                </c:pt>
                <c:pt idx="120">
                  <c:v>495.30929074846989</c:v>
                </c:pt>
                <c:pt idx="121">
                  <c:v>673.89166134499737</c:v>
                </c:pt>
                <c:pt idx="122">
                  <c:v>791.19367244456726</c:v>
                </c:pt>
                <c:pt idx="123">
                  <c:v>863.05709784151054</c:v>
                </c:pt>
                <c:pt idx="124">
                  <c:v>884.90786651638803</c:v>
                </c:pt>
                <c:pt idx="125">
                  <c:v>844.93498752840753</c:v>
                </c:pt>
                <c:pt idx="126">
                  <c:v>838.05110443002513</c:v>
                </c:pt>
                <c:pt idx="127">
                  <c:v>853.29666802996576</c:v>
                </c:pt>
                <c:pt idx="128">
                  <c:v>870.0253882258404</c:v>
                </c:pt>
                <c:pt idx="129">
                  <c:v>498.40891386020729</c:v>
                </c:pt>
                <c:pt idx="130">
                  <c:v>1.799890014808625E-9</c:v>
                </c:pt>
                <c:pt idx="131">
                  <c:v>1.799890014808625E-9</c:v>
                </c:pt>
                <c:pt idx="132">
                  <c:v>1.799890014808625E-9</c:v>
                </c:pt>
                <c:pt idx="133">
                  <c:v>1.799890014808625E-9</c:v>
                </c:pt>
                <c:pt idx="134">
                  <c:v>-136.4429706781998</c:v>
                </c:pt>
                <c:pt idx="135">
                  <c:v>-571.20297067162187</c:v>
                </c:pt>
                <c:pt idx="136">
                  <c:v>-1005.962970671622</c:v>
                </c:pt>
                <c:pt idx="137">
                  <c:v>-1268.8719851604189</c:v>
                </c:pt>
                <c:pt idx="138">
                  <c:v>-1182.5139530488291</c:v>
                </c:pt>
                <c:pt idx="139">
                  <c:v>-1439.938757812148</c:v>
                </c:pt>
                <c:pt idx="140">
                  <c:v>-1690.0355363772171</c:v>
                </c:pt>
                <c:pt idx="141">
                  <c:v>-1905.663326917356</c:v>
                </c:pt>
                <c:pt idx="142">
                  <c:v>-2112.0666069218082</c:v>
                </c:pt>
                <c:pt idx="143">
                  <c:v>-2319.0868639925902</c:v>
                </c:pt>
                <c:pt idx="144">
                  <c:v>-2119.0448806695108</c:v>
                </c:pt>
                <c:pt idx="145">
                  <c:v>-1684.2848806695119</c:v>
                </c:pt>
                <c:pt idx="146">
                  <c:v>-1249.524880669512</c:v>
                </c:pt>
                <c:pt idx="147">
                  <c:v>-814.76488066951219</c:v>
                </c:pt>
                <c:pt idx="148">
                  <c:v>-380.00488066951198</c:v>
                </c:pt>
                <c:pt idx="149">
                  <c:v>4.87943907501176E-10</c:v>
                </c:pt>
                <c:pt idx="150">
                  <c:v>4.87943907501176E-10</c:v>
                </c:pt>
                <c:pt idx="151">
                  <c:v>4.87943907501176E-10</c:v>
                </c:pt>
                <c:pt idx="152">
                  <c:v>4.87943907501176E-10</c:v>
                </c:pt>
                <c:pt idx="153">
                  <c:v>4.87943907501176E-10</c:v>
                </c:pt>
                <c:pt idx="154">
                  <c:v>-6.0899765230715267E-9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4.87943907501176E-10</c:v>
                </c:pt>
                <c:pt idx="160">
                  <c:v>4.87943907501176E-10</c:v>
                </c:pt>
                <c:pt idx="161">
                  <c:v>4.87943907501176E-10</c:v>
                </c:pt>
                <c:pt idx="162">
                  <c:v>4.87943907501176E-10</c:v>
                </c:pt>
                <c:pt idx="163">
                  <c:v>4.87943907501176E-10</c:v>
                </c:pt>
                <c:pt idx="164">
                  <c:v>4.87943907501176E-10</c:v>
                </c:pt>
                <c:pt idx="165">
                  <c:v>4.87943907501176E-10</c:v>
                </c:pt>
                <c:pt idx="166">
                  <c:v>4.87943907501176E-10</c:v>
                </c:pt>
                <c:pt idx="167">
                  <c:v>4.87943907501176E-10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8-4306-8E53-9A72F84CCE30}"/>
            </c:ext>
          </c:extLst>
        </c:ser>
        <c:ser>
          <c:idx val="1"/>
          <c:order val="1"/>
          <c:tx>
            <c:strRef>
              <c:f>interconexiones!$P$5</c:f>
              <c:strCache>
                <c:ptCount val="1"/>
                <c:pt idx="0">
                  <c:v>Sensibilidad 1 (MAh2)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interconexiones!$P$6:$P$173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18-4306-8E53-9A72F84CCE30}"/>
            </c:ext>
          </c:extLst>
        </c:ser>
        <c:ser>
          <c:idx val="2"/>
          <c:order val="2"/>
          <c:tx>
            <c:strRef>
              <c:f>interconexiones!$Q$5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interconexiones!$Q$6:$Q$173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18-4306-8E53-9A72F84CCE30}"/>
            </c:ext>
          </c:extLst>
        </c:ser>
        <c:ser>
          <c:idx val="3"/>
          <c:order val="3"/>
          <c:tx>
            <c:strRef>
              <c:f>interconexiones!$R$5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interconexiones!$R$6:$R$173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18-4306-8E53-9A72F84CC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453760"/>
        <c:axId val="1142437440"/>
      </c:lineChart>
      <c:catAx>
        <c:axId val="1142453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2437440"/>
        <c:crosses val="autoZero"/>
        <c:auto val="1"/>
        <c:lblAlgn val="ctr"/>
        <c:lblOffset val="100"/>
        <c:noMultiLvlLbl val="0"/>
      </c:catAx>
      <c:valAx>
        <c:axId val="114243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245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Interconexión Hidrógeno. España - Marruecos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interconexiones!$U$5</c:f>
              <c:strCache>
                <c:ptCount val="1"/>
                <c:pt idx="0">
                  <c:v>Modelo Implementado PyPSA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interconexiones!$U$6:$U$173</c:f>
              <c:numCache>
                <c:formatCode>General</c:formatCode>
                <c:ptCount val="168"/>
                <c:pt idx="0">
                  <c:v>-2543.580933391645</c:v>
                </c:pt>
                <c:pt idx="1">
                  <c:v>-1517.8</c:v>
                </c:pt>
                <c:pt idx="2">
                  <c:v>-1517.8</c:v>
                </c:pt>
                <c:pt idx="3">
                  <c:v>-1517.8</c:v>
                </c:pt>
                <c:pt idx="4">
                  <c:v>-1517.8</c:v>
                </c:pt>
                <c:pt idx="5">
                  <c:v>-1517.8</c:v>
                </c:pt>
                <c:pt idx="6">
                  <c:v>-1517.8</c:v>
                </c:pt>
                <c:pt idx="7">
                  <c:v>-1517.8</c:v>
                </c:pt>
                <c:pt idx="8">
                  <c:v>-1517.8</c:v>
                </c:pt>
                <c:pt idx="9">
                  <c:v>-1517.8</c:v>
                </c:pt>
                <c:pt idx="10">
                  <c:v>-1517.8</c:v>
                </c:pt>
                <c:pt idx="11">
                  <c:v>-1517.8</c:v>
                </c:pt>
                <c:pt idx="12">
                  <c:v>-1517.8</c:v>
                </c:pt>
                <c:pt idx="13">
                  <c:v>-1517.8</c:v>
                </c:pt>
                <c:pt idx="14">
                  <c:v>-1517.8</c:v>
                </c:pt>
                <c:pt idx="15">
                  <c:v>-1517.8</c:v>
                </c:pt>
                <c:pt idx="16">
                  <c:v>-1517.8</c:v>
                </c:pt>
                <c:pt idx="17">
                  <c:v>-3000</c:v>
                </c:pt>
                <c:pt idx="18">
                  <c:v>-3000</c:v>
                </c:pt>
                <c:pt idx="19">
                  <c:v>-3000</c:v>
                </c:pt>
                <c:pt idx="20">
                  <c:v>-3000</c:v>
                </c:pt>
                <c:pt idx="21">
                  <c:v>-3000</c:v>
                </c:pt>
                <c:pt idx="22">
                  <c:v>-3000</c:v>
                </c:pt>
                <c:pt idx="23">
                  <c:v>-3000</c:v>
                </c:pt>
                <c:pt idx="24">
                  <c:v>-3000</c:v>
                </c:pt>
                <c:pt idx="25">
                  <c:v>-3000</c:v>
                </c:pt>
                <c:pt idx="26">
                  <c:v>-3000</c:v>
                </c:pt>
                <c:pt idx="27">
                  <c:v>-3000</c:v>
                </c:pt>
                <c:pt idx="28">
                  <c:v>-3000</c:v>
                </c:pt>
                <c:pt idx="29">
                  <c:v>-3000</c:v>
                </c:pt>
                <c:pt idx="30">
                  <c:v>-3000</c:v>
                </c:pt>
                <c:pt idx="31">
                  <c:v>-3000</c:v>
                </c:pt>
                <c:pt idx="32">
                  <c:v>-3000</c:v>
                </c:pt>
                <c:pt idx="33">
                  <c:v>-3000</c:v>
                </c:pt>
                <c:pt idx="34">
                  <c:v>-1517.8</c:v>
                </c:pt>
                <c:pt idx="35">
                  <c:v>-1517.8</c:v>
                </c:pt>
                <c:pt idx="36">
                  <c:v>-1517.8</c:v>
                </c:pt>
                <c:pt idx="37">
                  <c:v>-1517.8</c:v>
                </c:pt>
                <c:pt idx="38">
                  <c:v>-1517.8</c:v>
                </c:pt>
                <c:pt idx="39">
                  <c:v>-1517.8</c:v>
                </c:pt>
                <c:pt idx="40">
                  <c:v>-1517.8</c:v>
                </c:pt>
                <c:pt idx="41">
                  <c:v>-3000</c:v>
                </c:pt>
                <c:pt idx="42">
                  <c:v>-3000</c:v>
                </c:pt>
                <c:pt idx="43">
                  <c:v>-3000</c:v>
                </c:pt>
                <c:pt idx="44">
                  <c:v>-3000</c:v>
                </c:pt>
                <c:pt idx="45">
                  <c:v>-3000</c:v>
                </c:pt>
                <c:pt idx="46">
                  <c:v>-3000</c:v>
                </c:pt>
                <c:pt idx="47">
                  <c:v>-3000</c:v>
                </c:pt>
                <c:pt idx="48">
                  <c:v>-3000</c:v>
                </c:pt>
                <c:pt idx="49">
                  <c:v>-3000</c:v>
                </c:pt>
                <c:pt idx="50">
                  <c:v>-3000</c:v>
                </c:pt>
                <c:pt idx="51">
                  <c:v>-3000</c:v>
                </c:pt>
                <c:pt idx="52">
                  <c:v>-3000</c:v>
                </c:pt>
                <c:pt idx="53">
                  <c:v>-3000</c:v>
                </c:pt>
                <c:pt idx="54">
                  <c:v>-3000</c:v>
                </c:pt>
                <c:pt idx="55">
                  <c:v>-3000</c:v>
                </c:pt>
                <c:pt idx="56">
                  <c:v>-3000</c:v>
                </c:pt>
                <c:pt idx="57">
                  <c:v>-3000</c:v>
                </c:pt>
                <c:pt idx="58">
                  <c:v>-1517.8</c:v>
                </c:pt>
                <c:pt idx="59">
                  <c:v>-1517.8</c:v>
                </c:pt>
                <c:pt idx="60">
                  <c:v>-1517.8</c:v>
                </c:pt>
                <c:pt idx="61">
                  <c:v>-1517.8</c:v>
                </c:pt>
                <c:pt idx="62">
                  <c:v>-1517.8</c:v>
                </c:pt>
                <c:pt idx="63">
                  <c:v>-1517.8</c:v>
                </c:pt>
                <c:pt idx="64">
                  <c:v>-3000</c:v>
                </c:pt>
                <c:pt idx="65">
                  <c:v>-3000</c:v>
                </c:pt>
                <c:pt idx="66">
                  <c:v>-3000</c:v>
                </c:pt>
                <c:pt idx="67">
                  <c:v>-3000</c:v>
                </c:pt>
                <c:pt idx="68">
                  <c:v>-3000</c:v>
                </c:pt>
                <c:pt idx="69">
                  <c:v>-3000</c:v>
                </c:pt>
                <c:pt idx="70">
                  <c:v>-3000</c:v>
                </c:pt>
                <c:pt idx="71">
                  <c:v>-3000</c:v>
                </c:pt>
                <c:pt idx="72">
                  <c:v>-3000</c:v>
                </c:pt>
                <c:pt idx="73">
                  <c:v>-3000</c:v>
                </c:pt>
                <c:pt idx="74">
                  <c:v>-3000</c:v>
                </c:pt>
                <c:pt idx="75">
                  <c:v>-3000</c:v>
                </c:pt>
                <c:pt idx="76">
                  <c:v>-3000</c:v>
                </c:pt>
                <c:pt idx="77">
                  <c:v>-3000</c:v>
                </c:pt>
                <c:pt idx="78">
                  <c:v>-3000</c:v>
                </c:pt>
                <c:pt idx="79">
                  <c:v>-3000</c:v>
                </c:pt>
                <c:pt idx="80">
                  <c:v>-3000</c:v>
                </c:pt>
                <c:pt idx="81">
                  <c:v>-3000</c:v>
                </c:pt>
                <c:pt idx="82">
                  <c:v>-3000</c:v>
                </c:pt>
                <c:pt idx="83">
                  <c:v>-2465.648946199266</c:v>
                </c:pt>
                <c:pt idx="84">
                  <c:v>-1747.075424959424</c:v>
                </c:pt>
                <c:pt idx="85">
                  <c:v>-1517.8</c:v>
                </c:pt>
                <c:pt idx="86">
                  <c:v>-1517.8</c:v>
                </c:pt>
                <c:pt idx="87">
                  <c:v>-1739.9550474754869</c:v>
                </c:pt>
                <c:pt idx="88">
                  <c:v>-3000</c:v>
                </c:pt>
                <c:pt idx="89">
                  <c:v>-3000</c:v>
                </c:pt>
                <c:pt idx="90">
                  <c:v>-3000</c:v>
                </c:pt>
                <c:pt idx="91">
                  <c:v>-3000</c:v>
                </c:pt>
                <c:pt idx="92">
                  <c:v>-3000</c:v>
                </c:pt>
                <c:pt idx="93">
                  <c:v>-3000</c:v>
                </c:pt>
                <c:pt idx="94">
                  <c:v>-2644.790200173295</c:v>
                </c:pt>
                <c:pt idx="95">
                  <c:v>-2573.370686753688</c:v>
                </c:pt>
                <c:pt idx="96">
                  <c:v>-1517.8</c:v>
                </c:pt>
                <c:pt idx="97">
                  <c:v>-1517.8</c:v>
                </c:pt>
                <c:pt idx="98">
                  <c:v>-1517.8</c:v>
                </c:pt>
                <c:pt idx="99">
                  <c:v>-1517.8</c:v>
                </c:pt>
                <c:pt idx="100">
                  <c:v>-1517.8</c:v>
                </c:pt>
                <c:pt idx="101">
                  <c:v>-1517.8</c:v>
                </c:pt>
                <c:pt idx="102">
                  <c:v>-1517.8</c:v>
                </c:pt>
                <c:pt idx="103">
                  <c:v>-1517.8</c:v>
                </c:pt>
                <c:pt idx="104">
                  <c:v>-1517.8</c:v>
                </c:pt>
                <c:pt idx="105">
                  <c:v>-1517.8</c:v>
                </c:pt>
                <c:pt idx="106">
                  <c:v>-1517.8</c:v>
                </c:pt>
                <c:pt idx="107">
                  <c:v>-1517.8</c:v>
                </c:pt>
                <c:pt idx="108">
                  <c:v>-1517.8</c:v>
                </c:pt>
                <c:pt idx="109">
                  <c:v>-1517.8</c:v>
                </c:pt>
                <c:pt idx="110">
                  <c:v>-1517.8</c:v>
                </c:pt>
                <c:pt idx="111">
                  <c:v>-1517.8</c:v>
                </c:pt>
                <c:pt idx="112">
                  <c:v>-1517.8</c:v>
                </c:pt>
                <c:pt idx="113">
                  <c:v>-1517.8</c:v>
                </c:pt>
                <c:pt idx="114">
                  <c:v>-1517.8</c:v>
                </c:pt>
                <c:pt idx="115">
                  <c:v>-1517.8</c:v>
                </c:pt>
                <c:pt idx="116">
                  <c:v>-1517.8</c:v>
                </c:pt>
                <c:pt idx="117">
                  <c:v>-1517.8</c:v>
                </c:pt>
                <c:pt idx="118">
                  <c:v>-1517.8</c:v>
                </c:pt>
                <c:pt idx="119">
                  <c:v>-1517.8</c:v>
                </c:pt>
                <c:pt idx="120">
                  <c:v>-1517.8</c:v>
                </c:pt>
                <c:pt idx="121">
                  <c:v>-1517.8</c:v>
                </c:pt>
                <c:pt idx="122">
                  <c:v>-1517.8</c:v>
                </c:pt>
                <c:pt idx="123">
                  <c:v>-1517.8</c:v>
                </c:pt>
                <c:pt idx="124">
                  <c:v>-1517.8</c:v>
                </c:pt>
                <c:pt idx="125">
                  <c:v>-1517.8</c:v>
                </c:pt>
                <c:pt idx="126">
                  <c:v>-1517.8</c:v>
                </c:pt>
                <c:pt idx="127">
                  <c:v>-1517.8</c:v>
                </c:pt>
                <c:pt idx="128">
                  <c:v>-1517.8</c:v>
                </c:pt>
                <c:pt idx="129">
                  <c:v>-1517.8</c:v>
                </c:pt>
                <c:pt idx="130">
                  <c:v>-1517.8</c:v>
                </c:pt>
                <c:pt idx="131">
                  <c:v>-1517.8</c:v>
                </c:pt>
                <c:pt idx="132">
                  <c:v>-1517.8</c:v>
                </c:pt>
                <c:pt idx="133">
                  <c:v>-1517.8</c:v>
                </c:pt>
                <c:pt idx="134">
                  <c:v>-1517.8</c:v>
                </c:pt>
                <c:pt idx="135">
                  <c:v>-1517.8</c:v>
                </c:pt>
                <c:pt idx="136">
                  <c:v>-1517.8</c:v>
                </c:pt>
                <c:pt idx="137">
                  <c:v>-1517.8</c:v>
                </c:pt>
                <c:pt idx="138">
                  <c:v>-1517.8</c:v>
                </c:pt>
                <c:pt idx="139">
                  <c:v>-1517.8</c:v>
                </c:pt>
                <c:pt idx="140">
                  <c:v>-1517.8</c:v>
                </c:pt>
                <c:pt idx="141">
                  <c:v>-1517.8</c:v>
                </c:pt>
                <c:pt idx="142">
                  <c:v>-1517.8</c:v>
                </c:pt>
                <c:pt idx="143">
                  <c:v>-1517.8</c:v>
                </c:pt>
                <c:pt idx="144">
                  <c:v>-1517.8</c:v>
                </c:pt>
                <c:pt idx="145">
                  <c:v>-1517.8</c:v>
                </c:pt>
                <c:pt idx="146">
                  <c:v>-1517.8</c:v>
                </c:pt>
                <c:pt idx="147">
                  <c:v>-1517.8</c:v>
                </c:pt>
                <c:pt idx="148">
                  <c:v>-1517.8</c:v>
                </c:pt>
                <c:pt idx="149">
                  <c:v>-1517.8</c:v>
                </c:pt>
                <c:pt idx="150">
                  <c:v>-1517.8</c:v>
                </c:pt>
                <c:pt idx="151">
                  <c:v>-1517.8</c:v>
                </c:pt>
                <c:pt idx="152">
                  <c:v>-1517.8</c:v>
                </c:pt>
                <c:pt idx="153">
                  <c:v>-1517.8</c:v>
                </c:pt>
                <c:pt idx="154">
                  <c:v>-1517.8</c:v>
                </c:pt>
                <c:pt idx="155">
                  <c:v>-1517.8</c:v>
                </c:pt>
                <c:pt idx="156">
                  <c:v>-1517.8</c:v>
                </c:pt>
                <c:pt idx="157">
                  <c:v>-1517.8</c:v>
                </c:pt>
                <c:pt idx="158">
                  <c:v>-1517.8</c:v>
                </c:pt>
                <c:pt idx="159">
                  <c:v>-1517.8</c:v>
                </c:pt>
                <c:pt idx="160">
                  <c:v>-1517.8</c:v>
                </c:pt>
                <c:pt idx="161">
                  <c:v>-1517.8</c:v>
                </c:pt>
                <c:pt idx="162">
                  <c:v>-1517.8</c:v>
                </c:pt>
                <c:pt idx="163">
                  <c:v>-1517.8</c:v>
                </c:pt>
                <c:pt idx="164">
                  <c:v>-1517.8</c:v>
                </c:pt>
                <c:pt idx="165">
                  <c:v>-1517.8</c:v>
                </c:pt>
                <c:pt idx="166">
                  <c:v>-1517.8</c:v>
                </c:pt>
                <c:pt idx="167">
                  <c:v>-1517.8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46-4E08-AC82-5161CEB3F7B9}"/>
            </c:ext>
          </c:extLst>
        </c:ser>
        <c:ser>
          <c:idx val="1"/>
          <c:order val="1"/>
          <c:tx>
            <c:strRef>
              <c:f>interconexiones!$V$5</c:f>
              <c:strCache>
                <c:ptCount val="1"/>
                <c:pt idx="0">
                  <c:v>Sensibilidad 1 (MAh2)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interconexiones!$V$6:$V$173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46-4E08-AC82-5161CEB3F7B9}"/>
            </c:ext>
          </c:extLst>
        </c:ser>
        <c:ser>
          <c:idx val="2"/>
          <c:order val="2"/>
          <c:tx>
            <c:strRef>
              <c:f>interconexiones!$W$5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interconexiones!$W$6:$W$173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46-4E08-AC82-5161CEB3F7B9}"/>
            </c:ext>
          </c:extLst>
        </c:ser>
        <c:ser>
          <c:idx val="3"/>
          <c:order val="3"/>
          <c:tx>
            <c:strRef>
              <c:f>interconexiones!$X$5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interconexiones!$X$6:$X$173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46-4E08-AC82-5161CEB3F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453760"/>
        <c:axId val="1142437440"/>
      </c:lineChart>
      <c:catAx>
        <c:axId val="1142453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2437440"/>
        <c:crosses val="autoZero"/>
        <c:auto val="1"/>
        <c:lblAlgn val="ctr"/>
        <c:lblOffset val="100"/>
        <c:noMultiLvlLbl val="0"/>
      </c:catAx>
      <c:valAx>
        <c:axId val="114243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245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Interconexión Hidrógeno. España - Francia</a:t>
            </a:r>
            <a:r>
              <a:rPr lang="es-ES" b="1" baseline="0"/>
              <a:t> BarMar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interconexiones!$AA$5</c:f>
              <c:strCache>
                <c:ptCount val="1"/>
                <c:pt idx="0">
                  <c:v>Modelo Implementado PyPSA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interconexiones!$AA$6:$AA$173</c:f>
              <c:numCache>
                <c:formatCode>General</c:formatCode>
                <c:ptCount val="168"/>
                <c:pt idx="0">
                  <c:v>3985.9887313007998</c:v>
                </c:pt>
                <c:pt idx="1">
                  <c:v>3985.9887313007998</c:v>
                </c:pt>
                <c:pt idx="2">
                  <c:v>3985.9887313007998</c:v>
                </c:pt>
                <c:pt idx="3">
                  <c:v>3985.9887313007998</c:v>
                </c:pt>
                <c:pt idx="4">
                  <c:v>3985.9887313007998</c:v>
                </c:pt>
                <c:pt idx="5">
                  <c:v>3985.9887313007998</c:v>
                </c:pt>
                <c:pt idx="6">
                  <c:v>3985.9887313007998</c:v>
                </c:pt>
                <c:pt idx="7">
                  <c:v>3985.9887313007998</c:v>
                </c:pt>
                <c:pt idx="8">
                  <c:v>3985.9887313007998</c:v>
                </c:pt>
                <c:pt idx="9">
                  <c:v>3985.9887313007998</c:v>
                </c:pt>
                <c:pt idx="10">
                  <c:v>5030.8887250000007</c:v>
                </c:pt>
                <c:pt idx="11">
                  <c:v>6076.2477979611012</c:v>
                </c:pt>
                <c:pt idx="12">
                  <c:v>7092.7285040622282</c:v>
                </c:pt>
                <c:pt idx="13">
                  <c:v>6839.9388079922282</c:v>
                </c:pt>
                <c:pt idx="14">
                  <c:v>6076.2477979611012</c:v>
                </c:pt>
                <c:pt idx="15">
                  <c:v>5030.8887250000007</c:v>
                </c:pt>
                <c:pt idx="16">
                  <c:v>3985.9887250000002</c:v>
                </c:pt>
                <c:pt idx="17">
                  <c:v>2941.0887313008002</c:v>
                </c:pt>
                <c:pt idx="18">
                  <c:v>1896.6486132108</c:v>
                </c:pt>
                <c:pt idx="19">
                  <c:v>852.20849513079975</c:v>
                </c:pt>
                <c:pt idx="20">
                  <c:v>-192.23162295920019</c:v>
                </c:pt>
                <c:pt idx="21">
                  <c:v>-1236.6717410491999</c:v>
                </c:pt>
                <c:pt idx="22">
                  <c:v>-381.55949078920003</c:v>
                </c:pt>
                <c:pt idx="23">
                  <c:v>663.34050921080006</c:v>
                </c:pt>
                <c:pt idx="24">
                  <c:v>1708.2414952608001</c:v>
                </c:pt>
                <c:pt idx="25">
                  <c:v>2753.1414952608002</c:v>
                </c:pt>
                <c:pt idx="26">
                  <c:v>2953.4013878008</c:v>
                </c:pt>
                <c:pt idx="27">
                  <c:v>1908.5013878008001</c:v>
                </c:pt>
                <c:pt idx="28">
                  <c:v>863.14150589080009</c:v>
                </c:pt>
                <c:pt idx="29">
                  <c:v>-182.67825793920019</c:v>
                </c:pt>
                <c:pt idx="30">
                  <c:v>-193.1513867891999</c:v>
                </c:pt>
                <c:pt idx="31">
                  <c:v>851.28873130080001</c:v>
                </c:pt>
                <c:pt idx="32">
                  <c:v>1896.1887313008001</c:v>
                </c:pt>
                <c:pt idx="33">
                  <c:v>2941.0887313008002</c:v>
                </c:pt>
                <c:pt idx="34">
                  <c:v>3985.9887313007998</c:v>
                </c:pt>
                <c:pt idx="35">
                  <c:v>5031.3486132108001</c:v>
                </c:pt>
                <c:pt idx="36">
                  <c:v>6076.7084917823558</c:v>
                </c:pt>
                <c:pt idx="37">
                  <c:v>5287.320484416914</c:v>
                </c:pt>
                <c:pt idx="38">
                  <c:v>4241.9611020000011</c:v>
                </c:pt>
                <c:pt idx="39">
                  <c:v>3196.60122009</c:v>
                </c:pt>
                <c:pt idx="40">
                  <c:v>2151.7012263908</c:v>
                </c:pt>
                <c:pt idx="41">
                  <c:v>1106.8012263907999</c:v>
                </c:pt>
                <c:pt idx="42">
                  <c:v>62.36110830079997</c:v>
                </c:pt>
                <c:pt idx="43">
                  <c:v>-982.07900978919997</c:v>
                </c:pt>
                <c:pt idx="44">
                  <c:v>-2026.5191278791999</c:v>
                </c:pt>
                <c:pt idx="45">
                  <c:v>-2370.9623547391998</c:v>
                </c:pt>
                <c:pt idx="46">
                  <c:v>-2470.5976317191999</c:v>
                </c:pt>
                <c:pt idx="47">
                  <c:v>-2629.3273617191999</c:v>
                </c:pt>
                <c:pt idx="48">
                  <c:v>-2618.8018486791998</c:v>
                </c:pt>
                <c:pt idx="49">
                  <c:v>-2527.4830686792002</c:v>
                </c:pt>
                <c:pt idx="50">
                  <c:v>-2435.0857986791998</c:v>
                </c:pt>
                <c:pt idx="51">
                  <c:v>-2530.0177686791999</c:v>
                </c:pt>
                <c:pt idx="52">
                  <c:v>-2655.5517914391999</c:v>
                </c:pt>
                <c:pt idx="53">
                  <c:v>-2861.8570834492002</c:v>
                </c:pt>
                <c:pt idx="54">
                  <c:v>-2275.839451057207</c:v>
                </c:pt>
                <c:pt idx="55">
                  <c:v>-1231.3993343791999</c:v>
                </c:pt>
                <c:pt idx="56">
                  <c:v>-186.49933437920029</c:v>
                </c:pt>
                <c:pt idx="57">
                  <c:v>858.40066562079983</c:v>
                </c:pt>
                <c:pt idx="58">
                  <c:v>1903.3006656207999</c:v>
                </c:pt>
                <c:pt idx="59">
                  <c:v>2948.66054123</c:v>
                </c:pt>
                <c:pt idx="60">
                  <c:v>3994.0204231500002</c:v>
                </c:pt>
                <c:pt idx="61">
                  <c:v>4345.0187992800002</c:v>
                </c:pt>
                <c:pt idx="62">
                  <c:v>3299.658917369999</c:v>
                </c:pt>
                <c:pt idx="63">
                  <c:v>2254.2990417607998</c:v>
                </c:pt>
                <c:pt idx="64">
                  <c:v>1209.3990417607999</c:v>
                </c:pt>
                <c:pt idx="65">
                  <c:v>164.49904176080011</c:v>
                </c:pt>
                <c:pt idx="66">
                  <c:v>-879.94107968000753</c:v>
                </c:pt>
                <c:pt idx="67">
                  <c:v>-1924.3811974277489</c:v>
                </c:pt>
                <c:pt idx="68">
                  <c:v>-2968.8213125092002</c:v>
                </c:pt>
                <c:pt idx="69">
                  <c:v>-4013.2614305891998</c:v>
                </c:pt>
                <c:pt idx="70">
                  <c:v>-5057.7015486792006</c:v>
                </c:pt>
                <c:pt idx="71">
                  <c:v>-4776.0455696491999</c:v>
                </c:pt>
                <c:pt idx="72">
                  <c:v>-4653.3086830392003</c:v>
                </c:pt>
                <c:pt idx="73">
                  <c:v>-4606.4039530392001</c:v>
                </c:pt>
                <c:pt idx="74">
                  <c:v>-4455.0603530392</c:v>
                </c:pt>
                <c:pt idx="75">
                  <c:v>-4234.6231030392</c:v>
                </c:pt>
                <c:pt idx="76">
                  <c:v>-3941.6156757991998</c:v>
                </c:pt>
                <c:pt idx="77">
                  <c:v>-3075.4285711891998</c:v>
                </c:pt>
                <c:pt idx="78">
                  <c:v>-2030.9884530991999</c:v>
                </c:pt>
                <c:pt idx="79">
                  <c:v>-986.54833501920007</c:v>
                </c:pt>
                <c:pt idx="80">
                  <c:v>58.351664980799796</c:v>
                </c:pt>
                <c:pt idx="81">
                  <c:v>1103.2516649807999</c:v>
                </c:pt>
                <c:pt idx="82">
                  <c:v>2148.1516649808</c:v>
                </c:pt>
                <c:pt idx="83">
                  <c:v>3193.5115469008001</c:v>
                </c:pt>
                <c:pt idx="84">
                  <c:v>4238.8714225100002</c:v>
                </c:pt>
                <c:pt idx="85">
                  <c:v>5283.7709199802484</c:v>
                </c:pt>
                <c:pt idx="86">
                  <c:v>5876.7448172199984</c:v>
                </c:pt>
                <c:pt idx="87">
                  <c:v>5877.2046991276302</c:v>
                </c:pt>
                <c:pt idx="88">
                  <c:v>5225.9887313008003</c:v>
                </c:pt>
                <c:pt idx="89">
                  <c:v>4181.0887302962128</c:v>
                </c:pt>
                <c:pt idx="90">
                  <c:v>3985.9887313007998</c:v>
                </c:pt>
                <c:pt idx="91">
                  <c:v>3985.9887313007998</c:v>
                </c:pt>
                <c:pt idx="92">
                  <c:v>3985.9887313007998</c:v>
                </c:pt>
                <c:pt idx="93">
                  <c:v>3985.9887313007998</c:v>
                </c:pt>
                <c:pt idx="94">
                  <c:v>5031.3486132108001</c:v>
                </c:pt>
                <c:pt idx="95">
                  <c:v>6076.2486098694699</c:v>
                </c:pt>
                <c:pt idx="96">
                  <c:v>5874.9043035294753</c:v>
                </c:pt>
                <c:pt idx="97">
                  <c:v>5874.9043035294753</c:v>
                </c:pt>
                <c:pt idx="98">
                  <c:v>6107.5676513994749</c:v>
                </c:pt>
                <c:pt idx="99">
                  <c:v>6204.9043035294753</c:v>
                </c:pt>
                <c:pt idx="100">
                  <c:v>5875.3641854371072</c:v>
                </c:pt>
                <c:pt idx="101">
                  <c:v>5876.2839492623707</c:v>
                </c:pt>
                <c:pt idx="102">
                  <c:v>6206.7438311700034</c:v>
                </c:pt>
                <c:pt idx="103">
                  <c:v>6207.2037130776353</c:v>
                </c:pt>
                <c:pt idx="104">
                  <c:v>6310.3037130776347</c:v>
                </c:pt>
                <c:pt idx="105">
                  <c:v>7355.2037130776353</c:v>
                </c:pt>
                <c:pt idx="106">
                  <c:v>7355.2037130776353</c:v>
                </c:pt>
                <c:pt idx="107">
                  <c:v>7354.7438311700034</c:v>
                </c:pt>
                <c:pt idx="108">
                  <c:v>7354.2839492623707</c:v>
                </c:pt>
                <c:pt idx="109">
                  <c:v>7354.2839492623707</c:v>
                </c:pt>
                <c:pt idx="110">
                  <c:v>7354.7438311700034</c:v>
                </c:pt>
                <c:pt idx="111">
                  <c:v>7355.2037130776353</c:v>
                </c:pt>
                <c:pt idx="112">
                  <c:v>7355.2037130776353</c:v>
                </c:pt>
                <c:pt idx="113">
                  <c:v>7025.2037130776353</c:v>
                </c:pt>
                <c:pt idx="114">
                  <c:v>6373.7442569700033</c:v>
                </c:pt>
                <c:pt idx="115">
                  <c:v>5876.2839492623707</c:v>
                </c:pt>
                <c:pt idx="116">
                  <c:v>5875.8240673547389</c:v>
                </c:pt>
                <c:pt idx="117">
                  <c:v>6205.3641854371072</c:v>
                </c:pt>
                <c:pt idx="118">
                  <c:v>5874.9043035294753</c:v>
                </c:pt>
                <c:pt idx="119">
                  <c:v>6204.9043035294753</c:v>
                </c:pt>
                <c:pt idx="120">
                  <c:v>6534.820693689906</c:v>
                </c:pt>
                <c:pt idx="121">
                  <c:v>7315.643064539905</c:v>
                </c:pt>
                <c:pt idx="122">
                  <c:v>7022.820693689906</c:v>
                </c:pt>
                <c:pt idx="123">
                  <c:v>7352.820693689906</c:v>
                </c:pt>
                <c:pt idx="124">
                  <c:v>7353.7484276051282</c:v>
                </c:pt>
                <c:pt idx="125">
                  <c:v>6536.6761615103514</c:v>
                </c:pt>
                <c:pt idx="126">
                  <c:v>7355.140028467963</c:v>
                </c:pt>
                <c:pt idx="127">
                  <c:v>7024.6761615103514</c:v>
                </c:pt>
                <c:pt idx="128">
                  <c:v>7024.6761615103514</c:v>
                </c:pt>
                <c:pt idx="129">
                  <c:v>7354.6761615103514</c:v>
                </c:pt>
                <c:pt idx="130">
                  <c:v>7354.6761615103514</c:v>
                </c:pt>
                <c:pt idx="131">
                  <c:v>7355.140028467963</c:v>
                </c:pt>
                <c:pt idx="132">
                  <c:v>7354.6761615103514</c:v>
                </c:pt>
                <c:pt idx="133">
                  <c:v>7354.6761615103514</c:v>
                </c:pt>
                <c:pt idx="134">
                  <c:v>7355.140028467963</c:v>
                </c:pt>
                <c:pt idx="135">
                  <c:v>7354.6761615103514</c:v>
                </c:pt>
                <c:pt idx="136">
                  <c:v>7354.6761615103514</c:v>
                </c:pt>
                <c:pt idx="137">
                  <c:v>6310.7038954303516</c:v>
                </c:pt>
                <c:pt idx="138">
                  <c:v>7355.140028467963</c:v>
                </c:pt>
                <c:pt idx="139">
                  <c:v>7024.6761615103514</c:v>
                </c:pt>
                <c:pt idx="140">
                  <c:v>7354.2122945527399</c:v>
                </c:pt>
                <c:pt idx="141">
                  <c:v>7023.7484276051282</c:v>
                </c:pt>
                <c:pt idx="142">
                  <c:v>6534.820693689906</c:v>
                </c:pt>
                <c:pt idx="143">
                  <c:v>7022.820693689906</c:v>
                </c:pt>
                <c:pt idx="144">
                  <c:v>7352.8197076399101</c:v>
                </c:pt>
                <c:pt idx="145">
                  <c:v>7352.8197076399101</c:v>
                </c:pt>
                <c:pt idx="146">
                  <c:v>7352.8197076399101</c:v>
                </c:pt>
                <c:pt idx="147">
                  <c:v>7352.8197076399101</c:v>
                </c:pt>
                <c:pt idx="148">
                  <c:v>7353.7474415551333</c:v>
                </c:pt>
                <c:pt idx="149">
                  <c:v>7354.6751754603574</c:v>
                </c:pt>
                <c:pt idx="150">
                  <c:v>7355.1390424179681</c:v>
                </c:pt>
                <c:pt idx="151">
                  <c:v>7354.6751754603574</c:v>
                </c:pt>
                <c:pt idx="152">
                  <c:v>7354.6751754603574</c:v>
                </c:pt>
                <c:pt idx="153">
                  <c:v>7354.6751754603574</c:v>
                </c:pt>
                <c:pt idx="154">
                  <c:v>7354.6751754603574</c:v>
                </c:pt>
                <c:pt idx="155">
                  <c:v>7355.1390424179681</c:v>
                </c:pt>
                <c:pt idx="156">
                  <c:v>7354.6751754603574</c:v>
                </c:pt>
                <c:pt idx="157">
                  <c:v>7354.6751754603574</c:v>
                </c:pt>
                <c:pt idx="158">
                  <c:v>7355.1390424179681</c:v>
                </c:pt>
                <c:pt idx="159">
                  <c:v>7354.6751754603574</c:v>
                </c:pt>
                <c:pt idx="160">
                  <c:v>7354.6751754603574</c:v>
                </c:pt>
                <c:pt idx="161">
                  <c:v>7354.6751754603574</c:v>
                </c:pt>
                <c:pt idx="162">
                  <c:v>7355.1390424179681</c:v>
                </c:pt>
                <c:pt idx="163">
                  <c:v>7354.6751754603574</c:v>
                </c:pt>
                <c:pt idx="164">
                  <c:v>7354.2113085027449</c:v>
                </c:pt>
                <c:pt idx="165">
                  <c:v>7353.7474415551333</c:v>
                </c:pt>
                <c:pt idx="166">
                  <c:v>7352.8197076399101</c:v>
                </c:pt>
                <c:pt idx="167">
                  <c:v>7352.8197076399101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FD-4B34-99F4-33C6E8773BB0}"/>
            </c:ext>
          </c:extLst>
        </c:ser>
        <c:ser>
          <c:idx val="1"/>
          <c:order val="1"/>
          <c:tx>
            <c:strRef>
              <c:f>interconexiones!$AB$5</c:f>
              <c:strCache>
                <c:ptCount val="1"/>
                <c:pt idx="0">
                  <c:v>Sensibilidad 1 (MAh2)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interconexiones!$AB$6:$AB$173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FD-4B34-99F4-33C6E8773BB0}"/>
            </c:ext>
          </c:extLst>
        </c:ser>
        <c:ser>
          <c:idx val="2"/>
          <c:order val="2"/>
          <c:tx>
            <c:strRef>
              <c:f>interconexiones!$AC$5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interconexiones!$AC$6:$AC$173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FD-4B34-99F4-33C6E8773BB0}"/>
            </c:ext>
          </c:extLst>
        </c:ser>
        <c:ser>
          <c:idx val="3"/>
          <c:order val="3"/>
          <c:tx>
            <c:strRef>
              <c:f>interconexiones!$AD$5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interconexiones!$AD$6:$AD$173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FD-4B34-99F4-33C6E8773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453760"/>
        <c:axId val="1142437440"/>
      </c:lineChart>
      <c:catAx>
        <c:axId val="1142453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2437440"/>
        <c:crosses val="autoZero"/>
        <c:auto val="1"/>
        <c:lblAlgn val="ctr"/>
        <c:lblOffset val="100"/>
        <c:noMultiLvlLbl val="0"/>
      </c:catAx>
      <c:valAx>
        <c:axId val="114243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245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Interconexión Hidrógeno.</a:t>
            </a:r>
            <a:r>
              <a:rPr lang="es-ES" b="1" baseline="0"/>
              <a:t> Irún-Larrao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interconexiones!$AG$5</c:f>
              <c:strCache>
                <c:ptCount val="1"/>
                <c:pt idx="0">
                  <c:v>Modelo Implementado PyPSA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interconexiones!$AG$6:$AG$173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651.2194867621406</c:v>
                </c:pt>
                <c:pt idx="11">
                  <c:v>948.49997740888125</c:v>
                </c:pt>
                <c:pt idx="12">
                  <c:v>261.55938940012197</c:v>
                </c:pt>
                <c:pt idx="13">
                  <c:v>261.55938940012197</c:v>
                </c:pt>
                <c:pt idx="14">
                  <c:v>948.49997740888125</c:v>
                </c:pt>
                <c:pt idx="15">
                  <c:v>981.21976923643342</c:v>
                </c:pt>
                <c:pt idx="16">
                  <c:v>294.27918122767392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588.96642469464177</c:v>
                </c:pt>
                <c:pt idx="38">
                  <c:v>650.75861840764549</c:v>
                </c:pt>
                <c:pt idx="39">
                  <c:v>651.21850071129654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165.5047805991085</c:v>
                </c:pt>
                <c:pt idx="60">
                  <c:v>650.29775005315071</c:v>
                </c:pt>
                <c:pt idx="61">
                  <c:v>650.29775005315071</c:v>
                </c:pt>
                <c:pt idx="62">
                  <c:v>650.75763235680154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650.29676400230665</c:v>
                </c:pt>
                <c:pt idx="85">
                  <c:v>592.51401703131683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2B-49E4-991B-A7FBCC8E0483}"/>
            </c:ext>
          </c:extLst>
        </c:ser>
        <c:ser>
          <c:idx val="1"/>
          <c:order val="1"/>
          <c:tx>
            <c:strRef>
              <c:f>interconexiones!$AH$5</c:f>
              <c:strCache>
                <c:ptCount val="1"/>
                <c:pt idx="0">
                  <c:v>Sensibilidad 1 (MAh2)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interconexiones!$AH$6:$AH$173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2B-49E4-991B-A7FBCC8E0483}"/>
            </c:ext>
          </c:extLst>
        </c:ser>
        <c:ser>
          <c:idx val="2"/>
          <c:order val="2"/>
          <c:tx>
            <c:strRef>
              <c:f>interconexiones!$AI$5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interconexiones!$AI$6:$AI$173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2B-49E4-991B-A7FBCC8E0483}"/>
            </c:ext>
          </c:extLst>
        </c:ser>
        <c:ser>
          <c:idx val="3"/>
          <c:order val="3"/>
          <c:tx>
            <c:strRef>
              <c:f>interconexiones!$AJ$5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interconexiones!$AJ$6:$AJ$173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2B-49E4-991B-A7FBCC8E0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453760"/>
        <c:axId val="1142437440"/>
      </c:lineChart>
      <c:catAx>
        <c:axId val="1142453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2437440"/>
        <c:crosses val="autoZero"/>
        <c:auto val="1"/>
        <c:lblAlgn val="ctr"/>
        <c:lblOffset val="100"/>
        <c:noMultiLvlLbl val="0"/>
      </c:catAx>
      <c:valAx>
        <c:axId val="114243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245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692629</xdr:colOff>
      <xdr:row>7</xdr:row>
      <xdr:rowOff>130343</xdr:rowOff>
    </xdr:from>
    <xdr:to>
      <xdr:col>6</xdr:col>
      <xdr:colOff>149413</xdr:colOff>
      <xdr:row>34</xdr:row>
      <xdr:rowOff>82177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6DBC2B-3A1F-1E39-8A6B-2D7587989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664882</xdr:colOff>
      <xdr:row>7</xdr:row>
      <xdr:rowOff>82176</xdr:rowOff>
    </xdr:from>
    <xdr:to>
      <xdr:col>12</xdr:col>
      <xdr:colOff>121666</xdr:colOff>
      <xdr:row>34</xdr:row>
      <xdr:rowOff>34010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719B16F-0442-418C-86F6-819A2A9DB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239058</xdr:colOff>
      <xdr:row>7</xdr:row>
      <xdr:rowOff>37353</xdr:rowOff>
    </xdr:from>
    <xdr:to>
      <xdr:col>18</xdr:col>
      <xdr:colOff>457842</xdr:colOff>
      <xdr:row>33</xdr:row>
      <xdr:rowOff>138599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57A254B-F3F4-4DCB-A831-816536B9E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239058</xdr:colOff>
      <xdr:row>7</xdr:row>
      <xdr:rowOff>37353</xdr:rowOff>
    </xdr:from>
    <xdr:to>
      <xdr:col>24</xdr:col>
      <xdr:colOff>457842</xdr:colOff>
      <xdr:row>33</xdr:row>
      <xdr:rowOff>138599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5CFC8D-407C-4613-8E93-7B8449208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239058</xdr:colOff>
      <xdr:row>7</xdr:row>
      <xdr:rowOff>37353</xdr:rowOff>
    </xdr:from>
    <xdr:to>
      <xdr:col>30</xdr:col>
      <xdr:colOff>457842</xdr:colOff>
      <xdr:row>33</xdr:row>
      <xdr:rowOff>138599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6EE62A2-51C1-416C-888C-E89D92AF7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409574</xdr:colOff>
      <xdr:row>9</xdr:row>
      <xdr:rowOff>177800</xdr:rowOff>
    </xdr:from>
    <xdr:to>
      <xdr:col>5</xdr:col>
      <xdr:colOff>1301749</xdr:colOff>
      <xdr:row>29</xdr:row>
      <xdr:rowOff>177800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301CB61-DCA6-EC1B-44FB-0BFC466C3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304800</xdr:colOff>
      <xdr:row>10</xdr:row>
      <xdr:rowOff>25400</xdr:rowOff>
    </xdr:from>
    <xdr:to>
      <xdr:col>11</xdr:col>
      <xdr:colOff>1196975</xdr:colOff>
      <xdr:row>30</xdr:row>
      <xdr:rowOff>25400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906AB3B-8E3F-40E0-A650-5ED5B53BC1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330200</xdr:colOff>
      <xdr:row>10</xdr:row>
      <xdr:rowOff>76200</xdr:rowOff>
    </xdr:from>
    <xdr:to>
      <xdr:col>17</xdr:col>
      <xdr:colOff>1222375</xdr:colOff>
      <xdr:row>30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0E36437-F793-41C2-BFFA-C346E71CD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558800</xdr:colOff>
      <xdr:row>9</xdr:row>
      <xdr:rowOff>171450</xdr:rowOff>
    </xdr:from>
    <xdr:to>
      <xdr:col>23</xdr:col>
      <xdr:colOff>1450975</xdr:colOff>
      <xdr:row>29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A68B4D6-9AF8-44C5-A5CE-AA7FDC585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412750</xdr:colOff>
      <xdr:row>10</xdr:row>
      <xdr:rowOff>44450</xdr:rowOff>
    </xdr:from>
    <xdr:to>
      <xdr:col>29</xdr:col>
      <xdr:colOff>1304925</xdr:colOff>
      <xdr:row>30</xdr:row>
      <xdr:rowOff>44450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6A48921-E468-489D-BD7E-6928A79D1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552450</xdr:colOff>
      <xdr:row>10</xdr:row>
      <xdr:rowOff>38100</xdr:rowOff>
    </xdr:from>
    <xdr:to>
      <xdr:col>35</xdr:col>
      <xdr:colOff>1444625</xdr:colOff>
      <xdr:row>30</xdr:row>
      <xdr:rowOff>38100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64DBDC6-B3CE-472D-94C5-822D75F98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XT10348\Downloads\WinPython%203.12.10\WPy64-31241\PROYECTOS%20PYPSA\Dispatching-Project-in-PypSA\hojas_de_datos\ResultadosBenchMarking.xlsx" TargetMode="External"/><Relationship Id="rId1" Type="http://schemas.openxmlformats.org/officeDocument/2006/relationships/externalLinkPath" Target="ResultadosBenchMa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XT10348\Downloads\WinPython%203.12.10\WPy64-31241\PROYECTOS%20PYPSA\Dispatching-Project-in-PypSA\hojas_de_datos\ResultadosBenchMarkingSensibilidad1_eliquids.xlsx" TargetMode="External"/><Relationship Id="rId1" Type="http://schemas.openxmlformats.org/officeDocument/2006/relationships/externalLinkPath" Target="ResultadosBenchMarkingSensibilidad1_eliqu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twork"/>
      <sheetName val="crs"/>
      <sheetName val="meta"/>
      <sheetName val="snapshots"/>
      <sheetName val="loads"/>
      <sheetName val="loads-p_set"/>
      <sheetName val="stores"/>
      <sheetName val="carriers"/>
      <sheetName val="links"/>
      <sheetName val="generators"/>
      <sheetName val="buses"/>
      <sheetName val="storage_units"/>
      <sheetName val="generators-p_max_pu"/>
      <sheetName val="generators-p_set"/>
      <sheetName val="links-p_max_pu"/>
      <sheetName val="stores-p"/>
      <sheetName val="stores-e"/>
      <sheetName val="generators-p"/>
      <sheetName val="loads-p"/>
      <sheetName val="buses-p"/>
      <sheetName val="buses-marginal_price"/>
      <sheetName val="storage_units-p"/>
      <sheetName val="storage_units-p_dispatch"/>
      <sheetName val="storage_units-p_store"/>
      <sheetName val="storage_units-state_of_charge"/>
      <sheetName val="links-p0"/>
      <sheetName val="links-p1"/>
      <sheetName val="sub_netwo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E2">
            <v>-6785.4027407111562</v>
          </cell>
          <cell r="S2">
            <v>-1553.6722856992001</v>
          </cell>
          <cell r="T2">
            <v>-6779.486412000002</v>
          </cell>
        </row>
        <row r="3">
          <cell r="E3">
            <v>-6366.4650136270202</v>
          </cell>
          <cell r="S3">
            <v>-1553.6722856992001</v>
          </cell>
          <cell r="T3">
            <v>-6779.486412000002</v>
          </cell>
        </row>
        <row r="4">
          <cell r="E4">
            <v>-6341.2955787583433</v>
          </cell>
          <cell r="S4">
            <v>-1553.6722856992001</v>
          </cell>
          <cell r="T4">
            <v>-6779.486412000002</v>
          </cell>
        </row>
        <row r="5">
          <cell r="E5">
            <v>-6274.6525793444844</v>
          </cell>
          <cell r="S5">
            <v>-1553.6722856992001</v>
          </cell>
          <cell r="T5">
            <v>-6779.486412000002</v>
          </cell>
        </row>
        <row r="6">
          <cell r="E6">
            <v>-6084.7461725868798</v>
          </cell>
          <cell r="S6">
            <v>-1553.6722856992001</v>
          </cell>
          <cell r="T6">
            <v>-6779.486412000002</v>
          </cell>
        </row>
        <row r="7">
          <cell r="E7">
            <v>-6358.0422368737054</v>
          </cell>
          <cell r="S7">
            <v>-1553.6722856992001</v>
          </cell>
          <cell r="T7">
            <v>-6779.486412000002</v>
          </cell>
        </row>
        <row r="8">
          <cell r="E8">
            <v>-7126.2950505817244</v>
          </cell>
          <cell r="S8">
            <v>-1553.6722856992001</v>
          </cell>
          <cell r="T8">
            <v>-6779.486412000002</v>
          </cell>
        </row>
        <row r="9">
          <cell r="E9">
            <v>-8772.9290393802476</v>
          </cell>
          <cell r="S9">
            <v>-1553.6722856992001</v>
          </cell>
          <cell r="T9">
            <v>-6779.486412000002</v>
          </cell>
        </row>
        <row r="10">
          <cell r="E10">
            <v>-10120.589174304991</v>
          </cell>
          <cell r="S10">
            <v>-1553.6722856992001</v>
          </cell>
          <cell r="T10">
            <v>-6779.486412000002</v>
          </cell>
        </row>
        <row r="11">
          <cell r="E11">
            <v>-7021.303890156003</v>
          </cell>
          <cell r="S11">
            <v>-1553.6722856992001</v>
          </cell>
          <cell r="T11">
            <v>-6779.486412000002</v>
          </cell>
        </row>
        <row r="12">
          <cell r="E12">
            <v>-3514.4331817208358</v>
          </cell>
          <cell r="S12">
            <v>-902.4533580231855</v>
          </cell>
          <cell r="T12">
            <v>-6779.486412000002</v>
          </cell>
        </row>
        <row r="13">
          <cell r="E13">
            <v>-1370.4002872536439</v>
          </cell>
          <cell r="S13">
            <v>-572.91324163001764</v>
          </cell>
          <cell r="T13">
            <v>-6779.486412000002</v>
          </cell>
        </row>
        <row r="14">
          <cell r="E14">
            <v>0</v>
          </cell>
          <cell r="S14">
            <v>-243.37312353764969</v>
          </cell>
          <cell r="T14">
            <v>-6779.486412000002</v>
          </cell>
        </row>
        <row r="15">
          <cell r="E15">
            <v>0</v>
          </cell>
          <cell r="S15">
            <v>-496.16281960764968</v>
          </cell>
          <cell r="T15">
            <v>-6779.486412000002</v>
          </cell>
        </row>
        <row r="16">
          <cell r="E16">
            <v>0</v>
          </cell>
          <cell r="S16">
            <v>-572.91324163001764</v>
          </cell>
          <cell r="T16">
            <v>-6779.486412000002</v>
          </cell>
        </row>
        <row r="17">
          <cell r="E17">
            <v>-315.49870002063562</v>
          </cell>
          <cell r="S17">
            <v>-572.45335972238547</v>
          </cell>
          <cell r="T17">
            <v>-6779.486412000002</v>
          </cell>
        </row>
        <row r="18">
          <cell r="E18">
            <v>-2547.976973557752</v>
          </cell>
          <cell r="S18">
            <v>-1259.3933561852691</v>
          </cell>
          <cell r="T18">
            <v>-6779.486412000002</v>
          </cell>
        </row>
        <row r="19">
          <cell r="E19">
            <v>-5327.3502140538212</v>
          </cell>
          <cell r="S19">
            <v>-1553.6722856992001</v>
          </cell>
          <cell r="T19">
            <v>-5109.9525620099994</v>
          </cell>
        </row>
        <row r="20">
          <cell r="E20">
            <v>-5502.1599542446756</v>
          </cell>
          <cell r="S20">
            <v>-1553.6722856992001</v>
          </cell>
          <cell r="T20">
            <v>-3029.3502002599998</v>
          </cell>
        </row>
        <row r="21">
          <cell r="E21">
            <v>-3302.1702073848719</v>
          </cell>
          <cell r="S21">
            <v>-1553.6722856992001</v>
          </cell>
          <cell r="T21">
            <v>-948.74783851000029</v>
          </cell>
        </row>
        <row r="22">
          <cell r="E22">
            <v>-978.43555563731115</v>
          </cell>
          <cell r="S22">
            <v>-1553.6722856992001</v>
          </cell>
          <cell r="T22">
            <v>0</v>
          </cell>
        </row>
        <row r="23">
          <cell r="E23">
            <v>0</v>
          </cell>
          <cell r="S23">
            <v>-1553.6722856992001</v>
          </cell>
          <cell r="T23">
            <v>0</v>
          </cell>
        </row>
        <row r="24">
          <cell r="E24">
            <v>0</v>
          </cell>
          <cell r="S24">
            <v>-1553.6722856992001</v>
          </cell>
          <cell r="T24">
            <v>0</v>
          </cell>
        </row>
        <row r="25">
          <cell r="E25">
            <v>-1670.9002970448009</v>
          </cell>
          <cell r="S25">
            <v>-1553.6722856992001</v>
          </cell>
          <cell r="T25">
            <v>-595.84548996000012</v>
          </cell>
        </row>
        <row r="26">
          <cell r="E26">
            <v>-3624.9270449704341</v>
          </cell>
          <cell r="S26">
            <v>-1553.6722856992001</v>
          </cell>
          <cell r="T26">
            <v>-2685.6652109499992</v>
          </cell>
        </row>
        <row r="27">
          <cell r="E27">
            <v>-5970.2820177304866</v>
          </cell>
          <cell r="S27">
            <v>-1553.6722856992001</v>
          </cell>
          <cell r="T27">
            <v>-4775.4652109499984</v>
          </cell>
        </row>
        <row r="28">
          <cell r="E28">
            <v>-6727.4673270496023</v>
          </cell>
          <cell r="S28">
            <v>-1553.6722856992001</v>
          </cell>
          <cell r="T28">
            <v>-5175.9849960399988</v>
          </cell>
        </row>
        <row r="29">
          <cell r="E29">
            <v>-5072.1928169279236</v>
          </cell>
          <cell r="S29">
            <v>-1553.6722856992001</v>
          </cell>
          <cell r="T29">
            <v>-3086.18499604</v>
          </cell>
        </row>
        <row r="30">
          <cell r="E30">
            <v>-3402.982559650341</v>
          </cell>
          <cell r="S30">
            <v>-1553.6722856992001</v>
          </cell>
          <cell r="T30">
            <v>-987.18735777999973</v>
          </cell>
        </row>
        <row r="31">
          <cell r="E31">
            <v>-1909.9393044545261</v>
          </cell>
          <cell r="S31">
            <v>-1553.6722856992001</v>
          </cell>
          <cell r="T31">
            <v>0</v>
          </cell>
        </row>
        <row r="32">
          <cell r="E32">
            <v>-2472.3227279018688</v>
          </cell>
          <cell r="S32">
            <v>-1553.6722856992001</v>
          </cell>
          <cell r="T32">
            <v>0</v>
          </cell>
        </row>
        <row r="33">
          <cell r="E33">
            <v>-5134.45383489497</v>
          </cell>
          <cell r="S33">
            <v>-1553.6722856992001</v>
          </cell>
          <cell r="T33">
            <v>-930.37031090999881</v>
          </cell>
        </row>
        <row r="34">
          <cell r="E34">
            <v>-7159.5224504592697</v>
          </cell>
          <cell r="S34">
            <v>-1553.6722856992001</v>
          </cell>
          <cell r="T34">
            <v>-3020.1703109099981</v>
          </cell>
        </row>
        <row r="35">
          <cell r="E35">
            <v>-6151.5099931124851</v>
          </cell>
          <cell r="S35">
            <v>-1553.6722856992001</v>
          </cell>
          <cell r="T35">
            <v>-5109.970310910001</v>
          </cell>
        </row>
        <row r="36">
          <cell r="E36">
            <v>-4567.9528952392484</v>
          </cell>
          <cell r="S36">
            <v>-1553.6722856992001</v>
          </cell>
          <cell r="T36">
            <v>-6779.486412000002</v>
          </cell>
        </row>
        <row r="37">
          <cell r="E37">
            <v>-2492.5209062888889</v>
          </cell>
          <cell r="S37">
            <v>-1553.6722856992001</v>
          </cell>
          <cell r="T37">
            <v>-6779.486412000002</v>
          </cell>
        </row>
        <row r="38">
          <cell r="E38">
            <v>-1348.6797540190939</v>
          </cell>
          <cell r="S38">
            <v>-702.95252521764462</v>
          </cell>
          <cell r="T38">
            <v>-6779.486412000002</v>
          </cell>
        </row>
        <row r="39">
          <cell r="E39">
            <v>-199.5253113537938</v>
          </cell>
          <cell r="S39">
            <v>-903.37410788844454</v>
          </cell>
          <cell r="T39">
            <v>-6779.486412000002</v>
          </cell>
        </row>
        <row r="40">
          <cell r="E40">
            <v>-34.222521106276872</v>
          </cell>
          <cell r="S40">
            <v>-902.9142259808126</v>
          </cell>
          <cell r="T40">
            <v>-6779.486412000002</v>
          </cell>
        </row>
        <row r="41">
          <cell r="E41">
            <v>-990.98884595426352</v>
          </cell>
          <cell r="S41">
            <v>-902.45434407318055</v>
          </cell>
          <cell r="T41">
            <v>-5620.995301089999</v>
          </cell>
        </row>
        <row r="42">
          <cell r="E42">
            <v>-2346.7689343282482</v>
          </cell>
          <cell r="S42">
            <v>-1553.6722856992001</v>
          </cell>
          <cell r="T42">
            <v>-3531.1953010900002</v>
          </cell>
        </row>
        <row r="43">
          <cell r="E43">
            <v>-4244.7222943282477</v>
          </cell>
          <cell r="S43">
            <v>-1553.6722856992001</v>
          </cell>
          <cell r="T43">
            <v>-1441.39530109</v>
          </cell>
        </row>
        <row r="44">
          <cell r="E44">
            <v>-2999.7236600585002</v>
          </cell>
          <cell r="S44">
            <v>-1553.6722856992001</v>
          </cell>
          <cell r="T44">
            <v>0</v>
          </cell>
        </row>
        <row r="45">
          <cell r="E45">
            <v>0</v>
          </cell>
          <cell r="S45">
            <v>-1553.6722856992001</v>
          </cell>
          <cell r="T45">
            <v>0</v>
          </cell>
        </row>
        <row r="46">
          <cell r="E46">
            <v>0</v>
          </cell>
          <cell r="S46">
            <v>-1553.6722856992001</v>
          </cell>
          <cell r="T46">
            <v>0</v>
          </cell>
        </row>
        <row r="47">
          <cell r="E47">
            <v>0</v>
          </cell>
          <cell r="S47">
            <v>-1553.6722856992001</v>
          </cell>
          <cell r="T47">
            <v>0</v>
          </cell>
        </row>
        <row r="48">
          <cell r="E48">
            <v>0</v>
          </cell>
          <cell r="S48">
            <v>-1553.6722856992001</v>
          </cell>
          <cell r="T48">
            <v>0</v>
          </cell>
        </row>
        <row r="49">
          <cell r="E49">
            <v>0</v>
          </cell>
          <cell r="S49">
            <v>-1553.6722856992001</v>
          </cell>
          <cell r="T49">
            <v>0</v>
          </cell>
        </row>
        <row r="50">
          <cell r="E50">
            <v>0</v>
          </cell>
          <cell r="S50">
            <v>-1553.6722856992001</v>
          </cell>
          <cell r="T50">
            <v>0</v>
          </cell>
        </row>
        <row r="51">
          <cell r="E51">
            <v>0</v>
          </cell>
          <cell r="S51">
            <v>-601.35247797999909</v>
          </cell>
          <cell r="T51">
            <v>0</v>
          </cell>
        </row>
        <row r="52">
          <cell r="E52">
            <v>0</v>
          </cell>
          <cell r="S52">
            <v>-786.14701797999987</v>
          </cell>
          <cell r="T52">
            <v>0</v>
          </cell>
        </row>
        <row r="53">
          <cell r="E53">
            <v>0</v>
          </cell>
          <cell r="S53">
            <v>-1553.6722856992001</v>
          </cell>
          <cell r="T53">
            <v>0</v>
          </cell>
        </row>
        <row r="54">
          <cell r="E54">
            <v>0</v>
          </cell>
          <cell r="S54">
            <v>-336.9371580299985</v>
          </cell>
          <cell r="T54">
            <v>0</v>
          </cell>
        </row>
        <row r="55">
          <cell r="E55">
            <v>0</v>
          </cell>
          <cell r="S55">
            <v>-330</v>
          </cell>
          <cell r="T55">
            <v>0</v>
          </cell>
        </row>
        <row r="56">
          <cell r="E56">
            <v>0</v>
          </cell>
          <cell r="S56">
            <v>-1553.672284287207</v>
          </cell>
          <cell r="T56">
            <v>0</v>
          </cell>
        </row>
        <row r="57">
          <cell r="E57">
            <v>-1372.847746091544</v>
          </cell>
          <cell r="S57">
            <v>-1553.6722856992001</v>
          </cell>
          <cell r="T57">
            <v>0</v>
          </cell>
        </row>
        <row r="58">
          <cell r="E58">
            <v>-3510.4375327939961</v>
          </cell>
          <cell r="S58">
            <v>-1553.6722856992001</v>
          </cell>
          <cell r="T58">
            <v>0</v>
          </cell>
        </row>
        <row r="59">
          <cell r="E59">
            <v>-2496.9082219199781</v>
          </cell>
          <cell r="S59">
            <v>-1553.6722856992001</v>
          </cell>
          <cell r="T59">
            <v>-944.61192844999823</v>
          </cell>
        </row>
        <row r="60">
          <cell r="E60">
            <v>-1789.236803464235</v>
          </cell>
          <cell r="S60">
            <v>-1553.6722856992001</v>
          </cell>
          <cell r="T60">
            <v>-3034.4119284499989</v>
          </cell>
        </row>
        <row r="61">
          <cell r="E61">
            <v>-1379.7670406408761</v>
          </cell>
          <cell r="S61">
            <v>-1388.1676459221981</v>
          </cell>
          <cell r="T61">
            <v>-5133.4095667000001</v>
          </cell>
        </row>
        <row r="62">
          <cell r="E62">
            <v>-1791.211925223289</v>
          </cell>
          <cell r="S62">
            <v>-903.37509393843948</v>
          </cell>
          <cell r="T62">
            <v>-6779.486412000002</v>
          </cell>
        </row>
        <row r="63">
          <cell r="E63">
            <v>-1516.0978713487871</v>
          </cell>
          <cell r="S63">
            <v>-903.37509393843948</v>
          </cell>
          <cell r="T63">
            <v>-6779.486412000002</v>
          </cell>
        </row>
        <row r="64">
          <cell r="E64">
            <v>-1232.405736801265</v>
          </cell>
          <cell r="S64">
            <v>-902.91521203080742</v>
          </cell>
          <cell r="T64">
            <v>-5835.4063189699991</v>
          </cell>
        </row>
        <row r="65">
          <cell r="E65">
            <v>-691.069835733236</v>
          </cell>
          <cell r="S65">
            <v>-1553.6722856992001</v>
          </cell>
          <cell r="T65">
            <v>-3736.4086807200001</v>
          </cell>
        </row>
        <row r="66">
          <cell r="E66">
            <v>-1083.3118257332339</v>
          </cell>
          <cell r="S66">
            <v>-1553.6722856992001</v>
          </cell>
          <cell r="T66">
            <v>-1646.608680719999</v>
          </cell>
        </row>
        <row r="67">
          <cell r="E67">
            <v>-3747.940885733236</v>
          </cell>
          <cell r="S67">
            <v>-1553.6722856992001</v>
          </cell>
          <cell r="T67">
            <v>0</v>
          </cell>
        </row>
        <row r="68">
          <cell r="E68">
            <v>-2854.128833945997</v>
          </cell>
          <cell r="S68">
            <v>-902.91521373000739</v>
          </cell>
          <cell r="T68">
            <v>0</v>
          </cell>
        </row>
        <row r="69">
          <cell r="E69">
            <v>-594.02759639287183</v>
          </cell>
          <cell r="S69">
            <v>-969.3849709677487</v>
          </cell>
          <cell r="T69">
            <v>0</v>
          </cell>
        </row>
        <row r="70">
          <cell r="E70">
            <v>-762.84536145986203</v>
          </cell>
          <cell r="S70">
            <v>-330</v>
          </cell>
          <cell r="T70">
            <v>0</v>
          </cell>
        </row>
        <row r="71">
          <cell r="E71">
            <v>-778.89977304797003</v>
          </cell>
          <cell r="S71">
            <v>-330</v>
          </cell>
          <cell r="T71">
            <v>0</v>
          </cell>
        </row>
        <row r="72">
          <cell r="E72">
            <v>-638.82501451228234</v>
          </cell>
          <cell r="S72">
            <v>-330</v>
          </cell>
          <cell r="T72">
            <v>0</v>
          </cell>
        </row>
        <row r="73">
          <cell r="E73">
            <v>-644.57307311593411</v>
          </cell>
          <cell r="S73">
            <v>-330</v>
          </cell>
          <cell r="T73">
            <v>0</v>
          </cell>
        </row>
        <row r="74">
          <cell r="E74">
            <v>-589.20318888015731</v>
          </cell>
          <cell r="S74">
            <v>-330</v>
          </cell>
          <cell r="T74">
            <v>0</v>
          </cell>
        </row>
        <row r="75">
          <cell r="E75">
            <v>-504.27192056289891</v>
          </cell>
          <cell r="S75">
            <v>-1553.6722856992001</v>
          </cell>
          <cell r="T75">
            <v>0</v>
          </cell>
        </row>
        <row r="76">
          <cell r="E76">
            <v>-448.48689179898872</v>
          </cell>
          <cell r="S76">
            <v>-330</v>
          </cell>
          <cell r="T76">
            <v>0</v>
          </cell>
        </row>
        <row r="77">
          <cell r="E77">
            <v>-395.12408134788211</v>
          </cell>
          <cell r="S77">
            <v>-1553.6722856992001</v>
          </cell>
          <cell r="T77">
            <v>0</v>
          </cell>
        </row>
        <row r="78">
          <cell r="E78">
            <v>-293.45459302624732</v>
          </cell>
          <cell r="S78">
            <v>-330</v>
          </cell>
          <cell r="T78">
            <v>0</v>
          </cell>
        </row>
        <row r="79">
          <cell r="E79">
            <v>0</v>
          </cell>
          <cell r="S79">
            <v>-1553.6722856992001</v>
          </cell>
          <cell r="T79">
            <v>0</v>
          </cell>
        </row>
        <row r="80">
          <cell r="E80">
            <v>0</v>
          </cell>
          <cell r="S80">
            <v>-1553.6722856992001</v>
          </cell>
          <cell r="T80">
            <v>0</v>
          </cell>
        </row>
        <row r="81">
          <cell r="E81">
            <v>-1921.627147610506</v>
          </cell>
          <cell r="S81">
            <v>-1553.6722856992001</v>
          </cell>
          <cell r="T81">
            <v>0</v>
          </cell>
        </row>
        <row r="82">
          <cell r="E82">
            <v>-3714.2505096549962</v>
          </cell>
          <cell r="S82">
            <v>-1553.6722856992001</v>
          </cell>
          <cell r="T82">
            <v>0</v>
          </cell>
        </row>
        <row r="83">
          <cell r="E83">
            <v>-3291.016944833807</v>
          </cell>
          <cell r="S83">
            <v>-1553.6722856992001</v>
          </cell>
          <cell r="T83">
            <v>-1434.33167607</v>
          </cell>
        </row>
        <row r="84">
          <cell r="E84">
            <v>-3045.3617805196259</v>
          </cell>
          <cell r="S84">
            <v>-1553.6722856992001</v>
          </cell>
          <cell r="T84">
            <v>-3524.1316760699988</v>
          </cell>
        </row>
        <row r="85">
          <cell r="E85">
            <v>-2101.5944279292648</v>
          </cell>
          <cell r="S85">
            <v>-1553.6722856992001</v>
          </cell>
          <cell r="T85">
            <v>-5623.129314329999</v>
          </cell>
        </row>
        <row r="86">
          <cell r="E86">
            <v>-1746.9002679686839</v>
          </cell>
          <cell r="S86">
            <v>-903.3760799884343</v>
          </cell>
          <cell r="T86">
            <v>-6779.486412000002</v>
          </cell>
        </row>
        <row r="87">
          <cell r="E87">
            <v>-1399.9666904541839</v>
          </cell>
          <cell r="S87">
            <v>-903.37607998843453</v>
          </cell>
          <cell r="T87">
            <v>-6779.486412000002</v>
          </cell>
        </row>
        <row r="88">
          <cell r="E88">
            <v>-972.567631517466</v>
          </cell>
          <cell r="S88">
            <v>-902.91619978000244</v>
          </cell>
          <cell r="T88">
            <v>-6779.486412000002</v>
          </cell>
        </row>
        <row r="89">
          <cell r="E89">
            <v>-1739.7804424754891</v>
          </cell>
          <cell r="S89">
            <v>-902.45631787237028</v>
          </cell>
          <cell r="T89">
            <v>-6779.486412000002</v>
          </cell>
        </row>
        <row r="90">
          <cell r="E90">
            <v>-3616.99006834802</v>
          </cell>
          <cell r="S90">
            <v>-1553.6722856992001</v>
          </cell>
          <cell r="T90">
            <v>-6779.486412000002</v>
          </cell>
        </row>
        <row r="91">
          <cell r="E91">
            <v>-6422.260227479951</v>
          </cell>
          <cell r="S91">
            <v>-1358.572286703788</v>
          </cell>
          <cell r="T91">
            <v>-6779.486412000002</v>
          </cell>
        </row>
        <row r="92">
          <cell r="E92">
            <v>-7177.476421438897</v>
          </cell>
          <cell r="S92">
            <v>-1553.6722856992001</v>
          </cell>
          <cell r="T92">
            <v>-6779.486412000002</v>
          </cell>
        </row>
        <row r="93">
          <cell r="E93">
            <v>-6002.9588242353111</v>
          </cell>
          <cell r="S93">
            <v>-1553.6722856992001</v>
          </cell>
          <cell r="T93">
            <v>-6779.486412000002</v>
          </cell>
        </row>
        <row r="94">
          <cell r="E94">
            <v>-5032.9218922137125</v>
          </cell>
          <cell r="S94">
            <v>-1553.6722856992001</v>
          </cell>
          <cell r="T94">
            <v>-6779.486412000002</v>
          </cell>
        </row>
        <row r="95">
          <cell r="E95">
            <v>-4122.5434800920721</v>
          </cell>
          <cell r="S95">
            <v>-1553.6722856992001</v>
          </cell>
          <cell r="T95">
            <v>-6779.486412000002</v>
          </cell>
        </row>
        <row r="96">
          <cell r="E96">
            <v>-3967.085309722504</v>
          </cell>
          <cell r="S96">
            <v>-1553.6722856992001</v>
          </cell>
          <cell r="T96">
            <v>-6779.486412000002</v>
          </cell>
        </row>
        <row r="97">
          <cell r="E97">
            <v>-3970.659950617709</v>
          </cell>
          <cell r="S97">
            <v>-703.41240713053048</v>
          </cell>
          <cell r="T97">
            <v>-6779.486412000002</v>
          </cell>
        </row>
        <row r="98">
          <cell r="E98">
            <v>-3527.04072083251</v>
          </cell>
          <cell r="S98">
            <v>-904.75671347052537</v>
          </cell>
          <cell r="T98">
            <v>-6779.486412000002</v>
          </cell>
        </row>
        <row r="99">
          <cell r="E99">
            <v>-4171.6690726606766</v>
          </cell>
          <cell r="S99">
            <v>-904.75671347052537</v>
          </cell>
          <cell r="T99">
            <v>-6779.486412000002</v>
          </cell>
        </row>
        <row r="100">
          <cell r="E100">
            <v>-4657.203389948987</v>
          </cell>
          <cell r="S100">
            <v>-672.09336560052543</v>
          </cell>
          <cell r="T100">
            <v>-6779.486412000002</v>
          </cell>
        </row>
        <row r="101">
          <cell r="E101">
            <v>-4326.8705219647272</v>
          </cell>
          <cell r="S101">
            <v>-574.75671347052537</v>
          </cell>
          <cell r="T101">
            <v>-6779.486412000002</v>
          </cell>
        </row>
        <row r="102">
          <cell r="E102">
            <v>-2723.810339690805</v>
          </cell>
          <cell r="S102">
            <v>-904.29683156289332</v>
          </cell>
          <cell r="T102">
            <v>-6779.486412000002</v>
          </cell>
        </row>
        <row r="103">
          <cell r="E103">
            <v>-1546.9096921091691</v>
          </cell>
          <cell r="S103">
            <v>-903.37706773762932</v>
          </cell>
          <cell r="T103">
            <v>-6779.486412000002</v>
          </cell>
        </row>
        <row r="104">
          <cell r="E104">
            <v>-1297.445877816823</v>
          </cell>
          <cell r="S104">
            <v>-572.91718582999727</v>
          </cell>
          <cell r="T104">
            <v>-6779.486412000002</v>
          </cell>
        </row>
        <row r="105">
          <cell r="E105">
            <v>-1087.6868667645581</v>
          </cell>
          <cell r="S105">
            <v>-572.45730392236533</v>
          </cell>
          <cell r="T105">
            <v>-6779.486412000002</v>
          </cell>
        </row>
        <row r="106">
          <cell r="E106">
            <v>-582.70826630422653</v>
          </cell>
          <cell r="S106">
            <v>-572.45730392236533</v>
          </cell>
          <cell r="T106">
            <v>-6779.486412000002</v>
          </cell>
        </row>
        <row r="107">
          <cell r="E107">
            <v>0</v>
          </cell>
          <cell r="S107">
            <v>-242.4573039223653</v>
          </cell>
          <cell r="T107">
            <v>-6779.486412000002</v>
          </cell>
        </row>
        <row r="108">
          <cell r="E108">
            <v>-6555.5531973387842</v>
          </cell>
          <cell r="S108">
            <v>-242.4573039223653</v>
          </cell>
          <cell r="T108">
            <v>-6779.486412000002</v>
          </cell>
        </row>
        <row r="109">
          <cell r="E109">
            <v>-15500</v>
          </cell>
          <cell r="S109">
            <v>-242.91718582999729</v>
          </cell>
          <cell r="T109">
            <v>-6779.486412000002</v>
          </cell>
        </row>
        <row r="110">
          <cell r="E110">
            <v>-15500</v>
          </cell>
          <cell r="S110">
            <v>-243.37706773762929</v>
          </cell>
          <cell r="T110">
            <v>-6779.486412000002</v>
          </cell>
        </row>
        <row r="111">
          <cell r="E111">
            <v>-15500</v>
          </cell>
          <cell r="S111">
            <v>-243.37706773762929</v>
          </cell>
          <cell r="T111">
            <v>-6779.486412000002</v>
          </cell>
        </row>
        <row r="112">
          <cell r="E112">
            <v>-15500</v>
          </cell>
          <cell r="S112">
            <v>-242.91718582999729</v>
          </cell>
          <cell r="T112">
            <v>-6779.486412000002</v>
          </cell>
        </row>
        <row r="113">
          <cell r="E113">
            <v>-15500</v>
          </cell>
          <cell r="S113">
            <v>-242.4573039223653</v>
          </cell>
          <cell r="T113">
            <v>-6779.486412000002</v>
          </cell>
        </row>
        <row r="114">
          <cell r="E114">
            <v>-11227.84991862234</v>
          </cell>
          <cell r="S114">
            <v>-242.4573039223653</v>
          </cell>
          <cell r="T114">
            <v>-6779.486412000002</v>
          </cell>
        </row>
        <row r="115">
          <cell r="E115">
            <v>0</v>
          </cell>
          <cell r="S115">
            <v>-572.45730392236533</v>
          </cell>
          <cell r="T115">
            <v>-6779.486412000002</v>
          </cell>
        </row>
        <row r="116">
          <cell r="E116">
            <v>-1560.7037990598419</v>
          </cell>
          <cell r="S116">
            <v>-572.91718582999727</v>
          </cell>
          <cell r="T116">
            <v>-6779.486412000002</v>
          </cell>
        </row>
        <row r="117">
          <cell r="E117">
            <v>-2396.5780931974441</v>
          </cell>
          <cell r="S117">
            <v>-903.37706773762932</v>
          </cell>
          <cell r="T117">
            <v>-6779.486412000002</v>
          </cell>
        </row>
        <row r="118">
          <cell r="E118">
            <v>-2740.8327184520658</v>
          </cell>
          <cell r="S118">
            <v>-903.83694964526137</v>
          </cell>
          <cell r="T118">
            <v>-6779.486412000002</v>
          </cell>
        </row>
        <row r="119">
          <cell r="E119">
            <v>-3044.6501874354981</v>
          </cell>
          <cell r="S119">
            <v>-574.29683156289332</v>
          </cell>
          <cell r="T119">
            <v>-6779.486412000002</v>
          </cell>
        </row>
        <row r="120">
          <cell r="E120">
            <v>-2823.4564555706052</v>
          </cell>
          <cell r="S120">
            <v>-904.75671347052537</v>
          </cell>
          <cell r="T120">
            <v>-6779.486412000002</v>
          </cell>
        </row>
        <row r="121">
          <cell r="E121">
            <v>-3115.5006577697432</v>
          </cell>
          <cell r="S121">
            <v>-574.75671347052537</v>
          </cell>
          <cell r="T121">
            <v>-6779.486412000002</v>
          </cell>
        </row>
        <row r="122">
          <cell r="E122">
            <v>-3629.7231171351782</v>
          </cell>
          <cell r="S122">
            <v>-244.84032331009479</v>
          </cell>
          <cell r="T122">
            <v>-6779.486412000002</v>
          </cell>
        </row>
        <row r="123">
          <cell r="E123">
            <v>-4591.3200185817032</v>
          </cell>
          <cell r="S123">
            <v>-282.01795246009488</v>
          </cell>
          <cell r="T123">
            <v>-6779.486412000002</v>
          </cell>
        </row>
        <row r="124">
          <cell r="E124">
            <v>-4650.5539488312752</v>
          </cell>
          <cell r="S124">
            <v>-574.84032331009485</v>
          </cell>
          <cell r="T124">
            <v>-6779.486412000002</v>
          </cell>
        </row>
        <row r="125">
          <cell r="E125">
            <v>-5176.4342042282187</v>
          </cell>
          <cell r="S125">
            <v>-244.84032331009479</v>
          </cell>
          <cell r="T125">
            <v>-6779.486412000002</v>
          </cell>
        </row>
        <row r="126">
          <cell r="E126">
            <v>-5418.9190743744657</v>
          </cell>
          <cell r="S126">
            <v>-243.9125893948719</v>
          </cell>
          <cell r="T126">
            <v>-6779.486412000002</v>
          </cell>
        </row>
        <row r="127">
          <cell r="E127">
            <v>-4912.7150568478592</v>
          </cell>
          <cell r="S127">
            <v>-242.98485548964891</v>
          </cell>
          <cell r="T127">
            <v>-6779.486412000002</v>
          </cell>
        </row>
        <row r="128">
          <cell r="E128">
            <v>-5965.2245044851588</v>
          </cell>
          <cell r="S128">
            <v>-242.52098853203731</v>
          </cell>
          <cell r="T128">
            <v>-6779.486412000002</v>
          </cell>
        </row>
        <row r="129">
          <cell r="E129">
            <v>-6043.0788673494199</v>
          </cell>
          <cell r="S129">
            <v>-572.98485548964891</v>
          </cell>
          <cell r="T129">
            <v>-6779.486412000002</v>
          </cell>
        </row>
        <row r="130">
          <cell r="E130">
            <v>-6420.8146875452912</v>
          </cell>
          <cell r="S130">
            <v>-572.98485548964891</v>
          </cell>
          <cell r="T130">
            <v>-6779.486412000002</v>
          </cell>
        </row>
        <row r="131">
          <cell r="E131">
            <v>-3584.5172660873541</v>
          </cell>
          <cell r="S131">
            <v>-242.98485548964891</v>
          </cell>
          <cell r="T131">
            <v>-6779.486412000002</v>
          </cell>
        </row>
        <row r="132">
          <cell r="E132">
            <v>-252.9098493212505</v>
          </cell>
          <cell r="S132">
            <v>-242.98485548964891</v>
          </cell>
          <cell r="T132">
            <v>-6779.486412000002</v>
          </cell>
        </row>
        <row r="133">
          <cell r="E133">
            <v>-15500</v>
          </cell>
          <cell r="S133">
            <v>-242.52098853203731</v>
          </cell>
          <cell r="T133">
            <v>-6779.486412000002</v>
          </cell>
        </row>
        <row r="134">
          <cell r="E134">
            <v>-15500</v>
          </cell>
          <cell r="S134">
            <v>-242.98485548964891</v>
          </cell>
          <cell r="T134">
            <v>-6779.486412000002</v>
          </cell>
        </row>
        <row r="135">
          <cell r="E135">
            <v>-8438.536985361714</v>
          </cell>
          <cell r="S135">
            <v>-242.98485548964891</v>
          </cell>
          <cell r="T135">
            <v>-6779.486412000002</v>
          </cell>
        </row>
        <row r="136">
          <cell r="E136">
            <v>-10174.71750979693</v>
          </cell>
          <cell r="S136">
            <v>-242.52098853203731</v>
          </cell>
          <cell r="T136">
            <v>-6779.486412000002</v>
          </cell>
        </row>
        <row r="137">
          <cell r="E137">
            <v>-10428.793555777829</v>
          </cell>
          <cell r="S137">
            <v>-242.98485548964891</v>
          </cell>
          <cell r="T137">
            <v>-6779.486412000002</v>
          </cell>
        </row>
        <row r="138">
          <cell r="E138">
            <v>-5193.1354912878314</v>
          </cell>
          <cell r="S138">
            <v>-242.98485548964891</v>
          </cell>
          <cell r="T138">
            <v>-6779.486412000002</v>
          </cell>
        </row>
        <row r="139">
          <cell r="E139">
            <v>-4413.2273480790354</v>
          </cell>
          <cell r="S139">
            <v>-468.95712156964879</v>
          </cell>
          <cell r="T139">
            <v>-6779.486412000002</v>
          </cell>
        </row>
        <row r="140">
          <cell r="E140">
            <v>-7018.0135170063058</v>
          </cell>
          <cell r="S140">
            <v>-242.52098853203731</v>
          </cell>
          <cell r="T140">
            <v>-6779.486412000002</v>
          </cell>
        </row>
        <row r="141">
          <cell r="E141">
            <v>-5374.1689915073039</v>
          </cell>
          <cell r="S141">
            <v>-572.98485548964891</v>
          </cell>
          <cell r="T141">
            <v>-6779.486412000002</v>
          </cell>
        </row>
        <row r="142">
          <cell r="E142">
            <v>-4600.351362206542</v>
          </cell>
          <cell r="S142">
            <v>-243.44872244726051</v>
          </cell>
          <cell r="T142">
            <v>-6779.486412000002</v>
          </cell>
        </row>
        <row r="143">
          <cell r="E143">
            <v>-3425.577750940723</v>
          </cell>
          <cell r="S143">
            <v>-573.91258939487182</v>
          </cell>
          <cell r="T143">
            <v>-6779.486412000002</v>
          </cell>
        </row>
        <row r="144">
          <cell r="E144">
            <v>-1915.7297194649</v>
          </cell>
          <cell r="S144">
            <v>-244.84032331009479</v>
          </cell>
          <cell r="T144">
            <v>-6779.486412000002</v>
          </cell>
        </row>
        <row r="145">
          <cell r="E145">
            <v>-1468.3213323941179</v>
          </cell>
          <cell r="S145">
            <v>-574.84032331009485</v>
          </cell>
          <cell r="T145">
            <v>-6779.486412000002</v>
          </cell>
        </row>
        <row r="146">
          <cell r="E146">
            <v>-3362.6236046072322</v>
          </cell>
          <cell r="S146">
            <v>-244.84130936008989</v>
          </cell>
          <cell r="T146">
            <v>-6779.486412000002</v>
          </cell>
        </row>
        <row r="147">
          <cell r="E147">
            <v>-393.80198966719848</v>
          </cell>
          <cell r="S147">
            <v>-244.84130936008989</v>
          </cell>
          <cell r="T147">
            <v>-6779.486412000002</v>
          </cell>
        </row>
        <row r="148">
          <cell r="E148">
            <v>-96.819119847198635</v>
          </cell>
          <cell r="S148">
            <v>-244.84130936008989</v>
          </cell>
          <cell r="T148">
            <v>-6779.486412000002</v>
          </cell>
        </row>
        <row r="149">
          <cell r="E149">
            <v>-2576.271360336712</v>
          </cell>
          <cell r="S149">
            <v>-244.84130936008989</v>
          </cell>
          <cell r="T149">
            <v>-6779.486412000002</v>
          </cell>
        </row>
        <row r="150">
          <cell r="E150">
            <v>-5629.0510374801597</v>
          </cell>
          <cell r="S150">
            <v>-243.91357544486681</v>
          </cell>
          <cell r="T150">
            <v>-6779.486412000002</v>
          </cell>
        </row>
        <row r="151">
          <cell r="E151">
            <v>-1285.2338532699459</v>
          </cell>
          <cell r="S151">
            <v>-242.9858415396437</v>
          </cell>
          <cell r="T151">
            <v>-6779.486412000002</v>
          </cell>
        </row>
        <row r="152">
          <cell r="E152">
            <v>-10684.19128187563</v>
          </cell>
          <cell r="S152">
            <v>-242.52197458203219</v>
          </cell>
          <cell r="T152">
            <v>-6779.486412000002</v>
          </cell>
        </row>
        <row r="153">
          <cell r="E153">
            <v>-2372.7993132699439</v>
          </cell>
          <cell r="S153">
            <v>-242.9858415396437</v>
          </cell>
          <cell r="T153">
            <v>-6779.486412000002</v>
          </cell>
        </row>
        <row r="154">
          <cell r="E154">
            <v>-10621.82406445995</v>
          </cell>
          <cell r="S154">
            <v>-242.9858415396437</v>
          </cell>
          <cell r="T154">
            <v>-6779.486412000002</v>
          </cell>
        </row>
        <row r="155">
          <cell r="E155">
            <v>-10564.536484219951</v>
          </cell>
          <cell r="S155">
            <v>-242.9858415396437</v>
          </cell>
          <cell r="T155">
            <v>-6779.486412000002</v>
          </cell>
        </row>
        <row r="156">
          <cell r="E156">
            <v>-5850.0582122833684</v>
          </cell>
          <cell r="S156">
            <v>-242.9858415396437</v>
          </cell>
          <cell r="T156">
            <v>-6779.486412000002</v>
          </cell>
        </row>
        <row r="157">
          <cell r="E157">
            <v>-10807.72393832665</v>
          </cell>
          <cell r="S157">
            <v>-242.52197458203219</v>
          </cell>
          <cell r="T157">
            <v>-6779.486412000002</v>
          </cell>
        </row>
        <row r="158">
          <cell r="E158">
            <v>-13300.488026511361</v>
          </cell>
          <cell r="S158">
            <v>-242.9858415396437</v>
          </cell>
          <cell r="T158">
            <v>-6779.486412000002</v>
          </cell>
        </row>
        <row r="159">
          <cell r="E159">
            <v>-15500</v>
          </cell>
          <cell r="S159">
            <v>-242.9858415396437</v>
          </cell>
          <cell r="T159">
            <v>-6779.486412000002</v>
          </cell>
        </row>
        <row r="160">
          <cell r="E160">
            <v>-15500</v>
          </cell>
          <cell r="S160">
            <v>-242.52197458203219</v>
          </cell>
          <cell r="T160">
            <v>-6779.486412000002</v>
          </cell>
        </row>
        <row r="161">
          <cell r="E161">
            <v>-15500</v>
          </cell>
          <cell r="S161">
            <v>-242.9858415396437</v>
          </cell>
          <cell r="T161">
            <v>-6779.486412000002</v>
          </cell>
        </row>
        <row r="162">
          <cell r="E162">
            <v>-10444.655515089949</v>
          </cell>
          <cell r="S162">
            <v>-242.9858415396437</v>
          </cell>
          <cell r="T162">
            <v>-6779.486412000002</v>
          </cell>
        </row>
        <row r="163">
          <cell r="E163">
            <v>-8125.1209619103956</v>
          </cell>
          <cell r="S163">
            <v>-242.9858415396437</v>
          </cell>
          <cell r="T163">
            <v>-6779.486412000002</v>
          </cell>
        </row>
        <row r="164">
          <cell r="E164">
            <v>-10427.143683105631</v>
          </cell>
          <cell r="S164">
            <v>-242.52197458203219</v>
          </cell>
          <cell r="T164">
            <v>-6779.486412000002</v>
          </cell>
        </row>
        <row r="165">
          <cell r="E165">
            <v>-1306.7168932699431</v>
          </cell>
          <cell r="S165">
            <v>-242.9858415396437</v>
          </cell>
          <cell r="T165">
            <v>-6779.486412000002</v>
          </cell>
        </row>
        <row r="166">
          <cell r="E166">
            <v>-10383.87862895425</v>
          </cell>
          <cell r="S166">
            <v>-243.4497084972553</v>
          </cell>
          <cell r="T166">
            <v>-6779.486412000002</v>
          </cell>
        </row>
        <row r="167">
          <cell r="E167">
            <v>-2160.59556348857</v>
          </cell>
          <cell r="S167">
            <v>-243.91357544486681</v>
          </cell>
          <cell r="T167">
            <v>-6779.486412000002</v>
          </cell>
        </row>
        <row r="168">
          <cell r="E168">
            <v>-10245.4012997972</v>
          </cell>
          <cell r="S168">
            <v>-244.84130936008989</v>
          </cell>
          <cell r="T168">
            <v>-6779.486412000002</v>
          </cell>
        </row>
        <row r="169">
          <cell r="E169">
            <v>0</v>
          </cell>
          <cell r="S169">
            <v>-244.84130936008989</v>
          </cell>
          <cell r="T169">
            <v>-6779.486412000002</v>
          </cell>
        </row>
      </sheetData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twork"/>
      <sheetName val="crs"/>
      <sheetName val="meta"/>
      <sheetName val="snapshots"/>
      <sheetName val="loads"/>
      <sheetName val="loads-p_set"/>
      <sheetName val="loads-p"/>
      <sheetName val="links"/>
      <sheetName val="links-p_max_pu"/>
      <sheetName val="links-p0"/>
      <sheetName val="links-p1"/>
      <sheetName val="stores"/>
      <sheetName val="stores-p"/>
      <sheetName val="stores-e"/>
      <sheetName val="buses"/>
      <sheetName val="buses-p"/>
      <sheetName val="buses-marginal_price"/>
      <sheetName val="sub_networks"/>
      <sheetName val="generators"/>
      <sheetName val="generators-p_max_pu"/>
      <sheetName val="generators-p_set"/>
      <sheetName val="generators-p"/>
      <sheetName val="storage_units"/>
      <sheetName val="storage_units-p"/>
      <sheetName val="storage_units-p_dispatch"/>
      <sheetName val="storage_units-p_store"/>
      <sheetName val="storage_units-state_of_charge"/>
      <sheetName val="carri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B2">
            <v>0</v>
          </cell>
          <cell r="E2">
            <v>-4051.1987557111529</v>
          </cell>
          <cell r="H2">
            <v>0</v>
          </cell>
          <cell r="R2">
            <v>-3985.9887313007998</v>
          </cell>
          <cell r="S2">
            <v>0</v>
          </cell>
        </row>
        <row r="3">
          <cell r="B3">
            <v>0</v>
          </cell>
          <cell r="E3">
            <v>-3607.320028627018</v>
          </cell>
          <cell r="H3">
            <v>0</v>
          </cell>
          <cell r="R3">
            <v>-3985.9887313007998</v>
          </cell>
          <cell r="S3">
            <v>0</v>
          </cell>
        </row>
        <row r="4">
          <cell r="B4">
            <v>0</v>
          </cell>
          <cell r="E4">
            <v>-3522.6065937583421</v>
          </cell>
          <cell r="H4">
            <v>0</v>
          </cell>
          <cell r="R4">
            <v>-3985.9887313007998</v>
          </cell>
          <cell r="S4">
            <v>0</v>
          </cell>
        </row>
        <row r="5">
          <cell r="B5">
            <v>0</v>
          </cell>
          <cell r="E5">
            <v>-3367.4275943444832</v>
          </cell>
          <cell r="H5">
            <v>0</v>
          </cell>
          <cell r="R5">
            <v>-3985.9887313007998</v>
          </cell>
          <cell r="S5">
            <v>0</v>
          </cell>
        </row>
        <row r="6">
          <cell r="B6">
            <v>0</v>
          </cell>
          <cell r="E6">
            <v>-3016.667187586881</v>
          </cell>
          <cell r="H6">
            <v>0</v>
          </cell>
          <cell r="R6">
            <v>-3985.9887313007998</v>
          </cell>
          <cell r="S6">
            <v>0</v>
          </cell>
        </row>
        <row r="7">
          <cell r="B7">
            <v>0</v>
          </cell>
          <cell r="E7">
            <v>-3113.0002518737051</v>
          </cell>
          <cell r="H7">
            <v>0</v>
          </cell>
          <cell r="R7">
            <v>-3985.9887313007998</v>
          </cell>
          <cell r="S7">
            <v>0</v>
          </cell>
        </row>
        <row r="8">
          <cell r="B8">
            <v>0</v>
          </cell>
          <cell r="E8">
            <v>-3816.7990655817221</v>
          </cell>
          <cell r="H8">
            <v>0</v>
          </cell>
          <cell r="R8">
            <v>-3985.9887313007998</v>
          </cell>
          <cell r="S8">
            <v>0</v>
          </cell>
        </row>
        <row r="9">
          <cell r="B9">
            <v>0</v>
          </cell>
          <cell r="E9">
            <v>-5471.0270543802471</v>
          </cell>
          <cell r="H9">
            <v>0</v>
          </cell>
          <cell r="R9">
            <v>-3985.9887313007998</v>
          </cell>
          <cell r="S9">
            <v>0</v>
          </cell>
        </row>
        <row r="10">
          <cell r="B10">
            <v>0</v>
          </cell>
          <cell r="E10">
            <v>-6895.0061893049879</v>
          </cell>
          <cell r="H10">
            <v>0</v>
          </cell>
          <cell r="R10">
            <v>-3985.9887313007998</v>
          </cell>
          <cell r="S10">
            <v>0</v>
          </cell>
        </row>
        <row r="11">
          <cell r="B11">
            <v>0</v>
          </cell>
          <cell r="E11">
            <v>-3874.1149051560028</v>
          </cell>
          <cell r="H11">
            <v>0</v>
          </cell>
          <cell r="R11">
            <v>-3985.9887313007998</v>
          </cell>
          <cell r="S11">
            <v>0</v>
          </cell>
        </row>
        <row r="12">
          <cell r="B12">
            <v>0</v>
          </cell>
          <cell r="E12">
            <v>-439.05419672083548</v>
          </cell>
          <cell r="H12">
            <v>0</v>
          </cell>
          <cell r="R12">
            <v>-5682.1076589768136</v>
          </cell>
          <cell r="S12">
            <v>0</v>
          </cell>
        </row>
        <row r="13">
          <cell r="B13">
            <v>0</v>
          </cell>
          <cell r="E13">
            <v>0</v>
          </cell>
          <cell r="H13">
            <v>0</v>
          </cell>
          <cell r="R13">
            <v>-7024.7477753699823</v>
          </cell>
          <cell r="S13">
            <v>0</v>
          </cell>
        </row>
        <row r="14">
          <cell r="B14">
            <v>0</v>
          </cell>
          <cell r="E14">
            <v>0</v>
          </cell>
          <cell r="H14">
            <v>0</v>
          </cell>
          <cell r="R14">
            <v>-7354.2878934623504</v>
          </cell>
          <cell r="S14">
            <v>0</v>
          </cell>
        </row>
        <row r="15">
          <cell r="B15">
            <v>0</v>
          </cell>
          <cell r="E15">
            <v>0</v>
          </cell>
          <cell r="H15">
            <v>0</v>
          </cell>
          <cell r="R15">
            <v>-7101.4981973923504</v>
          </cell>
          <cell r="S15">
            <v>0</v>
          </cell>
        </row>
        <row r="16">
          <cell r="B16">
            <v>0</v>
          </cell>
          <cell r="E16">
            <v>0</v>
          </cell>
          <cell r="H16">
            <v>0</v>
          </cell>
          <cell r="R16">
            <v>-7024.7477753699823</v>
          </cell>
          <cell r="S16">
            <v>0</v>
          </cell>
        </row>
        <row r="17">
          <cell r="B17">
            <v>0</v>
          </cell>
          <cell r="E17">
            <v>0</v>
          </cell>
          <cell r="H17">
            <v>0</v>
          </cell>
          <cell r="R17">
            <v>-6012.1076572776146</v>
          </cell>
          <cell r="S17">
            <v>0</v>
          </cell>
        </row>
        <row r="18">
          <cell r="B18">
            <v>0</v>
          </cell>
          <cell r="E18">
            <v>0</v>
          </cell>
          <cell r="H18">
            <v>0</v>
          </cell>
          <cell r="R18">
            <v>-4280.2676608147312</v>
          </cell>
          <cell r="S18">
            <v>0</v>
          </cell>
        </row>
        <row r="19">
          <cell r="B19">
            <v>0</v>
          </cell>
          <cell r="E19">
            <v>-2004.8906690438221</v>
          </cell>
          <cell r="H19">
            <v>0</v>
          </cell>
          <cell r="R19">
            <v>-2941.0887313008002</v>
          </cell>
          <cell r="S19">
            <v>0</v>
          </cell>
        </row>
        <row r="20">
          <cell r="B20">
            <v>0</v>
          </cell>
          <cell r="E20">
            <v>-3226.4076528946762</v>
          </cell>
          <cell r="H20">
            <v>0</v>
          </cell>
          <cell r="R20">
            <v>-1896.6486132108</v>
          </cell>
          <cell r="S20">
            <v>0</v>
          </cell>
        </row>
        <row r="21">
          <cell r="B21">
            <v>-7393.0362460000006</v>
          </cell>
          <cell r="E21">
            <v>-2074.301149704871</v>
          </cell>
          <cell r="H21">
            <v>0</v>
          </cell>
          <cell r="R21">
            <v>-852.20849513079975</v>
          </cell>
          <cell r="S21">
            <v>0</v>
          </cell>
        </row>
        <row r="22">
          <cell r="B22">
            <v>0</v>
          </cell>
          <cell r="E22">
            <v>-841.13974161731153</v>
          </cell>
          <cell r="H22">
            <v>0</v>
          </cell>
          <cell r="R22">
            <v>0</v>
          </cell>
          <cell r="S22">
            <v>-192.23162295920019</v>
          </cell>
        </row>
        <row r="23">
          <cell r="B23">
            <v>0</v>
          </cell>
          <cell r="E23">
            <v>0</v>
          </cell>
          <cell r="H23">
            <v>0</v>
          </cell>
          <cell r="R23">
            <v>0</v>
          </cell>
          <cell r="S23">
            <v>-1236.6717410491999</v>
          </cell>
        </row>
        <row r="24">
          <cell r="B24">
            <v>0</v>
          </cell>
          <cell r="E24">
            <v>-65.754834468461922</v>
          </cell>
          <cell r="H24">
            <v>0</v>
          </cell>
          <cell r="R24">
            <v>0</v>
          </cell>
          <cell r="S24">
            <v>-381.55949078920003</v>
          </cell>
        </row>
        <row r="25">
          <cell r="B25">
            <v>0</v>
          </cell>
          <cell r="E25">
            <v>-885.55060199480158</v>
          </cell>
          <cell r="H25">
            <v>0</v>
          </cell>
          <cell r="R25">
            <v>-663.34050921080006</v>
          </cell>
          <cell r="S25">
            <v>0</v>
          </cell>
        </row>
        <row r="26">
          <cell r="B26">
            <v>0</v>
          </cell>
          <cell r="E26">
            <v>-1757.765614980435</v>
          </cell>
          <cell r="H26">
            <v>0</v>
          </cell>
          <cell r="R26">
            <v>-1708.2414952608001</v>
          </cell>
          <cell r="S26">
            <v>0</v>
          </cell>
        </row>
        <row r="27">
          <cell r="B27">
            <v>0</v>
          </cell>
          <cell r="E27">
            <v>-3035.9365877404889</v>
          </cell>
          <cell r="H27">
            <v>0</v>
          </cell>
          <cell r="R27">
            <v>-2753.1414952608002</v>
          </cell>
          <cell r="S27">
            <v>0</v>
          </cell>
        </row>
        <row r="28">
          <cell r="B28">
            <v>0</v>
          </cell>
          <cell r="E28">
            <v>-3551.7060045096032</v>
          </cell>
          <cell r="H28">
            <v>0</v>
          </cell>
          <cell r="R28">
            <v>-2953.4013878008</v>
          </cell>
          <cell r="S28">
            <v>0</v>
          </cell>
        </row>
        <row r="29">
          <cell r="B29">
            <v>0</v>
          </cell>
          <cell r="E29">
            <v>-2860.7414943879239</v>
          </cell>
          <cell r="H29">
            <v>0</v>
          </cell>
          <cell r="R29">
            <v>-1908.5013878008001</v>
          </cell>
          <cell r="S29">
            <v>0</v>
          </cell>
        </row>
        <row r="30">
          <cell r="B30">
            <v>0</v>
          </cell>
          <cell r="E30">
            <v>-2098.5429934603399</v>
          </cell>
          <cell r="H30">
            <v>0</v>
          </cell>
          <cell r="R30">
            <v>-863.14150589080009</v>
          </cell>
          <cell r="S30">
            <v>0</v>
          </cell>
        </row>
        <row r="31">
          <cell r="B31">
            <v>0</v>
          </cell>
          <cell r="E31">
            <v>-1441.7762509345259</v>
          </cell>
          <cell r="H31">
            <v>0</v>
          </cell>
          <cell r="R31">
            <v>0</v>
          </cell>
          <cell r="S31">
            <v>-182.67825793920019</v>
          </cell>
        </row>
        <row r="32">
          <cell r="B32">
            <v>-7393.0362460000006</v>
          </cell>
          <cell r="E32">
            <v>-1953.87867765187</v>
          </cell>
          <cell r="H32">
            <v>0</v>
          </cell>
          <cell r="R32">
            <v>0</v>
          </cell>
          <cell r="S32">
            <v>-193.1513867891999</v>
          </cell>
        </row>
        <row r="33">
          <cell r="B33">
            <v>0</v>
          </cell>
          <cell r="E33">
            <v>-3589.5085409849721</v>
          </cell>
          <cell r="H33">
            <v>0</v>
          </cell>
          <cell r="R33">
            <v>-851.28873130080001</v>
          </cell>
          <cell r="S33">
            <v>0</v>
          </cell>
        </row>
        <row r="34">
          <cell r="B34">
            <v>-6413.413956685733</v>
          </cell>
          <cell r="E34">
            <v>-4648.5451565492722</v>
          </cell>
          <cell r="H34">
            <v>0</v>
          </cell>
          <cell r="R34">
            <v>-1896.1887313008001</v>
          </cell>
          <cell r="S34">
            <v>0</v>
          </cell>
        </row>
        <row r="35">
          <cell r="B35">
            <v>0</v>
          </cell>
          <cell r="E35">
            <v>-2665.8846992024851</v>
          </cell>
          <cell r="H35">
            <v>0</v>
          </cell>
          <cell r="R35">
            <v>-2941.0887313008002</v>
          </cell>
          <cell r="S35">
            <v>0</v>
          </cell>
        </row>
        <row r="36">
          <cell r="B36">
            <v>0</v>
          </cell>
          <cell r="E36">
            <v>-1513.8839102392481</v>
          </cell>
          <cell r="H36">
            <v>0</v>
          </cell>
          <cell r="R36">
            <v>-3985.9887313007998</v>
          </cell>
          <cell r="S36">
            <v>0</v>
          </cell>
        </row>
        <row r="37">
          <cell r="B37">
            <v>0</v>
          </cell>
          <cell r="E37">
            <v>0</v>
          </cell>
          <cell r="H37">
            <v>0</v>
          </cell>
          <cell r="R37">
            <v>-5031.3486132108001</v>
          </cell>
          <cell r="S37">
            <v>0</v>
          </cell>
        </row>
        <row r="38">
          <cell r="B38">
            <v>0</v>
          </cell>
          <cell r="E38">
            <v>0</v>
          </cell>
          <cell r="H38">
            <v>0</v>
          </cell>
          <cell r="R38">
            <v>-6076.7084917823558</v>
          </cell>
          <cell r="S38">
            <v>0</v>
          </cell>
        </row>
        <row r="39">
          <cell r="B39">
            <v>0</v>
          </cell>
          <cell r="E39">
            <v>0</v>
          </cell>
          <cell r="H39">
            <v>0</v>
          </cell>
          <cell r="R39">
            <v>-5876.2869091115554</v>
          </cell>
          <cell r="S39">
            <v>0</v>
          </cell>
        </row>
        <row r="40">
          <cell r="B40">
            <v>0</v>
          </cell>
          <cell r="E40">
            <v>0</v>
          </cell>
          <cell r="H40">
            <v>0</v>
          </cell>
          <cell r="R40">
            <v>-4892.7191680191881</v>
          </cell>
          <cell r="S40">
            <v>0</v>
          </cell>
        </row>
        <row r="41">
          <cell r="B41">
            <v>0</v>
          </cell>
          <cell r="E41">
            <v>0</v>
          </cell>
          <cell r="H41">
            <v>0</v>
          </cell>
          <cell r="R41">
            <v>-3847.8191680168188</v>
          </cell>
          <cell r="S41">
            <v>0</v>
          </cell>
        </row>
        <row r="42">
          <cell r="B42">
            <v>0</v>
          </cell>
          <cell r="E42">
            <v>-815.64255532824995</v>
          </cell>
          <cell r="H42">
            <v>0</v>
          </cell>
          <cell r="R42">
            <v>-2151.7012263908</v>
          </cell>
          <cell r="S42">
            <v>0</v>
          </cell>
        </row>
        <row r="43">
          <cell r="B43">
            <v>-1242.216936284537</v>
          </cell>
          <cell r="E43">
            <v>-2779.792505328247</v>
          </cell>
          <cell r="H43">
            <v>0</v>
          </cell>
          <cell r="R43">
            <v>-1106.8012263907999</v>
          </cell>
          <cell r="S43">
            <v>0</v>
          </cell>
        </row>
        <row r="44">
          <cell r="B44">
            <v>-7393.0362460000006</v>
          </cell>
          <cell r="E44">
            <v>-2578.9551147185002</v>
          </cell>
          <cell r="H44">
            <v>0</v>
          </cell>
          <cell r="R44">
            <v>-62.36110830079997</v>
          </cell>
          <cell r="S44">
            <v>0</v>
          </cell>
        </row>
        <row r="45">
          <cell r="B45">
            <v>0</v>
          </cell>
          <cell r="E45">
            <v>-620.29532133469252</v>
          </cell>
          <cell r="H45">
            <v>0</v>
          </cell>
          <cell r="R45">
            <v>0</v>
          </cell>
          <cell r="S45">
            <v>-982.07900978919997</v>
          </cell>
        </row>
        <row r="46">
          <cell r="B46">
            <v>-5208.7679978004944</v>
          </cell>
          <cell r="E46">
            <v>0</v>
          </cell>
          <cell r="H46">
            <v>0</v>
          </cell>
          <cell r="R46">
            <v>0</v>
          </cell>
          <cell r="S46">
            <v>-2026.5191278791999</v>
          </cell>
        </row>
        <row r="47">
          <cell r="B47">
            <v>0</v>
          </cell>
          <cell r="E47">
            <v>0</v>
          </cell>
          <cell r="H47">
            <v>0</v>
          </cell>
          <cell r="R47">
            <v>0</v>
          </cell>
          <cell r="S47">
            <v>-2370.9623547391998</v>
          </cell>
        </row>
        <row r="48">
          <cell r="B48">
            <v>-4649.7920475747223</v>
          </cell>
          <cell r="E48">
            <v>0</v>
          </cell>
          <cell r="H48">
            <v>0</v>
          </cell>
          <cell r="R48">
            <v>0</v>
          </cell>
          <cell r="S48">
            <v>-2470.5976317191999</v>
          </cell>
        </row>
        <row r="49">
          <cell r="B49">
            <v>0</v>
          </cell>
          <cell r="E49">
            <v>0</v>
          </cell>
          <cell r="H49">
            <v>0</v>
          </cell>
          <cell r="R49">
            <v>0</v>
          </cell>
          <cell r="S49">
            <v>-2629.3273617191999</v>
          </cell>
        </row>
        <row r="50">
          <cell r="B50">
            <v>0</v>
          </cell>
          <cell r="E50">
            <v>0</v>
          </cell>
          <cell r="H50">
            <v>0</v>
          </cell>
          <cell r="R50">
            <v>0</v>
          </cell>
          <cell r="S50">
            <v>-2618.8018486791998</v>
          </cell>
        </row>
        <row r="51">
          <cell r="B51">
            <v>-1571.1356118602371</v>
          </cell>
          <cell r="E51">
            <v>0</v>
          </cell>
          <cell r="H51">
            <v>0</v>
          </cell>
          <cell r="R51">
            <v>0</v>
          </cell>
          <cell r="S51">
            <v>-2527.4830686792002</v>
          </cell>
        </row>
        <row r="52">
          <cell r="B52">
            <v>0</v>
          </cell>
          <cell r="E52">
            <v>0</v>
          </cell>
          <cell r="H52">
            <v>0</v>
          </cell>
          <cell r="R52">
            <v>0</v>
          </cell>
          <cell r="S52">
            <v>-2435.0857986791998</v>
          </cell>
        </row>
        <row r="53">
          <cell r="B53">
            <v>-20.87734847624824</v>
          </cell>
          <cell r="E53">
            <v>0</v>
          </cell>
          <cell r="H53">
            <v>0</v>
          </cell>
          <cell r="R53">
            <v>0</v>
          </cell>
          <cell r="S53">
            <v>-2530.0177686791999</v>
          </cell>
        </row>
        <row r="54">
          <cell r="B54">
            <v>-1800.955608197736</v>
          </cell>
          <cell r="E54">
            <v>0</v>
          </cell>
          <cell r="H54">
            <v>0</v>
          </cell>
          <cell r="R54">
            <v>0</v>
          </cell>
          <cell r="S54">
            <v>-2655.5517914391999</v>
          </cell>
        </row>
        <row r="55">
          <cell r="B55">
            <v>0</v>
          </cell>
          <cell r="E55">
            <v>0</v>
          </cell>
          <cell r="H55">
            <v>0</v>
          </cell>
          <cell r="R55">
            <v>0</v>
          </cell>
          <cell r="S55">
            <v>-2861.8570834492002</v>
          </cell>
        </row>
        <row r="56">
          <cell r="B56">
            <v>-1900.34207631245</v>
          </cell>
          <cell r="E56">
            <v>-525.91965623467968</v>
          </cell>
          <cell r="H56">
            <v>0</v>
          </cell>
          <cell r="R56">
            <v>0</v>
          </cell>
          <cell r="S56">
            <v>-2275.839451057207</v>
          </cell>
        </row>
        <row r="57">
          <cell r="B57">
            <v>-7393.0362460000006</v>
          </cell>
          <cell r="E57">
            <v>-2080.3847689615441</v>
          </cell>
          <cell r="H57">
            <v>0</v>
          </cell>
          <cell r="R57">
            <v>0</v>
          </cell>
          <cell r="S57">
            <v>-1231.3993343791999</v>
          </cell>
        </row>
        <row r="58">
          <cell r="B58">
            <v>-7393.0362460000006</v>
          </cell>
          <cell r="E58">
            <v>-3249.8435556639952</v>
          </cell>
          <cell r="H58">
            <v>0</v>
          </cell>
          <cell r="R58">
            <v>0</v>
          </cell>
          <cell r="S58">
            <v>-186.49933437920029</v>
          </cell>
        </row>
        <row r="59">
          <cell r="B59">
            <v>0</v>
          </cell>
          <cell r="E59">
            <v>-1257.06324478998</v>
          </cell>
          <cell r="H59">
            <v>0</v>
          </cell>
          <cell r="R59">
            <v>-858.40066562079983</v>
          </cell>
          <cell r="S59">
            <v>0</v>
          </cell>
        </row>
        <row r="60">
          <cell r="B60">
            <v>0</v>
          </cell>
          <cell r="E60">
            <v>-520.54923633423755</v>
          </cell>
          <cell r="H60">
            <v>0</v>
          </cell>
          <cell r="R60">
            <v>-1903.3006656207999</v>
          </cell>
          <cell r="S60">
            <v>0</v>
          </cell>
        </row>
        <row r="61">
          <cell r="B61">
            <v>0</v>
          </cell>
          <cell r="E61">
            <v>0</v>
          </cell>
          <cell r="H61">
            <v>0</v>
          </cell>
          <cell r="R61">
            <v>-3114.1651873078022</v>
          </cell>
          <cell r="S61">
            <v>0</v>
          </cell>
        </row>
        <row r="62">
          <cell r="B62">
            <v>0</v>
          </cell>
          <cell r="E62">
            <v>0</v>
          </cell>
          <cell r="H62">
            <v>0</v>
          </cell>
          <cell r="R62">
            <v>-4644.3176212115613</v>
          </cell>
          <cell r="S62">
            <v>0</v>
          </cell>
        </row>
        <row r="63">
          <cell r="B63">
            <v>0</v>
          </cell>
          <cell r="E63">
            <v>0</v>
          </cell>
          <cell r="H63">
            <v>0</v>
          </cell>
          <cell r="R63">
            <v>-4995.3159973415604</v>
          </cell>
          <cell r="S63">
            <v>0</v>
          </cell>
        </row>
        <row r="64">
          <cell r="B64">
            <v>0</v>
          </cell>
          <cell r="E64">
            <v>0</v>
          </cell>
          <cell r="H64">
            <v>0</v>
          </cell>
          <cell r="R64">
            <v>-3950.415997339192</v>
          </cell>
          <cell r="S64">
            <v>0</v>
          </cell>
        </row>
        <row r="65">
          <cell r="B65">
            <v>0</v>
          </cell>
          <cell r="E65">
            <v>0</v>
          </cell>
          <cell r="H65">
            <v>0</v>
          </cell>
          <cell r="R65">
            <v>-2254.2990417607998</v>
          </cell>
          <cell r="S65">
            <v>0</v>
          </cell>
        </row>
        <row r="66">
          <cell r="B66">
            <v>-2502.6149038947592</v>
          </cell>
          <cell r="E66">
            <v>0</v>
          </cell>
          <cell r="H66">
            <v>0</v>
          </cell>
          <cell r="R66">
            <v>-1209.3990417607999</v>
          </cell>
          <cell r="S66">
            <v>0</v>
          </cell>
        </row>
        <row r="67">
          <cell r="B67">
            <v>-7393.0362460000006</v>
          </cell>
          <cell r="E67">
            <v>-3329.7715324732371</v>
          </cell>
          <cell r="H67">
            <v>0</v>
          </cell>
          <cell r="R67">
            <v>-164.49904176080011</v>
          </cell>
          <cell r="S67">
            <v>0</v>
          </cell>
        </row>
        <row r="68">
          <cell r="B68">
            <v>-7393.0362460000006</v>
          </cell>
          <cell r="E68">
            <v>-3807.034423275999</v>
          </cell>
          <cell r="H68">
            <v>0</v>
          </cell>
          <cell r="R68">
            <v>0</v>
          </cell>
          <cell r="S68">
            <v>-879.94107968000753</v>
          </cell>
        </row>
        <row r="69">
          <cell r="B69">
            <v>-7393.0362460000006</v>
          </cell>
          <cell r="E69">
            <v>-2511.2360449651219</v>
          </cell>
          <cell r="H69">
            <v>0</v>
          </cell>
          <cell r="R69">
            <v>0</v>
          </cell>
          <cell r="S69">
            <v>-1924.3811974277489</v>
          </cell>
        </row>
        <row r="70">
          <cell r="B70">
            <v>-7393.0362460000006</v>
          </cell>
          <cell r="E70">
            <v>-1647.9066949506609</v>
          </cell>
          <cell r="H70">
            <v>0</v>
          </cell>
          <cell r="R70">
            <v>0</v>
          </cell>
          <cell r="S70">
            <v>-2968.8213125092002</v>
          </cell>
        </row>
        <row r="71">
          <cell r="B71">
            <v>-7393.0362460000006</v>
          </cell>
          <cell r="E71">
            <v>-697.93298845876961</v>
          </cell>
          <cell r="H71">
            <v>0</v>
          </cell>
          <cell r="R71">
            <v>0</v>
          </cell>
          <cell r="S71">
            <v>-4013.2614305891998</v>
          </cell>
        </row>
        <row r="72">
          <cell r="B72">
            <v>-7393.0362460000006</v>
          </cell>
          <cell r="E72">
            <v>0</v>
          </cell>
          <cell r="H72">
            <v>0</v>
          </cell>
          <cell r="R72">
            <v>0</v>
          </cell>
          <cell r="S72">
            <v>-5057.7015486792006</v>
          </cell>
        </row>
        <row r="73">
          <cell r="B73">
            <v>-6263.4044401606589</v>
          </cell>
          <cell r="E73">
            <v>0</v>
          </cell>
          <cell r="H73">
            <v>0</v>
          </cell>
          <cell r="R73">
            <v>0</v>
          </cell>
          <cell r="S73">
            <v>-4776.0455696491999</v>
          </cell>
        </row>
        <row r="74">
          <cell r="B74">
            <v>-6087.2136061742895</v>
          </cell>
          <cell r="E74">
            <v>0</v>
          </cell>
          <cell r="H74">
            <v>0</v>
          </cell>
          <cell r="R74">
            <v>0</v>
          </cell>
          <cell r="S74">
            <v>-4653.3086830392003</v>
          </cell>
        </row>
        <row r="75">
          <cell r="B75">
            <v>-4695.490992050336</v>
          </cell>
          <cell r="E75">
            <v>0</v>
          </cell>
          <cell r="H75">
            <v>0</v>
          </cell>
          <cell r="R75">
            <v>0</v>
          </cell>
          <cell r="S75">
            <v>-4606.4039530392001</v>
          </cell>
        </row>
        <row r="76">
          <cell r="B76">
            <v>-4809.8089417532419</v>
          </cell>
          <cell r="E76">
            <v>0</v>
          </cell>
          <cell r="H76">
            <v>0</v>
          </cell>
          <cell r="R76">
            <v>0</v>
          </cell>
          <cell r="S76">
            <v>-4455.0603530392</v>
          </cell>
        </row>
        <row r="77">
          <cell r="B77">
            <v>-4888.7727608202349</v>
          </cell>
          <cell r="E77">
            <v>0</v>
          </cell>
          <cell r="H77">
            <v>0</v>
          </cell>
          <cell r="R77">
            <v>0</v>
          </cell>
          <cell r="S77">
            <v>-4234.6231030392</v>
          </cell>
        </row>
        <row r="78">
          <cell r="B78">
            <v>-4887.0387757483022</v>
          </cell>
          <cell r="E78">
            <v>0</v>
          </cell>
          <cell r="H78">
            <v>0</v>
          </cell>
          <cell r="R78">
            <v>0</v>
          </cell>
          <cell r="S78">
            <v>-3941.6156757991998</v>
          </cell>
        </row>
        <row r="79">
          <cell r="B79">
            <v>-4480.9527600215342</v>
          </cell>
          <cell r="E79">
            <v>-631.38030296524357</v>
          </cell>
          <cell r="H79">
            <v>0</v>
          </cell>
          <cell r="R79">
            <v>0</v>
          </cell>
          <cell r="S79">
            <v>-3075.4285711891998</v>
          </cell>
        </row>
        <row r="80">
          <cell r="B80">
            <v>-6330.0526305743524</v>
          </cell>
          <cell r="E80">
            <v>-1563.1813401854299</v>
          </cell>
          <cell r="H80">
            <v>0</v>
          </cell>
          <cell r="R80">
            <v>0</v>
          </cell>
          <cell r="S80">
            <v>-2030.9884530991999</v>
          </cell>
        </row>
        <row r="81">
          <cell r="B81">
            <v>-7393.0362460000006</v>
          </cell>
          <cell r="E81">
            <v>-2598.7174222205072</v>
          </cell>
          <cell r="H81">
            <v>0</v>
          </cell>
          <cell r="R81">
            <v>0</v>
          </cell>
          <cell r="S81">
            <v>-986.54833501920007</v>
          </cell>
        </row>
        <row r="82">
          <cell r="B82">
            <v>-7393.0362460000006</v>
          </cell>
          <cell r="E82">
            <v>-3388.8877842649972</v>
          </cell>
          <cell r="H82">
            <v>-710.61312262711999</v>
          </cell>
          <cell r="R82">
            <v>-58.351664980799796</v>
          </cell>
          <cell r="S82">
            <v>0</v>
          </cell>
        </row>
        <row r="83">
          <cell r="B83">
            <v>-7393.0362460000006</v>
          </cell>
          <cell r="E83">
            <v>-1970.415219443807</v>
          </cell>
          <cell r="H83">
            <v>0</v>
          </cell>
          <cell r="R83">
            <v>-1103.2516649807999</v>
          </cell>
          <cell r="S83">
            <v>0</v>
          </cell>
        </row>
        <row r="84">
          <cell r="B84">
            <v>-822.48923309994825</v>
          </cell>
          <cell r="E84">
            <v>-198.48646512962841</v>
          </cell>
          <cell r="H84">
            <v>0</v>
          </cell>
          <cell r="R84">
            <v>-2148.1516649808</v>
          </cell>
          <cell r="S84">
            <v>0</v>
          </cell>
        </row>
        <row r="85">
          <cell r="B85">
            <v>0</v>
          </cell>
          <cell r="E85">
            <v>0</v>
          </cell>
          <cell r="H85">
            <v>0</v>
          </cell>
          <cell r="R85">
            <v>-3193.5115469008001</v>
          </cell>
          <cell r="S85">
            <v>0</v>
          </cell>
        </row>
        <row r="86">
          <cell r="B86">
            <v>0</v>
          </cell>
          <cell r="E86">
            <v>0</v>
          </cell>
          <cell r="H86">
            <v>0</v>
          </cell>
          <cell r="R86">
            <v>-4889.1676345215656</v>
          </cell>
          <cell r="S86">
            <v>0</v>
          </cell>
        </row>
        <row r="87">
          <cell r="B87">
            <v>0</v>
          </cell>
          <cell r="E87">
            <v>0</v>
          </cell>
          <cell r="H87">
            <v>0</v>
          </cell>
          <cell r="R87">
            <v>-5876.2849370115646</v>
          </cell>
          <cell r="S87">
            <v>0</v>
          </cell>
        </row>
        <row r="88">
          <cell r="B88">
            <v>0</v>
          </cell>
          <cell r="E88">
            <v>0</v>
          </cell>
          <cell r="H88">
            <v>0</v>
          </cell>
          <cell r="R88">
            <v>-5876.7448172199984</v>
          </cell>
          <cell r="S88">
            <v>0</v>
          </cell>
        </row>
        <row r="89">
          <cell r="B89">
            <v>0</v>
          </cell>
          <cell r="E89">
            <v>0</v>
          </cell>
          <cell r="H89">
            <v>0</v>
          </cell>
          <cell r="R89">
            <v>-5877.2046991276302</v>
          </cell>
          <cell r="S89">
            <v>0</v>
          </cell>
        </row>
        <row r="90">
          <cell r="B90">
            <v>0</v>
          </cell>
          <cell r="E90">
            <v>-868.76779702739759</v>
          </cell>
          <cell r="H90">
            <v>0</v>
          </cell>
          <cell r="R90">
            <v>-5225.9887313008003</v>
          </cell>
          <cell r="S90">
            <v>0</v>
          </cell>
        </row>
        <row r="91">
          <cell r="B91">
            <v>0</v>
          </cell>
          <cell r="E91">
            <v>-2346.8681149099511</v>
          </cell>
          <cell r="H91">
            <v>0</v>
          </cell>
          <cell r="R91">
            <v>-4181.0887302962128</v>
          </cell>
          <cell r="S91">
            <v>0</v>
          </cell>
        </row>
        <row r="92">
          <cell r="B92">
            <v>0</v>
          </cell>
          <cell r="E92">
            <v>-3102.5849549588961</v>
          </cell>
          <cell r="H92">
            <v>0</v>
          </cell>
          <cell r="R92">
            <v>-3985.9887313007998</v>
          </cell>
          <cell r="S92">
            <v>0</v>
          </cell>
        </row>
        <row r="93">
          <cell r="B93">
            <v>0</v>
          </cell>
          <cell r="E93">
            <v>-1913.1437960253099</v>
          </cell>
          <cell r="H93">
            <v>0</v>
          </cell>
          <cell r="R93">
            <v>-3985.9887313007998</v>
          </cell>
          <cell r="S93">
            <v>0</v>
          </cell>
        </row>
        <row r="94">
          <cell r="B94">
            <v>0</v>
          </cell>
          <cell r="E94">
            <v>-965.59508416371045</v>
          </cell>
          <cell r="H94">
            <v>0</v>
          </cell>
          <cell r="R94">
            <v>-3985.9887313007998</v>
          </cell>
          <cell r="S94">
            <v>0</v>
          </cell>
        </row>
        <row r="95">
          <cell r="B95">
            <v>0</v>
          </cell>
          <cell r="E95">
            <v>-103.8246535320723</v>
          </cell>
          <cell r="H95">
            <v>0</v>
          </cell>
          <cell r="R95">
            <v>-3985.9887313007998</v>
          </cell>
          <cell r="S95">
            <v>0</v>
          </cell>
        </row>
        <row r="96">
          <cell r="B96">
            <v>0</v>
          </cell>
          <cell r="E96">
            <v>-1322.4697145492071</v>
          </cell>
          <cell r="H96">
            <v>0</v>
          </cell>
          <cell r="R96">
            <v>-5031.3486132108001</v>
          </cell>
          <cell r="S96">
            <v>0</v>
          </cell>
        </row>
        <row r="97">
          <cell r="B97">
            <v>0</v>
          </cell>
          <cell r="E97">
            <v>-1398.720762659224</v>
          </cell>
          <cell r="H97">
            <v>0</v>
          </cell>
          <cell r="R97">
            <v>-6076.2486098694699</v>
          </cell>
          <cell r="S97">
            <v>0</v>
          </cell>
        </row>
        <row r="98">
          <cell r="B98">
            <v>0</v>
          </cell>
          <cell r="E98">
            <v>-1046.4070712225091</v>
          </cell>
          <cell r="H98">
            <v>0</v>
          </cell>
          <cell r="R98">
            <v>-5874.9043035294753</v>
          </cell>
          <cell r="S98">
            <v>0</v>
          </cell>
        </row>
        <row r="99">
          <cell r="B99">
            <v>0</v>
          </cell>
          <cell r="E99">
            <v>-1671.862311940675</v>
          </cell>
          <cell r="H99">
            <v>0</v>
          </cell>
          <cell r="R99">
            <v>-5874.9043035294753</v>
          </cell>
          <cell r="S99">
            <v>0</v>
          </cell>
        </row>
        <row r="100">
          <cell r="B100">
            <v>0</v>
          </cell>
          <cell r="E100">
            <v>-2109.8359934289851</v>
          </cell>
          <cell r="H100">
            <v>0</v>
          </cell>
          <cell r="R100">
            <v>-6107.5676513994749</v>
          </cell>
          <cell r="S100">
            <v>0</v>
          </cell>
        </row>
        <row r="101">
          <cell r="B101">
            <v>0</v>
          </cell>
          <cell r="E101">
            <v>-1712.395750954727</v>
          </cell>
          <cell r="H101">
            <v>0</v>
          </cell>
          <cell r="R101">
            <v>-6204.9043035294753</v>
          </cell>
          <cell r="S101">
            <v>0</v>
          </cell>
        </row>
        <row r="102">
          <cell r="B102">
            <v>0</v>
          </cell>
          <cell r="E102">
            <v>-13.0904431708052</v>
          </cell>
          <cell r="H102">
            <v>0</v>
          </cell>
          <cell r="R102">
            <v>-5875.3641854371072</v>
          </cell>
          <cell r="S102">
            <v>0</v>
          </cell>
        </row>
        <row r="103">
          <cell r="B103">
            <v>0</v>
          </cell>
          <cell r="E103">
            <v>0</v>
          </cell>
          <cell r="H103">
            <v>0</v>
          </cell>
          <cell r="R103">
            <v>-5876.2839492623707</v>
          </cell>
          <cell r="S103">
            <v>0</v>
          </cell>
        </row>
        <row r="104">
          <cell r="B104">
            <v>0</v>
          </cell>
          <cell r="E104">
            <v>0</v>
          </cell>
          <cell r="H104">
            <v>0</v>
          </cell>
          <cell r="R104">
            <v>-6206.7438311700034</v>
          </cell>
          <cell r="S104">
            <v>0</v>
          </cell>
        </row>
        <row r="105">
          <cell r="B105">
            <v>0</v>
          </cell>
          <cell r="E105">
            <v>0</v>
          </cell>
          <cell r="H105">
            <v>0</v>
          </cell>
          <cell r="R105">
            <v>-6207.2037130776353</v>
          </cell>
          <cell r="S105">
            <v>0</v>
          </cell>
        </row>
        <row r="106">
          <cell r="B106">
            <v>0</v>
          </cell>
          <cell r="E106">
            <v>0</v>
          </cell>
          <cell r="H106">
            <v>0</v>
          </cell>
          <cell r="R106">
            <v>-6310.3037130776347</v>
          </cell>
          <cell r="S106">
            <v>0</v>
          </cell>
        </row>
        <row r="107">
          <cell r="B107">
            <v>0</v>
          </cell>
          <cell r="E107">
            <v>0</v>
          </cell>
          <cell r="H107">
            <v>0</v>
          </cell>
          <cell r="R107">
            <v>-7355.2037130776353</v>
          </cell>
          <cell r="S107">
            <v>0</v>
          </cell>
        </row>
        <row r="108">
          <cell r="B108">
            <v>0</v>
          </cell>
          <cell r="E108">
            <v>-6555.5531973387842</v>
          </cell>
          <cell r="H108">
            <v>0</v>
          </cell>
          <cell r="R108">
            <v>-7355.2037130776353</v>
          </cell>
          <cell r="S108">
            <v>0</v>
          </cell>
        </row>
        <row r="109">
          <cell r="B109">
            <v>0</v>
          </cell>
          <cell r="E109">
            <v>-15500</v>
          </cell>
          <cell r="H109">
            <v>0</v>
          </cell>
          <cell r="R109">
            <v>-7354.7438311700034</v>
          </cell>
          <cell r="S109">
            <v>0</v>
          </cell>
        </row>
        <row r="110">
          <cell r="B110">
            <v>0</v>
          </cell>
          <cell r="E110">
            <v>-15500</v>
          </cell>
          <cell r="H110">
            <v>0</v>
          </cell>
          <cell r="R110">
            <v>-7354.2839492623707</v>
          </cell>
          <cell r="S110">
            <v>0</v>
          </cell>
        </row>
        <row r="111">
          <cell r="B111">
            <v>0</v>
          </cell>
          <cell r="E111">
            <v>-15500</v>
          </cell>
          <cell r="H111">
            <v>0</v>
          </cell>
          <cell r="R111">
            <v>-7354.2839492623707</v>
          </cell>
          <cell r="S111">
            <v>0</v>
          </cell>
        </row>
        <row r="112">
          <cell r="B112">
            <v>0</v>
          </cell>
          <cell r="E112">
            <v>-15500</v>
          </cell>
          <cell r="H112">
            <v>0</v>
          </cell>
          <cell r="R112">
            <v>-7354.7438311700034</v>
          </cell>
          <cell r="S112">
            <v>0</v>
          </cell>
        </row>
        <row r="113">
          <cell r="B113">
            <v>0</v>
          </cell>
          <cell r="E113">
            <v>-15500</v>
          </cell>
          <cell r="H113">
            <v>0</v>
          </cell>
          <cell r="R113">
            <v>-7355.2037130776353</v>
          </cell>
          <cell r="S113">
            <v>0</v>
          </cell>
        </row>
        <row r="114">
          <cell r="B114">
            <v>0</v>
          </cell>
          <cell r="E114">
            <v>-11227.84991862234</v>
          </cell>
          <cell r="H114">
            <v>0</v>
          </cell>
          <cell r="R114">
            <v>-7355.2037130776353</v>
          </cell>
          <cell r="S114">
            <v>0</v>
          </cell>
        </row>
        <row r="115">
          <cell r="B115">
            <v>0</v>
          </cell>
          <cell r="E115">
            <v>0</v>
          </cell>
          <cell r="H115">
            <v>0</v>
          </cell>
          <cell r="R115">
            <v>-7025.2037130776353</v>
          </cell>
          <cell r="S115">
            <v>0</v>
          </cell>
        </row>
        <row r="116">
          <cell r="B116">
            <v>0</v>
          </cell>
          <cell r="E116">
            <v>0</v>
          </cell>
          <cell r="H116">
            <v>0</v>
          </cell>
          <cell r="R116">
            <v>-6373.7442569700033</v>
          </cell>
          <cell r="S116">
            <v>0</v>
          </cell>
        </row>
        <row r="117">
          <cell r="B117">
            <v>0</v>
          </cell>
          <cell r="E117">
            <v>0</v>
          </cell>
          <cell r="H117">
            <v>0</v>
          </cell>
          <cell r="R117">
            <v>-5876.2839492623707</v>
          </cell>
          <cell r="S117">
            <v>0</v>
          </cell>
        </row>
        <row r="118">
          <cell r="B118">
            <v>0</v>
          </cell>
          <cell r="E118">
            <v>-137.35433427206499</v>
          </cell>
          <cell r="H118">
            <v>0</v>
          </cell>
          <cell r="R118">
            <v>-5875.8240673547389</v>
          </cell>
          <cell r="S118">
            <v>0</v>
          </cell>
        </row>
        <row r="119">
          <cell r="B119">
            <v>0</v>
          </cell>
          <cell r="E119">
            <v>-520.49003988549794</v>
          </cell>
          <cell r="H119">
            <v>0</v>
          </cell>
          <cell r="R119">
            <v>-6205.3641854371072</v>
          </cell>
          <cell r="S119">
            <v>0</v>
          </cell>
        </row>
        <row r="120">
          <cell r="B120">
            <v>0</v>
          </cell>
          <cell r="E120">
            <v>-361.54206728060223</v>
          </cell>
          <cell r="H120">
            <v>0</v>
          </cell>
          <cell r="R120">
            <v>-5874.9043035294753</v>
          </cell>
          <cell r="S120">
            <v>0</v>
          </cell>
        </row>
        <row r="121">
          <cell r="B121">
            <v>0</v>
          </cell>
          <cell r="E121">
            <v>-644.30500404974191</v>
          </cell>
          <cell r="H121">
            <v>0</v>
          </cell>
          <cell r="R121">
            <v>-6204.9043035294753</v>
          </cell>
          <cell r="S121">
            <v>0</v>
          </cell>
        </row>
        <row r="122">
          <cell r="B122">
            <v>0</v>
          </cell>
          <cell r="E122">
            <v>-1131.3982391351769</v>
          </cell>
          <cell r="H122">
            <v>0</v>
          </cell>
          <cell r="R122">
            <v>-6534.820693689906</v>
          </cell>
          <cell r="S122">
            <v>0</v>
          </cell>
        </row>
        <row r="123">
          <cell r="B123">
            <v>0</v>
          </cell>
          <cell r="E123">
            <v>-2332.9930546525302</v>
          </cell>
          <cell r="H123">
            <v>0</v>
          </cell>
          <cell r="R123">
            <v>-7315.643064539905</v>
          </cell>
          <cell r="S123">
            <v>0</v>
          </cell>
        </row>
        <row r="124">
          <cell r="B124">
            <v>0</v>
          </cell>
          <cell r="E124">
            <v>-2699.8546789869229</v>
          </cell>
          <cell r="H124">
            <v>0</v>
          </cell>
          <cell r="R124">
            <v>-7022.820693689906</v>
          </cell>
          <cell r="S124">
            <v>0</v>
          </cell>
        </row>
        <row r="125">
          <cell r="B125">
            <v>0</v>
          </cell>
          <cell r="E125">
            <v>-2704.3512816820462</v>
          </cell>
          <cell r="H125">
            <v>0</v>
          </cell>
          <cell r="R125">
            <v>-7352.820693689906</v>
          </cell>
          <cell r="S125">
            <v>0</v>
          </cell>
        </row>
        <row r="126">
          <cell r="B126">
            <v>0</v>
          </cell>
          <cell r="E126">
            <v>-3130.6184028065782</v>
          </cell>
          <cell r="H126">
            <v>0</v>
          </cell>
          <cell r="R126">
            <v>-7353.7484276051282</v>
          </cell>
          <cell r="S126">
            <v>0</v>
          </cell>
        </row>
        <row r="127">
          <cell r="B127">
            <v>0</v>
          </cell>
          <cell r="E127">
            <v>-3241.8778839242309</v>
          </cell>
          <cell r="H127">
            <v>0</v>
          </cell>
          <cell r="R127">
            <v>-6536.6761615103514</v>
          </cell>
          <cell r="S127">
            <v>0</v>
          </cell>
        </row>
        <row r="128">
          <cell r="B128">
            <v>0</v>
          </cell>
          <cell r="E128">
            <v>-3061.0940297751581</v>
          </cell>
          <cell r="H128">
            <v>0</v>
          </cell>
          <cell r="R128">
            <v>-7355.140028467963</v>
          </cell>
          <cell r="S128">
            <v>0</v>
          </cell>
        </row>
        <row r="129">
          <cell r="B129">
            <v>0</v>
          </cell>
          <cell r="E129">
            <v>-3141.183472879417</v>
          </cell>
          <cell r="H129">
            <v>0</v>
          </cell>
          <cell r="R129">
            <v>-7024.6761615103514</v>
          </cell>
          <cell r="S129">
            <v>0</v>
          </cell>
        </row>
        <row r="130">
          <cell r="B130">
            <v>0</v>
          </cell>
          <cell r="E130">
            <v>-3578.434525595289</v>
          </cell>
          <cell r="H130">
            <v>0</v>
          </cell>
          <cell r="R130">
            <v>-7024.6761615103514</v>
          </cell>
          <cell r="S130">
            <v>0</v>
          </cell>
        </row>
        <row r="131">
          <cell r="B131">
            <v>0</v>
          </cell>
          <cell r="E131">
            <v>-3584.5172660873541</v>
          </cell>
          <cell r="H131">
            <v>0</v>
          </cell>
          <cell r="R131">
            <v>-7354.6761615103514</v>
          </cell>
          <cell r="S131">
            <v>0</v>
          </cell>
        </row>
        <row r="132">
          <cell r="B132">
            <v>0</v>
          </cell>
          <cell r="E132">
            <v>-12436.20672171082</v>
          </cell>
          <cell r="H132">
            <v>0</v>
          </cell>
          <cell r="R132">
            <v>-7354.6761615103514</v>
          </cell>
          <cell r="S132">
            <v>0</v>
          </cell>
        </row>
        <row r="133">
          <cell r="B133">
            <v>0</v>
          </cell>
          <cell r="E133">
            <v>-15500</v>
          </cell>
          <cell r="H133">
            <v>0</v>
          </cell>
          <cell r="R133">
            <v>-7355.140028467963</v>
          </cell>
          <cell r="S133">
            <v>0</v>
          </cell>
        </row>
        <row r="134">
          <cell r="B134">
            <v>0</v>
          </cell>
          <cell r="E134">
            <v>-5727.2660625512508</v>
          </cell>
          <cell r="H134">
            <v>0</v>
          </cell>
          <cell r="R134">
            <v>-7354.6761615103514</v>
          </cell>
          <cell r="S134">
            <v>0</v>
          </cell>
        </row>
        <row r="135">
          <cell r="B135">
            <v>0</v>
          </cell>
          <cell r="E135">
            <v>-14024.116219410889</v>
          </cell>
          <cell r="H135">
            <v>0</v>
          </cell>
          <cell r="R135">
            <v>-7354.6761615103514</v>
          </cell>
          <cell r="S135">
            <v>0</v>
          </cell>
        </row>
        <row r="136">
          <cell r="B136">
            <v>0</v>
          </cell>
          <cell r="E136">
            <v>-7511.5121955769337</v>
          </cell>
          <cell r="H136">
            <v>0</v>
          </cell>
          <cell r="R136">
            <v>-7355.140028467963</v>
          </cell>
          <cell r="S136">
            <v>0</v>
          </cell>
        </row>
        <row r="137">
          <cell r="B137">
            <v>0</v>
          </cell>
          <cell r="E137">
            <v>-7762.4350625478291</v>
          </cell>
          <cell r="H137">
            <v>0</v>
          </cell>
          <cell r="R137">
            <v>-7354.6761615103514</v>
          </cell>
          <cell r="S137">
            <v>0</v>
          </cell>
        </row>
        <row r="138">
          <cell r="B138">
            <v>0</v>
          </cell>
          <cell r="E138">
            <v>-2526.5571297478282</v>
          </cell>
          <cell r="H138">
            <v>0</v>
          </cell>
          <cell r="R138">
            <v>-7354.6761615103514</v>
          </cell>
          <cell r="S138">
            <v>0</v>
          </cell>
        </row>
        <row r="139">
          <cell r="B139">
            <v>0</v>
          </cell>
          <cell r="E139">
            <v>-1759.699953609032</v>
          </cell>
          <cell r="H139">
            <v>0</v>
          </cell>
          <cell r="R139">
            <v>-6310.7038954303516</v>
          </cell>
          <cell r="S139">
            <v>0</v>
          </cell>
        </row>
        <row r="140">
          <cell r="B140">
            <v>0</v>
          </cell>
          <cell r="E140">
            <v>-4367.3184126663073</v>
          </cell>
          <cell r="H140">
            <v>0</v>
          </cell>
          <cell r="R140">
            <v>-7355.140028467963</v>
          </cell>
          <cell r="S140">
            <v>0</v>
          </cell>
        </row>
        <row r="141">
          <cell r="B141">
            <v>0</v>
          </cell>
          <cell r="E141">
            <v>-2731.0214612373011</v>
          </cell>
          <cell r="H141">
            <v>0</v>
          </cell>
          <cell r="R141">
            <v>-7024.6761615103514</v>
          </cell>
          <cell r="S141">
            <v>0</v>
          </cell>
        </row>
        <row r="142">
          <cell r="B142">
            <v>0</v>
          </cell>
          <cell r="E142">
            <v>-1992.5476632165421</v>
          </cell>
          <cell r="H142">
            <v>0</v>
          </cell>
          <cell r="R142">
            <v>-7354.2122945527399</v>
          </cell>
          <cell r="S142">
            <v>0</v>
          </cell>
        </row>
        <row r="143">
          <cell r="B143">
            <v>0</v>
          </cell>
          <cell r="E143">
            <v>-900.99940792072084</v>
          </cell>
          <cell r="H143">
            <v>0</v>
          </cell>
          <cell r="R143">
            <v>-7023.7484276051282</v>
          </cell>
          <cell r="S143">
            <v>0</v>
          </cell>
        </row>
        <row r="144">
          <cell r="B144">
            <v>0</v>
          </cell>
          <cell r="E144">
            <v>0</v>
          </cell>
          <cell r="H144">
            <v>0</v>
          </cell>
          <cell r="R144">
            <v>-6534.820693689906</v>
          </cell>
          <cell r="S144">
            <v>0</v>
          </cell>
        </row>
        <row r="145">
          <cell r="B145">
            <v>0</v>
          </cell>
          <cell r="E145">
            <v>0</v>
          </cell>
          <cell r="H145">
            <v>0</v>
          </cell>
          <cell r="R145">
            <v>-7022.820693689906</v>
          </cell>
          <cell r="S145">
            <v>0</v>
          </cell>
        </row>
        <row r="146">
          <cell r="B146">
            <v>0</v>
          </cell>
          <cell r="E146">
            <v>-1098.003588537199</v>
          </cell>
          <cell r="H146">
            <v>0</v>
          </cell>
          <cell r="R146">
            <v>-7352.8197076399101</v>
          </cell>
          <cell r="S146">
            <v>0</v>
          </cell>
        </row>
        <row r="147">
          <cell r="B147">
            <v>0</v>
          </cell>
          <cell r="E147">
            <v>0</v>
          </cell>
          <cell r="H147">
            <v>0</v>
          </cell>
          <cell r="R147">
            <v>-7352.8197076399101</v>
          </cell>
          <cell r="S147">
            <v>0</v>
          </cell>
        </row>
        <row r="148">
          <cell r="B148">
            <v>0</v>
          </cell>
          <cell r="E148">
            <v>-106.8682624171997</v>
          </cell>
          <cell r="H148">
            <v>0</v>
          </cell>
          <cell r="R148">
            <v>-7352.8197076399101</v>
          </cell>
          <cell r="S148">
            <v>0</v>
          </cell>
        </row>
        <row r="149">
          <cell r="B149">
            <v>0</v>
          </cell>
          <cell r="E149">
            <v>-3734.5668496172798</v>
          </cell>
          <cell r="H149">
            <v>0</v>
          </cell>
          <cell r="R149">
            <v>-7352.8197076399101</v>
          </cell>
          <cell r="S149">
            <v>0</v>
          </cell>
        </row>
        <row r="150">
          <cell r="B150">
            <v>0</v>
          </cell>
          <cell r="E150">
            <v>-9714.6669939196217</v>
          </cell>
          <cell r="H150">
            <v>0</v>
          </cell>
          <cell r="R150">
            <v>-7353.7474415551333</v>
          </cell>
          <cell r="S150">
            <v>0</v>
          </cell>
        </row>
        <row r="151">
          <cell r="B151">
            <v>0</v>
          </cell>
          <cell r="E151">
            <v>-11851.493298471971</v>
          </cell>
          <cell r="H151">
            <v>0</v>
          </cell>
          <cell r="R151">
            <v>-7354.6751754603574</v>
          </cell>
          <cell r="S151">
            <v>0</v>
          </cell>
        </row>
        <row r="152">
          <cell r="B152">
            <v>0</v>
          </cell>
          <cell r="E152">
            <v>-7761.9721816456276</v>
          </cell>
          <cell r="H152">
            <v>0</v>
          </cell>
          <cell r="R152">
            <v>-7355.1390424179681</v>
          </cell>
          <cell r="S152">
            <v>0</v>
          </cell>
        </row>
        <row r="153">
          <cell r="B153">
            <v>0</v>
          </cell>
          <cell r="E153">
            <v>-662.27359582280724</v>
          </cell>
          <cell r="H153">
            <v>0</v>
          </cell>
          <cell r="R153">
            <v>-7354.6751754603574</v>
          </cell>
          <cell r="S153">
            <v>0</v>
          </cell>
        </row>
        <row r="154">
          <cell r="B154">
            <v>0</v>
          </cell>
          <cell r="E154">
            <v>-7762.436048599945</v>
          </cell>
          <cell r="H154">
            <v>0</v>
          </cell>
          <cell r="R154">
            <v>-7354.6751754603574</v>
          </cell>
          <cell r="S154">
            <v>0</v>
          </cell>
        </row>
        <row r="155">
          <cell r="B155">
            <v>0</v>
          </cell>
          <cell r="E155">
            <v>-7762.4360485999432</v>
          </cell>
          <cell r="H155">
            <v>0</v>
          </cell>
          <cell r="R155">
            <v>-7354.6751754603574</v>
          </cell>
          <cell r="S155">
            <v>0</v>
          </cell>
        </row>
        <row r="156">
          <cell r="B156">
            <v>0</v>
          </cell>
          <cell r="E156">
            <v>-3099.633515353366</v>
          </cell>
          <cell r="H156">
            <v>0</v>
          </cell>
          <cell r="R156">
            <v>-7354.6751754603574</v>
          </cell>
          <cell r="S156">
            <v>0</v>
          </cell>
        </row>
        <row r="157">
          <cell r="B157">
            <v>0</v>
          </cell>
          <cell r="E157">
            <v>-10807.72393832665</v>
          </cell>
          <cell r="H157">
            <v>0</v>
          </cell>
          <cell r="R157">
            <v>-7355.1390424179681</v>
          </cell>
          <cell r="S157">
            <v>0</v>
          </cell>
        </row>
        <row r="158">
          <cell r="B158">
            <v>0</v>
          </cell>
          <cell r="E158">
            <v>-13300.488026511361</v>
          </cell>
          <cell r="H158">
            <v>0</v>
          </cell>
          <cell r="R158">
            <v>-7354.6751754603574</v>
          </cell>
          <cell r="S158">
            <v>0</v>
          </cell>
        </row>
        <row r="159">
          <cell r="B159">
            <v>0</v>
          </cell>
          <cell r="E159">
            <v>-15500</v>
          </cell>
          <cell r="H159">
            <v>0</v>
          </cell>
          <cell r="R159">
            <v>-7354.6751754603574</v>
          </cell>
          <cell r="S159">
            <v>0</v>
          </cell>
        </row>
        <row r="160">
          <cell r="B160">
            <v>0</v>
          </cell>
          <cell r="E160">
            <v>-15500</v>
          </cell>
          <cell r="H160">
            <v>0</v>
          </cell>
          <cell r="R160">
            <v>-7355.1390424179681</v>
          </cell>
          <cell r="S160">
            <v>0</v>
          </cell>
        </row>
        <row r="161">
          <cell r="B161">
            <v>0</v>
          </cell>
          <cell r="E161">
            <v>-15500</v>
          </cell>
          <cell r="H161">
            <v>0</v>
          </cell>
          <cell r="R161">
            <v>-7354.6751754603574</v>
          </cell>
          <cell r="S161">
            <v>0</v>
          </cell>
        </row>
        <row r="162">
          <cell r="B162">
            <v>0</v>
          </cell>
          <cell r="E162">
            <v>-13995.30460148678</v>
          </cell>
          <cell r="H162">
            <v>0</v>
          </cell>
          <cell r="R162">
            <v>-7354.6751754603574</v>
          </cell>
          <cell r="S162">
            <v>0</v>
          </cell>
        </row>
        <row r="163">
          <cell r="B163">
            <v>0</v>
          </cell>
          <cell r="E163">
            <v>-15500</v>
          </cell>
          <cell r="H163">
            <v>0</v>
          </cell>
          <cell r="R163">
            <v>-7354.6751754603574</v>
          </cell>
          <cell r="S163">
            <v>0</v>
          </cell>
        </row>
        <row r="164">
          <cell r="B164">
            <v>0</v>
          </cell>
          <cell r="E164">
            <v>-7778.0215956524862</v>
          </cell>
          <cell r="H164">
            <v>0</v>
          </cell>
          <cell r="R164">
            <v>-7355.1390424179681</v>
          </cell>
          <cell r="S164">
            <v>0</v>
          </cell>
        </row>
        <row r="165">
          <cell r="B165">
            <v>0</v>
          </cell>
          <cell r="E165">
            <v>0</v>
          </cell>
          <cell r="H165">
            <v>0</v>
          </cell>
          <cell r="R165">
            <v>-7354.6751754603574</v>
          </cell>
          <cell r="S165">
            <v>0</v>
          </cell>
        </row>
        <row r="166">
          <cell r="B166">
            <v>0</v>
          </cell>
          <cell r="E166">
            <v>-7762.8999155542551</v>
          </cell>
          <cell r="H166">
            <v>0</v>
          </cell>
          <cell r="R166">
            <v>-7354.2113085027449</v>
          </cell>
          <cell r="S166">
            <v>0</v>
          </cell>
        </row>
        <row r="167">
          <cell r="B167">
            <v>0</v>
          </cell>
          <cell r="E167">
            <v>-2503.1169586081451</v>
          </cell>
          <cell r="H167">
            <v>0</v>
          </cell>
          <cell r="R167">
            <v>-7353.7474415551333</v>
          </cell>
          <cell r="S167">
            <v>0</v>
          </cell>
        </row>
        <row r="168">
          <cell r="B168">
            <v>0</v>
          </cell>
          <cell r="E168">
            <v>-7764.2915164471997</v>
          </cell>
          <cell r="H168">
            <v>0</v>
          </cell>
          <cell r="R168">
            <v>-7352.8197076399101</v>
          </cell>
          <cell r="S168">
            <v>0</v>
          </cell>
        </row>
        <row r="169">
          <cell r="B169">
            <v>0</v>
          </cell>
          <cell r="E169">
            <v>0</v>
          </cell>
          <cell r="H169">
            <v>0</v>
          </cell>
          <cell r="R169">
            <v>-7352.8197076399101</v>
          </cell>
          <cell r="S169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6F22-3258-4185-B757-AE1D57F3F168}">
  <dimension ref="A1:AD173"/>
  <sheetViews>
    <sheetView zoomScale="85" zoomScaleNormal="85" workbookViewId="0">
      <selection activeCell="B1" sqref="B1:F1048576"/>
    </sheetView>
  </sheetViews>
  <sheetFormatPr baseColWidth="10" defaultRowHeight="12" x14ac:dyDescent="0.3"/>
  <cols>
    <col min="1" max="2" width="10.90625" style="4"/>
    <col min="3" max="3" width="38.26953125" style="4" customWidth="1"/>
    <col min="4" max="4" width="25.1796875" style="4" bestFit="1" customWidth="1"/>
    <col min="5" max="5" width="22.36328125" style="4" bestFit="1" customWidth="1"/>
    <col min="6" max="6" width="25.1796875" style="4" bestFit="1" customWidth="1"/>
    <col min="7" max="8" width="10.90625" style="4"/>
    <col min="9" max="9" width="38.26953125" style="4" customWidth="1"/>
    <col min="10" max="10" width="25.1796875" style="4" bestFit="1" customWidth="1"/>
    <col min="11" max="11" width="22.36328125" style="4" bestFit="1" customWidth="1"/>
    <col min="12" max="12" width="25.1796875" style="4" bestFit="1" customWidth="1"/>
    <col min="13" max="13" width="11.26953125" style="4" customWidth="1"/>
    <col min="14" max="14" width="10.90625" style="4"/>
    <col min="15" max="15" width="38.26953125" style="4" customWidth="1"/>
    <col min="16" max="16" width="25.1796875" style="4" bestFit="1" customWidth="1"/>
    <col min="17" max="17" width="22.36328125" style="4" bestFit="1" customWidth="1"/>
    <col min="18" max="18" width="25.1796875" style="4" bestFit="1" customWidth="1"/>
    <col min="19" max="20" width="10.90625" style="4"/>
    <col min="21" max="21" width="38.26953125" style="4" customWidth="1"/>
    <col min="22" max="22" width="25.1796875" style="4" bestFit="1" customWidth="1"/>
    <col min="23" max="23" width="22.36328125" style="4" bestFit="1" customWidth="1"/>
    <col min="24" max="24" width="25.1796875" style="4" bestFit="1" customWidth="1"/>
    <col min="25" max="26" width="10.90625" style="4"/>
    <col min="27" max="27" width="38.26953125" style="4" customWidth="1"/>
    <col min="28" max="28" width="25.1796875" style="4" bestFit="1" customWidth="1"/>
    <col min="29" max="29" width="22.36328125" style="4" bestFit="1" customWidth="1"/>
    <col min="30" max="30" width="25.1796875" style="4" bestFit="1" customWidth="1"/>
    <col min="31" max="16384" width="10.90625" style="4"/>
  </cols>
  <sheetData>
    <row r="1" spans="1:30" s="2" customFormat="1" ht="26" x14ac:dyDescent="0.6">
      <c r="A1" s="1" t="s">
        <v>0</v>
      </c>
    </row>
    <row r="2" spans="1:30" s="2" customFormat="1" ht="20" customHeight="1" x14ac:dyDescent="0.6">
      <c r="A2" s="1"/>
      <c r="C2" s="20" t="s">
        <v>10</v>
      </c>
      <c r="D2" s="20"/>
      <c r="E2" s="20"/>
      <c r="F2" s="20"/>
      <c r="I2" s="21" t="s">
        <v>9</v>
      </c>
      <c r="J2" s="22"/>
      <c r="K2" s="22"/>
      <c r="L2" s="23"/>
      <c r="O2" s="21" t="s">
        <v>11</v>
      </c>
      <c r="P2" s="22"/>
      <c r="Q2" s="22"/>
      <c r="R2" s="23"/>
      <c r="U2" s="21" t="s">
        <v>12</v>
      </c>
      <c r="V2" s="22"/>
      <c r="W2" s="22"/>
      <c r="X2" s="23"/>
      <c r="AA2" s="21" t="s">
        <v>13</v>
      </c>
      <c r="AB2" s="22"/>
      <c r="AC2" s="22"/>
      <c r="AD2" s="23"/>
    </row>
    <row r="3" spans="1:30" s="2" customFormat="1" ht="15" customHeight="1" x14ac:dyDescent="0.6">
      <c r="A3" s="1"/>
      <c r="B3" s="6" t="s">
        <v>6</v>
      </c>
      <c r="C3" s="7">
        <f>SUM(C6:C173)</f>
        <v>210220.89485007193</v>
      </c>
      <c r="D3" s="7">
        <f>SUM(D6:D173)</f>
        <v>172077.84807148986</v>
      </c>
      <c r="E3" s="7"/>
      <c r="F3" s="7"/>
      <c r="H3" s="6" t="s">
        <v>6</v>
      </c>
      <c r="I3" s="7">
        <f>SUM(I6:I173)</f>
        <v>7277.479234460202</v>
      </c>
      <c r="J3" s="7">
        <f>SUM(J6:J173)</f>
        <v>710.61312262711999</v>
      </c>
      <c r="K3" s="7"/>
      <c r="L3" s="7"/>
      <c r="N3" s="6" t="s">
        <v>6</v>
      </c>
      <c r="O3" s="7">
        <f>SUM(O6:O173)</f>
        <v>708114.97858367872</v>
      </c>
      <c r="P3" s="7">
        <f>SUM(P6:P172)</f>
        <v>516998.69365172251</v>
      </c>
      <c r="Q3" s="7"/>
      <c r="R3" s="7"/>
      <c r="T3" s="6" t="s">
        <v>6</v>
      </c>
      <c r="U3" s="7">
        <f>SUM(U6:U173)</f>
        <v>147828.0443305205</v>
      </c>
      <c r="V3" s="7">
        <f>SUM(V6:V172)</f>
        <v>725121.62617134943</v>
      </c>
      <c r="W3" s="7"/>
      <c r="X3" s="7"/>
      <c r="Z3" s="6" t="s">
        <v>6</v>
      </c>
      <c r="AA3" s="7">
        <f>SUM(AA6:AA173)</f>
        <v>809145.46296498214</v>
      </c>
      <c r="AB3" s="7">
        <f>SUM(AB6:AB172)</f>
        <v>79592.442730590948</v>
      </c>
      <c r="AC3" s="7"/>
      <c r="AD3" s="7"/>
    </row>
    <row r="4" spans="1:30" s="2" customFormat="1" ht="14.5" x14ac:dyDescent="0.35">
      <c r="B4" s="5" t="s">
        <v>7</v>
      </c>
      <c r="C4" s="7" t="s">
        <v>8</v>
      </c>
      <c r="D4" s="7">
        <f>C3-D3</f>
        <v>38143.046778582066</v>
      </c>
      <c r="E4" s="7"/>
      <c r="F4" s="7"/>
      <c r="H4" s="5" t="s">
        <v>7</v>
      </c>
      <c r="I4" s="7" t="s">
        <v>8</v>
      </c>
      <c r="J4" s="7">
        <f>I3-J3</f>
        <v>6566.866111833082</v>
      </c>
      <c r="K4" s="7"/>
      <c r="L4" s="7"/>
      <c r="N4" s="5" t="s">
        <v>7</v>
      </c>
      <c r="O4" s="7" t="s">
        <v>8</v>
      </c>
      <c r="P4" s="7">
        <f>O3-P3</f>
        <v>191116.28493195621</v>
      </c>
      <c r="Q4" s="7"/>
      <c r="R4" s="7"/>
      <c r="T4" s="5" t="s">
        <v>7</v>
      </c>
      <c r="U4" s="7" t="s">
        <v>8</v>
      </c>
      <c r="V4" s="7">
        <f>U3-V3</f>
        <v>-577293.58184082899</v>
      </c>
      <c r="W4" s="7"/>
      <c r="X4" s="7"/>
      <c r="Z4" s="5" t="s">
        <v>7</v>
      </c>
      <c r="AA4" s="7" t="s">
        <v>8</v>
      </c>
      <c r="AB4" s="7">
        <f>AA3-AB3</f>
        <v>729553.02023439121</v>
      </c>
      <c r="AC4" s="7"/>
      <c r="AD4" s="7"/>
    </row>
    <row r="5" spans="1:30" s="2" customFormat="1" ht="14.5" x14ac:dyDescent="0.35">
      <c r="B5" s="3" t="s">
        <v>4</v>
      </c>
      <c r="C5" s="8" t="s">
        <v>1</v>
      </c>
      <c r="D5" s="8" t="s">
        <v>3</v>
      </c>
      <c r="E5" s="8" t="s">
        <v>14</v>
      </c>
      <c r="F5" s="8" t="s">
        <v>5</v>
      </c>
      <c r="H5" s="3" t="s">
        <v>4</v>
      </c>
      <c r="I5" s="8" t="s">
        <v>1</v>
      </c>
      <c r="J5" s="8" t="s">
        <v>3</v>
      </c>
      <c r="K5" s="8" t="s">
        <v>2</v>
      </c>
      <c r="L5" s="8" t="s">
        <v>5</v>
      </c>
      <c r="N5" s="3" t="s">
        <v>4</v>
      </c>
      <c r="O5" s="8" t="s">
        <v>1</v>
      </c>
      <c r="P5" s="8" t="s">
        <v>3</v>
      </c>
      <c r="Q5" s="8" t="s">
        <v>2</v>
      </c>
      <c r="R5" s="8" t="s">
        <v>5</v>
      </c>
      <c r="T5" s="3" t="s">
        <v>4</v>
      </c>
      <c r="U5" s="8" t="s">
        <v>1</v>
      </c>
      <c r="V5" s="8" t="s">
        <v>3</v>
      </c>
      <c r="W5" s="8" t="s">
        <v>2</v>
      </c>
      <c r="X5" s="8" t="s">
        <v>5</v>
      </c>
      <c r="Z5" s="3" t="s">
        <v>4</v>
      </c>
      <c r="AA5" s="8" t="s">
        <v>1</v>
      </c>
      <c r="AB5" s="8" t="s">
        <v>3</v>
      </c>
      <c r="AC5" s="8" t="s">
        <v>2</v>
      </c>
      <c r="AD5" s="8" t="s">
        <v>5</v>
      </c>
    </row>
    <row r="6" spans="1:30" x14ac:dyDescent="0.3">
      <c r="B6" s="14">
        <f>1</f>
        <v>1</v>
      </c>
      <c r="C6" s="9">
        <v>0</v>
      </c>
      <c r="D6" s="9">
        <f>-'[2]links-p1'!B2</f>
        <v>0</v>
      </c>
      <c r="E6" s="9"/>
      <c r="F6" s="10"/>
      <c r="H6" s="14">
        <f>1</f>
        <v>1</v>
      </c>
      <c r="I6" s="9">
        <v>0</v>
      </c>
      <c r="J6" s="9">
        <f>-'[2]links-p1'!H2</f>
        <v>0</v>
      </c>
      <c r="K6" s="9"/>
      <c r="L6" s="10"/>
      <c r="N6" s="14">
        <f>1</f>
        <v>1</v>
      </c>
      <c r="O6" s="17">
        <f>-'[1]links-p1'!E2</f>
        <v>6785.4027407111562</v>
      </c>
      <c r="P6" s="18">
        <f>-'[2]links-p1'!E2</f>
        <v>4051.1987557111529</v>
      </c>
      <c r="Q6" s="9"/>
      <c r="R6" s="10"/>
      <c r="T6" s="14">
        <f>1</f>
        <v>1</v>
      </c>
      <c r="U6" s="17">
        <f>-'[1]links-p1'!S2</f>
        <v>1553.6722856992001</v>
      </c>
      <c r="V6" s="18">
        <f>-'[2]links-p1'!R2</f>
        <v>3985.9887313007998</v>
      </c>
      <c r="W6" s="9"/>
      <c r="X6" s="10"/>
      <c r="Z6" s="14">
        <f>1</f>
        <v>1</v>
      </c>
      <c r="AA6" s="17">
        <f>-'[1]links-p1'!T2</f>
        <v>6779.486412000002</v>
      </c>
      <c r="AB6" s="18">
        <f>-'[2]links-p1'!S2</f>
        <v>0</v>
      </c>
      <c r="AC6" s="9"/>
      <c r="AD6" s="10"/>
    </row>
    <row r="7" spans="1:30" x14ac:dyDescent="0.3">
      <c r="B7" s="15">
        <f>B6+1</f>
        <v>2</v>
      </c>
      <c r="C7" s="4">
        <v>0</v>
      </c>
      <c r="D7" s="4">
        <f>-'[2]links-p1'!B3</f>
        <v>0</v>
      </c>
      <c r="F7" s="11"/>
      <c r="H7" s="15">
        <f>H6+1</f>
        <v>2</v>
      </c>
      <c r="I7" s="4">
        <v>0</v>
      </c>
      <c r="J7" s="4">
        <f>-'[2]links-p1'!H3</f>
        <v>0</v>
      </c>
      <c r="L7" s="11"/>
      <c r="N7" s="15">
        <f>N6+1</f>
        <v>2</v>
      </c>
      <c r="O7" s="18">
        <f>-'[1]links-p1'!E3</f>
        <v>6366.4650136270202</v>
      </c>
      <c r="P7" s="18">
        <f>-'[2]links-p1'!E3</f>
        <v>3607.320028627018</v>
      </c>
      <c r="R7" s="11"/>
      <c r="T7" s="15">
        <f>T6+1</f>
        <v>2</v>
      </c>
      <c r="U7" s="18">
        <f>-'[1]links-p1'!S3</f>
        <v>1553.6722856992001</v>
      </c>
      <c r="V7" s="18">
        <f>-'[2]links-p1'!R3</f>
        <v>3985.9887313007998</v>
      </c>
      <c r="X7" s="11"/>
      <c r="Z7" s="15">
        <f>Z6+1</f>
        <v>2</v>
      </c>
      <c r="AA7" s="18">
        <f>-'[1]links-p1'!T3</f>
        <v>6779.486412000002</v>
      </c>
      <c r="AB7" s="18">
        <f>-'[2]links-p1'!S3</f>
        <v>0</v>
      </c>
      <c r="AD7" s="11"/>
    </row>
    <row r="8" spans="1:30" x14ac:dyDescent="0.3">
      <c r="B8" s="15">
        <f t="shared" ref="B8:B71" si="0">B7+1</f>
        <v>3</v>
      </c>
      <c r="C8" s="4">
        <v>0</v>
      </c>
      <c r="D8" s="4">
        <f>-'[2]links-p1'!B4</f>
        <v>0</v>
      </c>
      <c r="F8" s="11"/>
      <c r="H8" s="15">
        <f t="shared" ref="H8:H71" si="1">H7+1</f>
        <v>3</v>
      </c>
      <c r="I8" s="4">
        <v>0</v>
      </c>
      <c r="J8" s="4">
        <f>-'[2]links-p1'!H4</f>
        <v>0</v>
      </c>
      <c r="L8" s="11"/>
      <c r="N8" s="15">
        <f t="shared" ref="N8:N71" si="2">N7+1</f>
        <v>3</v>
      </c>
      <c r="O8" s="18">
        <f>-'[1]links-p1'!E4</f>
        <v>6341.2955787583433</v>
      </c>
      <c r="P8" s="18">
        <f>-'[2]links-p1'!E4</f>
        <v>3522.6065937583421</v>
      </c>
      <c r="R8" s="11"/>
      <c r="T8" s="15">
        <f t="shared" ref="T8:T71" si="3">T7+1</f>
        <v>3</v>
      </c>
      <c r="U8" s="18">
        <f>-'[1]links-p1'!S4</f>
        <v>1553.6722856992001</v>
      </c>
      <c r="V8" s="18">
        <f>-'[2]links-p1'!R4</f>
        <v>3985.9887313007998</v>
      </c>
      <c r="X8" s="11"/>
      <c r="Z8" s="15">
        <f t="shared" ref="Z8:Z71" si="4">Z7+1</f>
        <v>3</v>
      </c>
      <c r="AA8" s="18">
        <f>-'[1]links-p1'!T4</f>
        <v>6779.486412000002</v>
      </c>
      <c r="AB8" s="18">
        <f>-'[2]links-p1'!S4</f>
        <v>0</v>
      </c>
      <c r="AD8" s="11"/>
    </row>
    <row r="9" spans="1:30" x14ac:dyDescent="0.3">
      <c r="B9" s="15">
        <f t="shared" si="0"/>
        <v>4</v>
      </c>
      <c r="C9" s="4">
        <v>0</v>
      </c>
      <c r="D9" s="4">
        <f>-'[2]links-p1'!B5</f>
        <v>0</v>
      </c>
      <c r="F9" s="11"/>
      <c r="H9" s="15">
        <f t="shared" si="1"/>
        <v>4</v>
      </c>
      <c r="I9" s="4">
        <v>0</v>
      </c>
      <c r="J9" s="4">
        <f>-'[2]links-p1'!H5</f>
        <v>0</v>
      </c>
      <c r="L9" s="11"/>
      <c r="N9" s="15">
        <f t="shared" si="2"/>
        <v>4</v>
      </c>
      <c r="O9" s="18">
        <f>-'[1]links-p1'!E5</f>
        <v>6274.6525793444844</v>
      </c>
      <c r="P9" s="18">
        <f>-'[2]links-p1'!E5</f>
        <v>3367.4275943444832</v>
      </c>
      <c r="R9" s="11"/>
      <c r="T9" s="15">
        <f t="shared" si="3"/>
        <v>4</v>
      </c>
      <c r="U9" s="18">
        <f>-'[1]links-p1'!S5</f>
        <v>1553.6722856992001</v>
      </c>
      <c r="V9" s="18">
        <f>-'[2]links-p1'!R5</f>
        <v>3985.9887313007998</v>
      </c>
      <c r="X9" s="11"/>
      <c r="Z9" s="15">
        <f t="shared" si="4"/>
        <v>4</v>
      </c>
      <c r="AA9" s="18">
        <f>-'[1]links-p1'!T5</f>
        <v>6779.486412000002</v>
      </c>
      <c r="AB9" s="18">
        <f>-'[2]links-p1'!S5</f>
        <v>0</v>
      </c>
      <c r="AD9" s="11"/>
    </row>
    <row r="10" spans="1:30" x14ac:dyDescent="0.3">
      <c r="B10" s="15">
        <f t="shared" si="0"/>
        <v>5</v>
      </c>
      <c r="C10" s="4">
        <v>0</v>
      </c>
      <c r="D10" s="4">
        <f>-'[2]links-p1'!B6</f>
        <v>0</v>
      </c>
      <c r="F10" s="11"/>
      <c r="H10" s="15">
        <f t="shared" si="1"/>
        <v>5</v>
      </c>
      <c r="I10" s="4">
        <v>0</v>
      </c>
      <c r="J10" s="4">
        <f>-'[2]links-p1'!H6</f>
        <v>0</v>
      </c>
      <c r="L10" s="11"/>
      <c r="N10" s="15">
        <f t="shared" si="2"/>
        <v>5</v>
      </c>
      <c r="O10" s="18">
        <f>-'[1]links-p1'!E6</f>
        <v>6084.7461725868798</v>
      </c>
      <c r="P10" s="18">
        <f>-'[2]links-p1'!E6</f>
        <v>3016.667187586881</v>
      </c>
      <c r="R10" s="11"/>
      <c r="T10" s="15">
        <f t="shared" si="3"/>
        <v>5</v>
      </c>
      <c r="U10" s="18">
        <f>-'[1]links-p1'!S6</f>
        <v>1553.6722856992001</v>
      </c>
      <c r="V10" s="18">
        <f>-'[2]links-p1'!R6</f>
        <v>3985.9887313007998</v>
      </c>
      <c r="X10" s="11"/>
      <c r="Z10" s="15">
        <f t="shared" si="4"/>
        <v>5</v>
      </c>
      <c r="AA10" s="18">
        <f>-'[1]links-p1'!T6</f>
        <v>6779.486412000002</v>
      </c>
      <c r="AB10" s="18">
        <f>-'[2]links-p1'!S6</f>
        <v>0</v>
      </c>
      <c r="AD10" s="11"/>
    </row>
    <row r="11" spans="1:30" x14ac:dyDescent="0.3">
      <c r="B11" s="15">
        <f t="shared" si="0"/>
        <v>6</v>
      </c>
      <c r="C11" s="4">
        <v>0</v>
      </c>
      <c r="D11" s="4">
        <f>-'[2]links-p1'!B7</f>
        <v>0</v>
      </c>
      <c r="F11" s="11"/>
      <c r="H11" s="15">
        <f t="shared" si="1"/>
        <v>6</v>
      </c>
      <c r="I11" s="4">
        <v>0</v>
      </c>
      <c r="J11" s="4">
        <f>-'[2]links-p1'!H7</f>
        <v>0</v>
      </c>
      <c r="L11" s="11"/>
      <c r="N11" s="15">
        <f t="shared" si="2"/>
        <v>6</v>
      </c>
      <c r="O11" s="18">
        <f>-'[1]links-p1'!E7</f>
        <v>6358.0422368737054</v>
      </c>
      <c r="P11" s="18">
        <f>-'[2]links-p1'!E7</f>
        <v>3113.0002518737051</v>
      </c>
      <c r="R11" s="11"/>
      <c r="T11" s="15">
        <f t="shared" si="3"/>
        <v>6</v>
      </c>
      <c r="U11" s="18">
        <f>-'[1]links-p1'!S7</f>
        <v>1553.6722856992001</v>
      </c>
      <c r="V11" s="18">
        <f>-'[2]links-p1'!R7</f>
        <v>3985.9887313007998</v>
      </c>
      <c r="X11" s="11"/>
      <c r="Z11" s="15">
        <f t="shared" si="4"/>
        <v>6</v>
      </c>
      <c r="AA11" s="18">
        <f>-'[1]links-p1'!T7</f>
        <v>6779.486412000002</v>
      </c>
      <c r="AB11" s="18">
        <f>-'[2]links-p1'!S7</f>
        <v>0</v>
      </c>
      <c r="AD11" s="11"/>
    </row>
    <row r="12" spans="1:30" x14ac:dyDescent="0.3">
      <c r="B12" s="15">
        <f t="shared" si="0"/>
        <v>7</v>
      </c>
      <c r="C12" s="4">
        <v>0</v>
      </c>
      <c r="D12" s="4">
        <f>-'[2]links-p1'!B8</f>
        <v>0</v>
      </c>
      <c r="F12" s="11"/>
      <c r="H12" s="15">
        <f t="shared" si="1"/>
        <v>7</v>
      </c>
      <c r="I12" s="4">
        <v>0</v>
      </c>
      <c r="J12" s="4">
        <f>-'[2]links-p1'!H8</f>
        <v>0</v>
      </c>
      <c r="L12" s="11"/>
      <c r="N12" s="15">
        <f t="shared" si="2"/>
        <v>7</v>
      </c>
      <c r="O12" s="18">
        <f>-'[1]links-p1'!E8</f>
        <v>7126.2950505817244</v>
      </c>
      <c r="P12" s="18">
        <f>-'[2]links-p1'!E8</f>
        <v>3816.7990655817221</v>
      </c>
      <c r="R12" s="11"/>
      <c r="T12" s="15">
        <f t="shared" si="3"/>
        <v>7</v>
      </c>
      <c r="U12" s="18">
        <f>-'[1]links-p1'!S8</f>
        <v>1553.6722856992001</v>
      </c>
      <c r="V12" s="18">
        <f>-'[2]links-p1'!R8</f>
        <v>3985.9887313007998</v>
      </c>
      <c r="X12" s="11"/>
      <c r="Z12" s="15">
        <f t="shared" si="4"/>
        <v>7</v>
      </c>
      <c r="AA12" s="18">
        <f>-'[1]links-p1'!T8</f>
        <v>6779.486412000002</v>
      </c>
      <c r="AB12" s="18">
        <f>-'[2]links-p1'!S8</f>
        <v>0</v>
      </c>
      <c r="AD12" s="11"/>
    </row>
    <row r="13" spans="1:30" x14ac:dyDescent="0.3">
      <c r="B13" s="15">
        <f t="shared" si="0"/>
        <v>8</v>
      </c>
      <c r="C13" s="4">
        <v>0</v>
      </c>
      <c r="D13" s="4">
        <f>-'[2]links-p1'!B9</f>
        <v>0</v>
      </c>
      <c r="F13" s="11"/>
      <c r="H13" s="15">
        <f t="shared" si="1"/>
        <v>8</v>
      </c>
      <c r="I13" s="4">
        <v>0</v>
      </c>
      <c r="J13" s="4">
        <f>-'[2]links-p1'!H9</f>
        <v>0</v>
      </c>
      <c r="L13" s="11"/>
      <c r="N13" s="15">
        <f t="shared" si="2"/>
        <v>8</v>
      </c>
      <c r="O13" s="18">
        <f>-'[1]links-p1'!E9</f>
        <v>8772.9290393802476</v>
      </c>
      <c r="P13" s="18">
        <f>-'[2]links-p1'!E9</f>
        <v>5471.0270543802471</v>
      </c>
      <c r="R13" s="11"/>
      <c r="T13" s="15">
        <f t="shared" si="3"/>
        <v>8</v>
      </c>
      <c r="U13" s="18">
        <f>-'[1]links-p1'!S9</f>
        <v>1553.6722856992001</v>
      </c>
      <c r="V13" s="18">
        <f>-'[2]links-p1'!R9</f>
        <v>3985.9887313007998</v>
      </c>
      <c r="X13" s="11"/>
      <c r="Z13" s="15">
        <f t="shared" si="4"/>
        <v>8</v>
      </c>
      <c r="AA13" s="18">
        <f>-'[1]links-p1'!T9</f>
        <v>6779.486412000002</v>
      </c>
      <c r="AB13" s="18">
        <f>-'[2]links-p1'!S9</f>
        <v>0</v>
      </c>
      <c r="AD13" s="11"/>
    </row>
    <row r="14" spans="1:30" x14ac:dyDescent="0.3">
      <c r="B14" s="15">
        <f t="shared" si="0"/>
        <v>9</v>
      </c>
      <c r="C14" s="4">
        <v>0</v>
      </c>
      <c r="D14" s="4">
        <f>-'[2]links-p1'!B10</f>
        <v>0</v>
      </c>
      <c r="F14" s="11"/>
      <c r="H14" s="15">
        <f t="shared" si="1"/>
        <v>9</v>
      </c>
      <c r="I14" s="4">
        <v>0</v>
      </c>
      <c r="J14" s="4">
        <f>-'[2]links-p1'!H10</f>
        <v>0</v>
      </c>
      <c r="L14" s="11"/>
      <c r="N14" s="15">
        <f t="shared" si="2"/>
        <v>9</v>
      </c>
      <c r="O14" s="18">
        <f>-'[1]links-p1'!E10</f>
        <v>10120.589174304991</v>
      </c>
      <c r="P14" s="18">
        <f>-'[2]links-p1'!E10</f>
        <v>6895.0061893049879</v>
      </c>
      <c r="R14" s="11"/>
      <c r="T14" s="15">
        <f t="shared" si="3"/>
        <v>9</v>
      </c>
      <c r="U14" s="18">
        <f>-'[1]links-p1'!S10</f>
        <v>1553.6722856992001</v>
      </c>
      <c r="V14" s="18">
        <f>-'[2]links-p1'!R10</f>
        <v>3985.9887313007998</v>
      </c>
      <c r="X14" s="11"/>
      <c r="Z14" s="15">
        <f t="shared" si="4"/>
        <v>9</v>
      </c>
      <c r="AA14" s="18">
        <f>-'[1]links-p1'!T10</f>
        <v>6779.486412000002</v>
      </c>
      <c r="AB14" s="18">
        <f>-'[2]links-p1'!S10</f>
        <v>0</v>
      </c>
      <c r="AD14" s="11"/>
    </row>
    <row r="15" spans="1:30" x14ac:dyDescent="0.3">
      <c r="B15" s="15">
        <f t="shared" si="0"/>
        <v>10</v>
      </c>
      <c r="C15" s="4">
        <v>0</v>
      </c>
      <c r="D15" s="4">
        <f>-'[2]links-p1'!B11</f>
        <v>0</v>
      </c>
      <c r="F15" s="11"/>
      <c r="H15" s="15">
        <f t="shared" si="1"/>
        <v>10</v>
      </c>
      <c r="I15" s="4">
        <v>0</v>
      </c>
      <c r="J15" s="4">
        <f>-'[2]links-p1'!H11</f>
        <v>0</v>
      </c>
      <c r="L15" s="11"/>
      <c r="N15" s="15">
        <f t="shared" si="2"/>
        <v>10</v>
      </c>
      <c r="O15" s="18">
        <f>-'[1]links-p1'!E11</f>
        <v>7021.303890156003</v>
      </c>
      <c r="P15" s="18">
        <f>-'[2]links-p1'!E11</f>
        <v>3874.1149051560028</v>
      </c>
      <c r="R15" s="11"/>
      <c r="T15" s="15">
        <f t="shared" si="3"/>
        <v>10</v>
      </c>
      <c r="U15" s="18">
        <f>-'[1]links-p1'!S11</f>
        <v>1553.6722856992001</v>
      </c>
      <c r="V15" s="18">
        <f>-'[2]links-p1'!R11</f>
        <v>3985.9887313007998</v>
      </c>
      <c r="X15" s="11"/>
      <c r="Z15" s="15">
        <f t="shared" si="4"/>
        <v>10</v>
      </c>
      <c r="AA15" s="18">
        <f>-'[1]links-p1'!T11</f>
        <v>6779.486412000002</v>
      </c>
      <c r="AB15" s="18">
        <f>-'[2]links-p1'!S11</f>
        <v>0</v>
      </c>
      <c r="AD15" s="11"/>
    </row>
    <row r="16" spans="1:30" x14ac:dyDescent="0.3">
      <c r="B16" s="15">
        <f t="shared" si="0"/>
        <v>11</v>
      </c>
      <c r="C16" s="4">
        <v>0</v>
      </c>
      <c r="D16" s="4">
        <f>-'[2]links-p1'!B12</f>
        <v>0</v>
      </c>
      <c r="F16" s="11"/>
      <c r="H16" s="15">
        <f t="shared" si="1"/>
        <v>11</v>
      </c>
      <c r="I16" s="4">
        <v>0</v>
      </c>
      <c r="J16" s="4">
        <f>-'[2]links-p1'!H12</f>
        <v>0</v>
      </c>
      <c r="L16" s="11"/>
      <c r="N16" s="15">
        <f t="shared" si="2"/>
        <v>11</v>
      </c>
      <c r="O16" s="18">
        <f>-'[1]links-p1'!E12</f>
        <v>3514.4331817208358</v>
      </c>
      <c r="P16" s="18">
        <f>-'[2]links-p1'!E12</f>
        <v>439.05419672083548</v>
      </c>
      <c r="R16" s="11"/>
      <c r="T16" s="15">
        <f t="shared" si="3"/>
        <v>11</v>
      </c>
      <c r="U16" s="18">
        <f>-'[1]links-p1'!S12</f>
        <v>902.4533580231855</v>
      </c>
      <c r="V16" s="18">
        <f>-'[2]links-p1'!R12</f>
        <v>5682.1076589768136</v>
      </c>
      <c r="X16" s="11"/>
      <c r="Z16" s="15">
        <f t="shared" si="4"/>
        <v>11</v>
      </c>
      <c r="AA16" s="18">
        <f>-'[1]links-p1'!T12</f>
        <v>6779.486412000002</v>
      </c>
      <c r="AB16" s="18">
        <f>-'[2]links-p1'!S12</f>
        <v>0</v>
      </c>
      <c r="AD16" s="11"/>
    </row>
    <row r="17" spans="2:30" x14ac:dyDescent="0.3">
      <c r="B17" s="15">
        <f t="shared" si="0"/>
        <v>12</v>
      </c>
      <c r="C17" s="4">
        <v>0</v>
      </c>
      <c r="D17" s="4">
        <f>-'[2]links-p1'!B13</f>
        <v>0</v>
      </c>
      <c r="F17" s="11"/>
      <c r="H17" s="15">
        <f t="shared" si="1"/>
        <v>12</v>
      </c>
      <c r="I17" s="4">
        <v>0</v>
      </c>
      <c r="J17" s="4">
        <f>-'[2]links-p1'!H13</f>
        <v>0</v>
      </c>
      <c r="L17" s="11"/>
      <c r="N17" s="15">
        <f t="shared" si="2"/>
        <v>12</v>
      </c>
      <c r="O17" s="18">
        <f>-'[1]links-p1'!E13</f>
        <v>1370.4002872536439</v>
      </c>
      <c r="P17" s="18">
        <f>-'[2]links-p1'!E13</f>
        <v>0</v>
      </c>
      <c r="R17" s="11"/>
      <c r="T17" s="15">
        <f t="shared" si="3"/>
        <v>12</v>
      </c>
      <c r="U17" s="18">
        <f>-'[1]links-p1'!S13</f>
        <v>572.91324163001764</v>
      </c>
      <c r="V17" s="18">
        <f>-'[2]links-p1'!R13</f>
        <v>7024.7477753699823</v>
      </c>
      <c r="X17" s="11"/>
      <c r="Z17" s="15">
        <f t="shared" si="4"/>
        <v>12</v>
      </c>
      <c r="AA17" s="18">
        <f>-'[1]links-p1'!T13</f>
        <v>6779.486412000002</v>
      </c>
      <c r="AB17" s="18">
        <f>-'[2]links-p1'!S13</f>
        <v>0</v>
      </c>
      <c r="AD17" s="11"/>
    </row>
    <row r="18" spans="2:30" x14ac:dyDescent="0.3">
      <c r="B18" s="15">
        <f t="shared" si="0"/>
        <v>13</v>
      </c>
      <c r="C18" s="4">
        <v>0</v>
      </c>
      <c r="D18" s="4">
        <f>-'[2]links-p1'!B14</f>
        <v>0</v>
      </c>
      <c r="F18" s="11"/>
      <c r="H18" s="15">
        <f t="shared" si="1"/>
        <v>13</v>
      </c>
      <c r="I18" s="4">
        <v>0</v>
      </c>
      <c r="J18" s="4">
        <f>-'[2]links-p1'!H14</f>
        <v>0</v>
      </c>
      <c r="L18" s="11"/>
      <c r="N18" s="15">
        <f t="shared" si="2"/>
        <v>13</v>
      </c>
      <c r="O18" s="18">
        <f>-'[1]links-p1'!E14</f>
        <v>0</v>
      </c>
      <c r="P18" s="18">
        <f>-'[2]links-p1'!E14</f>
        <v>0</v>
      </c>
      <c r="R18" s="11"/>
      <c r="T18" s="15">
        <f t="shared" si="3"/>
        <v>13</v>
      </c>
      <c r="U18" s="18">
        <f>-'[1]links-p1'!S14</f>
        <v>243.37312353764969</v>
      </c>
      <c r="V18" s="18">
        <f>-'[2]links-p1'!R14</f>
        <v>7354.2878934623504</v>
      </c>
      <c r="X18" s="11"/>
      <c r="Z18" s="15">
        <f t="shared" si="4"/>
        <v>13</v>
      </c>
      <c r="AA18" s="18">
        <f>-'[1]links-p1'!T14</f>
        <v>6779.486412000002</v>
      </c>
      <c r="AB18" s="18">
        <f>-'[2]links-p1'!S14</f>
        <v>0</v>
      </c>
      <c r="AD18" s="11"/>
    </row>
    <row r="19" spans="2:30" x14ac:dyDescent="0.3">
      <c r="B19" s="15">
        <f t="shared" si="0"/>
        <v>14</v>
      </c>
      <c r="C19" s="4">
        <v>0</v>
      </c>
      <c r="D19" s="4">
        <f>-'[2]links-p1'!B15</f>
        <v>0</v>
      </c>
      <c r="F19" s="11"/>
      <c r="H19" s="15">
        <f t="shared" si="1"/>
        <v>14</v>
      </c>
      <c r="I19" s="4">
        <v>0</v>
      </c>
      <c r="J19" s="4">
        <f>-'[2]links-p1'!H15</f>
        <v>0</v>
      </c>
      <c r="L19" s="11"/>
      <c r="N19" s="15">
        <f t="shared" si="2"/>
        <v>14</v>
      </c>
      <c r="O19" s="18">
        <f>-'[1]links-p1'!E15</f>
        <v>0</v>
      </c>
      <c r="P19" s="18">
        <f>-'[2]links-p1'!E15</f>
        <v>0</v>
      </c>
      <c r="R19" s="11"/>
      <c r="T19" s="15">
        <f t="shared" si="3"/>
        <v>14</v>
      </c>
      <c r="U19" s="18">
        <f>-'[1]links-p1'!S15</f>
        <v>496.16281960764968</v>
      </c>
      <c r="V19" s="18">
        <f>-'[2]links-p1'!R15</f>
        <v>7101.4981973923504</v>
      </c>
      <c r="X19" s="11"/>
      <c r="Z19" s="15">
        <f t="shared" si="4"/>
        <v>14</v>
      </c>
      <c r="AA19" s="18">
        <f>-'[1]links-p1'!T15</f>
        <v>6779.486412000002</v>
      </c>
      <c r="AB19" s="18">
        <f>-'[2]links-p1'!S15</f>
        <v>0</v>
      </c>
      <c r="AD19" s="11"/>
    </row>
    <row r="20" spans="2:30" x14ac:dyDescent="0.3">
      <c r="B20" s="15">
        <f t="shared" si="0"/>
        <v>15</v>
      </c>
      <c r="C20" s="4">
        <v>0</v>
      </c>
      <c r="D20" s="4">
        <f>-'[2]links-p1'!B16</f>
        <v>0</v>
      </c>
      <c r="F20" s="11"/>
      <c r="H20" s="15">
        <f t="shared" si="1"/>
        <v>15</v>
      </c>
      <c r="I20" s="4">
        <v>0</v>
      </c>
      <c r="J20" s="4">
        <f>-'[2]links-p1'!H16</f>
        <v>0</v>
      </c>
      <c r="L20" s="11"/>
      <c r="N20" s="15">
        <f t="shared" si="2"/>
        <v>15</v>
      </c>
      <c r="O20" s="18">
        <f>-'[1]links-p1'!E16</f>
        <v>0</v>
      </c>
      <c r="P20" s="18">
        <f>-'[2]links-p1'!E16</f>
        <v>0</v>
      </c>
      <c r="R20" s="11"/>
      <c r="T20" s="15">
        <f t="shared" si="3"/>
        <v>15</v>
      </c>
      <c r="U20" s="18">
        <f>-'[1]links-p1'!S16</f>
        <v>572.91324163001764</v>
      </c>
      <c r="V20" s="18">
        <f>-'[2]links-p1'!R16</f>
        <v>7024.7477753699823</v>
      </c>
      <c r="X20" s="11"/>
      <c r="Z20" s="15">
        <f t="shared" si="4"/>
        <v>15</v>
      </c>
      <c r="AA20" s="18">
        <f>-'[1]links-p1'!T16</f>
        <v>6779.486412000002</v>
      </c>
      <c r="AB20" s="18">
        <f>-'[2]links-p1'!S16</f>
        <v>0</v>
      </c>
      <c r="AD20" s="11"/>
    </row>
    <row r="21" spans="2:30" x14ac:dyDescent="0.3">
      <c r="B21" s="15">
        <f t="shared" si="0"/>
        <v>16</v>
      </c>
      <c r="C21" s="4">
        <v>0</v>
      </c>
      <c r="D21" s="4">
        <f>-'[2]links-p1'!B17</f>
        <v>0</v>
      </c>
      <c r="F21" s="11"/>
      <c r="H21" s="15">
        <f t="shared" si="1"/>
        <v>16</v>
      </c>
      <c r="I21" s="4">
        <v>0</v>
      </c>
      <c r="J21" s="4">
        <f>-'[2]links-p1'!H17</f>
        <v>0</v>
      </c>
      <c r="L21" s="11"/>
      <c r="N21" s="15">
        <f t="shared" si="2"/>
        <v>16</v>
      </c>
      <c r="O21" s="18">
        <f>-'[1]links-p1'!E17</f>
        <v>315.49870002063562</v>
      </c>
      <c r="P21" s="18">
        <f>-'[2]links-p1'!E17</f>
        <v>0</v>
      </c>
      <c r="R21" s="11"/>
      <c r="T21" s="15">
        <f t="shared" si="3"/>
        <v>16</v>
      </c>
      <c r="U21" s="18">
        <f>-'[1]links-p1'!S17</f>
        <v>572.45335972238547</v>
      </c>
      <c r="V21" s="18">
        <f>-'[2]links-p1'!R17</f>
        <v>6012.1076572776146</v>
      </c>
      <c r="X21" s="11"/>
      <c r="Z21" s="15">
        <f t="shared" si="4"/>
        <v>16</v>
      </c>
      <c r="AA21" s="18">
        <f>-'[1]links-p1'!T17</f>
        <v>6779.486412000002</v>
      </c>
      <c r="AB21" s="18">
        <f>-'[2]links-p1'!S17</f>
        <v>0</v>
      </c>
      <c r="AD21" s="11"/>
    </row>
    <row r="22" spans="2:30" x14ac:dyDescent="0.3">
      <c r="B22" s="15">
        <f t="shared" si="0"/>
        <v>17</v>
      </c>
      <c r="C22" s="4">
        <v>0</v>
      </c>
      <c r="D22" s="4">
        <f>-'[2]links-p1'!B18</f>
        <v>0</v>
      </c>
      <c r="F22" s="11"/>
      <c r="H22" s="15">
        <f t="shared" si="1"/>
        <v>17</v>
      </c>
      <c r="I22" s="4">
        <v>0</v>
      </c>
      <c r="J22" s="4">
        <f>-'[2]links-p1'!H18</f>
        <v>0</v>
      </c>
      <c r="L22" s="11"/>
      <c r="N22" s="15">
        <f t="shared" si="2"/>
        <v>17</v>
      </c>
      <c r="O22" s="18">
        <f>-'[1]links-p1'!E18</f>
        <v>2547.976973557752</v>
      </c>
      <c r="P22" s="18">
        <f>-'[2]links-p1'!E18</f>
        <v>0</v>
      </c>
      <c r="R22" s="11"/>
      <c r="T22" s="15">
        <f t="shared" si="3"/>
        <v>17</v>
      </c>
      <c r="U22" s="18">
        <f>-'[1]links-p1'!S18</f>
        <v>1259.3933561852691</v>
      </c>
      <c r="V22" s="18">
        <f>-'[2]links-p1'!R18</f>
        <v>4280.2676608147312</v>
      </c>
      <c r="X22" s="11"/>
      <c r="Z22" s="15">
        <f t="shared" si="4"/>
        <v>17</v>
      </c>
      <c r="AA22" s="18">
        <f>-'[1]links-p1'!T18</f>
        <v>6779.486412000002</v>
      </c>
      <c r="AB22" s="18">
        <f>-'[2]links-p1'!S18</f>
        <v>0</v>
      </c>
      <c r="AD22" s="11"/>
    </row>
    <row r="23" spans="2:30" x14ac:dyDescent="0.3">
      <c r="B23" s="15">
        <f t="shared" si="0"/>
        <v>18</v>
      </c>
      <c r="C23" s="4">
        <v>0</v>
      </c>
      <c r="D23" s="4">
        <f>-'[2]links-p1'!B19</f>
        <v>0</v>
      </c>
      <c r="F23" s="11"/>
      <c r="H23" s="15">
        <f t="shared" si="1"/>
        <v>18</v>
      </c>
      <c r="I23" s="4">
        <v>0</v>
      </c>
      <c r="J23" s="4">
        <f>-'[2]links-p1'!H19</f>
        <v>0</v>
      </c>
      <c r="L23" s="11"/>
      <c r="N23" s="15">
        <f t="shared" si="2"/>
        <v>18</v>
      </c>
      <c r="O23" s="18">
        <f>-'[1]links-p1'!E19</f>
        <v>5327.3502140538212</v>
      </c>
      <c r="P23" s="18">
        <f>-'[2]links-p1'!E19</f>
        <v>2004.8906690438221</v>
      </c>
      <c r="R23" s="11"/>
      <c r="T23" s="15">
        <f t="shared" si="3"/>
        <v>18</v>
      </c>
      <c r="U23" s="18">
        <f>-'[1]links-p1'!S19</f>
        <v>1553.6722856992001</v>
      </c>
      <c r="V23" s="18">
        <f>-'[2]links-p1'!R19</f>
        <v>2941.0887313008002</v>
      </c>
      <c r="X23" s="11"/>
      <c r="Z23" s="15">
        <f t="shared" si="4"/>
        <v>18</v>
      </c>
      <c r="AA23" s="18">
        <f>-'[1]links-p1'!T19</f>
        <v>5109.9525620099994</v>
      </c>
      <c r="AB23" s="18">
        <f>-'[2]links-p1'!S19</f>
        <v>0</v>
      </c>
      <c r="AD23" s="11"/>
    </row>
    <row r="24" spans="2:30" x14ac:dyDescent="0.3">
      <c r="B24" s="15">
        <f t="shared" si="0"/>
        <v>19</v>
      </c>
      <c r="C24" s="4">
        <v>0</v>
      </c>
      <c r="D24" s="4">
        <f>-'[2]links-p1'!B20</f>
        <v>0</v>
      </c>
      <c r="F24" s="11"/>
      <c r="H24" s="15">
        <f t="shared" si="1"/>
        <v>19</v>
      </c>
      <c r="I24" s="4">
        <v>0</v>
      </c>
      <c r="J24" s="4">
        <f>-'[2]links-p1'!H20</f>
        <v>0</v>
      </c>
      <c r="L24" s="11"/>
      <c r="N24" s="15">
        <f t="shared" si="2"/>
        <v>19</v>
      </c>
      <c r="O24" s="18">
        <f>-'[1]links-p1'!E20</f>
        <v>5502.1599542446756</v>
      </c>
      <c r="P24" s="18">
        <f>-'[2]links-p1'!E20</f>
        <v>3226.4076528946762</v>
      </c>
      <c r="R24" s="11"/>
      <c r="T24" s="15">
        <f t="shared" si="3"/>
        <v>19</v>
      </c>
      <c r="U24" s="18">
        <f>-'[1]links-p1'!S20</f>
        <v>1553.6722856992001</v>
      </c>
      <c r="V24" s="18">
        <f>-'[2]links-p1'!R20</f>
        <v>1896.6486132108</v>
      </c>
      <c r="X24" s="11"/>
      <c r="Z24" s="15">
        <f t="shared" si="4"/>
        <v>19</v>
      </c>
      <c r="AA24" s="18">
        <f>-'[1]links-p1'!T20</f>
        <v>3029.3502002599998</v>
      </c>
      <c r="AB24" s="18">
        <f>-'[2]links-p1'!S20</f>
        <v>0</v>
      </c>
      <c r="AD24" s="11"/>
    </row>
    <row r="25" spans="2:30" x14ac:dyDescent="0.3">
      <c r="B25" s="15">
        <f t="shared" si="0"/>
        <v>20</v>
      </c>
      <c r="C25" s="4">
        <v>7393.0362460000006</v>
      </c>
      <c r="D25" s="4">
        <f>-'[2]links-p1'!B21</f>
        <v>7393.0362460000006</v>
      </c>
      <c r="F25" s="11"/>
      <c r="H25" s="15">
        <f t="shared" si="1"/>
        <v>20</v>
      </c>
      <c r="I25" s="4">
        <v>0</v>
      </c>
      <c r="J25" s="4">
        <f>-'[2]links-p1'!H21</f>
        <v>0</v>
      </c>
      <c r="L25" s="11"/>
      <c r="N25" s="15">
        <f t="shared" si="2"/>
        <v>20</v>
      </c>
      <c r="O25" s="18">
        <f>-'[1]links-p1'!E21</f>
        <v>3302.1702073848719</v>
      </c>
      <c r="P25" s="18">
        <f>-'[2]links-p1'!E21</f>
        <v>2074.301149704871</v>
      </c>
      <c r="R25" s="11"/>
      <c r="T25" s="15">
        <f t="shared" si="3"/>
        <v>20</v>
      </c>
      <c r="U25" s="18">
        <f>-'[1]links-p1'!S21</f>
        <v>1553.6722856992001</v>
      </c>
      <c r="V25" s="18">
        <f>-'[2]links-p1'!R21</f>
        <v>852.20849513079975</v>
      </c>
      <c r="X25" s="11"/>
      <c r="Z25" s="15">
        <f t="shared" si="4"/>
        <v>20</v>
      </c>
      <c r="AA25" s="18">
        <f>-'[1]links-p1'!T21</f>
        <v>948.74783851000029</v>
      </c>
      <c r="AB25" s="18">
        <f>-'[2]links-p1'!S21</f>
        <v>0</v>
      </c>
      <c r="AD25" s="11"/>
    </row>
    <row r="26" spans="2:30" x14ac:dyDescent="0.3">
      <c r="B26" s="15">
        <f t="shared" si="0"/>
        <v>21</v>
      </c>
      <c r="C26" s="4">
        <v>0</v>
      </c>
      <c r="D26" s="4">
        <f>-'[2]links-p1'!B22</f>
        <v>0</v>
      </c>
      <c r="F26" s="11"/>
      <c r="H26" s="15">
        <f t="shared" si="1"/>
        <v>21</v>
      </c>
      <c r="I26" s="4">
        <v>0</v>
      </c>
      <c r="J26" s="4">
        <f>-'[2]links-p1'!H22</f>
        <v>0</v>
      </c>
      <c r="L26" s="11"/>
      <c r="N26" s="15">
        <f t="shared" si="2"/>
        <v>21</v>
      </c>
      <c r="O26" s="18">
        <f>-'[1]links-p1'!E22</f>
        <v>978.43555563731115</v>
      </c>
      <c r="P26" s="18">
        <f>-'[2]links-p1'!E22</f>
        <v>841.13974161731153</v>
      </c>
      <c r="R26" s="11"/>
      <c r="T26" s="15">
        <f t="shared" si="3"/>
        <v>21</v>
      </c>
      <c r="U26" s="18">
        <f>-'[1]links-p1'!S22</f>
        <v>1553.6722856992001</v>
      </c>
      <c r="V26" s="18">
        <f>-'[2]links-p1'!R22</f>
        <v>0</v>
      </c>
      <c r="X26" s="11"/>
      <c r="Z26" s="15">
        <f t="shared" si="4"/>
        <v>21</v>
      </c>
      <c r="AA26" s="18">
        <f>-'[1]links-p1'!T22</f>
        <v>0</v>
      </c>
      <c r="AB26" s="18">
        <f>-'[2]links-p1'!S22</f>
        <v>192.23162295920019</v>
      </c>
      <c r="AD26" s="11"/>
    </row>
    <row r="27" spans="2:30" x14ac:dyDescent="0.3">
      <c r="B27" s="15">
        <f t="shared" si="0"/>
        <v>22</v>
      </c>
      <c r="C27" s="4">
        <v>5310.8740303196801</v>
      </c>
      <c r="D27" s="4">
        <f>-'[2]links-p1'!B23</f>
        <v>0</v>
      </c>
      <c r="F27" s="11"/>
      <c r="H27" s="15">
        <f t="shared" si="1"/>
        <v>22</v>
      </c>
      <c r="I27" s="4">
        <v>0</v>
      </c>
      <c r="J27" s="4">
        <f>-'[2]links-p1'!H23</f>
        <v>0</v>
      </c>
      <c r="L27" s="11"/>
      <c r="N27" s="15">
        <f t="shared" si="2"/>
        <v>22</v>
      </c>
      <c r="O27" s="18">
        <f>-'[1]links-p1'!E23</f>
        <v>0</v>
      </c>
      <c r="P27" s="18">
        <f>-'[2]links-p1'!E23</f>
        <v>0</v>
      </c>
      <c r="R27" s="11"/>
      <c r="T27" s="15">
        <f t="shared" si="3"/>
        <v>22</v>
      </c>
      <c r="U27" s="18">
        <f>-'[1]links-p1'!S23</f>
        <v>1553.6722856992001</v>
      </c>
      <c r="V27" s="18">
        <f>-'[2]links-p1'!R23</f>
        <v>0</v>
      </c>
      <c r="X27" s="11"/>
      <c r="Z27" s="15">
        <f t="shared" si="4"/>
        <v>22</v>
      </c>
      <c r="AA27" s="18">
        <f>-'[1]links-p1'!T23</f>
        <v>0</v>
      </c>
      <c r="AB27" s="18">
        <f>-'[2]links-p1'!S23</f>
        <v>1236.6717410491999</v>
      </c>
      <c r="AD27" s="11"/>
    </row>
    <row r="28" spans="2:30" x14ac:dyDescent="0.3">
      <c r="B28" s="15">
        <f t="shared" si="0"/>
        <v>23</v>
      </c>
      <c r="C28" s="4">
        <v>0</v>
      </c>
      <c r="D28" s="4">
        <f>-'[2]links-p1'!B24</f>
        <v>0</v>
      </c>
      <c r="F28" s="11"/>
      <c r="H28" s="15">
        <f t="shared" si="1"/>
        <v>23</v>
      </c>
      <c r="I28" s="4">
        <v>0</v>
      </c>
      <c r="J28" s="4">
        <f>-'[2]links-p1'!H24</f>
        <v>0</v>
      </c>
      <c r="L28" s="11"/>
      <c r="N28" s="15">
        <f t="shared" si="2"/>
        <v>23</v>
      </c>
      <c r="O28" s="18">
        <f>-'[1]links-p1'!E24</f>
        <v>0</v>
      </c>
      <c r="P28" s="18">
        <f>-'[2]links-p1'!E24</f>
        <v>65.754834468461922</v>
      </c>
      <c r="R28" s="11"/>
      <c r="T28" s="15">
        <f t="shared" si="3"/>
        <v>23</v>
      </c>
      <c r="U28" s="18">
        <f>-'[1]links-p1'!S24</f>
        <v>1553.6722856992001</v>
      </c>
      <c r="V28" s="18">
        <f>-'[2]links-p1'!R24</f>
        <v>0</v>
      </c>
      <c r="X28" s="11"/>
      <c r="Z28" s="15">
        <f t="shared" si="4"/>
        <v>23</v>
      </c>
      <c r="AA28" s="18">
        <f>-'[1]links-p1'!T24</f>
        <v>0</v>
      </c>
      <c r="AB28" s="18">
        <f>-'[2]links-p1'!S24</f>
        <v>381.55949078920003</v>
      </c>
      <c r="AD28" s="11"/>
    </row>
    <row r="29" spans="2:30" x14ac:dyDescent="0.3">
      <c r="B29" s="15">
        <f t="shared" si="0"/>
        <v>24</v>
      </c>
      <c r="C29" s="4">
        <v>0</v>
      </c>
      <c r="D29" s="4">
        <f>-'[2]links-p1'!B25</f>
        <v>0</v>
      </c>
      <c r="F29" s="11"/>
      <c r="H29" s="15">
        <f t="shared" si="1"/>
        <v>24</v>
      </c>
      <c r="I29" s="4">
        <v>0</v>
      </c>
      <c r="J29" s="4">
        <f>-'[2]links-p1'!H25</f>
        <v>0</v>
      </c>
      <c r="L29" s="11"/>
      <c r="N29" s="15">
        <f t="shared" si="2"/>
        <v>24</v>
      </c>
      <c r="O29" s="18">
        <f>-'[1]links-p1'!E25</f>
        <v>1670.9002970448009</v>
      </c>
      <c r="P29" s="18">
        <f>-'[2]links-p1'!E25</f>
        <v>885.55060199480158</v>
      </c>
      <c r="R29" s="11"/>
      <c r="T29" s="15">
        <f t="shared" si="3"/>
        <v>24</v>
      </c>
      <c r="U29" s="18">
        <f>-'[1]links-p1'!S25</f>
        <v>1553.6722856992001</v>
      </c>
      <c r="V29" s="18">
        <f>-'[2]links-p1'!R25</f>
        <v>663.34050921080006</v>
      </c>
      <c r="X29" s="11"/>
      <c r="Z29" s="15">
        <f t="shared" si="4"/>
        <v>24</v>
      </c>
      <c r="AA29" s="18">
        <f>-'[1]links-p1'!T25</f>
        <v>595.84548996000012</v>
      </c>
      <c r="AB29" s="18">
        <f>-'[2]links-p1'!S25</f>
        <v>0</v>
      </c>
      <c r="AD29" s="11"/>
    </row>
    <row r="30" spans="2:30" x14ac:dyDescent="0.3">
      <c r="B30" s="15">
        <f t="shared" si="0"/>
        <v>25</v>
      </c>
      <c r="C30" s="4">
        <v>0</v>
      </c>
      <c r="D30" s="4">
        <f>-'[2]links-p1'!B26</f>
        <v>0</v>
      </c>
      <c r="F30" s="11"/>
      <c r="H30" s="15">
        <f t="shared" si="1"/>
        <v>25</v>
      </c>
      <c r="I30" s="4">
        <v>0</v>
      </c>
      <c r="J30" s="4">
        <f>-'[2]links-p1'!H26</f>
        <v>0</v>
      </c>
      <c r="L30" s="11"/>
      <c r="N30" s="15">
        <f t="shared" si="2"/>
        <v>25</v>
      </c>
      <c r="O30" s="18">
        <f>-'[1]links-p1'!E26</f>
        <v>3624.9270449704341</v>
      </c>
      <c r="P30" s="18">
        <f>-'[2]links-p1'!E26</f>
        <v>1757.765614980435</v>
      </c>
      <c r="R30" s="11"/>
      <c r="T30" s="15">
        <f t="shared" si="3"/>
        <v>25</v>
      </c>
      <c r="U30" s="18">
        <f>-'[1]links-p1'!S26</f>
        <v>1553.6722856992001</v>
      </c>
      <c r="V30" s="18">
        <f>-'[2]links-p1'!R26</f>
        <v>1708.2414952608001</v>
      </c>
      <c r="X30" s="11"/>
      <c r="Z30" s="15">
        <f t="shared" si="4"/>
        <v>25</v>
      </c>
      <c r="AA30" s="18">
        <f>-'[1]links-p1'!T26</f>
        <v>2685.6652109499992</v>
      </c>
      <c r="AB30" s="18">
        <f>-'[2]links-p1'!S26</f>
        <v>0</v>
      </c>
      <c r="AD30" s="11"/>
    </row>
    <row r="31" spans="2:30" x14ac:dyDescent="0.3">
      <c r="B31" s="15">
        <f t="shared" si="0"/>
        <v>26</v>
      </c>
      <c r="C31" s="4">
        <v>23.8054476937541</v>
      </c>
      <c r="D31" s="4">
        <f>-'[2]links-p1'!B27</f>
        <v>0</v>
      </c>
      <c r="F31" s="11"/>
      <c r="H31" s="15">
        <f t="shared" si="1"/>
        <v>26</v>
      </c>
      <c r="I31" s="4">
        <v>0</v>
      </c>
      <c r="J31" s="4">
        <f>-'[2]links-p1'!H27</f>
        <v>0</v>
      </c>
      <c r="L31" s="11"/>
      <c r="N31" s="15">
        <f t="shared" si="2"/>
        <v>26</v>
      </c>
      <c r="O31" s="18">
        <f>-'[1]links-p1'!E27</f>
        <v>5970.2820177304866</v>
      </c>
      <c r="P31" s="18">
        <f>-'[2]links-p1'!E27</f>
        <v>3035.9365877404889</v>
      </c>
      <c r="R31" s="11"/>
      <c r="T31" s="15">
        <f t="shared" si="3"/>
        <v>26</v>
      </c>
      <c r="U31" s="18">
        <f>-'[1]links-p1'!S27</f>
        <v>1553.6722856992001</v>
      </c>
      <c r="V31" s="18">
        <f>-'[2]links-p1'!R27</f>
        <v>2753.1414952608002</v>
      </c>
      <c r="X31" s="11"/>
      <c r="Z31" s="15">
        <f t="shared" si="4"/>
        <v>26</v>
      </c>
      <c r="AA31" s="18">
        <f>-'[1]links-p1'!T27</f>
        <v>4775.4652109499984</v>
      </c>
      <c r="AB31" s="18">
        <f>-'[2]links-p1'!S27</f>
        <v>0</v>
      </c>
      <c r="AD31" s="11"/>
    </row>
    <row r="32" spans="2:30" x14ac:dyDescent="0.3">
      <c r="B32" s="15">
        <f t="shared" si="0"/>
        <v>27</v>
      </c>
      <c r="C32" s="4">
        <v>0</v>
      </c>
      <c r="D32" s="4">
        <f>-'[2]links-p1'!B28</f>
        <v>0</v>
      </c>
      <c r="F32" s="11"/>
      <c r="H32" s="15">
        <f t="shared" si="1"/>
        <v>27</v>
      </c>
      <c r="I32" s="4">
        <v>0</v>
      </c>
      <c r="J32" s="4">
        <f>-'[2]links-p1'!H28</f>
        <v>0</v>
      </c>
      <c r="L32" s="11"/>
      <c r="N32" s="15">
        <f t="shared" si="2"/>
        <v>27</v>
      </c>
      <c r="O32" s="18">
        <f>-'[1]links-p1'!E28</f>
        <v>6727.4673270496023</v>
      </c>
      <c r="P32" s="18">
        <f>-'[2]links-p1'!E28</f>
        <v>3551.7060045096032</v>
      </c>
      <c r="R32" s="11"/>
      <c r="T32" s="15">
        <f t="shared" si="3"/>
        <v>27</v>
      </c>
      <c r="U32" s="18">
        <f>-'[1]links-p1'!S28</f>
        <v>1553.6722856992001</v>
      </c>
      <c r="V32" s="18">
        <f>-'[2]links-p1'!R28</f>
        <v>2953.4013878008</v>
      </c>
      <c r="X32" s="11"/>
      <c r="Z32" s="15">
        <f t="shared" si="4"/>
        <v>27</v>
      </c>
      <c r="AA32" s="18">
        <f>-'[1]links-p1'!T28</f>
        <v>5175.9849960399988</v>
      </c>
      <c r="AB32" s="18">
        <f>-'[2]links-p1'!S28</f>
        <v>0</v>
      </c>
      <c r="AD32" s="11"/>
    </row>
    <row r="33" spans="2:30" x14ac:dyDescent="0.3">
      <c r="B33" s="15">
        <f t="shared" si="0"/>
        <v>28</v>
      </c>
      <c r="C33" s="4">
        <v>1318.224664636007</v>
      </c>
      <c r="D33" s="4">
        <f>-'[2]links-p1'!B29</f>
        <v>0</v>
      </c>
      <c r="F33" s="11"/>
      <c r="H33" s="15">
        <f t="shared" si="1"/>
        <v>28</v>
      </c>
      <c r="I33" s="4">
        <v>0</v>
      </c>
      <c r="J33" s="4">
        <f>-'[2]links-p1'!H29</f>
        <v>0</v>
      </c>
      <c r="L33" s="11"/>
      <c r="N33" s="15">
        <f t="shared" si="2"/>
        <v>28</v>
      </c>
      <c r="O33" s="18">
        <f>-'[1]links-p1'!E29</f>
        <v>5072.1928169279236</v>
      </c>
      <c r="P33" s="18">
        <f>-'[2]links-p1'!E29</f>
        <v>2860.7414943879239</v>
      </c>
      <c r="R33" s="11"/>
      <c r="T33" s="15">
        <f t="shared" si="3"/>
        <v>28</v>
      </c>
      <c r="U33" s="18">
        <f>-'[1]links-p1'!S29</f>
        <v>1553.6722856992001</v>
      </c>
      <c r="V33" s="18">
        <f>-'[2]links-p1'!R29</f>
        <v>1908.5013878008001</v>
      </c>
      <c r="X33" s="11"/>
      <c r="Z33" s="15">
        <f t="shared" si="4"/>
        <v>28</v>
      </c>
      <c r="AA33" s="18">
        <f>-'[1]links-p1'!T29</f>
        <v>3086.18499604</v>
      </c>
      <c r="AB33" s="18">
        <f>-'[2]links-p1'!S29</f>
        <v>0</v>
      </c>
      <c r="AD33" s="11"/>
    </row>
    <row r="34" spans="2:30" x14ac:dyDescent="0.3">
      <c r="B34" s="15">
        <f t="shared" si="0"/>
        <v>29</v>
      </c>
      <c r="C34" s="4">
        <v>2466.58847162861</v>
      </c>
      <c r="D34" s="4">
        <f>-'[2]links-p1'!B30</f>
        <v>0</v>
      </c>
      <c r="F34" s="11"/>
      <c r="H34" s="15">
        <f t="shared" si="1"/>
        <v>29</v>
      </c>
      <c r="I34" s="4">
        <v>0</v>
      </c>
      <c r="J34" s="4">
        <f>-'[2]links-p1'!H30</f>
        <v>0</v>
      </c>
      <c r="L34" s="11"/>
      <c r="N34" s="15">
        <f t="shared" si="2"/>
        <v>29</v>
      </c>
      <c r="O34" s="18">
        <f>-'[1]links-p1'!E30</f>
        <v>3402.982559650341</v>
      </c>
      <c r="P34" s="18">
        <f>-'[2]links-p1'!E30</f>
        <v>2098.5429934603399</v>
      </c>
      <c r="R34" s="11"/>
      <c r="T34" s="15">
        <f t="shared" si="3"/>
        <v>29</v>
      </c>
      <c r="U34" s="18">
        <f>-'[1]links-p1'!S30</f>
        <v>1553.6722856992001</v>
      </c>
      <c r="V34" s="18">
        <f>-'[2]links-p1'!R30</f>
        <v>863.14150589080009</v>
      </c>
      <c r="X34" s="11"/>
      <c r="Z34" s="15">
        <f t="shared" si="4"/>
        <v>29</v>
      </c>
      <c r="AA34" s="18">
        <f>-'[1]links-p1'!T30</f>
        <v>987.18735777999973</v>
      </c>
      <c r="AB34" s="18">
        <f>-'[2]links-p1'!S30</f>
        <v>0</v>
      </c>
      <c r="AD34" s="11"/>
    </row>
    <row r="35" spans="2:30" x14ac:dyDescent="0.3">
      <c r="B35" s="15">
        <f t="shared" si="0"/>
        <v>30</v>
      </c>
      <c r="C35" s="4">
        <v>0</v>
      </c>
      <c r="D35" s="4">
        <f>-'[2]links-p1'!B31</f>
        <v>0</v>
      </c>
      <c r="F35" s="11"/>
      <c r="H35" s="15">
        <f t="shared" si="1"/>
        <v>30</v>
      </c>
      <c r="I35" s="4">
        <v>0</v>
      </c>
      <c r="J35" s="4">
        <f>-'[2]links-p1'!H31</f>
        <v>0</v>
      </c>
      <c r="L35" s="11"/>
      <c r="N35" s="15">
        <f t="shared" si="2"/>
        <v>30</v>
      </c>
      <c r="O35" s="18">
        <f>-'[1]links-p1'!E31</f>
        <v>1909.9393044545261</v>
      </c>
      <c r="P35" s="18">
        <f>-'[2]links-p1'!E31</f>
        <v>1441.7762509345259</v>
      </c>
      <c r="R35" s="11"/>
      <c r="T35" s="15">
        <f t="shared" si="3"/>
        <v>30</v>
      </c>
      <c r="U35" s="18">
        <f>-'[1]links-p1'!S31</f>
        <v>1553.6722856992001</v>
      </c>
      <c r="V35" s="18">
        <f>-'[2]links-p1'!R31</f>
        <v>0</v>
      </c>
      <c r="X35" s="11"/>
      <c r="Z35" s="15">
        <f t="shared" si="4"/>
        <v>30</v>
      </c>
      <c r="AA35" s="18">
        <f>-'[1]links-p1'!T31</f>
        <v>0</v>
      </c>
      <c r="AB35" s="18">
        <f>-'[2]links-p1'!S31</f>
        <v>182.67825793920019</v>
      </c>
      <c r="AD35" s="11"/>
    </row>
    <row r="36" spans="2:30" x14ac:dyDescent="0.3">
      <c r="B36" s="15">
        <f t="shared" si="0"/>
        <v>31</v>
      </c>
      <c r="C36" s="4">
        <v>0</v>
      </c>
      <c r="D36" s="4">
        <f>-'[2]links-p1'!B32</f>
        <v>7393.0362460000006</v>
      </c>
      <c r="F36" s="11"/>
      <c r="H36" s="15">
        <f t="shared" si="1"/>
        <v>31</v>
      </c>
      <c r="I36" s="4">
        <v>0</v>
      </c>
      <c r="J36" s="4">
        <f>-'[2]links-p1'!H32</f>
        <v>0</v>
      </c>
      <c r="L36" s="11"/>
      <c r="N36" s="15">
        <f t="shared" si="2"/>
        <v>31</v>
      </c>
      <c r="O36" s="18">
        <f>-'[1]links-p1'!E32</f>
        <v>2472.3227279018688</v>
      </c>
      <c r="P36" s="18">
        <f>-'[2]links-p1'!E32</f>
        <v>1953.87867765187</v>
      </c>
      <c r="R36" s="11"/>
      <c r="T36" s="15">
        <f t="shared" si="3"/>
        <v>31</v>
      </c>
      <c r="U36" s="18">
        <f>-'[1]links-p1'!S32</f>
        <v>1553.6722856992001</v>
      </c>
      <c r="V36" s="18">
        <f>-'[2]links-p1'!R32</f>
        <v>0</v>
      </c>
      <c r="X36" s="11"/>
      <c r="Z36" s="15">
        <f t="shared" si="4"/>
        <v>31</v>
      </c>
      <c r="AA36" s="18">
        <f>-'[1]links-p1'!T32</f>
        <v>0</v>
      </c>
      <c r="AB36" s="18">
        <f>-'[2]links-p1'!S32</f>
        <v>193.1513867891999</v>
      </c>
      <c r="AD36" s="11"/>
    </row>
    <row r="37" spans="2:30" x14ac:dyDescent="0.3">
      <c r="B37" s="15">
        <f t="shared" si="0"/>
        <v>32</v>
      </c>
      <c r="C37" s="4">
        <v>7393.0362460000006</v>
      </c>
      <c r="D37" s="4">
        <f>-'[2]links-p1'!B33</f>
        <v>0</v>
      </c>
      <c r="F37" s="11"/>
      <c r="H37" s="15">
        <f t="shared" si="1"/>
        <v>32</v>
      </c>
      <c r="I37" s="4">
        <v>0</v>
      </c>
      <c r="J37" s="4">
        <f>-'[2]links-p1'!H33</f>
        <v>0</v>
      </c>
      <c r="L37" s="11"/>
      <c r="N37" s="15">
        <f t="shared" si="2"/>
        <v>32</v>
      </c>
      <c r="O37" s="18">
        <f>-'[1]links-p1'!E33</f>
        <v>5134.45383489497</v>
      </c>
      <c r="P37" s="18">
        <f>-'[2]links-p1'!E33</f>
        <v>3589.5085409849721</v>
      </c>
      <c r="R37" s="11"/>
      <c r="T37" s="15">
        <f t="shared" si="3"/>
        <v>32</v>
      </c>
      <c r="U37" s="18">
        <f>-'[1]links-p1'!S33</f>
        <v>1553.6722856992001</v>
      </c>
      <c r="V37" s="18">
        <f>-'[2]links-p1'!R33</f>
        <v>851.28873130080001</v>
      </c>
      <c r="X37" s="11"/>
      <c r="Z37" s="15">
        <f t="shared" si="4"/>
        <v>32</v>
      </c>
      <c r="AA37" s="18">
        <f>-'[1]links-p1'!T33</f>
        <v>930.37031090999881</v>
      </c>
      <c r="AB37" s="18">
        <f>-'[2]links-p1'!S33</f>
        <v>0</v>
      </c>
      <c r="AD37" s="11"/>
    </row>
    <row r="38" spans="2:30" x14ac:dyDescent="0.3">
      <c r="B38" s="15">
        <f t="shared" si="0"/>
        <v>33</v>
      </c>
      <c r="C38" s="4">
        <v>7393.0362460000006</v>
      </c>
      <c r="D38" s="4">
        <f>-'[2]links-p1'!B34</f>
        <v>6413.413956685733</v>
      </c>
      <c r="F38" s="11"/>
      <c r="H38" s="15">
        <f t="shared" si="1"/>
        <v>33</v>
      </c>
      <c r="I38" s="4">
        <v>0</v>
      </c>
      <c r="J38" s="4">
        <f>-'[2]links-p1'!H34</f>
        <v>0</v>
      </c>
      <c r="L38" s="11"/>
      <c r="N38" s="15">
        <f t="shared" si="2"/>
        <v>33</v>
      </c>
      <c r="O38" s="18">
        <f>-'[1]links-p1'!E34</f>
        <v>7159.5224504592697</v>
      </c>
      <c r="P38" s="18">
        <f>-'[2]links-p1'!E34</f>
        <v>4648.5451565492722</v>
      </c>
      <c r="R38" s="11"/>
      <c r="T38" s="15">
        <f t="shared" si="3"/>
        <v>33</v>
      </c>
      <c r="U38" s="18">
        <f>-'[1]links-p1'!S34</f>
        <v>1553.6722856992001</v>
      </c>
      <c r="V38" s="18">
        <f>-'[2]links-p1'!R34</f>
        <v>1896.1887313008001</v>
      </c>
      <c r="X38" s="11"/>
      <c r="Z38" s="15">
        <f t="shared" si="4"/>
        <v>33</v>
      </c>
      <c r="AA38" s="18">
        <f>-'[1]links-p1'!T34</f>
        <v>3020.1703109099981</v>
      </c>
      <c r="AB38" s="18">
        <f>-'[2]links-p1'!S34</f>
        <v>0</v>
      </c>
      <c r="AD38" s="11"/>
    </row>
    <row r="39" spans="2:30" x14ac:dyDescent="0.3">
      <c r="B39" s="15">
        <f t="shared" si="0"/>
        <v>34</v>
      </c>
      <c r="C39" s="4">
        <v>5016.2266945292731</v>
      </c>
      <c r="D39" s="4">
        <f>-'[2]links-p1'!B35</f>
        <v>0</v>
      </c>
      <c r="F39" s="11"/>
      <c r="H39" s="15">
        <f t="shared" si="1"/>
        <v>34</v>
      </c>
      <c r="I39" s="4">
        <v>0</v>
      </c>
      <c r="J39" s="4">
        <f>-'[2]links-p1'!H35</f>
        <v>0</v>
      </c>
      <c r="L39" s="11"/>
      <c r="N39" s="15">
        <f t="shared" si="2"/>
        <v>34</v>
      </c>
      <c r="O39" s="18">
        <f>-'[1]links-p1'!E35</f>
        <v>6151.5099931124851</v>
      </c>
      <c r="P39" s="18">
        <f>-'[2]links-p1'!E35</f>
        <v>2665.8846992024851</v>
      </c>
      <c r="R39" s="11"/>
      <c r="T39" s="15">
        <f t="shared" si="3"/>
        <v>34</v>
      </c>
      <c r="U39" s="18">
        <f>-'[1]links-p1'!S35</f>
        <v>1553.6722856992001</v>
      </c>
      <c r="V39" s="18">
        <f>-'[2]links-p1'!R35</f>
        <v>2941.0887313008002</v>
      </c>
      <c r="X39" s="11"/>
      <c r="Z39" s="15">
        <f t="shared" si="4"/>
        <v>34</v>
      </c>
      <c r="AA39" s="18">
        <f>-'[1]links-p1'!T35</f>
        <v>5109.970310910001</v>
      </c>
      <c r="AB39" s="18">
        <f>-'[2]links-p1'!S35</f>
        <v>0</v>
      </c>
      <c r="AD39" s="11"/>
    </row>
    <row r="40" spans="2:30" x14ac:dyDescent="0.3">
      <c r="B40" s="15">
        <f t="shared" si="0"/>
        <v>35</v>
      </c>
      <c r="C40" s="4">
        <v>0</v>
      </c>
      <c r="D40" s="4">
        <f>-'[2]links-p1'!B36</f>
        <v>0</v>
      </c>
      <c r="F40" s="11"/>
      <c r="H40" s="15">
        <f t="shared" si="1"/>
        <v>35</v>
      </c>
      <c r="I40" s="4">
        <v>0</v>
      </c>
      <c r="J40" s="4">
        <f>-'[2]links-p1'!H36</f>
        <v>0</v>
      </c>
      <c r="L40" s="11"/>
      <c r="N40" s="15">
        <f t="shared" si="2"/>
        <v>35</v>
      </c>
      <c r="O40" s="18">
        <f>-'[1]links-p1'!E36</f>
        <v>4567.9528952392484</v>
      </c>
      <c r="P40" s="18">
        <f>-'[2]links-p1'!E36</f>
        <v>1513.8839102392481</v>
      </c>
      <c r="R40" s="11"/>
      <c r="T40" s="15">
        <f t="shared" si="3"/>
        <v>35</v>
      </c>
      <c r="U40" s="18">
        <f>-'[1]links-p1'!S36</f>
        <v>1553.6722856992001</v>
      </c>
      <c r="V40" s="18">
        <f>-'[2]links-p1'!R36</f>
        <v>3985.9887313007998</v>
      </c>
      <c r="X40" s="11"/>
      <c r="Z40" s="15">
        <f t="shared" si="4"/>
        <v>35</v>
      </c>
      <c r="AA40" s="18">
        <f>-'[1]links-p1'!T36</f>
        <v>6779.486412000002</v>
      </c>
      <c r="AB40" s="18">
        <f>-'[2]links-p1'!S36</f>
        <v>0</v>
      </c>
      <c r="AD40" s="11"/>
    </row>
    <row r="41" spans="2:30" x14ac:dyDescent="0.3">
      <c r="B41" s="15">
        <f t="shared" si="0"/>
        <v>36</v>
      </c>
      <c r="C41" s="4">
        <v>0</v>
      </c>
      <c r="D41" s="4">
        <f>-'[2]links-p1'!B37</f>
        <v>0</v>
      </c>
      <c r="F41" s="11"/>
      <c r="H41" s="15">
        <f t="shared" si="1"/>
        <v>36</v>
      </c>
      <c r="I41" s="4">
        <v>0</v>
      </c>
      <c r="J41" s="4">
        <f>-'[2]links-p1'!H37</f>
        <v>0</v>
      </c>
      <c r="L41" s="11"/>
      <c r="N41" s="15">
        <f t="shared" si="2"/>
        <v>36</v>
      </c>
      <c r="O41" s="18">
        <f>-'[1]links-p1'!E37</f>
        <v>2492.5209062888889</v>
      </c>
      <c r="P41" s="18">
        <f>-'[2]links-p1'!E37</f>
        <v>0</v>
      </c>
      <c r="R41" s="11"/>
      <c r="T41" s="15">
        <f t="shared" si="3"/>
        <v>36</v>
      </c>
      <c r="U41" s="18">
        <f>-'[1]links-p1'!S37</f>
        <v>1553.6722856992001</v>
      </c>
      <c r="V41" s="18">
        <f>-'[2]links-p1'!R37</f>
        <v>5031.3486132108001</v>
      </c>
      <c r="X41" s="11"/>
      <c r="Z41" s="15">
        <f t="shared" si="4"/>
        <v>36</v>
      </c>
      <c r="AA41" s="18">
        <f>-'[1]links-p1'!T37</f>
        <v>6779.486412000002</v>
      </c>
      <c r="AB41" s="18">
        <f>-'[2]links-p1'!S37</f>
        <v>0</v>
      </c>
      <c r="AD41" s="11"/>
    </row>
    <row r="42" spans="2:30" x14ac:dyDescent="0.3">
      <c r="B42" s="15">
        <f t="shared" si="0"/>
        <v>37</v>
      </c>
      <c r="C42" s="4">
        <v>0</v>
      </c>
      <c r="D42" s="4">
        <f>-'[2]links-p1'!B38</f>
        <v>0</v>
      </c>
      <c r="F42" s="11"/>
      <c r="H42" s="15">
        <f t="shared" si="1"/>
        <v>37</v>
      </c>
      <c r="I42" s="4">
        <v>0</v>
      </c>
      <c r="J42" s="4">
        <f>-'[2]links-p1'!H38</f>
        <v>0</v>
      </c>
      <c r="L42" s="11"/>
      <c r="N42" s="15">
        <f t="shared" si="2"/>
        <v>37</v>
      </c>
      <c r="O42" s="18">
        <f>-'[1]links-p1'!E38</f>
        <v>1348.6797540190939</v>
      </c>
      <c r="P42" s="18">
        <f>-'[2]links-p1'!E38</f>
        <v>0</v>
      </c>
      <c r="R42" s="11"/>
      <c r="T42" s="15">
        <f t="shared" si="3"/>
        <v>37</v>
      </c>
      <c r="U42" s="18">
        <f>-'[1]links-p1'!S38</f>
        <v>702.95252521764462</v>
      </c>
      <c r="V42" s="18">
        <f>-'[2]links-p1'!R38</f>
        <v>6076.7084917823558</v>
      </c>
      <c r="X42" s="11"/>
      <c r="Z42" s="15">
        <f t="shared" si="4"/>
        <v>37</v>
      </c>
      <c r="AA42" s="18">
        <f>-'[1]links-p1'!T38</f>
        <v>6779.486412000002</v>
      </c>
      <c r="AB42" s="18">
        <f>-'[2]links-p1'!S38</f>
        <v>0</v>
      </c>
      <c r="AD42" s="11"/>
    </row>
    <row r="43" spans="2:30" x14ac:dyDescent="0.3">
      <c r="B43" s="15">
        <f t="shared" si="0"/>
        <v>38</v>
      </c>
      <c r="C43" s="4">
        <v>0</v>
      </c>
      <c r="D43" s="4">
        <f>-'[2]links-p1'!B39</f>
        <v>0</v>
      </c>
      <c r="F43" s="11"/>
      <c r="H43" s="15">
        <f t="shared" si="1"/>
        <v>38</v>
      </c>
      <c r="I43" s="4">
        <v>0</v>
      </c>
      <c r="J43" s="4">
        <f>-'[2]links-p1'!H39</f>
        <v>0</v>
      </c>
      <c r="L43" s="11"/>
      <c r="N43" s="15">
        <f t="shared" si="2"/>
        <v>38</v>
      </c>
      <c r="O43" s="18">
        <f>-'[1]links-p1'!E39</f>
        <v>199.5253113537938</v>
      </c>
      <c r="P43" s="18">
        <f>-'[2]links-p1'!E39</f>
        <v>0</v>
      </c>
      <c r="R43" s="11"/>
      <c r="T43" s="15">
        <f t="shared" si="3"/>
        <v>38</v>
      </c>
      <c r="U43" s="18">
        <f>-'[1]links-p1'!S39</f>
        <v>903.37410788844454</v>
      </c>
      <c r="V43" s="18">
        <f>-'[2]links-p1'!R39</f>
        <v>5876.2869091115554</v>
      </c>
      <c r="X43" s="11"/>
      <c r="Z43" s="15">
        <f t="shared" si="4"/>
        <v>38</v>
      </c>
      <c r="AA43" s="18">
        <f>-'[1]links-p1'!T39</f>
        <v>6779.486412000002</v>
      </c>
      <c r="AB43" s="18">
        <f>-'[2]links-p1'!S39</f>
        <v>0</v>
      </c>
      <c r="AD43" s="11"/>
    </row>
    <row r="44" spans="2:30" x14ac:dyDescent="0.3">
      <c r="B44" s="15">
        <f t="shared" si="0"/>
        <v>39</v>
      </c>
      <c r="C44" s="4">
        <v>0</v>
      </c>
      <c r="D44" s="4">
        <f>-'[2]links-p1'!B40</f>
        <v>0</v>
      </c>
      <c r="F44" s="11"/>
      <c r="H44" s="15">
        <f t="shared" si="1"/>
        <v>39</v>
      </c>
      <c r="I44" s="4">
        <v>0</v>
      </c>
      <c r="J44" s="4">
        <f>-'[2]links-p1'!H40</f>
        <v>0</v>
      </c>
      <c r="L44" s="11"/>
      <c r="N44" s="15">
        <f t="shared" si="2"/>
        <v>39</v>
      </c>
      <c r="O44" s="18">
        <f>-'[1]links-p1'!E40</f>
        <v>34.222521106276872</v>
      </c>
      <c r="P44" s="18">
        <f>-'[2]links-p1'!E40</f>
        <v>0</v>
      </c>
      <c r="R44" s="11"/>
      <c r="T44" s="15">
        <f t="shared" si="3"/>
        <v>39</v>
      </c>
      <c r="U44" s="18">
        <f>-'[1]links-p1'!S40</f>
        <v>902.9142259808126</v>
      </c>
      <c r="V44" s="18">
        <f>-'[2]links-p1'!R40</f>
        <v>4892.7191680191881</v>
      </c>
      <c r="X44" s="11"/>
      <c r="Z44" s="15">
        <f t="shared" si="4"/>
        <v>39</v>
      </c>
      <c r="AA44" s="18">
        <f>-'[1]links-p1'!T40</f>
        <v>6779.486412000002</v>
      </c>
      <c r="AB44" s="18">
        <f>-'[2]links-p1'!S40</f>
        <v>0</v>
      </c>
      <c r="AD44" s="11"/>
    </row>
    <row r="45" spans="2:30" x14ac:dyDescent="0.3">
      <c r="B45" s="15">
        <f t="shared" si="0"/>
        <v>40</v>
      </c>
      <c r="C45" s="4">
        <v>0</v>
      </c>
      <c r="D45" s="4">
        <f>-'[2]links-p1'!B41</f>
        <v>0</v>
      </c>
      <c r="F45" s="11"/>
      <c r="H45" s="15">
        <f t="shared" si="1"/>
        <v>40</v>
      </c>
      <c r="I45" s="4">
        <v>0</v>
      </c>
      <c r="J45" s="4">
        <f>-'[2]links-p1'!H41</f>
        <v>0</v>
      </c>
      <c r="L45" s="11"/>
      <c r="N45" s="15">
        <f t="shared" si="2"/>
        <v>40</v>
      </c>
      <c r="O45" s="18">
        <f>-'[1]links-p1'!E41</f>
        <v>990.98884595426352</v>
      </c>
      <c r="P45" s="18">
        <f>-'[2]links-p1'!E41</f>
        <v>0</v>
      </c>
      <c r="R45" s="11"/>
      <c r="T45" s="15">
        <f t="shared" si="3"/>
        <v>40</v>
      </c>
      <c r="U45" s="18">
        <f>-'[1]links-p1'!S41</f>
        <v>902.45434407318055</v>
      </c>
      <c r="V45" s="18">
        <f>-'[2]links-p1'!R41</f>
        <v>3847.8191680168188</v>
      </c>
      <c r="X45" s="11"/>
      <c r="Z45" s="15">
        <f t="shared" si="4"/>
        <v>40</v>
      </c>
      <c r="AA45" s="18">
        <f>-'[1]links-p1'!T41</f>
        <v>5620.995301089999</v>
      </c>
      <c r="AB45" s="18">
        <f>-'[2]links-p1'!S41</f>
        <v>0</v>
      </c>
      <c r="AD45" s="11"/>
    </row>
    <row r="46" spans="2:30" x14ac:dyDescent="0.3">
      <c r="B46" s="15">
        <f t="shared" si="0"/>
        <v>41</v>
      </c>
      <c r="C46" s="4">
        <v>0</v>
      </c>
      <c r="D46" s="4">
        <f>-'[2]links-p1'!B42</f>
        <v>0</v>
      </c>
      <c r="F46" s="11"/>
      <c r="H46" s="15">
        <f t="shared" si="1"/>
        <v>41</v>
      </c>
      <c r="I46" s="4">
        <v>0</v>
      </c>
      <c r="J46" s="4">
        <f>-'[2]links-p1'!H42</f>
        <v>0</v>
      </c>
      <c r="L46" s="11"/>
      <c r="N46" s="15">
        <f t="shared" si="2"/>
        <v>41</v>
      </c>
      <c r="O46" s="18">
        <f>-'[1]links-p1'!E42</f>
        <v>2346.7689343282482</v>
      </c>
      <c r="P46" s="18">
        <f>-'[2]links-p1'!E42</f>
        <v>815.64255532824995</v>
      </c>
      <c r="R46" s="11"/>
      <c r="T46" s="15">
        <f t="shared" si="3"/>
        <v>41</v>
      </c>
      <c r="U46" s="18">
        <f>-'[1]links-p1'!S42</f>
        <v>1553.6722856992001</v>
      </c>
      <c r="V46" s="18">
        <f>-'[2]links-p1'!R42</f>
        <v>2151.7012263908</v>
      </c>
      <c r="X46" s="11"/>
      <c r="Z46" s="15">
        <f t="shared" si="4"/>
        <v>41</v>
      </c>
      <c r="AA46" s="18">
        <f>-'[1]links-p1'!T42</f>
        <v>3531.1953010900002</v>
      </c>
      <c r="AB46" s="18">
        <f>-'[2]links-p1'!S42</f>
        <v>0</v>
      </c>
      <c r="AD46" s="11"/>
    </row>
    <row r="47" spans="2:30" x14ac:dyDescent="0.3">
      <c r="B47" s="15">
        <f t="shared" si="0"/>
        <v>42</v>
      </c>
      <c r="C47" s="4">
        <v>5678.6944982671339</v>
      </c>
      <c r="D47" s="4">
        <f>-'[2]links-p1'!B43</f>
        <v>1242.216936284537</v>
      </c>
      <c r="F47" s="11"/>
      <c r="H47" s="15">
        <f t="shared" si="1"/>
        <v>42</v>
      </c>
      <c r="I47" s="4">
        <v>0</v>
      </c>
      <c r="J47" s="4">
        <f>-'[2]links-p1'!H43</f>
        <v>0</v>
      </c>
      <c r="L47" s="11"/>
      <c r="N47" s="15">
        <f t="shared" si="2"/>
        <v>42</v>
      </c>
      <c r="O47" s="18">
        <f>-'[1]links-p1'!E43</f>
        <v>4244.7222943282477</v>
      </c>
      <c r="P47" s="18">
        <f>-'[2]links-p1'!E43</f>
        <v>2779.792505328247</v>
      </c>
      <c r="R47" s="11"/>
      <c r="T47" s="15">
        <f t="shared" si="3"/>
        <v>42</v>
      </c>
      <c r="U47" s="18">
        <f>-'[1]links-p1'!S43</f>
        <v>1553.6722856992001</v>
      </c>
      <c r="V47" s="18">
        <f>-'[2]links-p1'!R43</f>
        <v>1106.8012263907999</v>
      </c>
      <c r="X47" s="11"/>
      <c r="Z47" s="15">
        <f t="shared" si="4"/>
        <v>42</v>
      </c>
      <c r="AA47" s="18">
        <f>-'[1]links-p1'!T43</f>
        <v>1441.39530109</v>
      </c>
      <c r="AB47" s="18">
        <f>-'[2]links-p1'!S43</f>
        <v>0</v>
      </c>
      <c r="AD47" s="11"/>
    </row>
    <row r="48" spans="2:30" x14ac:dyDescent="0.3">
      <c r="B48" s="15">
        <f t="shared" si="0"/>
        <v>43</v>
      </c>
      <c r="C48" s="4">
        <v>7393.0362460000006</v>
      </c>
      <c r="D48" s="4">
        <f>-'[2]links-p1'!B44</f>
        <v>7393.0362460000006</v>
      </c>
      <c r="F48" s="11"/>
      <c r="H48" s="15">
        <f t="shared" si="1"/>
        <v>43</v>
      </c>
      <c r="I48" s="4">
        <v>0</v>
      </c>
      <c r="J48" s="4">
        <f>-'[2]links-p1'!H44</f>
        <v>0</v>
      </c>
      <c r="L48" s="11"/>
      <c r="N48" s="15">
        <f t="shared" si="2"/>
        <v>43</v>
      </c>
      <c r="O48" s="18">
        <f>-'[1]links-p1'!E44</f>
        <v>2999.7236600585002</v>
      </c>
      <c r="P48" s="18">
        <f>-'[2]links-p1'!E44</f>
        <v>2578.9551147185002</v>
      </c>
      <c r="R48" s="11"/>
      <c r="T48" s="15">
        <f t="shared" si="3"/>
        <v>43</v>
      </c>
      <c r="U48" s="18">
        <f>-'[1]links-p1'!S44</f>
        <v>1553.6722856992001</v>
      </c>
      <c r="V48" s="18">
        <f>-'[2]links-p1'!R44</f>
        <v>62.36110830079997</v>
      </c>
      <c r="X48" s="11"/>
      <c r="Z48" s="15">
        <f t="shared" si="4"/>
        <v>43</v>
      </c>
      <c r="AA48" s="18">
        <f>-'[1]links-p1'!T44</f>
        <v>0</v>
      </c>
      <c r="AB48" s="18">
        <f>-'[2]links-p1'!S44</f>
        <v>0</v>
      </c>
      <c r="AD48" s="11"/>
    </row>
    <row r="49" spans="2:30" x14ac:dyDescent="0.3">
      <c r="B49" s="15">
        <f t="shared" si="0"/>
        <v>44</v>
      </c>
      <c r="C49" s="4">
        <v>7393.0362460000006</v>
      </c>
      <c r="D49" s="4">
        <f>-'[2]links-p1'!B45</f>
        <v>0</v>
      </c>
      <c r="F49" s="11"/>
      <c r="H49" s="15">
        <f t="shared" si="1"/>
        <v>44</v>
      </c>
      <c r="I49" s="4">
        <v>0</v>
      </c>
      <c r="J49" s="4">
        <f>-'[2]links-p1'!H45</f>
        <v>0</v>
      </c>
      <c r="L49" s="11"/>
      <c r="N49" s="15">
        <f t="shared" si="2"/>
        <v>44</v>
      </c>
      <c r="O49" s="18">
        <f>-'[1]links-p1'!E45</f>
        <v>0</v>
      </c>
      <c r="P49" s="18">
        <f>-'[2]links-p1'!E45</f>
        <v>620.29532133469252</v>
      </c>
      <c r="R49" s="11"/>
      <c r="T49" s="15">
        <f t="shared" si="3"/>
        <v>44</v>
      </c>
      <c r="U49" s="18">
        <f>-'[1]links-p1'!S45</f>
        <v>1553.6722856992001</v>
      </c>
      <c r="V49" s="18">
        <f>-'[2]links-p1'!R45</f>
        <v>0</v>
      </c>
      <c r="X49" s="11"/>
      <c r="Z49" s="15">
        <f t="shared" si="4"/>
        <v>44</v>
      </c>
      <c r="AA49" s="18">
        <f>-'[1]links-p1'!T45</f>
        <v>0</v>
      </c>
      <c r="AB49" s="18">
        <f>-'[2]links-p1'!S45</f>
        <v>982.07900978919997</v>
      </c>
      <c r="AD49" s="11"/>
    </row>
    <row r="50" spans="2:30" x14ac:dyDescent="0.3">
      <c r="B50" s="15">
        <f t="shared" si="0"/>
        <v>45</v>
      </c>
      <c r="C50" s="4">
        <v>5672.7637368986434</v>
      </c>
      <c r="D50" s="4">
        <f>-'[2]links-p1'!B46</f>
        <v>5208.7679978004944</v>
      </c>
      <c r="F50" s="11"/>
      <c r="H50" s="15">
        <f t="shared" si="1"/>
        <v>45</v>
      </c>
      <c r="I50" s="4">
        <v>0</v>
      </c>
      <c r="J50" s="4">
        <f>-'[2]links-p1'!H46</f>
        <v>0</v>
      </c>
      <c r="L50" s="11"/>
      <c r="N50" s="15">
        <f t="shared" si="2"/>
        <v>45</v>
      </c>
      <c r="O50" s="18">
        <f>-'[1]links-p1'!E46</f>
        <v>0</v>
      </c>
      <c r="P50" s="18">
        <f>-'[2]links-p1'!E46</f>
        <v>0</v>
      </c>
      <c r="R50" s="11"/>
      <c r="T50" s="15">
        <f t="shared" si="3"/>
        <v>45</v>
      </c>
      <c r="U50" s="18">
        <f>-'[1]links-p1'!S46</f>
        <v>1553.6722856992001</v>
      </c>
      <c r="V50" s="18">
        <f>-'[2]links-p1'!R46</f>
        <v>0</v>
      </c>
      <c r="X50" s="11"/>
      <c r="Z50" s="15">
        <f t="shared" si="4"/>
        <v>45</v>
      </c>
      <c r="AA50" s="18">
        <f>-'[1]links-p1'!T46</f>
        <v>0</v>
      </c>
      <c r="AB50" s="18">
        <f>-'[2]links-p1'!S46</f>
        <v>2026.5191278791999</v>
      </c>
      <c r="AD50" s="11"/>
    </row>
    <row r="51" spans="2:30" x14ac:dyDescent="0.3">
      <c r="B51" s="15">
        <f t="shared" si="0"/>
        <v>46</v>
      </c>
      <c r="C51" s="4">
        <v>7393.0362460000006</v>
      </c>
      <c r="D51" s="4">
        <f>-'[2]links-p1'!B47</f>
        <v>0</v>
      </c>
      <c r="F51" s="11"/>
      <c r="H51" s="15">
        <f t="shared" si="1"/>
        <v>46</v>
      </c>
      <c r="I51" s="4">
        <v>0</v>
      </c>
      <c r="J51" s="4">
        <f>-'[2]links-p1'!H47</f>
        <v>0</v>
      </c>
      <c r="L51" s="11"/>
      <c r="N51" s="15">
        <f t="shared" si="2"/>
        <v>46</v>
      </c>
      <c r="O51" s="18">
        <f>-'[1]links-p1'!E47</f>
        <v>0</v>
      </c>
      <c r="P51" s="18">
        <f>-'[2]links-p1'!E47</f>
        <v>0</v>
      </c>
      <c r="R51" s="11"/>
      <c r="T51" s="15">
        <f t="shared" si="3"/>
        <v>46</v>
      </c>
      <c r="U51" s="18">
        <f>-'[1]links-p1'!S47</f>
        <v>1553.6722856992001</v>
      </c>
      <c r="V51" s="18">
        <f>-'[2]links-p1'!R47</f>
        <v>0</v>
      </c>
      <c r="X51" s="11"/>
      <c r="Z51" s="15">
        <f t="shared" si="4"/>
        <v>46</v>
      </c>
      <c r="AA51" s="18">
        <f>-'[1]links-p1'!T47</f>
        <v>0</v>
      </c>
      <c r="AB51" s="18">
        <f>-'[2]links-p1'!S47</f>
        <v>2370.9623547391998</v>
      </c>
      <c r="AD51" s="11"/>
    </row>
    <row r="52" spans="2:30" x14ac:dyDescent="0.3">
      <c r="B52" s="15">
        <f t="shared" si="0"/>
        <v>47</v>
      </c>
      <c r="C52" s="4">
        <v>0</v>
      </c>
      <c r="D52" s="4">
        <f>-'[2]links-p1'!B48</f>
        <v>4649.7920475747223</v>
      </c>
      <c r="F52" s="11"/>
      <c r="H52" s="15">
        <f t="shared" si="1"/>
        <v>47</v>
      </c>
      <c r="I52" s="4">
        <v>0</v>
      </c>
      <c r="J52" s="4">
        <f>-'[2]links-p1'!H48</f>
        <v>0</v>
      </c>
      <c r="L52" s="11"/>
      <c r="N52" s="15">
        <f t="shared" si="2"/>
        <v>47</v>
      </c>
      <c r="O52" s="18">
        <f>-'[1]links-p1'!E48</f>
        <v>0</v>
      </c>
      <c r="P52" s="18">
        <f>-'[2]links-p1'!E48</f>
        <v>0</v>
      </c>
      <c r="R52" s="11"/>
      <c r="T52" s="15">
        <f t="shared" si="3"/>
        <v>47</v>
      </c>
      <c r="U52" s="18">
        <f>-'[1]links-p1'!S48</f>
        <v>1553.6722856992001</v>
      </c>
      <c r="V52" s="18">
        <f>-'[2]links-p1'!R48</f>
        <v>0</v>
      </c>
      <c r="X52" s="11"/>
      <c r="Z52" s="15">
        <f t="shared" si="4"/>
        <v>47</v>
      </c>
      <c r="AA52" s="18">
        <f>-'[1]links-p1'!T48</f>
        <v>0</v>
      </c>
      <c r="AB52" s="18">
        <f>-'[2]links-p1'!S48</f>
        <v>2470.5976317191999</v>
      </c>
      <c r="AD52" s="11"/>
    </row>
    <row r="53" spans="2:30" x14ac:dyDescent="0.3">
      <c r="B53" s="15">
        <f t="shared" si="0"/>
        <v>48</v>
      </c>
      <c r="C53" s="4">
        <v>7393.0362460000006</v>
      </c>
      <c r="D53" s="4">
        <f>-'[2]links-p1'!B49</f>
        <v>0</v>
      </c>
      <c r="F53" s="11"/>
      <c r="H53" s="15">
        <f t="shared" si="1"/>
        <v>48</v>
      </c>
      <c r="I53" s="4">
        <v>0</v>
      </c>
      <c r="J53" s="4">
        <f>-'[2]links-p1'!H49</f>
        <v>0</v>
      </c>
      <c r="L53" s="11"/>
      <c r="N53" s="15">
        <f t="shared" si="2"/>
        <v>48</v>
      </c>
      <c r="O53" s="18">
        <f>-'[1]links-p1'!E49</f>
        <v>0</v>
      </c>
      <c r="P53" s="18">
        <f>-'[2]links-p1'!E49</f>
        <v>0</v>
      </c>
      <c r="R53" s="11"/>
      <c r="T53" s="15">
        <f t="shared" si="3"/>
        <v>48</v>
      </c>
      <c r="U53" s="18">
        <f>-'[1]links-p1'!S49</f>
        <v>1553.6722856992001</v>
      </c>
      <c r="V53" s="18">
        <f>-'[2]links-p1'!R49</f>
        <v>0</v>
      </c>
      <c r="X53" s="11"/>
      <c r="Z53" s="15">
        <f t="shared" si="4"/>
        <v>48</v>
      </c>
      <c r="AA53" s="18">
        <f>-'[1]links-p1'!T49</f>
        <v>0</v>
      </c>
      <c r="AB53" s="18">
        <f>-'[2]links-p1'!S49</f>
        <v>2629.3273617191999</v>
      </c>
      <c r="AD53" s="11"/>
    </row>
    <row r="54" spans="2:30" x14ac:dyDescent="0.3">
      <c r="B54" s="15">
        <f t="shared" si="0"/>
        <v>49</v>
      </c>
      <c r="C54" s="4">
        <v>0</v>
      </c>
      <c r="D54" s="4">
        <f>-'[2]links-p1'!B50</f>
        <v>0</v>
      </c>
      <c r="F54" s="11"/>
      <c r="H54" s="15">
        <f t="shared" si="1"/>
        <v>49</v>
      </c>
      <c r="I54" s="4">
        <v>0</v>
      </c>
      <c r="J54" s="4">
        <f>-'[2]links-p1'!H50</f>
        <v>0</v>
      </c>
      <c r="L54" s="11"/>
      <c r="N54" s="15">
        <f t="shared" si="2"/>
        <v>49</v>
      </c>
      <c r="O54" s="18">
        <f>-'[1]links-p1'!E50</f>
        <v>0</v>
      </c>
      <c r="P54" s="18">
        <f>-'[2]links-p1'!E50</f>
        <v>0</v>
      </c>
      <c r="R54" s="11"/>
      <c r="T54" s="15">
        <f t="shared" si="3"/>
        <v>49</v>
      </c>
      <c r="U54" s="18">
        <f>-'[1]links-p1'!S50</f>
        <v>1553.6722856992001</v>
      </c>
      <c r="V54" s="18">
        <f>-'[2]links-p1'!R50</f>
        <v>0</v>
      </c>
      <c r="X54" s="11"/>
      <c r="Z54" s="15">
        <f t="shared" si="4"/>
        <v>49</v>
      </c>
      <c r="AA54" s="18">
        <f>-'[1]links-p1'!T50</f>
        <v>0</v>
      </c>
      <c r="AB54" s="18">
        <f>-'[2]links-p1'!S50</f>
        <v>2618.8018486791998</v>
      </c>
      <c r="AD54" s="11"/>
    </row>
    <row r="55" spans="2:30" x14ac:dyDescent="0.3">
      <c r="B55" s="15">
        <f t="shared" si="0"/>
        <v>50</v>
      </c>
      <c r="C55" s="4">
        <v>1794.4878264444681</v>
      </c>
      <c r="D55" s="4">
        <f>-'[2]links-p1'!B51</f>
        <v>1571.1356118602371</v>
      </c>
      <c r="F55" s="11"/>
      <c r="H55" s="15">
        <f t="shared" si="1"/>
        <v>50</v>
      </c>
      <c r="I55" s="4">
        <v>0</v>
      </c>
      <c r="J55" s="4">
        <f>-'[2]links-p1'!H51</f>
        <v>0</v>
      </c>
      <c r="L55" s="11"/>
      <c r="N55" s="15">
        <f t="shared" si="2"/>
        <v>50</v>
      </c>
      <c r="O55" s="18">
        <f>-'[1]links-p1'!E51</f>
        <v>0</v>
      </c>
      <c r="P55" s="18">
        <f>-'[2]links-p1'!E51</f>
        <v>0</v>
      </c>
      <c r="R55" s="11"/>
      <c r="T55" s="15">
        <f t="shared" si="3"/>
        <v>50</v>
      </c>
      <c r="U55" s="18">
        <f>-'[1]links-p1'!S51</f>
        <v>601.35247797999909</v>
      </c>
      <c r="V55" s="18">
        <f>-'[2]links-p1'!R51</f>
        <v>0</v>
      </c>
      <c r="X55" s="11"/>
      <c r="Z55" s="15">
        <f t="shared" si="4"/>
        <v>50</v>
      </c>
      <c r="AA55" s="18">
        <f>-'[1]links-p1'!T51</f>
        <v>0</v>
      </c>
      <c r="AB55" s="18">
        <f>-'[2]links-p1'!S51</f>
        <v>2527.4830686792002</v>
      </c>
      <c r="AD55" s="11"/>
    </row>
    <row r="56" spans="2:30" x14ac:dyDescent="0.3">
      <c r="B56" s="15">
        <f t="shared" si="0"/>
        <v>51</v>
      </c>
      <c r="C56" s="4">
        <v>0</v>
      </c>
      <c r="D56" s="4">
        <f>-'[2]links-p1'!B52</f>
        <v>0</v>
      </c>
      <c r="F56" s="11"/>
      <c r="H56" s="15">
        <f t="shared" si="1"/>
        <v>51</v>
      </c>
      <c r="I56" s="4">
        <v>0</v>
      </c>
      <c r="J56" s="4">
        <f>-'[2]links-p1'!H52</f>
        <v>0</v>
      </c>
      <c r="L56" s="11"/>
      <c r="N56" s="15">
        <f t="shared" si="2"/>
        <v>51</v>
      </c>
      <c r="O56" s="18">
        <f>-'[1]links-p1'!E52</f>
        <v>0</v>
      </c>
      <c r="P56" s="18">
        <f>-'[2]links-p1'!E52</f>
        <v>0</v>
      </c>
      <c r="R56" s="11"/>
      <c r="T56" s="15">
        <f t="shared" si="3"/>
        <v>51</v>
      </c>
      <c r="U56" s="18">
        <f>-'[1]links-p1'!S52</f>
        <v>786.14701797999987</v>
      </c>
      <c r="V56" s="18">
        <f>-'[2]links-p1'!R52</f>
        <v>0</v>
      </c>
      <c r="X56" s="11"/>
      <c r="Z56" s="15">
        <f t="shared" si="4"/>
        <v>51</v>
      </c>
      <c r="AA56" s="18">
        <f>-'[1]links-p1'!T52</f>
        <v>0</v>
      </c>
      <c r="AB56" s="18">
        <f>-'[2]links-p1'!S52</f>
        <v>2435.0857986791998</v>
      </c>
      <c r="AD56" s="11"/>
    </row>
    <row r="57" spans="2:30" x14ac:dyDescent="0.3">
      <c r="B57" s="15">
        <f t="shared" si="0"/>
        <v>52</v>
      </c>
      <c r="C57" s="4">
        <v>0</v>
      </c>
      <c r="D57" s="4">
        <f>-'[2]links-p1'!B53</f>
        <v>20.87734847624824</v>
      </c>
      <c r="F57" s="11"/>
      <c r="H57" s="15">
        <f t="shared" si="1"/>
        <v>52</v>
      </c>
      <c r="I57" s="4">
        <v>0</v>
      </c>
      <c r="J57" s="4">
        <f>-'[2]links-p1'!H53</f>
        <v>0</v>
      </c>
      <c r="L57" s="11"/>
      <c r="N57" s="15">
        <f t="shared" si="2"/>
        <v>52</v>
      </c>
      <c r="O57" s="18">
        <f>-'[1]links-p1'!E53</f>
        <v>0</v>
      </c>
      <c r="P57" s="18">
        <f>-'[2]links-p1'!E53</f>
        <v>0</v>
      </c>
      <c r="R57" s="11"/>
      <c r="T57" s="15">
        <f t="shared" si="3"/>
        <v>52</v>
      </c>
      <c r="U57" s="18">
        <f>-'[1]links-p1'!S53</f>
        <v>1553.6722856992001</v>
      </c>
      <c r="V57" s="18">
        <f>-'[2]links-p1'!R53</f>
        <v>0</v>
      </c>
      <c r="X57" s="11"/>
      <c r="Z57" s="15">
        <f t="shared" si="4"/>
        <v>52</v>
      </c>
      <c r="AA57" s="18">
        <f>-'[1]links-p1'!T53</f>
        <v>0</v>
      </c>
      <c r="AB57" s="18">
        <f>-'[2]links-p1'!S53</f>
        <v>2530.0177686791999</v>
      </c>
      <c r="AD57" s="11"/>
    </row>
    <row r="58" spans="2:30" x14ac:dyDescent="0.3">
      <c r="B58" s="15">
        <f t="shared" si="0"/>
        <v>53</v>
      </c>
      <c r="C58" s="4">
        <v>0</v>
      </c>
      <c r="D58" s="4">
        <f>-'[2]links-p1'!B54</f>
        <v>1800.955608197736</v>
      </c>
      <c r="F58" s="11"/>
      <c r="H58" s="15">
        <f t="shared" si="1"/>
        <v>53</v>
      </c>
      <c r="I58" s="4">
        <v>0</v>
      </c>
      <c r="J58" s="4">
        <f>-'[2]links-p1'!H54</f>
        <v>0</v>
      </c>
      <c r="L58" s="11"/>
      <c r="N58" s="15">
        <f t="shared" si="2"/>
        <v>53</v>
      </c>
      <c r="O58" s="18">
        <f>-'[1]links-p1'!E54</f>
        <v>0</v>
      </c>
      <c r="P58" s="18">
        <f>-'[2]links-p1'!E54</f>
        <v>0</v>
      </c>
      <c r="R58" s="11"/>
      <c r="T58" s="15">
        <f t="shared" si="3"/>
        <v>53</v>
      </c>
      <c r="U58" s="18">
        <f>-'[1]links-p1'!S54</f>
        <v>336.9371580299985</v>
      </c>
      <c r="V58" s="18">
        <f>-'[2]links-p1'!R54</f>
        <v>0</v>
      </c>
      <c r="X58" s="11"/>
      <c r="Z58" s="15">
        <f t="shared" si="4"/>
        <v>53</v>
      </c>
      <c r="AA58" s="18">
        <f>-'[1]links-p1'!T54</f>
        <v>0</v>
      </c>
      <c r="AB58" s="18">
        <f>-'[2]links-p1'!S54</f>
        <v>2655.5517914391999</v>
      </c>
      <c r="AD58" s="11"/>
    </row>
    <row r="59" spans="2:30" x14ac:dyDescent="0.3">
      <c r="B59" s="15">
        <f t="shared" si="0"/>
        <v>54</v>
      </c>
      <c r="C59" s="4">
        <v>3289.3851161205121</v>
      </c>
      <c r="D59" s="4">
        <f>-'[2]links-p1'!B55</f>
        <v>0</v>
      </c>
      <c r="F59" s="11"/>
      <c r="H59" s="15">
        <f t="shared" si="1"/>
        <v>54</v>
      </c>
      <c r="I59" s="4">
        <v>0</v>
      </c>
      <c r="J59" s="4">
        <f>-'[2]links-p1'!H55</f>
        <v>0</v>
      </c>
      <c r="L59" s="11"/>
      <c r="N59" s="15">
        <f t="shared" si="2"/>
        <v>54</v>
      </c>
      <c r="O59" s="18">
        <f>-'[1]links-p1'!E55</f>
        <v>0</v>
      </c>
      <c r="P59" s="18">
        <f>-'[2]links-p1'!E55</f>
        <v>0</v>
      </c>
      <c r="R59" s="11"/>
      <c r="T59" s="15">
        <f t="shared" si="3"/>
        <v>54</v>
      </c>
      <c r="U59" s="18">
        <f>-'[1]links-p1'!S55</f>
        <v>330</v>
      </c>
      <c r="V59" s="18">
        <f>-'[2]links-p1'!R55</f>
        <v>0</v>
      </c>
      <c r="X59" s="11"/>
      <c r="Z59" s="15">
        <f t="shared" si="4"/>
        <v>54</v>
      </c>
      <c r="AA59" s="18">
        <f>-'[1]links-p1'!T55</f>
        <v>0</v>
      </c>
      <c r="AB59" s="18">
        <f>-'[2]links-p1'!S55</f>
        <v>2861.8570834492002</v>
      </c>
      <c r="AD59" s="11"/>
    </row>
    <row r="60" spans="2:30" x14ac:dyDescent="0.3">
      <c r="B60" s="15">
        <f t="shared" si="0"/>
        <v>55</v>
      </c>
      <c r="C60" s="4">
        <v>3009.297076312449</v>
      </c>
      <c r="D60" s="4">
        <f>-'[2]links-p1'!B56</f>
        <v>1900.34207631245</v>
      </c>
      <c r="F60" s="11"/>
      <c r="H60" s="15">
        <f t="shared" si="1"/>
        <v>55</v>
      </c>
      <c r="I60" s="4">
        <v>0</v>
      </c>
      <c r="J60" s="4">
        <f>-'[2]links-p1'!H56</f>
        <v>0</v>
      </c>
      <c r="L60" s="11"/>
      <c r="N60" s="15">
        <f t="shared" si="2"/>
        <v>55</v>
      </c>
      <c r="O60" s="18">
        <f>-'[1]links-p1'!E56</f>
        <v>0</v>
      </c>
      <c r="P60" s="18">
        <f>-'[2]links-p1'!E56</f>
        <v>525.91965623467968</v>
      </c>
      <c r="R60" s="11"/>
      <c r="T60" s="15">
        <f t="shared" si="3"/>
        <v>55</v>
      </c>
      <c r="U60" s="18">
        <f>-'[1]links-p1'!S56</f>
        <v>1553.672284287207</v>
      </c>
      <c r="V60" s="18">
        <f>-'[2]links-p1'!R56</f>
        <v>0</v>
      </c>
      <c r="X60" s="11"/>
      <c r="Z60" s="15">
        <f t="shared" si="4"/>
        <v>55</v>
      </c>
      <c r="AA60" s="18">
        <f>-'[1]links-p1'!T56</f>
        <v>0</v>
      </c>
      <c r="AB60" s="18">
        <f>-'[2]links-p1'!S56</f>
        <v>2275.839451057207</v>
      </c>
      <c r="AD60" s="11"/>
    </row>
    <row r="61" spans="2:30" x14ac:dyDescent="0.3">
      <c r="B61" s="15">
        <f t="shared" si="0"/>
        <v>56</v>
      </c>
      <c r="C61" s="4">
        <v>0</v>
      </c>
      <c r="D61" s="4">
        <f>-'[2]links-p1'!B57</f>
        <v>7393.0362460000006</v>
      </c>
      <c r="F61" s="11"/>
      <c r="H61" s="15">
        <f t="shared" si="1"/>
        <v>56</v>
      </c>
      <c r="I61" s="4">
        <v>0</v>
      </c>
      <c r="J61" s="4">
        <f>-'[2]links-p1'!H57</f>
        <v>0</v>
      </c>
      <c r="L61" s="11"/>
      <c r="N61" s="15">
        <f t="shared" si="2"/>
        <v>56</v>
      </c>
      <c r="O61" s="18">
        <f>-'[1]links-p1'!E57</f>
        <v>1372.847746091544</v>
      </c>
      <c r="P61" s="18">
        <f>-'[2]links-p1'!E57</f>
        <v>2080.3847689615441</v>
      </c>
      <c r="R61" s="11"/>
      <c r="T61" s="15">
        <f t="shared" si="3"/>
        <v>56</v>
      </c>
      <c r="U61" s="18">
        <f>-'[1]links-p1'!S57</f>
        <v>1553.6722856992001</v>
      </c>
      <c r="V61" s="18">
        <f>-'[2]links-p1'!R57</f>
        <v>0</v>
      </c>
      <c r="X61" s="11"/>
      <c r="Z61" s="15">
        <f t="shared" si="4"/>
        <v>56</v>
      </c>
      <c r="AA61" s="18">
        <f>-'[1]links-p1'!T57</f>
        <v>0</v>
      </c>
      <c r="AB61" s="18">
        <f>-'[2]links-p1'!S57</f>
        <v>1231.3993343791999</v>
      </c>
      <c r="AD61" s="11"/>
    </row>
    <row r="62" spans="2:30" x14ac:dyDescent="0.3">
      <c r="B62" s="15">
        <f t="shared" si="0"/>
        <v>57</v>
      </c>
      <c r="C62" s="4">
        <v>0</v>
      </c>
      <c r="D62" s="4">
        <f>-'[2]links-p1'!B58</f>
        <v>7393.0362460000006</v>
      </c>
      <c r="F62" s="11"/>
      <c r="H62" s="15">
        <f t="shared" si="1"/>
        <v>57</v>
      </c>
      <c r="I62" s="4">
        <v>0</v>
      </c>
      <c r="J62" s="4">
        <f>-'[2]links-p1'!H58</f>
        <v>0</v>
      </c>
      <c r="L62" s="11"/>
      <c r="N62" s="15">
        <f t="shared" si="2"/>
        <v>57</v>
      </c>
      <c r="O62" s="18">
        <f>-'[1]links-p1'!E58</f>
        <v>3510.4375327939961</v>
      </c>
      <c r="P62" s="18">
        <f>-'[2]links-p1'!E58</f>
        <v>3249.8435556639952</v>
      </c>
      <c r="R62" s="11"/>
      <c r="T62" s="15">
        <f t="shared" si="3"/>
        <v>57</v>
      </c>
      <c r="U62" s="18">
        <f>-'[1]links-p1'!S58</f>
        <v>1553.6722856992001</v>
      </c>
      <c r="V62" s="18">
        <f>-'[2]links-p1'!R58</f>
        <v>0</v>
      </c>
      <c r="X62" s="11"/>
      <c r="Z62" s="15">
        <f t="shared" si="4"/>
        <v>57</v>
      </c>
      <c r="AA62" s="18">
        <f>-'[1]links-p1'!T58</f>
        <v>0</v>
      </c>
      <c r="AB62" s="18">
        <f>-'[2]links-p1'!S58</f>
        <v>186.49933437920029</v>
      </c>
      <c r="AD62" s="11"/>
    </row>
    <row r="63" spans="2:30" x14ac:dyDescent="0.3">
      <c r="B63" s="15">
        <f t="shared" si="0"/>
        <v>58</v>
      </c>
      <c r="C63" s="4">
        <v>0</v>
      </c>
      <c r="D63" s="4">
        <f>-'[2]links-p1'!B59</f>
        <v>0</v>
      </c>
      <c r="F63" s="11"/>
      <c r="H63" s="15">
        <f t="shared" si="1"/>
        <v>58</v>
      </c>
      <c r="I63" s="4">
        <v>0</v>
      </c>
      <c r="J63" s="4">
        <f>-'[2]links-p1'!H59</f>
        <v>0</v>
      </c>
      <c r="L63" s="11"/>
      <c r="N63" s="15">
        <f t="shared" si="2"/>
        <v>58</v>
      </c>
      <c r="O63" s="18">
        <f>-'[1]links-p1'!E59</f>
        <v>2496.9082219199781</v>
      </c>
      <c r="P63" s="18">
        <f>-'[2]links-p1'!E59</f>
        <v>1257.06324478998</v>
      </c>
      <c r="R63" s="11"/>
      <c r="T63" s="15">
        <f t="shared" si="3"/>
        <v>58</v>
      </c>
      <c r="U63" s="18">
        <f>-'[1]links-p1'!S59</f>
        <v>1553.6722856992001</v>
      </c>
      <c r="V63" s="18">
        <f>-'[2]links-p1'!R59</f>
        <v>858.40066562079983</v>
      </c>
      <c r="X63" s="11"/>
      <c r="Z63" s="15">
        <f t="shared" si="4"/>
        <v>58</v>
      </c>
      <c r="AA63" s="18">
        <f>-'[1]links-p1'!T59</f>
        <v>944.61192844999823</v>
      </c>
      <c r="AB63" s="18">
        <f>-'[2]links-p1'!S59</f>
        <v>0</v>
      </c>
      <c r="AD63" s="11"/>
    </row>
    <row r="64" spans="2:30" x14ac:dyDescent="0.3">
      <c r="B64" s="15">
        <f t="shared" si="0"/>
        <v>59</v>
      </c>
      <c r="C64" s="4">
        <v>0</v>
      </c>
      <c r="D64" s="4">
        <f>-'[2]links-p1'!B60</f>
        <v>0</v>
      </c>
      <c r="F64" s="11"/>
      <c r="H64" s="15">
        <f t="shared" si="1"/>
        <v>59</v>
      </c>
      <c r="I64" s="4">
        <v>0</v>
      </c>
      <c r="J64" s="4">
        <f>-'[2]links-p1'!H60</f>
        <v>0</v>
      </c>
      <c r="L64" s="11"/>
      <c r="N64" s="15">
        <f t="shared" si="2"/>
        <v>59</v>
      </c>
      <c r="O64" s="18">
        <f>-'[1]links-p1'!E60</f>
        <v>1789.236803464235</v>
      </c>
      <c r="P64" s="18">
        <f>-'[2]links-p1'!E60</f>
        <v>520.54923633423755</v>
      </c>
      <c r="R64" s="11"/>
      <c r="T64" s="15">
        <f t="shared" si="3"/>
        <v>59</v>
      </c>
      <c r="U64" s="18">
        <f>-'[1]links-p1'!S60</f>
        <v>1553.6722856992001</v>
      </c>
      <c r="V64" s="18">
        <f>-'[2]links-p1'!R60</f>
        <v>1903.3006656207999</v>
      </c>
      <c r="X64" s="11"/>
      <c r="Z64" s="15">
        <f t="shared" si="4"/>
        <v>59</v>
      </c>
      <c r="AA64" s="18">
        <f>-'[1]links-p1'!T60</f>
        <v>3034.4119284499989</v>
      </c>
      <c r="AB64" s="18">
        <f>-'[2]links-p1'!S60</f>
        <v>0</v>
      </c>
      <c r="AD64" s="11"/>
    </row>
    <row r="65" spans="2:30" x14ac:dyDescent="0.3">
      <c r="B65" s="15">
        <f t="shared" si="0"/>
        <v>60</v>
      </c>
      <c r="C65" s="4">
        <v>0</v>
      </c>
      <c r="D65" s="4">
        <f>-'[2]links-p1'!B61</f>
        <v>0</v>
      </c>
      <c r="F65" s="11"/>
      <c r="H65" s="15">
        <f t="shared" si="1"/>
        <v>60</v>
      </c>
      <c r="I65" s="4">
        <v>0</v>
      </c>
      <c r="J65" s="4">
        <f>-'[2]links-p1'!H61</f>
        <v>0</v>
      </c>
      <c r="L65" s="11"/>
      <c r="N65" s="15">
        <f t="shared" si="2"/>
        <v>60</v>
      </c>
      <c r="O65" s="18">
        <f>-'[1]links-p1'!E61</f>
        <v>1379.7670406408761</v>
      </c>
      <c r="P65" s="18">
        <f>-'[2]links-p1'!E61</f>
        <v>0</v>
      </c>
      <c r="R65" s="11"/>
      <c r="T65" s="15">
        <f t="shared" si="3"/>
        <v>60</v>
      </c>
      <c r="U65" s="18">
        <f>-'[1]links-p1'!S61</f>
        <v>1388.1676459221981</v>
      </c>
      <c r="V65" s="18">
        <f>-'[2]links-p1'!R61</f>
        <v>3114.1651873078022</v>
      </c>
      <c r="X65" s="11"/>
      <c r="Z65" s="15">
        <f t="shared" si="4"/>
        <v>60</v>
      </c>
      <c r="AA65" s="18">
        <f>-'[1]links-p1'!T61</f>
        <v>5133.4095667000001</v>
      </c>
      <c r="AB65" s="18">
        <f>-'[2]links-p1'!S61</f>
        <v>0</v>
      </c>
      <c r="AD65" s="11"/>
    </row>
    <row r="66" spans="2:30" x14ac:dyDescent="0.3">
      <c r="B66" s="15">
        <f t="shared" si="0"/>
        <v>61</v>
      </c>
      <c r="C66" s="4">
        <v>0</v>
      </c>
      <c r="D66" s="4">
        <f>-'[2]links-p1'!B62</f>
        <v>0</v>
      </c>
      <c r="F66" s="11"/>
      <c r="H66" s="15">
        <f t="shared" si="1"/>
        <v>61</v>
      </c>
      <c r="I66" s="4">
        <v>0</v>
      </c>
      <c r="J66" s="4">
        <f>-'[2]links-p1'!H62</f>
        <v>0</v>
      </c>
      <c r="L66" s="11"/>
      <c r="N66" s="15">
        <f t="shared" si="2"/>
        <v>61</v>
      </c>
      <c r="O66" s="18">
        <f>-'[1]links-p1'!E62</f>
        <v>1791.211925223289</v>
      </c>
      <c r="P66" s="18">
        <f>-'[2]links-p1'!E62</f>
        <v>0</v>
      </c>
      <c r="R66" s="11"/>
      <c r="T66" s="15">
        <f t="shared" si="3"/>
        <v>61</v>
      </c>
      <c r="U66" s="18">
        <f>-'[1]links-p1'!S62</f>
        <v>903.37509393843948</v>
      </c>
      <c r="V66" s="18">
        <f>-'[2]links-p1'!R62</f>
        <v>4644.3176212115613</v>
      </c>
      <c r="X66" s="11"/>
      <c r="Z66" s="15">
        <f t="shared" si="4"/>
        <v>61</v>
      </c>
      <c r="AA66" s="18">
        <f>-'[1]links-p1'!T62</f>
        <v>6779.486412000002</v>
      </c>
      <c r="AB66" s="18">
        <f>-'[2]links-p1'!S62</f>
        <v>0</v>
      </c>
      <c r="AD66" s="11"/>
    </row>
    <row r="67" spans="2:30" x14ac:dyDescent="0.3">
      <c r="B67" s="15">
        <f t="shared" si="0"/>
        <v>62</v>
      </c>
      <c r="C67" s="4">
        <v>0</v>
      </c>
      <c r="D67" s="4">
        <f>-'[2]links-p1'!B63</f>
        <v>0</v>
      </c>
      <c r="F67" s="11"/>
      <c r="H67" s="15">
        <f t="shared" si="1"/>
        <v>62</v>
      </c>
      <c r="I67" s="4">
        <v>0</v>
      </c>
      <c r="J67" s="4">
        <f>-'[2]links-p1'!H63</f>
        <v>0</v>
      </c>
      <c r="L67" s="11"/>
      <c r="N67" s="15">
        <f t="shared" si="2"/>
        <v>62</v>
      </c>
      <c r="O67" s="18">
        <f>-'[1]links-p1'!E63</f>
        <v>1516.0978713487871</v>
      </c>
      <c r="P67" s="18">
        <f>-'[2]links-p1'!E63</f>
        <v>0</v>
      </c>
      <c r="R67" s="11"/>
      <c r="T67" s="15">
        <f t="shared" si="3"/>
        <v>62</v>
      </c>
      <c r="U67" s="18">
        <f>-'[1]links-p1'!S63</f>
        <v>903.37509393843948</v>
      </c>
      <c r="V67" s="18">
        <f>-'[2]links-p1'!R63</f>
        <v>4995.3159973415604</v>
      </c>
      <c r="X67" s="11"/>
      <c r="Z67" s="15">
        <f t="shared" si="4"/>
        <v>62</v>
      </c>
      <c r="AA67" s="18">
        <f>-'[1]links-p1'!T63</f>
        <v>6779.486412000002</v>
      </c>
      <c r="AB67" s="18">
        <f>-'[2]links-p1'!S63</f>
        <v>0</v>
      </c>
      <c r="AD67" s="11"/>
    </row>
    <row r="68" spans="2:30" x14ac:dyDescent="0.3">
      <c r="B68" s="15">
        <f t="shared" si="0"/>
        <v>63</v>
      </c>
      <c r="C68" s="4">
        <v>0</v>
      </c>
      <c r="D68" s="4">
        <f>-'[2]links-p1'!B64</f>
        <v>0</v>
      </c>
      <c r="F68" s="11"/>
      <c r="H68" s="15">
        <f t="shared" si="1"/>
        <v>63</v>
      </c>
      <c r="I68" s="4">
        <v>0</v>
      </c>
      <c r="J68" s="4">
        <f>-'[2]links-p1'!H64</f>
        <v>0</v>
      </c>
      <c r="L68" s="11"/>
      <c r="N68" s="15">
        <f t="shared" si="2"/>
        <v>63</v>
      </c>
      <c r="O68" s="18">
        <f>-'[1]links-p1'!E64</f>
        <v>1232.405736801265</v>
      </c>
      <c r="P68" s="18">
        <f>-'[2]links-p1'!E64</f>
        <v>0</v>
      </c>
      <c r="R68" s="11"/>
      <c r="T68" s="15">
        <f t="shared" si="3"/>
        <v>63</v>
      </c>
      <c r="U68" s="18">
        <f>-'[1]links-p1'!S64</f>
        <v>902.91521203080742</v>
      </c>
      <c r="V68" s="18">
        <f>-'[2]links-p1'!R64</f>
        <v>3950.415997339192</v>
      </c>
      <c r="X68" s="11"/>
      <c r="Z68" s="15">
        <f t="shared" si="4"/>
        <v>63</v>
      </c>
      <c r="AA68" s="18">
        <f>-'[1]links-p1'!T64</f>
        <v>5835.4063189699991</v>
      </c>
      <c r="AB68" s="18">
        <f>-'[2]links-p1'!S64</f>
        <v>0</v>
      </c>
      <c r="AD68" s="11"/>
    </row>
    <row r="69" spans="2:30" x14ac:dyDescent="0.3">
      <c r="B69" s="15">
        <f t="shared" si="0"/>
        <v>64</v>
      </c>
      <c r="C69" s="4">
        <v>0</v>
      </c>
      <c r="D69" s="4">
        <f>-'[2]links-p1'!B65</f>
        <v>0</v>
      </c>
      <c r="F69" s="11"/>
      <c r="H69" s="15">
        <f t="shared" si="1"/>
        <v>64</v>
      </c>
      <c r="I69" s="4">
        <v>0</v>
      </c>
      <c r="J69" s="4">
        <f>-'[2]links-p1'!H65</f>
        <v>0</v>
      </c>
      <c r="L69" s="11"/>
      <c r="N69" s="15">
        <f t="shared" si="2"/>
        <v>64</v>
      </c>
      <c r="O69" s="18">
        <f>-'[1]links-p1'!E65</f>
        <v>691.069835733236</v>
      </c>
      <c r="P69" s="18">
        <f>-'[2]links-p1'!E65</f>
        <v>0</v>
      </c>
      <c r="R69" s="11"/>
      <c r="T69" s="15">
        <f t="shared" si="3"/>
        <v>64</v>
      </c>
      <c r="U69" s="18">
        <f>-'[1]links-p1'!S65</f>
        <v>1553.6722856992001</v>
      </c>
      <c r="V69" s="18">
        <f>-'[2]links-p1'!R65</f>
        <v>2254.2990417607998</v>
      </c>
      <c r="X69" s="11"/>
      <c r="Z69" s="15">
        <f t="shared" si="4"/>
        <v>64</v>
      </c>
      <c r="AA69" s="18">
        <f>-'[1]links-p1'!T65</f>
        <v>3736.4086807200001</v>
      </c>
      <c r="AB69" s="18">
        <f>-'[2]links-p1'!S65</f>
        <v>0</v>
      </c>
      <c r="AD69" s="11"/>
    </row>
    <row r="70" spans="2:30" x14ac:dyDescent="0.3">
      <c r="B70" s="15">
        <f t="shared" si="0"/>
        <v>65</v>
      </c>
      <c r="C70" s="4">
        <v>2942.3893763679939</v>
      </c>
      <c r="D70" s="4">
        <f>-'[2]links-p1'!B66</f>
        <v>2502.6149038947592</v>
      </c>
      <c r="F70" s="11"/>
      <c r="H70" s="15">
        <f t="shared" si="1"/>
        <v>65</v>
      </c>
      <c r="I70" s="4">
        <v>0</v>
      </c>
      <c r="J70" s="4">
        <f>-'[2]links-p1'!H66</f>
        <v>0</v>
      </c>
      <c r="L70" s="11"/>
      <c r="N70" s="15">
        <f t="shared" si="2"/>
        <v>65</v>
      </c>
      <c r="O70" s="18">
        <f>-'[1]links-p1'!E66</f>
        <v>1083.3118257332339</v>
      </c>
      <c r="P70" s="18">
        <f>-'[2]links-p1'!E66</f>
        <v>0</v>
      </c>
      <c r="R70" s="11"/>
      <c r="T70" s="15">
        <f t="shared" si="3"/>
        <v>65</v>
      </c>
      <c r="U70" s="18">
        <f>-'[1]links-p1'!S66</f>
        <v>1553.6722856992001</v>
      </c>
      <c r="V70" s="18">
        <f>-'[2]links-p1'!R66</f>
        <v>1209.3990417607999</v>
      </c>
      <c r="X70" s="11"/>
      <c r="Z70" s="15">
        <f t="shared" si="4"/>
        <v>65</v>
      </c>
      <c r="AA70" s="18">
        <f>-'[1]links-p1'!T66</f>
        <v>1646.608680719999</v>
      </c>
      <c r="AB70" s="18">
        <f>-'[2]links-p1'!S66</f>
        <v>0</v>
      </c>
      <c r="AD70" s="11"/>
    </row>
    <row r="71" spans="2:30" x14ac:dyDescent="0.3">
      <c r="B71" s="15">
        <f t="shared" si="0"/>
        <v>66</v>
      </c>
      <c r="C71" s="4">
        <v>7393.0362460000006</v>
      </c>
      <c r="D71" s="4">
        <f>-'[2]links-p1'!B67</f>
        <v>7393.0362460000006</v>
      </c>
      <c r="F71" s="11"/>
      <c r="H71" s="15">
        <f t="shared" si="1"/>
        <v>66</v>
      </c>
      <c r="I71" s="4">
        <v>0</v>
      </c>
      <c r="J71" s="4">
        <f>-'[2]links-p1'!H67</f>
        <v>0</v>
      </c>
      <c r="L71" s="11"/>
      <c r="N71" s="15">
        <f t="shared" si="2"/>
        <v>66</v>
      </c>
      <c r="O71" s="18">
        <f>-'[1]links-p1'!E67</f>
        <v>3747.940885733236</v>
      </c>
      <c r="P71" s="18">
        <f>-'[2]links-p1'!E67</f>
        <v>3329.7715324732371</v>
      </c>
      <c r="R71" s="11"/>
      <c r="T71" s="15">
        <f t="shared" si="3"/>
        <v>66</v>
      </c>
      <c r="U71" s="18">
        <f>-'[1]links-p1'!S67</f>
        <v>1553.6722856992001</v>
      </c>
      <c r="V71" s="18">
        <f>-'[2]links-p1'!R67</f>
        <v>164.49904176080011</v>
      </c>
      <c r="X71" s="11"/>
      <c r="Z71" s="15">
        <f t="shared" si="4"/>
        <v>66</v>
      </c>
      <c r="AA71" s="18">
        <f>-'[1]links-p1'!T67</f>
        <v>0</v>
      </c>
      <c r="AB71" s="18">
        <f>-'[2]links-p1'!S67</f>
        <v>0</v>
      </c>
      <c r="AD71" s="11"/>
    </row>
    <row r="72" spans="2:30" x14ac:dyDescent="0.3">
      <c r="B72" s="15">
        <f t="shared" ref="B72:B135" si="5">B71+1</f>
        <v>67</v>
      </c>
      <c r="C72" s="4">
        <v>7393.0362460000006</v>
      </c>
      <c r="D72" s="4">
        <f>-'[2]links-p1'!B68</f>
        <v>7393.0362460000006</v>
      </c>
      <c r="F72" s="11"/>
      <c r="H72" s="15">
        <f t="shared" ref="H72:H135" si="6">H71+1</f>
        <v>67</v>
      </c>
      <c r="I72" s="4">
        <v>1533.83664</v>
      </c>
      <c r="J72" s="4">
        <f>-'[2]links-p1'!H68</f>
        <v>0</v>
      </c>
      <c r="L72" s="11"/>
      <c r="N72" s="15">
        <f t="shared" ref="N72:N135" si="7">N71+1</f>
        <v>67</v>
      </c>
      <c r="O72" s="18">
        <f>-'[1]links-p1'!E68</f>
        <v>2854.128833945997</v>
      </c>
      <c r="P72" s="18">
        <f>-'[2]links-p1'!E68</f>
        <v>3807.034423275999</v>
      </c>
      <c r="R72" s="11"/>
      <c r="T72" s="15">
        <f t="shared" ref="T72:T135" si="8">T71+1</f>
        <v>67</v>
      </c>
      <c r="U72" s="18">
        <f>-'[1]links-p1'!S68</f>
        <v>902.91521373000739</v>
      </c>
      <c r="V72" s="18">
        <f>-'[2]links-p1'!R68</f>
        <v>0</v>
      </c>
      <c r="X72" s="11"/>
      <c r="Z72" s="15">
        <f t="shared" ref="Z72:Z135" si="9">Z71+1</f>
        <v>67</v>
      </c>
      <c r="AA72" s="18">
        <f>-'[1]links-p1'!T68</f>
        <v>0</v>
      </c>
      <c r="AB72" s="18">
        <f>-'[2]links-p1'!S68</f>
        <v>879.94107968000753</v>
      </c>
      <c r="AD72" s="11"/>
    </row>
    <row r="73" spans="2:30" x14ac:dyDescent="0.3">
      <c r="B73" s="15">
        <f t="shared" si="5"/>
        <v>68</v>
      </c>
      <c r="C73" s="4">
        <v>7393.0362460000006</v>
      </c>
      <c r="D73" s="4">
        <f>-'[2]links-p1'!B69</f>
        <v>7393.0362460000006</v>
      </c>
      <c r="F73" s="11"/>
      <c r="H73" s="15">
        <f t="shared" si="6"/>
        <v>68</v>
      </c>
      <c r="I73" s="4">
        <v>1533.83664</v>
      </c>
      <c r="J73" s="4">
        <f>-'[2]links-p1'!H69</f>
        <v>0</v>
      </c>
      <c r="L73" s="11"/>
      <c r="N73" s="15">
        <f t="shared" si="7"/>
        <v>68</v>
      </c>
      <c r="O73" s="18">
        <f>-'[1]links-p1'!E69</f>
        <v>594.02759639287183</v>
      </c>
      <c r="P73" s="18">
        <f>-'[2]links-p1'!E69</f>
        <v>2511.2360449651219</v>
      </c>
      <c r="R73" s="11"/>
      <c r="T73" s="15">
        <f t="shared" si="8"/>
        <v>68</v>
      </c>
      <c r="U73" s="18">
        <f>-'[1]links-p1'!S69</f>
        <v>969.3849709677487</v>
      </c>
      <c r="V73" s="18">
        <f>-'[2]links-p1'!R69</f>
        <v>0</v>
      </c>
      <c r="X73" s="11"/>
      <c r="Z73" s="15">
        <f t="shared" si="9"/>
        <v>68</v>
      </c>
      <c r="AA73" s="18">
        <f>-'[1]links-p1'!T69</f>
        <v>0</v>
      </c>
      <c r="AB73" s="18">
        <f>-'[2]links-p1'!S69</f>
        <v>1924.3811974277489</v>
      </c>
      <c r="AD73" s="11"/>
    </row>
    <row r="74" spans="2:30" x14ac:dyDescent="0.3">
      <c r="B74" s="15">
        <f t="shared" si="5"/>
        <v>69</v>
      </c>
      <c r="C74" s="4">
        <v>7393.0362460000006</v>
      </c>
      <c r="D74" s="4">
        <f>-'[2]links-p1'!B70</f>
        <v>7393.0362460000006</v>
      </c>
      <c r="F74" s="11"/>
      <c r="H74" s="15">
        <f t="shared" si="6"/>
        <v>69</v>
      </c>
      <c r="I74" s="4">
        <v>0</v>
      </c>
      <c r="J74" s="4">
        <f>-'[2]links-p1'!H70</f>
        <v>0</v>
      </c>
      <c r="L74" s="11"/>
      <c r="N74" s="15">
        <f t="shared" si="7"/>
        <v>69</v>
      </c>
      <c r="O74" s="18">
        <f>-'[1]links-p1'!E70</f>
        <v>762.84536145986203</v>
      </c>
      <c r="P74" s="18">
        <f>-'[2]links-p1'!E70</f>
        <v>1647.9066949506609</v>
      </c>
      <c r="R74" s="11"/>
      <c r="T74" s="15">
        <f t="shared" si="8"/>
        <v>69</v>
      </c>
      <c r="U74" s="18">
        <f>-'[1]links-p1'!S70</f>
        <v>330</v>
      </c>
      <c r="V74" s="18">
        <f>-'[2]links-p1'!R70</f>
        <v>0</v>
      </c>
      <c r="X74" s="11"/>
      <c r="Z74" s="15">
        <f t="shared" si="9"/>
        <v>69</v>
      </c>
      <c r="AA74" s="18">
        <f>-'[1]links-p1'!T70</f>
        <v>0</v>
      </c>
      <c r="AB74" s="18">
        <f>-'[2]links-p1'!S70</f>
        <v>2968.8213125092002</v>
      </c>
      <c r="AD74" s="11"/>
    </row>
    <row r="75" spans="2:30" x14ac:dyDescent="0.3">
      <c r="B75" s="15">
        <f t="shared" si="5"/>
        <v>70</v>
      </c>
      <c r="C75" s="4">
        <v>7393.0362460000006</v>
      </c>
      <c r="D75" s="4">
        <f>-'[2]links-p1'!B71</f>
        <v>7393.0362460000006</v>
      </c>
      <c r="F75" s="11"/>
      <c r="H75" s="15">
        <f t="shared" si="6"/>
        <v>70</v>
      </c>
      <c r="I75" s="4">
        <v>1533.83664</v>
      </c>
      <c r="J75" s="4">
        <f>-'[2]links-p1'!H71</f>
        <v>0</v>
      </c>
      <c r="L75" s="11"/>
      <c r="N75" s="15">
        <f t="shared" si="7"/>
        <v>70</v>
      </c>
      <c r="O75" s="18">
        <f>-'[1]links-p1'!E71</f>
        <v>778.89977304797003</v>
      </c>
      <c r="P75" s="18">
        <f>-'[2]links-p1'!E71</f>
        <v>697.93298845876961</v>
      </c>
      <c r="R75" s="11"/>
      <c r="T75" s="15">
        <f t="shared" si="8"/>
        <v>70</v>
      </c>
      <c r="U75" s="18">
        <f>-'[1]links-p1'!S71</f>
        <v>330</v>
      </c>
      <c r="V75" s="18">
        <f>-'[2]links-p1'!R71</f>
        <v>0</v>
      </c>
      <c r="X75" s="11"/>
      <c r="Z75" s="15">
        <f t="shared" si="9"/>
        <v>70</v>
      </c>
      <c r="AA75" s="18">
        <f>-'[1]links-p1'!T71</f>
        <v>0</v>
      </c>
      <c r="AB75" s="18">
        <f>-'[2]links-p1'!S71</f>
        <v>4013.2614305891998</v>
      </c>
      <c r="AD75" s="11"/>
    </row>
    <row r="76" spans="2:30" x14ac:dyDescent="0.3">
      <c r="B76" s="15">
        <f t="shared" si="5"/>
        <v>71</v>
      </c>
      <c r="C76" s="4">
        <v>7393.0362460000006</v>
      </c>
      <c r="D76" s="4">
        <f>-'[2]links-p1'!B72</f>
        <v>7393.0362460000006</v>
      </c>
      <c r="F76" s="11"/>
      <c r="H76" s="15">
        <f t="shared" si="6"/>
        <v>71</v>
      </c>
      <c r="I76" s="4">
        <v>1533.83664</v>
      </c>
      <c r="J76" s="4">
        <f>-'[2]links-p1'!H72</f>
        <v>0</v>
      </c>
      <c r="L76" s="11"/>
      <c r="N76" s="15">
        <f t="shared" si="7"/>
        <v>71</v>
      </c>
      <c r="O76" s="18">
        <f>-'[1]links-p1'!E72</f>
        <v>638.82501451228234</v>
      </c>
      <c r="P76" s="18">
        <f>-'[2]links-p1'!E72</f>
        <v>0</v>
      </c>
      <c r="R76" s="11"/>
      <c r="T76" s="15">
        <f t="shared" si="8"/>
        <v>71</v>
      </c>
      <c r="U76" s="18">
        <f>-'[1]links-p1'!S72</f>
        <v>330</v>
      </c>
      <c r="V76" s="18">
        <f>-'[2]links-p1'!R72</f>
        <v>0</v>
      </c>
      <c r="X76" s="11"/>
      <c r="Z76" s="15">
        <f t="shared" si="9"/>
        <v>71</v>
      </c>
      <c r="AA76" s="18">
        <f>-'[1]links-p1'!T72</f>
        <v>0</v>
      </c>
      <c r="AB76" s="18">
        <f>-'[2]links-p1'!S72</f>
        <v>5057.7015486792006</v>
      </c>
      <c r="AD76" s="11"/>
    </row>
    <row r="77" spans="2:30" x14ac:dyDescent="0.3">
      <c r="B77" s="15">
        <f t="shared" si="5"/>
        <v>72</v>
      </c>
      <c r="C77" s="4">
        <v>6759.0505896273926</v>
      </c>
      <c r="D77" s="4">
        <f>-'[2]links-p1'!B73</f>
        <v>6263.4044401606589</v>
      </c>
      <c r="F77" s="11"/>
      <c r="H77" s="15">
        <f t="shared" si="6"/>
        <v>72</v>
      </c>
      <c r="I77" s="4">
        <v>0</v>
      </c>
      <c r="J77" s="4">
        <f>-'[2]links-p1'!H73</f>
        <v>0</v>
      </c>
      <c r="L77" s="11"/>
      <c r="N77" s="15">
        <f t="shared" si="7"/>
        <v>72</v>
      </c>
      <c r="O77" s="18">
        <f>-'[1]links-p1'!E73</f>
        <v>644.57307311593411</v>
      </c>
      <c r="P77" s="18">
        <f>-'[2]links-p1'!E73</f>
        <v>0</v>
      </c>
      <c r="R77" s="11"/>
      <c r="T77" s="15">
        <f t="shared" si="8"/>
        <v>72</v>
      </c>
      <c r="U77" s="18">
        <f>-'[1]links-p1'!S73</f>
        <v>330</v>
      </c>
      <c r="V77" s="18">
        <f>-'[2]links-p1'!R73</f>
        <v>0</v>
      </c>
      <c r="X77" s="11"/>
      <c r="Z77" s="15">
        <f t="shared" si="9"/>
        <v>72</v>
      </c>
      <c r="AA77" s="18">
        <f>-'[1]links-p1'!T73</f>
        <v>0</v>
      </c>
      <c r="AB77" s="18">
        <f>-'[2]links-p1'!S73</f>
        <v>4776.0455696491999</v>
      </c>
      <c r="AD77" s="11"/>
    </row>
    <row r="78" spans="2:30" x14ac:dyDescent="0.3">
      <c r="B78" s="15">
        <f t="shared" si="5"/>
        <v>73</v>
      </c>
      <c r="C78" s="4">
        <v>6650.2267580152466</v>
      </c>
      <c r="D78" s="4">
        <f>-'[2]links-p1'!B74</f>
        <v>6087.2136061742895</v>
      </c>
      <c r="F78" s="11"/>
      <c r="H78" s="15">
        <f t="shared" si="6"/>
        <v>73</v>
      </c>
      <c r="I78" s="4">
        <v>0</v>
      </c>
      <c r="J78" s="4">
        <f>-'[2]links-p1'!H74</f>
        <v>0</v>
      </c>
      <c r="L78" s="11"/>
      <c r="N78" s="15">
        <f t="shared" si="7"/>
        <v>73</v>
      </c>
      <c r="O78" s="18">
        <f>-'[1]links-p1'!E74</f>
        <v>589.20318888015731</v>
      </c>
      <c r="P78" s="18">
        <f>-'[2]links-p1'!E74</f>
        <v>0</v>
      </c>
      <c r="R78" s="11"/>
      <c r="T78" s="15">
        <f t="shared" si="8"/>
        <v>73</v>
      </c>
      <c r="U78" s="18">
        <f>-'[1]links-p1'!S74</f>
        <v>330</v>
      </c>
      <c r="V78" s="18">
        <f>-'[2]links-p1'!R74</f>
        <v>0</v>
      </c>
      <c r="X78" s="11"/>
      <c r="Z78" s="15">
        <f t="shared" si="9"/>
        <v>73</v>
      </c>
      <c r="AA78" s="18">
        <f>-'[1]links-p1'!T74</f>
        <v>0</v>
      </c>
      <c r="AB78" s="18">
        <f>-'[2]links-p1'!S74</f>
        <v>4653.3086830392003</v>
      </c>
      <c r="AD78" s="11"/>
    </row>
    <row r="79" spans="2:30" x14ac:dyDescent="0.3">
      <c r="B79" s="15">
        <f t="shared" si="5"/>
        <v>74</v>
      </c>
      <c r="C79" s="4">
        <v>5220.4776055740349</v>
      </c>
      <c r="D79" s="4">
        <f>-'[2]links-p1'!B75</f>
        <v>4695.490992050336</v>
      </c>
      <c r="F79" s="11"/>
      <c r="H79" s="15">
        <f t="shared" si="6"/>
        <v>74</v>
      </c>
      <c r="I79" s="4">
        <v>0</v>
      </c>
      <c r="J79" s="4">
        <f>-'[2]links-p1'!H75</f>
        <v>0</v>
      </c>
      <c r="L79" s="11"/>
      <c r="N79" s="15">
        <f t="shared" si="7"/>
        <v>74</v>
      </c>
      <c r="O79" s="18">
        <f>-'[1]links-p1'!E75</f>
        <v>504.27192056289891</v>
      </c>
      <c r="P79" s="18">
        <f>-'[2]links-p1'!E75</f>
        <v>0</v>
      </c>
      <c r="R79" s="11"/>
      <c r="T79" s="15">
        <f t="shared" si="8"/>
        <v>74</v>
      </c>
      <c r="U79" s="18">
        <f>-'[1]links-p1'!S75</f>
        <v>1553.6722856992001</v>
      </c>
      <c r="V79" s="18">
        <f>-'[2]links-p1'!R75</f>
        <v>0</v>
      </c>
      <c r="X79" s="11"/>
      <c r="Z79" s="15">
        <f t="shared" si="9"/>
        <v>74</v>
      </c>
      <c r="AA79" s="18">
        <f>-'[1]links-p1'!T75</f>
        <v>0</v>
      </c>
      <c r="AB79" s="18">
        <f>-'[2]links-p1'!S75</f>
        <v>4606.4039530392001</v>
      </c>
      <c r="AD79" s="11"/>
    </row>
    <row r="80" spans="2:30" x14ac:dyDescent="0.3">
      <c r="B80" s="15">
        <f t="shared" si="5"/>
        <v>75</v>
      </c>
      <c r="C80" s="4">
        <v>5430.3541265130307</v>
      </c>
      <c r="D80" s="4">
        <f>-'[2]links-p1'!B76</f>
        <v>4809.8089417532419</v>
      </c>
      <c r="F80" s="11"/>
      <c r="H80" s="15">
        <f t="shared" si="6"/>
        <v>75</v>
      </c>
      <c r="I80" s="4">
        <v>0</v>
      </c>
      <c r="J80" s="4">
        <f>-'[2]links-p1'!H76</f>
        <v>0</v>
      </c>
      <c r="L80" s="11"/>
      <c r="N80" s="15">
        <f t="shared" si="7"/>
        <v>75</v>
      </c>
      <c r="O80" s="18">
        <f>-'[1]links-p1'!E76</f>
        <v>448.48689179898872</v>
      </c>
      <c r="P80" s="18">
        <f>-'[2]links-p1'!E76</f>
        <v>0</v>
      </c>
      <c r="R80" s="11"/>
      <c r="T80" s="15">
        <f t="shared" si="8"/>
        <v>75</v>
      </c>
      <c r="U80" s="18">
        <f>-'[1]links-p1'!S76</f>
        <v>330</v>
      </c>
      <c r="V80" s="18">
        <f>-'[2]links-p1'!R76</f>
        <v>0</v>
      </c>
      <c r="X80" s="11"/>
      <c r="Z80" s="15">
        <f t="shared" si="9"/>
        <v>75</v>
      </c>
      <c r="AA80" s="18">
        <f>-'[1]links-p1'!T76</f>
        <v>0</v>
      </c>
      <c r="AB80" s="18">
        <f>-'[2]links-p1'!S76</f>
        <v>4455.0603530392</v>
      </c>
      <c r="AD80" s="11"/>
    </row>
    <row r="81" spans="2:30" x14ac:dyDescent="0.3">
      <c r="B81" s="15">
        <f t="shared" si="5"/>
        <v>76</v>
      </c>
      <c r="C81" s="4">
        <v>5676.3923851289173</v>
      </c>
      <c r="D81" s="4">
        <f>-'[2]links-p1'!B77</f>
        <v>4888.7727608202349</v>
      </c>
      <c r="F81" s="11"/>
      <c r="H81" s="15">
        <f t="shared" si="6"/>
        <v>76</v>
      </c>
      <c r="I81" s="4">
        <v>0</v>
      </c>
      <c r="J81" s="4">
        <f>-'[2]links-p1'!H77</f>
        <v>0</v>
      </c>
      <c r="L81" s="11"/>
      <c r="N81" s="15">
        <f t="shared" si="7"/>
        <v>76</v>
      </c>
      <c r="O81" s="18">
        <f>-'[1]links-p1'!E77</f>
        <v>395.12408134788211</v>
      </c>
      <c r="P81" s="18">
        <f>-'[2]links-p1'!E77</f>
        <v>0</v>
      </c>
      <c r="R81" s="11"/>
      <c r="T81" s="15">
        <f t="shared" si="8"/>
        <v>76</v>
      </c>
      <c r="U81" s="18">
        <f>-'[1]links-p1'!S77</f>
        <v>1553.6722856992001</v>
      </c>
      <c r="V81" s="18">
        <f>-'[2]links-p1'!R77</f>
        <v>0</v>
      </c>
      <c r="X81" s="11"/>
      <c r="Z81" s="15">
        <f t="shared" si="9"/>
        <v>76</v>
      </c>
      <c r="AA81" s="18">
        <f>-'[1]links-p1'!T77</f>
        <v>0</v>
      </c>
      <c r="AB81" s="18">
        <f>-'[2]links-p1'!S77</f>
        <v>4234.6231030392</v>
      </c>
      <c r="AD81" s="11"/>
    </row>
    <row r="82" spans="2:30" x14ac:dyDescent="0.3">
      <c r="B82" s="15">
        <f t="shared" si="5"/>
        <v>77</v>
      </c>
      <c r="C82" s="4">
        <v>5865.9963389753493</v>
      </c>
      <c r="D82" s="4">
        <f>-'[2]links-p1'!B78</f>
        <v>4887.0387757483022</v>
      </c>
      <c r="F82" s="11"/>
      <c r="H82" s="15">
        <f t="shared" si="6"/>
        <v>77</v>
      </c>
      <c r="I82" s="4">
        <v>0</v>
      </c>
      <c r="J82" s="4">
        <f>-'[2]links-p1'!H78</f>
        <v>0</v>
      </c>
      <c r="L82" s="11"/>
      <c r="N82" s="15">
        <f t="shared" si="7"/>
        <v>77</v>
      </c>
      <c r="O82" s="18">
        <f>-'[1]links-p1'!E78</f>
        <v>293.45459302624732</v>
      </c>
      <c r="P82" s="18">
        <f>-'[2]links-p1'!E78</f>
        <v>0</v>
      </c>
      <c r="R82" s="11"/>
      <c r="T82" s="15">
        <f t="shared" si="8"/>
        <v>77</v>
      </c>
      <c r="U82" s="18">
        <f>-'[1]links-p1'!S78</f>
        <v>330</v>
      </c>
      <c r="V82" s="18">
        <f>-'[2]links-p1'!R78</f>
        <v>0</v>
      </c>
      <c r="X82" s="11"/>
      <c r="Z82" s="15">
        <f t="shared" si="9"/>
        <v>77</v>
      </c>
      <c r="AA82" s="18">
        <f>-'[1]links-p1'!T78</f>
        <v>0</v>
      </c>
      <c r="AB82" s="18">
        <f>-'[2]links-p1'!S78</f>
        <v>3941.6156757991998</v>
      </c>
      <c r="AD82" s="11"/>
    </row>
    <row r="83" spans="2:30" x14ac:dyDescent="0.3">
      <c r="B83" s="15">
        <f t="shared" si="5"/>
        <v>78</v>
      </c>
      <c r="C83" s="4">
        <v>5397.4107600215348</v>
      </c>
      <c r="D83" s="4">
        <f>-'[2]links-p1'!B79</f>
        <v>4480.9527600215342</v>
      </c>
      <c r="F83" s="11"/>
      <c r="H83" s="15">
        <f t="shared" si="6"/>
        <v>78</v>
      </c>
      <c r="I83" s="4">
        <v>0</v>
      </c>
      <c r="J83" s="4">
        <f>-'[2]links-p1'!H79</f>
        <v>0</v>
      </c>
      <c r="L83" s="11"/>
      <c r="N83" s="15">
        <f t="shared" si="7"/>
        <v>78</v>
      </c>
      <c r="O83" s="18">
        <f>-'[1]links-p1'!E79</f>
        <v>0</v>
      </c>
      <c r="P83" s="18">
        <f>-'[2]links-p1'!E79</f>
        <v>631.38030296524357</v>
      </c>
      <c r="R83" s="11"/>
      <c r="T83" s="15">
        <f t="shared" si="8"/>
        <v>78</v>
      </c>
      <c r="U83" s="18">
        <f>-'[1]links-p1'!S79</f>
        <v>1553.6722856992001</v>
      </c>
      <c r="V83" s="18">
        <f>-'[2]links-p1'!R79</f>
        <v>0</v>
      </c>
      <c r="X83" s="11"/>
      <c r="Z83" s="15">
        <f t="shared" si="9"/>
        <v>78</v>
      </c>
      <c r="AA83" s="18">
        <f>-'[1]links-p1'!T79</f>
        <v>0</v>
      </c>
      <c r="AB83" s="18">
        <f>-'[2]links-p1'!S79</f>
        <v>3075.4285711891998</v>
      </c>
      <c r="AD83" s="11"/>
    </row>
    <row r="84" spans="2:30" x14ac:dyDescent="0.3">
      <c r="B84" s="15">
        <f t="shared" si="5"/>
        <v>79</v>
      </c>
      <c r="C84" s="4">
        <v>7246.4316305743541</v>
      </c>
      <c r="D84" s="4">
        <f>-'[2]links-p1'!B80</f>
        <v>6330.0526305743524</v>
      </c>
      <c r="F84" s="11"/>
      <c r="H84" s="15">
        <f t="shared" si="6"/>
        <v>79</v>
      </c>
      <c r="I84" s="4">
        <v>0</v>
      </c>
      <c r="J84" s="4">
        <f>-'[2]links-p1'!H80</f>
        <v>0</v>
      </c>
      <c r="L84" s="11"/>
      <c r="N84" s="15">
        <f t="shared" si="7"/>
        <v>79</v>
      </c>
      <c r="O84" s="18">
        <f>-'[1]links-p1'!E80</f>
        <v>0</v>
      </c>
      <c r="P84" s="18">
        <f>-'[2]links-p1'!E80</f>
        <v>1563.1813401854299</v>
      </c>
      <c r="R84" s="11"/>
      <c r="T84" s="15">
        <f t="shared" si="8"/>
        <v>79</v>
      </c>
      <c r="U84" s="18">
        <f>-'[1]links-p1'!S80</f>
        <v>1553.6722856992001</v>
      </c>
      <c r="V84" s="18">
        <f>-'[2]links-p1'!R80</f>
        <v>0</v>
      </c>
      <c r="X84" s="11"/>
      <c r="Z84" s="15">
        <f t="shared" si="9"/>
        <v>79</v>
      </c>
      <c r="AA84" s="18">
        <f>-'[1]links-p1'!T80</f>
        <v>0</v>
      </c>
      <c r="AB84" s="18">
        <f>-'[2]links-p1'!S80</f>
        <v>2030.9884530991999</v>
      </c>
      <c r="AD84" s="11"/>
    </row>
    <row r="85" spans="2:30" x14ac:dyDescent="0.3">
      <c r="B85" s="15">
        <f t="shared" si="5"/>
        <v>80</v>
      </c>
      <c r="C85" s="4">
        <v>7393.0362460000006</v>
      </c>
      <c r="D85" s="4">
        <f>-'[2]links-p1'!B81</f>
        <v>7393.0362460000006</v>
      </c>
      <c r="F85" s="11"/>
      <c r="H85" s="15">
        <f t="shared" si="6"/>
        <v>80</v>
      </c>
      <c r="I85" s="4">
        <v>0</v>
      </c>
      <c r="J85" s="4">
        <f>-'[2]links-p1'!H81</f>
        <v>0</v>
      </c>
      <c r="L85" s="11"/>
      <c r="N85" s="15">
        <f t="shared" si="7"/>
        <v>80</v>
      </c>
      <c r="O85" s="18">
        <f>-'[1]links-p1'!E81</f>
        <v>1921.627147610506</v>
      </c>
      <c r="P85" s="18">
        <f>-'[2]links-p1'!E81</f>
        <v>2598.7174222205072</v>
      </c>
      <c r="R85" s="11"/>
      <c r="T85" s="15">
        <f t="shared" si="8"/>
        <v>80</v>
      </c>
      <c r="U85" s="18">
        <f>-'[1]links-p1'!S81</f>
        <v>1553.6722856992001</v>
      </c>
      <c r="V85" s="18">
        <f>-'[2]links-p1'!R81</f>
        <v>0</v>
      </c>
      <c r="X85" s="11"/>
      <c r="Z85" s="15">
        <f t="shared" si="9"/>
        <v>80</v>
      </c>
      <c r="AA85" s="18">
        <f>-'[1]links-p1'!T81</f>
        <v>0</v>
      </c>
      <c r="AB85" s="18">
        <f>-'[2]links-p1'!S81</f>
        <v>986.54833501920007</v>
      </c>
      <c r="AD85" s="11"/>
    </row>
    <row r="86" spans="2:30" x14ac:dyDescent="0.3">
      <c r="B86" s="15">
        <f t="shared" si="5"/>
        <v>81</v>
      </c>
      <c r="C86" s="4">
        <v>7393.0362460000006</v>
      </c>
      <c r="D86" s="4">
        <f>-'[2]links-p1'!B82</f>
        <v>7393.0362460000006</v>
      </c>
      <c r="F86" s="11"/>
      <c r="H86" s="15">
        <f t="shared" si="6"/>
        <v>81</v>
      </c>
      <c r="I86" s="4">
        <v>0</v>
      </c>
      <c r="J86" s="4">
        <f>-'[2]links-p1'!H82</f>
        <v>710.61312262711999</v>
      </c>
      <c r="L86" s="11"/>
      <c r="N86" s="15">
        <f t="shared" si="7"/>
        <v>81</v>
      </c>
      <c r="O86" s="18">
        <f>-'[1]links-p1'!E82</f>
        <v>3714.2505096549962</v>
      </c>
      <c r="P86" s="18">
        <f>-'[2]links-p1'!E82</f>
        <v>3388.8877842649972</v>
      </c>
      <c r="R86" s="11"/>
      <c r="T86" s="15">
        <f t="shared" si="8"/>
        <v>81</v>
      </c>
      <c r="U86" s="18">
        <f>-'[1]links-p1'!S82</f>
        <v>1553.6722856992001</v>
      </c>
      <c r="V86" s="18">
        <f>-'[2]links-p1'!R82</f>
        <v>58.351664980799796</v>
      </c>
      <c r="X86" s="11"/>
      <c r="Z86" s="15">
        <f t="shared" si="9"/>
        <v>81</v>
      </c>
      <c r="AA86" s="18">
        <f>-'[1]links-p1'!T82</f>
        <v>0</v>
      </c>
      <c r="AB86" s="18">
        <f>-'[2]links-p1'!S82</f>
        <v>0</v>
      </c>
      <c r="AD86" s="11"/>
    </row>
    <row r="87" spans="2:30" x14ac:dyDescent="0.3">
      <c r="B87" s="15">
        <f t="shared" si="5"/>
        <v>82</v>
      </c>
      <c r="C87" s="4">
        <v>7393.0362460000006</v>
      </c>
      <c r="D87" s="4">
        <f>-'[2]links-p1'!B83</f>
        <v>7393.0362460000006</v>
      </c>
      <c r="F87" s="11"/>
      <c r="H87" s="15">
        <f t="shared" si="6"/>
        <v>82</v>
      </c>
      <c r="I87" s="4">
        <v>1142.132674460202</v>
      </c>
      <c r="J87" s="4">
        <f>-'[2]links-p1'!H83</f>
        <v>0</v>
      </c>
      <c r="L87" s="11"/>
      <c r="N87" s="15">
        <f t="shared" si="7"/>
        <v>82</v>
      </c>
      <c r="O87" s="18">
        <f>-'[1]links-p1'!E83</f>
        <v>3291.016944833807</v>
      </c>
      <c r="P87" s="18">
        <f>-'[2]links-p1'!E83</f>
        <v>1970.415219443807</v>
      </c>
      <c r="R87" s="11"/>
      <c r="T87" s="15">
        <f t="shared" si="8"/>
        <v>82</v>
      </c>
      <c r="U87" s="18">
        <f>-'[1]links-p1'!S83</f>
        <v>1553.6722856992001</v>
      </c>
      <c r="V87" s="18">
        <f>-'[2]links-p1'!R83</f>
        <v>1103.2516649807999</v>
      </c>
      <c r="X87" s="11"/>
      <c r="Z87" s="15">
        <f t="shared" si="9"/>
        <v>82</v>
      </c>
      <c r="AA87" s="18">
        <f>-'[1]links-p1'!T83</f>
        <v>1434.33167607</v>
      </c>
      <c r="AB87" s="18">
        <f>-'[2]links-p1'!S83</f>
        <v>0</v>
      </c>
      <c r="AD87" s="11"/>
    </row>
    <row r="88" spans="2:30" x14ac:dyDescent="0.3">
      <c r="B88" s="15">
        <f t="shared" si="5"/>
        <v>83</v>
      </c>
      <c r="C88" s="4">
        <v>2087.056823099947</v>
      </c>
      <c r="D88" s="4">
        <f>-'[2]links-p1'!B84</f>
        <v>822.48923309994825</v>
      </c>
      <c r="F88" s="11"/>
      <c r="H88" s="15">
        <f t="shared" si="6"/>
        <v>83</v>
      </c>
      <c r="I88" s="4">
        <v>0</v>
      </c>
      <c r="J88" s="4">
        <f>-'[2]links-p1'!H84</f>
        <v>0</v>
      </c>
      <c r="L88" s="11"/>
      <c r="N88" s="15">
        <f t="shared" si="7"/>
        <v>83</v>
      </c>
      <c r="O88" s="18">
        <f>-'[1]links-p1'!E84</f>
        <v>3045.3617805196259</v>
      </c>
      <c r="P88" s="18">
        <f>-'[2]links-p1'!E84</f>
        <v>198.48646512962841</v>
      </c>
      <c r="R88" s="11"/>
      <c r="T88" s="15">
        <f t="shared" si="8"/>
        <v>83</v>
      </c>
      <c r="U88" s="18">
        <f>-'[1]links-p1'!S84</f>
        <v>1553.6722856992001</v>
      </c>
      <c r="V88" s="18">
        <f>-'[2]links-p1'!R84</f>
        <v>2148.1516649808</v>
      </c>
      <c r="X88" s="11"/>
      <c r="Z88" s="15">
        <f t="shared" si="9"/>
        <v>83</v>
      </c>
      <c r="AA88" s="18">
        <f>-'[1]links-p1'!T84</f>
        <v>3524.1316760699988</v>
      </c>
      <c r="AB88" s="18">
        <f>-'[2]links-p1'!S84</f>
        <v>0</v>
      </c>
      <c r="AD88" s="11"/>
    </row>
    <row r="89" spans="2:30" x14ac:dyDescent="0.3">
      <c r="B89" s="15">
        <f t="shared" si="5"/>
        <v>84</v>
      </c>
      <c r="C89" s="4">
        <v>0</v>
      </c>
      <c r="D89" s="4">
        <f>-'[2]links-p1'!B85</f>
        <v>0</v>
      </c>
      <c r="F89" s="11"/>
      <c r="H89" s="15">
        <f t="shared" si="6"/>
        <v>84</v>
      </c>
      <c r="I89" s="4">
        <v>0</v>
      </c>
      <c r="J89" s="4">
        <f>-'[2]links-p1'!H85</f>
        <v>0</v>
      </c>
      <c r="L89" s="11"/>
      <c r="N89" s="15">
        <f t="shared" si="7"/>
        <v>84</v>
      </c>
      <c r="O89" s="18">
        <f>-'[1]links-p1'!E85</f>
        <v>2101.5944279292648</v>
      </c>
      <c r="P89" s="18">
        <f>-'[2]links-p1'!E85</f>
        <v>0</v>
      </c>
      <c r="R89" s="11"/>
      <c r="T89" s="15">
        <f t="shared" si="8"/>
        <v>84</v>
      </c>
      <c r="U89" s="18">
        <f>-'[1]links-p1'!S85</f>
        <v>1553.6722856992001</v>
      </c>
      <c r="V89" s="18">
        <f>-'[2]links-p1'!R85</f>
        <v>3193.5115469008001</v>
      </c>
      <c r="X89" s="11"/>
      <c r="Z89" s="15">
        <f t="shared" si="9"/>
        <v>84</v>
      </c>
      <c r="AA89" s="18">
        <f>-'[1]links-p1'!T85</f>
        <v>5623.129314329999</v>
      </c>
      <c r="AB89" s="18">
        <f>-'[2]links-p1'!S85</f>
        <v>0</v>
      </c>
      <c r="AD89" s="11"/>
    </row>
    <row r="90" spans="2:30" x14ac:dyDescent="0.3">
      <c r="B90" s="15">
        <f t="shared" si="5"/>
        <v>85</v>
      </c>
      <c r="C90" s="4">
        <v>0</v>
      </c>
      <c r="D90" s="4">
        <f>-'[2]links-p1'!B86</f>
        <v>0</v>
      </c>
      <c r="F90" s="11"/>
      <c r="H90" s="15">
        <f t="shared" si="6"/>
        <v>85</v>
      </c>
      <c r="I90" s="4">
        <v>0</v>
      </c>
      <c r="J90" s="4">
        <f>-'[2]links-p1'!H86</f>
        <v>0</v>
      </c>
      <c r="L90" s="11"/>
      <c r="N90" s="15">
        <f t="shared" si="7"/>
        <v>85</v>
      </c>
      <c r="O90" s="18">
        <f>-'[1]links-p1'!E86</f>
        <v>1746.9002679686839</v>
      </c>
      <c r="P90" s="18">
        <f>-'[2]links-p1'!E86</f>
        <v>0</v>
      </c>
      <c r="R90" s="11"/>
      <c r="T90" s="15">
        <f t="shared" si="8"/>
        <v>85</v>
      </c>
      <c r="U90" s="18">
        <f>-'[1]links-p1'!S86</f>
        <v>903.3760799884343</v>
      </c>
      <c r="V90" s="18">
        <f>-'[2]links-p1'!R86</f>
        <v>4889.1676345215656</v>
      </c>
      <c r="X90" s="11"/>
      <c r="Z90" s="15">
        <f t="shared" si="9"/>
        <v>85</v>
      </c>
      <c r="AA90" s="18">
        <f>-'[1]links-p1'!T86</f>
        <v>6779.486412000002</v>
      </c>
      <c r="AB90" s="18">
        <f>-'[2]links-p1'!S86</f>
        <v>0</v>
      </c>
      <c r="AD90" s="11"/>
    </row>
    <row r="91" spans="2:30" x14ac:dyDescent="0.3">
      <c r="B91" s="15">
        <f t="shared" si="5"/>
        <v>86</v>
      </c>
      <c r="C91" s="4">
        <v>0</v>
      </c>
      <c r="D91" s="4">
        <f>-'[2]links-p1'!B87</f>
        <v>0</v>
      </c>
      <c r="F91" s="11"/>
      <c r="H91" s="15">
        <f t="shared" si="6"/>
        <v>86</v>
      </c>
      <c r="I91" s="4">
        <v>0</v>
      </c>
      <c r="J91" s="4">
        <f>-'[2]links-p1'!H87</f>
        <v>0</v>
      </c>
      <c r="L91" s="11"/>
      <c r="N91" s="15">
        <f t="shared" si="7"/>
        <v>86</v>
      </c>
      <c r="O91" s="18">
        <f>-'[1]links-p1'!E87</f>
        <v>1399.9666904541839</v>
      </c>
      <c r="P91" s="18">
        <f>-'[2]links-p1'!E87</f>
        <v>0</v>
      </c>
      <c r="R91" s="11"/>
      <c r="T91" s="15">
        <f t="shared" si="8"/>
        <v>86</v>
      </c>
      <c r="U91" s="18">
        <f>-'[1]links-p1'!S87</f>
        <v>903.37607998843453</v>
      </c>
      <c r="V91" s="18">
        <f>-'[2]links-p1'!R87</f>
        <v>5876.2849370115646</v>
      </c>
      <c r="X91" s="11"/>
      <c r="Z91" s="15">
        <f t="shared" si="9"/>
        <v>86</v>
      </c>
      <c r="AA91" s="18">
        <f>-'[1]links-p1'!T87</f>
        <v>6779.486412000002</v>
      </c>
      <c r="AB91" s="18">
        <f>-'[2]links-p1'!S87</f>
        <v>0</v>
      </c>
      <c r="AD91" s="11"/>
    </row>
    <row r="92" spans="2:30" x14ac:dyDescent="0.3">
      <c r="B92" s="15">
        <f t="shared" si="5"/>
        <v>87</v>
      </c>
      <c r="C92" s="4">
        <v>0</v>
      </c>
      <c r="D92" s="4">
        <f>-'[2]links-p1'!B88</f>
        <v>0</v>
      </c>
      <c r="F92" s="11"/>
      <c r="H92" s="15">
        <f t="shared" si="6"/>
        <v>87</v>
      </c>
      <c r="I92" s="4">
        <v>0</v>
      </c>
      <c r="J92" s="4">
        <f>-'[2]links-p1'!H88</f>
        <v>0</v>
      </c>
      <c r="L92" s="11"/>
      <c r="N92" s="15">
        <f t="shared" si="7"/>
        <v>87</v>
      </c>
      <c r="O92" s="18">
        <f>-'[1]links-p1'!E88</f>
        <v>972.567631517466</v>
      </c>
      <c r="P92" s="18">
        <f>-'[2]links-p1'!E88</f>
        <v>0</v>
      </c>
      <c r="R92" s="11"/>
      <c r="T92" s="15">
        <f t="shared" si="8"/>
        <v>87</v>
      </c>
      <c r="U92" s="18">
        <f>-'[1]links-p1'!S88</f>
        <v>902.91619978000244</v>
      </c>
      <c r="V92" s="18">
        <f>-'[2]links-p1'!R88</f>
        <v>5876.7448172199984</v>
      </c>
      <c r="X92" s="11"/>
      <c r="Z92" s="15">
        <f t="shared" si="9"/>
        <v>87</v>
      </c>
      <c r="AA92" s="18">
        <f>-'[1]links-p1'!T88</f>
        <v>6779.486412000002</v>
      </c>
      <c r="AB92" s="18">
        <f>-'[2]links-p1'!S88</f>
        <v>0</v>
      </c>
      <c r="AD92" s="11"/>
    </row>
    <row r="93" spans="2:30" x14ac:dyDescent="0.3">
      <c r="B93" s="15">
        <f t="shared" si="5"/>
        <v>88</v>
      </c>
      <c r="C93" s="4">
        <v>0</v>
      </c>
      <c r="D93" s="4">
        <f>-'[2]links-p1'!B89</f>
        <v>0</v>
      </c>
      <c r="F93" s="11"/>
      <c r="H93" s="15">
        <f t="shared" si="6"/>
        <v>88</v>
      </c>
      <c r="I93" s="4">
        <v>0</v>
      </c>
      <c r="J93" s="4">
        <f>-'[2]links-p1'!H89</f>
        <v>0</v>
      </c>
      <c r="L93" s="11"/>
      <c r="N93" s="15">
        <f t="shared" si="7"/>
        <v>88</v>
      </c>
      <c r="O93" s="18">
        <f>-'[1]links-p1'!E89</f>
        <v>1739.7804424754891</v>
      </c>
      <c r="P93" s="18">
        <f>-'[2]links-p1'!E89</f>
        <v>0</v>
      </c>
      <c r="R93" s="11"/>
      <c r="T93" s="15">
        <f t="shared" si="8"/>
        <v>88</v>
      </c>
      <c r="U93" s="18">
        <f>-'[1]links-p1'!S89</f>
        <v>902.45631787237028</v>
      </c>
      <c r="V93" s="18">
        <f>-'[2]links-p1'!R89</f>
        <v>5877.2046991276302</v>
      </c>
      <c r="X93" s="11"/>
      <c r="Z93" s="15">
        <f t="shared" si="9"/>
        <v>88</v>
      </c>
      <c r="AA93" s="18">
        <f>-'[1]links-p1'!T89</f>
        <v>6779.486412000002</v>
      </c>
      <c r="AB93" s="18">
        <f>-'[2]links-p1'!S89</f>
        <v>0</v>
      </c>
      <c r="AD93" s="11"/>
    </row>
    <row r="94" spans="2:30" x14ac:dyDescent="0.3">
      <c r="B94" s="15">
        <f t="shared" si="5"/>
        <v>89</v>
      </c>
      <c r="C94" s="4">
        <v>0</v>
      </c>
      <c r="D94" s="4">
        <f>-'[2]links-p1'!B90</f>
        <v>0</v>
      </c>
      <c r="F94" s="11"/>
      <c r="H94" s="15">
        <f t="shared" si="6"/>
        <v>89</v>
      </c>
      <c r="I94" s="4">
        <v>0</v>
      </c>
      <c r="J94" s="4">
        <f>-'[2]links-p1'!H90</f>
        <v>0</v>
      </c>
      <c r="L94" s="11"/>
      <c r="N94" s="15">
        <f t="shared" si="7"/>
        <v>89</v>
      </c>
      <c r="O94" s="18">
        <f>-'[1]links-p1'!E90</f>
        <v>3616.99006834802</v>
      </c>
      <c r="P94" s="18">
        <f>-'[2]links-p1'!E90</f>
        <v>868.76779702739759</v>
      </c>
      <c r="R94" s="11"/>
      <c r="T94" s="15">
        <f t="shared" si="8"/>
        <v>89</v>
      </c>
      <c r="U94" s="18">
        <f>-'[1]links-p1'!S90</f>
        <v>1553.6722856992001</v>
      </c>
      <c r="V94" s="18">
        <f>-'[2]links-p1'!R90</f>
        <v>5225.9887313008003</v>
      </c>
      <c r="X94" s="11"/>
      <c r="Z94" s="15">
        <f t="shared" si="9"/>
        <v>89</v>
      </c>
      <c r="AA94" s="18">
        <f>-'[1]links-p1'!T90</f>
        <v>6779.486412000002</v>
      </c>
      <c r="AB94" s="18">
        <f>-'[2]links-p1'!S90</f>
        <v>0</v>
      </c>
      <c r="AD94" s="11"/>
    </row>
    <row r="95" spans="2:30" x14ac:dyDescent="0.3">
      <c r="B95" s="15">
        <f t="shared" si="5"/>
        <v>90</v>
      </c>
      <c r="C95" s="4">
        <v>0</v>
      </c>
      <c r="D95" s="4">
        <f>-'[2]links-p1'!B91</f>
        <v>0</v>
      </c>
      <c r="F95" s="11"/>
      <c r="H95" s="15">
        <f t="shared" si="6"/>
        <v>90</v>
      </c>
      <c r="I95" s="4">
        <v>0</v>
      </c>
      <c r="J95" s="4">
        <f>-'[2]links-p1'!H91</f>
        <v>0</v>
      </c>
      <c r="L95" s="11"/>
      <c r="N95" s="15">
        <f t="shared" si="7"/>
        <v>90</v>
      </c>
      <c r="O95" s="18">
        <f>-'[1]links-p1'!E91</f>
        <v>6422.260227479951</v>
      </c>
      <c r="P95" s="18">
        <f>-'[2]links-p1'!E91</f>
        <v>2346.8681149099511</v>
      </c>
      <c r="R95" s="11"/>
      <c r="T95" s="15">
        <f t="shared" si="8"/>
        <v>90</v>
      </c>
      <c r="U95" s="18">
        <f>-'[1]links-p1'!S91</f>
        <v>1358.572286703788</v>
      </c>
      <c r="V95" s="18">
        <f>-'[2]links-p1'!R91</f>
        <v>4181.0887302962128</v>
      </c>
      <c r="X95" s="11"/>
      <c r="Z95" s="15">
        <f t="shared" si="9"/>
        <v>90</v>
      </c>
      <c r="AA95" s="18">
        <f>-'[1]links-p1'!T91</f>
        <v>6779.486412000002</v>
      </c>
      <c r="AB95" s="18">
        <f>-'[2]links-p1'!S91</f>
        <v>0</v>
      </c>
      <c r="AD95" s="11"/>
    </row>
    <row r="96" spans="2:30" x14ac:dyDescent="0.3">
      <c r="B96" s="15">
        <f t="shared" si="5"/>
        <v>91</v>
      </c>
      <c r="C96" s="4">
        <v>3813.4572474568122</v>
      </c>
      <c r="D96" s="4">
        <f>-'[2]links-p1'!B92</f>
        <v>0</v>
      </c>
      <c r="F96" s="11"/>
      <c r="H96" s="15">
        <f t="shared" si="6"/>
        <v>91</v>
      </c>
      <c r="I96" s="4">
        <v>0</v>
      </c>
      <c r="J96" s="4">
        <f>-'[2]links-p1'!H92</f>
        <v>0</v>
      </c>
      <c r="L96" s="11"/>
      <c r="N96" s="15">
        <f t="shared" si="7"/>
        <v>91</v>
      </c>
      <c r="O96" s="18">
        <f>-'[1]links-p1'!E92</f>
        <v>7177.476421438897</v>
      </c>
      <c r="P96" s="18">
        <f>-'[2]links-p1'!E92</f>
        <v>3102.5849549588961</v>
      </c>
      <c r="R96" s="11"/>
      <c r="T96" s="15">
        <f t="shared" si="8"/>
        <v>91</v>
      </c>
      <c r="U96" s="18">
        <f>-'[1]links-p1'!S92</f>
        <v>1553.6722856992001</v>
      </c>
      <c r="V96" s="18">
        <f>-'[2]links-p1'!R92</f>
        <v>3985.9887313007998</v>
      </c>
      <c r="X96" s="11"/>
      <c r="Z96" s="15">
        <f t="shared" si="9"/>
        <v>91</v>
      </c>
      <c r="AA96" s="18">
        <f>-'[1]links-p1'!T92</f>
        <v>6779.486412000002</v>
      </c>
      <c r="AB96" s="18">
        <f>-'[2]links-p1'!S92</f>
        <v>0</v>
      </c>
      <c r="AD96" s="11"/>
    </row>
    <row r="97" spans="2:30" x14ac:dyDescent="0.3">
      <c r="B97" s="15">
        <f t="shared" si="5"/>
        <v>92</v>
      </c>
      <c r="C97" s="4">
        <v>0</v>
      </c>
      <c r="D97" s="4">
        <f>-'[2]links-p1'!B93</f>
        <v>0</v>
      </c>
      <c r="F97" s="11"/>
      <c r="H97" s="15">
        <f t="shared" si="6"/>
        <v>92</v>
      </c>
      <c r="I97" s="4">
        <v>0</v>
      </c>
      <c r="J97" s="4">
        <f>-'[2]links-p1'!H93</f>
        <v>0</v>
      </c>
      <c r="L97" s="11"/>
      <c r="N97" s="15">
        <f t="shared" si="7"/>
        <v>92</v>
      </c>
      <c r="O97" s="18">
        <f>-'[1]links-p1'!E93</f>
        <v>6002.9588242353111</v>
      </c>
      <c r="P97" s="18">
        <f>-'[2]links-p1'!E93</f>
        <v>1913.1437960253099</v>
      </c>
      <c r="R97" s="11"/>
      <c r="T97" s="15">
        <f t="shared" si="8"/>
        <v>92</v>
      </c>
      <c r="U97" s="18">
        <f>-'[1]links-p1'!S93</f>
        <v>1553.6722856992001</v>
      </c>
      <c r="V97" s="18">
        <f>-'[2]links-p1'!R93</f>
        <v>3985.9887313007998</v>
      </c>
      <c r="X97" s="11"/>
      <c r="Z97" s="15">
        <f t="shared" si="9"/>
        <v>92</v>
      </c>
      <c r="AA97" s="18">
        <f>-'[1]links-p1'!T93</f>
        <v>6779.486412000002</v>
      </c>
      <c r="AB97" s="18">
        <f>-'[2]links-p1'!S93</f>
        <v>0</v>
      </c>
      <c r="AD97" s="11"/>
    </row>
    <row r="98" spans="2:30" x14ac:dyDescent="0.3">
      <c r="B98" s="15">
        <f t="shared" si="5"/>
        <v>93</v>
      </c>
      <c r="C98" s="4">
        <v>0</v>
      </c>
      <c r="D98" s="4">
        <f>-'[2]links-p1'!B94</f>
        <v>0</v>
      </c>
      <c r="F98" s="11"/>
      <c r="H98" s="15">
        <f t="shared" si="6"/>
        <v>93</v>
      </c>
      <c r="I98" s="4">
        <v>0</v>
      </c>
      <c r="J98" s="4">
        <f>-'[2]links-p1'!H94</f>
        <v>0</v>
      </c>
      <c r="L98" s="11"/>
      <c r="N98" s="15">
        <f t="shared" si="7"/>
        <v>93</v>
      </c>
      <c r="O98" s="18">
        <f>-'[1]links-p1'!E94</f>
        <v>5032.9218922137125</v>
      </c>
      <c r="P98" s="18">
        <f>-'[2]links-p1'!E94</f>
        <v>965.59508416371045</v>
      </c>
      <c r="R98" s="11"/>
      <c r="T98" s="15">
        <f t="shared" si="8"/>
        <v>93</v>
      </c>
      <c r="U98" s="18">
        <f>-'[1]links-p1'!S94</f>
        <v>1553.6722856992001</v>
      </c>
      <c r="V98" s="18">
        <f>-'[2]links-p1'!R94</f>
        <v>3985.9887313007998</v>
      </c>
      <c r="X98" s="11"/>
      <c r="Z98" s="15">
        <f t="shared" si="9"/>
        <v>93</v>
      </c>
      <c r="AA98" s="18">
        <f>-'[1]links-p1'!T94</f>
        <v>6779.486412000002</v>
      </c>
      <c r="AB98" s="18">
        <f>-'[2]links-p1'!S94</f>
        <v>0</v>
      </c>
      <c r="AD98" s="11"/>
    </row>
    <row r="99" spans="2:30" x14ac:dyDescent="0.3">
      <c r="B99" s="15">
        <f t="shared" si="5"/>
        <v>94</v>
      </c>
      <c r="C99" s="4">
        <v>1262.7237098667561</v>
      </c>
      <c r="D99" s="4">
        <f>-'[2]links-p1'!B95</f>
        <v>0</v>
      </c>
      <c r="F99" s="11"/>
      <c r="H99" s="15">
        <f t="shared" si="6"/>
        <v>94</v>
      </c>
      <c r="I99" s="4">
        <v>0</v>
      </c>
      <c r="J99" s="4">
        <f>-'[2]links-p1'!H95</f>
        <v>0</v>
      </c>
      <c r="L99" s="11"/>
      <c r="N99" s="15">
        <f t="shared" si="7"/>
        <v>94</v>
      </c>
      <c r="O99" s="18">
        <f>-'[1]links-p1'!E95</f>
        <v>4122.5434800920721</v>
      </c>
      <c r="P99" s="18">
        <f>-'[2]links-p1'!E95</f>
        <v>103.8246535320723</v>
      </c>
      <c r="R99" s="11"/>
      <c r="T99" s="15">
        <f t="shared" si="8"/>
        <v>94</v>
      </c>
      <c r="U99" s="18">
        <f>-'[1]links-p1'!S95</f>
        <v>1553.6722856992001</v>
      </c>
      <c r="V99" s="18">
        <f>-'[2]links-p1'!R95</f>
        <v>3985.9887313007998</v>
      </c>
      <c r="X99" s="11"/>
      <c r="Z99" s="15">
        <f t="shared" si="9"/>
        <v>94</v>
      </c>
      <c r="AA99" s="18">
        <f>-'[1]links-p1'!T95</f>
        <v>6779.486412000002</v>
      </c>
      <c r="AB99" s="18">
        <f>-'[2]links-p1'!S95</f>
        <v>0</v>
      </c>
      <c r="AD99" s="11"/>
    </row>
    <row r="100" spans="2:30" x14ac:dyDescent="0.3">
      <c r="B100" s="15">
        <f t="shared" si="5"/>
        <v>95</v>
      </c>
      <c r="C100" s="4">
        <v>0</v>
      </c>
      <c r="D100" s="4">
        <f>-'[2]links-p1'!B96</f>
        <v>0</v>
      </c>
      <c r="F100" s="11"/>
      <c r="H100" s="15">
        <f t="shared" si="6"/>
        <v>95</v>
      </c>
      <c r="I100" s="4">
        <v>0</v>
      </c>
      <c r="J100" s="4">
        <f>-'[2]links-p1'!H96</f>
        <v>0</v>
      </c>
      <c r="L100" s="11"/>
      <c r="N100" s="15">
        <f t="shared" si="7"/>
        <v>95</v>
      </c>
      <c r="O100" s="18">
        <f>-'[1]links-p1'!E96</f>
        <v>3967.085309722504</v>
      </c>
      <c r="P100" s="18">
        <f>-'[2]links-p1'!E96</f>
        <v>1322.4697145492071</v>
      </c>
      <c r="R100" s="11"/>
      <c r="T100" s="15">
        <f t="shared" si="8"/>
        <v>95</v>
      </c>
      <c r="U100" s="18">
        <f>-'[1]links-p1'!S96</f>
        <v>1553.6722856992001</v>
      </c>
      <c r="V100" s="18">
        <f>-'[2]links-p1'!R96</f>
        <v>5031.3486132108001</v>
      </c>
      <c r="X100" s="11"/>
      <c r="Z100" s="15">
        <f t="shared" si="9"/>
        <v>95</v>
      </c>
      <c r="AA100" s="18">
        <f>-'[1]links-p1'!T96</f>
        <v>6779.486412000002</v>
      </c>
      <c r="AB100" s="18">
        <f>-'[2]links-p1'!S96</f>
        <v>0</v>
      </c>
      <c r="AD100" s="11"/>
    </row>
    <row r="101" spans="2:30" x14ac:dyDescent="0.3">
      <c r="B101" s="15">
        <f t="shared" si="5"/>
        <v>96</v>
      </c>
      <c r="C101" s="4">
        <v>0</v>
      </c>
      <c r="D101" s="4">
        <f>-'[2]links-p1'!B97</f>
        <v>0</v>
      </c>
      <c r="F101" s="11"/>
      <c r="H101" s="15">
        <f t="shared" si="6"/>
        <v>96</v>
      </c>
      <c r="I101" s="4">
        <v>0</v>
      </c>
      <c r="J101" s="4">
        <f>-'[2]links-p1'!H97</f>
        <v>0</v>
      </c>
      <c r="L101" s="11"/>
      <c r="N101" s="15">
        <f t="shared" si="7"/>
        <v>96</v>
      </c>
      <c r="O101" s="18">
        <f>-'[1]links-p1'!E97</f>
        <v>3970.659950617709</v>
      </c>
      <c r="P101" s="18">
        <f>-'[2]links-p1'!E97</f>
        <v>1398.720762659224</v>
      </c>
      <c r="R101" s="11"/>
      <c r="T101" s="15">
        <f t="shared" si="8"/>
        <v>96</v>
      </c>
      <c r="U101" s="18">
        <f>-'[1]links-p1'!S97</f>
        <v>703.41240713053048</v>
      </c>
      <c r="V101" s="18">
        <f>-'[2]links-p1'!R97</f>
        <v>6076.2486098694699</v>
      </c>
      <c r="X101" s="11"/>
      <c r="Z101" s="15">
        <f t="shared" si="9"/>
        <v>96</v>
      </c>
      <c r="AA101" s="18">
        <f>-'[1]links-p1'!T97</f>
        <v>6779.486412000002</v>
      </c>
      <c r="AB101" s="18">
        <f>-'[2]links-p1'!S97</f>
        <v>0</v>
      </c>
      <c r="AD101" s="11"/>
    </row>
    <row r="102" spans="2:30" x14ac:dyDescent="0.3">
      <c r="B102" s="15">
        <f t="shared" si="5"/>
        <v>97</v>
      </c>
      <c r="C102" s="4">
        <v>0</v>
      </c>
      <c r="D102" s="4">
        <f>-'[2]links-p1'!B98</f>
        <v>0</v>
      </c>
      <c r="F102" s="11"/>
      <c r="H102" s="15">
        <f t="shared" si="6"/>
        <v>97</v>
      </c>
      <c r="I102" s="4">
        <v>0</v>
      </c>
      <c r="J102" s="4">
        <f>-'[2]links-p1'!H98</f>
        <v>0</v>
      </c>
      <c r="L102" s="11"/>
      <c r="N102" s="15">
        <f t="shared" si="7"/>
        <v>97</v>
      </c>
      <c r="O102" s="18">
        <f>-'[1]links-p1'!E98</f>
        <v>3527.04072083251</v>
      </c>
      <c r="P102" s="18">
        <f>-'[2]links-p1'!E98</f>
        <v>1046.4070712225091</v>
      </c>
      <c r="R102" s="11"/>
      <c r="T102" s="15">
        <f t="shared" si="8"/>
        <v>97</v>
      </c>
      <c r="U102" s="18">
        <f>-'[1]links-p1'!S98</f>
        <v>904.75671347052537</v>
      </c>
      <c r="V102" s="18">
        <f>-'[2]links-p1'!R98</f>
        <v>5874.9043035294753</v>
      </c>
      <c r="X102" s="11"/>
      <c r="Z102" s="15">
        <f t="shared" si="9"/>
        <v>97</v>
      </c>
      <c r="AA102" s="18">
        <f>-'[1]links-p1'!T98</f>
        <v>6779.486412000002</v>
      </c>
      <c r="AB102" s="18">
        <f>-'[2]links-p1'!S98</f>
        <v>0</v>
      </c>
      <c r="AD102" s="11"/>
    </row>
    <row r="103" spans="2:30" x14ac:dyDescent="0.3">
      <c r="B103" s="15">
        <f t="shared" si="5"/>
        <v>98</v>
      </c>
      <c r="C103" s="4">
        <v>0</v>
      </c>
      <c r="D103" s="4">
        <f>-'[2]links-p1'!B99</f>
        <v>0</v>
      </c>
      <c r="F103" s="11"/>
      <c r="H103" s="15">
        <f t="shared" si="6"/>
        <v>98</v>
      </c>
      <c r="I103" s="4">
        <v>0</v>
      </c>
      <c r="J103" s="4">
        <f>-'[2]links-p1'!H99</f>
        <v>0</v>
      </c>
      <c r="L103" s="11"/>
      <c r="N103" s="15">
        <f t="shared" si="7"/>
        <v>98</v>
      </c>
      <c r="O103" s="18">
        <f>-'[1]links-p1'!E99</f>
        <v>4171.6690726606766</v>
      </c>
      <c r="P103" s="18">
        <f>-'[2]links-p1'!E99</f>
        <v>1671.862311940675</v>
      </c>
      <c r="R103" s="11"/>
      <c r="T103" s="15">
        <f t="shared" si="8"/>
        <v>98</v>
      </c>
      <c r="U103" s="18">
        <f>-'[1]links-p1'!S99</f>
        <v>904.75671347052537</v>
      </c>
      <c r="V103" s="18">
        <f>-'[2]links-p1'!R99</f>
        <v>5874.9043035294753</v>
      </c>
      <c r="X103" s="11"/>
      <c r="Z103" s="15">
        <f t="shared" si="9"/>
        <v>98</v>
      </c>
      <c r="AA103" s="18">
        <f>-'[1]links-p1'!T99</f>
        <v>6779.486412000002</v>
      </c>
      <c r="AB103" s="18">
        <f>-'[2]links-p1'!S99</f>
        <v>0</v>
      </c>
      <c r="AD103" s="11"/>
    </row>
    <row r="104" spans="2:30" x14ac:dyDescent="0.3">
      <c r="B104" s="15">
        <f t="shared" si="5"/>
        <v>99</v>
      </c>
      <c r="C104" s="4">
        <v>0</v>
      </c>
      <c r="D104" s="4">
        <f>-'[2]links-p1'!B100</f>
        <v>0</v>
      </c>
      <c r="F104" s="11"/>
      <c r="H104" s="15">
        <f t="shared" si="6"/>
        <v>99</v>
      </c>
      <c r="I104" s="4">
        <v>0</v>
      </c>
      <c r="J104" s="4">
        <f>-'[2]links-p1'!H100</f>
        <v>0</v>
      </c>
      <c r="L104" s="11"/>
      <c r="N104" s="15">
        <f t="shared" si="7"/>
        <v>99</v>
      </c>
      <c r="O104" s="18">
        <f>-'[1]links-p1'!E100</f>
        <v>4657.203389948987</v>
      </c>
      <c r="P104" s="18">
        <f>-'[2]links-p1'!E100</f>
        <v>2109.8359934289851</v>
      </c>
      <c r="R104" s="11"/>
      <c r="T104" s="15">
        <f t="shared" si="8"/>
        <v>99</v>
      </c>
      <c r="U104" s="18">
        <f>-'[1]links-p1'!S100</f>
        <v>672.09336560052543</v>
      </c>
      <c r="V104" s="18">
        <f>-'[2]links-p1'!R100</f>
        <v>6107.5676513994749</v>
      </c>
      <c r="X104" s="11"/>
      <c r="Z104" s="15">
        <f t="shared" si="9"/>
        <v>99</v>
      </c>
      <c r="AA104" s="18">
        <f>-'[1]links-p1'!T100</f>
        <v>6779.486412000002</v>
      </c>
      <c r="AB104" s="18">
        <f>-'[2]links-p1'!S100</f>
        <v>0</v>
      </c>
      <c r="AD104" s="11"/>
    </row>
    <row r="105" spans="2:30" x14ac:dyDescent="0.3">
      <c r="B105" s="15">
        <f t="shared" si="5"/>
        <v>100</v>
      </c>
      <c r="C105" s="4">
        <v>0</v>
      </c>
      <c r="D105" s="4">
        <f>-'[2]links-p1'!B101</f>
        <v>0</v>
      </c>
      <c r="F105" s="11"/>
      <c r="H105" s="15">
        <f t="shared" si="6"/>
        <v>100</v>
      </c>
      <c r="I105" s="4">
        <v>0</v>
      </c>
      <c r="J105" s="4">
        <f>-'[2]links-p1'!H101</f>
        <v>0</v>
      </c>
      <c r="L105" s="11"/>
      <c r="N105" s="15">
        <f t="shared" si="7"/>
        <v>100</v>
      </c>
      <c r="O105" s="18">
        <f>-'[1]links-p1'!E101</f>
        <v>4326.8705219647272</v>
      </c>
      <c r="P105" s="18">
        <f>-'[2]links-p1'!E101</f>
        <v>1712.395750954727</v>
      </c>
      <c r="R105" s="11"/>
      <c r="T105" s="15">
        <f t="shared" si="8"/>
        <v>100</v>
      </c>
      <c r="U105" s="18">
        <f>-'[1]links-p1'!S101</f>
        <v>574.75671347052537</v>
      </c>
      <c r="V105" s="18">
        <f>-'[2]links-p1'!R101</f>
        <v>6204.9043035294753</v>
      </c>
      <c r="X105" s="11"/>
      <c r="Z105" s="15">
        <f t="shared" si="9"/>
        <v>100</v>
      </c>
      <c r="AA105" s="18">
        <f>-'[1]links-p1'!T101</f>
        <v>6779.486412000002</v>
      </c>
      <c r="AB105" s="18">
        <f>-'[2]links-p1'!S101</f>
        <v>0</v>
      </c>
      <c r="AD105" s="11"/>
    </row>
    <row r="106" spans="2:30" x14ac:dyDescent="0.3">
      <c r="B106" s="15">
        <f t="shared" si="5"/>
        <v>101</v>
      </c>
      <c r="C106" s="4">
        <v>0</v>
      </c>
      <c r="D106" s="4">
        <f>-'[2]links-p1'!B102</f>
        <v>0</v>
      </c>
      <c r="F106" s="11"/>
      <c r="H106" s="15">
        <f t="shared" si="6"/>
        <v>101</v>
      </c>
      <c r="I106" s="4">
        <v>0</v>
      </c>
      <c r="J106" s="4">
        <f>-'[2]links-p1'!H102</f>
        <v>0</v>
      </c>
      <c r="L106" s="11"/>
      <c r="N106" s="15">
        <f t="shared" si="7"/>
        <v>101</v>
      </c>
      <c r="O106" s="18">
        <f>-'[1]links-p1'!E102</f>
        <v>2723.810339690805</v>
      </c>
      <c r="P106" s="18">
        <f>-'[2]links-p1'!E102</f>
        <v>13.0904431708052</v>
      </c>
      <c r="R106" s="11"/>
      <c r="T106" s="15">
        <f t="shared" si="8"/>
        <v>101</v>
      </c>
      <c r="U106" s="18">
        <f>-'[1]links-p1'!S102</f>
        <v>904.29683156289332</v>
      </c>
      <c r="V106" s="18">
        <f>-'[2]links-p1'!R102</f>
        <v>5875.3641854371072</v>
      </c>
      <c r="X106" s="11"/>
      <c r="Z106" s="15">
        <f t="shared" si="9"/>
        <v>101</v>
      </c>
      <c r="AA106" s="18">
        <f>-'[1]links-p1'!T102</f>
        <v>6779.486412000002</v>
      </c>
      <c r="AB106" s="18">
        <f>-'[2]links-p1'!S102</f>
        <v>0</v>
      </c>
      <c r="AD106" s="11"/>
    </row>
    <row r="107" spans="2:30" x14ac:dyDescent="0.3">
      <c r="B107" s="15">
        <f t="shared" si="5"/>
        <v>102</v>
      </c>
      <c r="C107" s="4">
        <v>0</v>
      </c>
      <c r="D107" s="4">
        <f>-'[2]links-p1'!B103</f>
        <v>0</v>
      </c>
      <c r="F107" s="11"/>
      <c r="H107" s="15">
        <f t="shared" si="6"/>
        <v>102</v>
      </c>
      <c r="I107" s="4">
        <v>0</v>
      </c>
      <c r="J107" s="4">
        <f>-'[2]links-p1'!H103</f>
        <v>0</v>
      </c>
      <c r="L107" s="11"/>
      <c r="N107" s="15">
        <f t="shared" si="7"/>
        <v>102</v>
      </c>
      <c r="O107" s="18">
        <f>-'[1]links-p1'!E103</f>
        <v>1546.9096921091691</v>
      </c>
      <c r="P107" s="18">
        <f>-'[2]links-p1'!E103</f>
        <v>0</v>
      </c>
      <c r="R107" s="11"/>
      <c r="T107" s="15">
        <f t="shared" si="8"/>
        <v>102</v>
      </c>
      <c r="U107" s="18">
        <f>-'[1]links-p1'!S103</f>
        <v>903.37706773762932</v>
      </c>
      <c r="V107" s="18">
        <f>-'[2]links-p1'!R103</f>
        <v>5876.2839492623707</v>
      </c>
      <c r="X107" s="11"/>
      <c r="Z107" s="15">
        <f t="shared" si="9"/>
        <v>102</v>
      </c>
      <c r="AA107" s="18">
        <f>-'[1]links-p1'!T103</f>
        <v>6779.486412000002</v>
      </c>
      <c r="AB107" s="18">
        <f>-'[2]links-p1'!S103</f>
        <v>0</v>
      </c>
      <c r="AD107" s="11"/>
    </row>
    <row r="108" spans="2:30" x14ac:dyDescent="0.3">
      <c r="B108" s="15">
        <f t="shared" si="5"/>
        <v>103</v>
      </c>
      <c r="C108" s="4">
        <v>0</v>
      </c>
      <c r="D108" s="4">
        <f>-'[2]links-p1'!B104</f>
        <v>0</v>
      </c>
      <c r="F108" s="11"/>
      <c r="H108" s="15">
        <f t="shared" si="6"/>
        <v>103</v>
      </c>
      <c r="I108" s="4">
        <v>0</v>
      </c>
      <c r="J108" s="4">
        <f>-'[2]links-p1'!H104</f>
        <v>0</v>
      </c>
      <c r="L108" s="11"/>
      <c r="N108" s="15">
        <f t="shared" si="7"/>
        <v>103</v>
      </c>
      <c r="O108" s="18">
        <f>-'[1]links-p1'!E104</f>
        <v>1297.445877816823</v>
      </c>
      <c r="P108" s="18">
        <f>-'[2]links-p1'!E104</f>
        <v>0</v>
      </c>
      <c r="R108" s="11"/>
      <c r="T108" s="15">
        <f t="shared" si="8"/>
        <v>103</v>
      </c>
      <c r="U108" s="18">
        <f>-'[1]links-p1'!S104</f>
        <v>572.91718582999727</v>
      </c>
      <c r="V108" s="18">
        <f>-'[2]links-p1'!R104</f>
        <v>6206.7438311700034</v>
      </c>
      <c r="X108" s="11"/>
      <c r="Z108" s="15">
        <f t="shared" si="9"/>
        <v>103</v>
      </c>
      <c r="AA108" s="18">
        <f>-'[1]links-p1'!T104</f>
        <v>6779.486412000002</v>
      </c>
      <c r="AB108" s="18">
        <f>-'[2]links-p1'!S104</f>
        <v>0</v>
      </c>
      <c r="AD108" s="11"/>
    </row>
    <row r="109" spans="2:30" x14ac:dyDescent="0.3">
      <c r="B109" s="15">
        <f t="shared" si="5"/>
        <v>104</v>
      </c>
      <c r="C109" s="4">
        <v>0</v>
      </c>
      <c r="D109" s="4">
        <f>-'[2]links-p1'!B105</f>
        <v>0</v>
      </c>
      <c r="F109" s="11"/>
      <c r="H109" s="15">
        <f t="shared" si="6"/>
        <v>104</v>
      </c>
      <c r="I109" s="4">
        <v>0</v>
      </c>
      <c r="J109" s="4">
        <f>-'[2]links-p1'!H105</f>
        <v>0</v>
      </c>
      <c r="L109" s="11"/>
      <c r="N109" s="15">
        <f t="shared" si="7"/>
        <v>104</v>
      </c>
      <c r="O109" s="18">
        <f>-'[1]links-p1'!E105</f>
        <v>1087.6868667645581</v>
      </c>
      <c r="P109" s="18">
        <f>-'[2]links-p1'!E105</f>
        <v>0</v>
      </c>
      <c r="R109" s="11"/>
      <c r="T109" s="15">
        <f t="shared" si="8"/>
        <v>104</v>
      </c>
      <c r="U109" s="18">
        <f>-'[1]links-p1'!S105</f>
        <v>572.45730392236533</v>
      </c>
      <c r="V109" s="18">
        <f>-'[2]links-p1'!R105</f>
        <v>6207.2037130776353</v>
      </c>
      <c r="X109" s="11"/>
      <c r="Z109" s="15">
        <f t="shared" si="9"/>
        <v>104</v>
      </c>
      <c r="AA109" s="18">
        <f>-'[1]links-p1'!T105</f>
        <v>6779.486412000002</v>
      </c>
      <c r="AB109" s="18">
        <f>-'[2]links-p1'!S105</f>
        <v>0</v>
      </c>
      <c r="AD109" s="11"/>
    </row>
    <row r="110" spans="2:30" x14ac:dyDescent="0.3">
      <c r="B110" s="15">
        <f t="shared" si="5"/>
        <v>105</v>
      </c>
      <c r="C110" s="4">
        <v>0</v>
      </c>
      <c r="D110" s="4">
        <f>-'[2]links-p1'!B106</f>
        <v>0</v>
      </c>
      <c r="F110" s="11"/>
      <c r="H110" s="15">
        <f t="shared" si="6"/>
        <v>105</v>
      </c>
      <c r="I110" s="4">
        <v>0</v>
      </c>
      <c r="J110" s="4">
        <f>-'[2]links-p1'!H106</f>
        <v>0</v>
      </c>
      <c r="L110" s="11"/>
      <c r="N110" s="15">
        <f t="shared" si="7"/>
        <v>105</v>
      </c>
      <c r="O110" s="18">
        <f>-'[1]links-p1'!E106</f>
        <v>582.70826630422653</v>
      </c>
      <c r="P110" s="18">
        <f>-'[2]links-p1'!E106</f>
        <v>0</v>
      </c>
      <c r="R110" s="11"/>
      <c r="T110" s="15">
        <f t="shared" si="8"/>
        <v>105</v>
      </c>
      <c r="U110" s="18">
        <f>-'[1]links-p1'!S106</f>
        <v>572.45730392236533</v>
      </c>
      <c r="V110" s="18">
        <f>-'[2]links-p1'!R106</f>
        <v>6310.3037130776347</v>
      </c>
      <c r="X110" s="11"/>
      <c r="Z110" s="15">
        <f t="shared" si="9"/>
        <v>105</v>
      </c>
      <c r="AA110" s="18">
        <f>-'[1]links-p1'!T106</f>
        <v>6779.486412000002</v>
      </c>
      <c r="AB110" s="18">
        <f>-'[2]links-p1'!S106</f>
        <v>0</v>
      </c>
      <c r="AD110" s="11"/>
    </row>
    <row r="111" spans="2:30" x14ac:dyDescent="0.3">
      <c r="B111" s="15">
        <f t="shared" si="5"/>
        <v>106</v>
      </c>
      <c r="C111" s="4">
        <v>0</v>
      </c>
      <c r="D111" s="4">
        <f>-'[2]links-p1'!B107</f>
        <v>0</v>
      </c>
      <c r="F111" s="11"/>
      <c r="H111" s="15">
        <f t="shared" si="6"/>
        <v>106</v>
      </c>
      <c r="I111" s="4">
        <v>0</v>
      </c>
      <c r="J111" s="4">
        <f>-'[2]links-p1'!H107</f>
        <v>0</v>
      </c>
      <c r="L111" s="11"/>
      <c r="N111" s="15">
        <f t="shared" si="7"/>
        <v>106</v>
      </c>
      <c r="O111" s="18">
        <f>-'[1]links-p1'!E107</f>
        <v>0</v>
      </c>
      <c r="P111" s="18">
        <f>-'[2]links-p1'!E107</f>
        <v>0</v>
      </c>
      <c r="R111" s="11"/>
      <c r="T111" s="15">
        <f t="shared" si="8"/>
        <v>106</v>
      </c>
      <c r="U111" s="18">
        <f>-'[1]links-p1'!S107</f>
        <v>242.4573039223653</v>
      </c>
      <c r="V111" s="18">
        <f>-'[2]links-p1'!R107</f>
        <v>7355.2037130776353</v>
      </c>
      <c r="X111" s="11"/>
      <c r="Z111" s="15">
        <f t="shared" si="9"/>
        <v>106</v>
      </c>
      <c r="AA111" s="18">
        <f>-'[1]links-p1'!T107</f>
        <v>6779.486412000002</v>
      </c>
      <c r="AB111" s="18">
        <f>-'[2]links-p1'!S107</f>
        <v>0</v>
      </c>
      <c r="AD111" s="11"/>
    </row>
    <row r="112" spans="2:30" x14ac:dyDescent="0.3">
      <c r="B112" s="15">
        <f t="shared" si="5"/>
        <v>107</v>
      </c>
      <c r="C112" s="4">
        <v>0</v>
      </c>
      <c r="D112" s="4">
        <f>-'[2]links-p1'!B108</f>
        <v>0</v>
      </c>
      <c r="F112" s="11"/>
      <c r="H112" s="15">
        <f t="shared" si="6"/>
        <v>107</v>
      </c>
      <c r="I112" s="4">
        <v>0</v>
      </c>
      <c r="J112" s="4">
        <f>-'[2]links-p1'!H108</f>
        <v>0</v>
      </c>
      <c r="L112" s="11"/>
      <c r="N112" s="15">
        <f t="shared" si="7"/>
        <v>107</v>
      </c>
      <c r="O112" s="18">
        <f>-'[1]links-p1'!E108</f>
        <v>6555.5531973387842</v>
      </c>
      <c r="P112" s="18">
        <f>-'[2]links-p1'!E108</f>
        <v>6555.5531973387842</v>
      </c>
      <c r="R112" s="11"/>
      <c r="T112" s="15">
        <f t="shared" si="8"/>
        <v>107</v>
      </c>
      <c r="U112" s="18">
        <f>-'[1]links-p1'!S108</f>
        <v>242.4573039223653</v>
      </c>
      <c r="V112" s="18">
        <f>-'[2]links-p1'!R108</f>
        <v>7355.2037130776353</v>
      </c>
      <c r="X112" s="11"/>
      <c r="Z112" s="15">
        <f t="shared" si="9"/>
        <v>107</v>
      </c>
      <c r="AA112" s="18">
        <f>-'[1]links-p1'!T108</f>
        <v>6779.486412000002</v>
      </c>
      <c r="AB112" s="18">
        <f>-'[2]links-p1'!S108</f>
        <v>0</v>
      </c>
      <c r="AD112" s="11"/>
    </row>
    <row r="113" spans="2:30" x14ac:dyDescent="0.3">
      <c r="B113" s="15">
        <f t="shared" si="5"/>
        <v>108</v>
      </c>
      <c r="C113" s="4">
        <v>0</v>
      </c>
      <c r="D113" s="4">
        <f>-'[2]links-p1'!B109</f>
        <v>0</v>
      </c>
      <c r="F113" s="11"/>
      <c r="H113" s="15">
        <f t="shared" si="6"/>
        <v>108</v>
      </c>
      <c r="I113" s="4">
        <v>0</v>
      </c>
      <c r="J113" s="4">
        <f>-'[2]links-p1'!H109</f>
        <v>0</v>
      </c>
      <c r="L113" s="11"/>
      <c r="N113" s="15">
        <f t="shared" si="7"/>
        <v>108</v>
      </c>
      <c r="O113" s="18">
        <f>-'[1]links-p1'!E109</f>
        <v>15500</v>
      </c>
      <c r="P113" s="18">
        <f>-'[2]links-p1'!E109</f>
        <v>15500</v>
      </c>
      <c r="R113" s="11"/>
      <c r="T113" s="15">
        <f t="shared" si="8"/>
        <v>108</v>
      </c>
      <c r="U113" s="18">
        <f>-'[1]links-p1'!S109</f>
        <v>242.91718582999729</v>
      </c>
      <c r="V113" s="18">
        <f>-'[2]links-p1'!R109</f>
        <v>7354.7438311700034</v>
      </c>
      <c r="X113" s="11"/>
      <c r="Z113" s="15">
        <f t="shared" si="9"/>
        <v>108</v>
      </c>
      <c r="AA113" s="18">
        <f>-'[1]links-p1'!T109</f>
        <v>6779.486412000002</v>
      </c>
      <c r="AB113" s="18">
        <f>-'[2]links-p1'!S109</f>
        <v>0</v>
      </c>
      <c r="AD113" s="11"/>
    </row>
    <row r="114" spans="2:30" x14ac:dyDescent="0.3">
      <c r="B114" s="15">
        <f t="shared" si="5"/>
        <v>109</v>
      </c>
      <c r="C114" s="4">
        <v>0</v>
      </c>
      <c r="D114" s="4">
        <f>-'[2]links-p1'!B110</f>
        <v>0</v>
      </c>
      <c r="F114" s="11"/>
      <c r="H114" s="15">
        <f t="shared" si="6"/>
        <v>109</v>
      </c>
      <c r="I114" s="4">
        <v>0</v>
      </c>
      <c r="J114" s="4">
        <f>-'[2]links-p1'!H110</f>
        <v>0</v>
      </c>
      <c r="L114" s="11"/>
      <c r="N114" s="15">
        <f t="shared" si="7"/>
        <v>109</v>
      </c>
      <c r="O114" s="18">
        <f>-'[1]links-p1'!E110</f>
        <v>15500</v>
      </c>
      <c r="P114" s="18">
        <f>-'[2]links-p1'!E110</f>
        <v>15500</v>
      </c>
      <c r="R114" s="11"/>
      <c r="T114" s="15">
        <f t="shared" si="8"/>
        <v>109</v>
      </c>
      <c r="U114" s="18">
        <f>-'[1]links-p1'!S110</f>
        <v>243.37706773762929</v>
      </c>
      <c r="V114" s="18">
        <f>-'[2]links-p1'!R110</f>
        <v>7354.2839492623707</v>
      </c>
      <c r="X114" s="11"/>
      <c r="Z114" s="15">
        <f t="shared" si="9"/>
        <v>109</v>
      </c>
      <c r="AA114" s="18">
        <f>-'[1]links-p1'!T110</f>
        <v>6779.486412000002</v>
      </c>
      <c r="AB114" s="18">
        <f>-'[2]links-p1'!S110</f>
        <v>0</v>
      </c>
      <c r="AD114" s="11"/>
    </row>
    <row r="115" spans="2:30" x14ac:dyDescent="0.3">
      <c r="B115" s="15">
        <f t="shared" si="5"/>
        <v>110</v>
      </c>
      <c r="C115" s="4">
        <v>0</v>
      </c>
      <c r="D115" s="4">
        <f>-'[2]links-p1'!B111</f>
        <v>0</v>
      </c>
      <c r="F115" s="11"/>
      <c r="H115" s="15">
        <f t="shared" si="6"/>
        <v>110</v>
      </c>
      <c r="I115" s="4">
        <v>0</v>
      </c>
      <c r="J115" s="4">
        <f>-'[2]links-p1'!H111</f>
        <v>0</v>
      </c>
      <c r="L115" s="11"/>
      <c r="N115" s="15">
        <f t="shared" si="7"/>
        <v>110</v>
      </c>
      <c r="O115" s="18">
        <f>-'[1]links-p1'!E111</f>
        <v>15500</v>
      </c>
      <c r="P115" s="18">
        <f>-'[2]links-p1'!E111</f>
        <v>15500</v>
      </c>
      <c r="R115" s="11"/>
      <c r="T115" s="15">
        <f t="shared" si="8"/>
        <v>110</v>
      </c>
      <c r="U115" s="18">
        <f>-'[1]links-p1'!S111</f>
        <v>243.37706773762929</v>
      </c>
      <c r="V115" s="18">
        <f>-'[2]links-p1'!R111</f>
        <v>7354.2839492623707</v>
      </c>
      <c r="X115" s="11"/>
      <c r="Z115" s="15">
        <f t="shared" si="9"/>
        <v>110</v>
      </c>
      <c r="AA115" s="18">
        <f>-'[1]links-p1'!T111</f>
        <v>6779.486412000002</v>
      </c>
      <c r="AB115" s="18">
        <f>-'[2]links-p1'!S111</f>
        <v>0</v>
      </c>
      <c r="AD115" s="11"/>
    </row>
    <row r="116" spans="2:30" x14ac:dyDescent="0.3">
      <c r="B116" s="15">
        <f t="shared" si="5"/>
        <v>111</v>
      </c>
      <c r="C116" s="4">
        <v>0</v>
      </c>
      <c r="D116" s="4">
        <f>-'[2]links-p1'!B112</f>
        <v>0</v>
      </c>
      <c r="F116" s="11"/>
      <c r="H116" s="15">
        <f t="shared" si="6"/>
        <v>111</v>
      </c>
      <c r="I116" s="4">
        <v>0</v>
      </c>
      <c r="J116" s="4">
        <f>-'[2]links-p1'!H112</f>
        <v>0</v>
      </c>
      <c r="L116" s="11"/>
      <c r="N116" s="15">
        <f t="shared" si="7"/>
        <v>111</v>
      </c>
      <c r="O116" s="18">
        <f>-'[1]links-p1'!E112</f>
        <v>15500</v>
      </c>
      <c r="P116" s="18">
        <f>-'[2]links-p1'!E112</f>
        <v>15500</v>
      </c>
      <c r="R116" s="11"/>
      <c r="T116" s="15">
        <f t="shared" si="8"/>
        <v>111</v>
      </c>
      <c r="U116" s="18">
        <f>-'[1]links-p1'!S112</f>
        <v>242.91718582999729</v>
      </c>
      <c r="V116" s="18">
        <f>-'[2]links-p1'!R112</f>
        <v>7354.7438311700034</v>
      </c>
      <c r="X116" s="11"/>
      <c r="Z116" s="15">
        <f t="shared" si="9"/>
        <v>111</v>
      </c>
      <c r="AA116" s="18">
        <f>-'[1]links-p1'!T112</f>
        <v>6779.486412000002</v>
      </c>
      <c r="AB116" s="18">
        <f>-'[2]links-p1'!S112</f>
        <v>0</v>
      </c>
      <c r="AD116" s="11"/>
    </row>
    <row r="117" spans="2:30" x14ac:dyDescent="0.3">
      <c r="B117" s="15">
        <f t="shared" si="5"/>
        <v>112</v>
      </c>
      <c r="C117" s="4">
        <v>0</v>
      </c>
      <c r="D117" s="4">
        <f>-'[2]links-p1'!B113</f>
        <v>0</v>
      </c>
      <c r="F117" s="11"/>
      <c r="H117" s="15">
        <f t="shared" si="6"/>
        <v>112</v>
      </c>
      <c r="I117" s="4">
        <v>0</v>
      </c>
      <c r="J117" s="4">
        <f>-'[2]links-p1'!H113</f>
        <v>0</v>
      </c>
      <c r="L117" s="11"/>
      <c r="N117" s="15">
        <f t="shared" si="7"/>
        <v>112</v>
      </c>
      <c r="O117" s="18">
        <f>-'[1]links-p1'!E113</f>
        <v>15500</v>
      </c>
      <c r="P117" s="18">
        <f>-'[2]links-p1'!E113</f>
        <v>15500</v>
      </c>
      <c r="R117" s="11"/>
      <c r="T117" s="15">
        <f t="shared" si="8"/>
        <v>112</v>
      </c>
      <c r="U117" s="18">
        <f>-'[1]links-p1'!S113</f>
        <v>242.4573039223653</v>
      </c>
      <c r="V117" s="18">
        <f>-'[2]links-p1'!R113</f>
        <v>7355.2037130776353</v>
      </c>
      <c r="X117" s="11"/>
      <c r="Z117" s="15">
        <f t="shared" si="9"/>
        <v>112</v>
      </c>
      <c r="AA117" s="18">
        <f>-'[1]links-p1'!T113</f>
        <v>6779.486412000002</v>
      </c>
      <c r="AB117" s="18">
        <f>-'[2]links-p1'!S113</f>
        <v>0</v>
      </c>
      <c r="AD117" s="11"/>
    </row>
    <row r="118" spans="2:30" x14ac:dyDescent="0.3">
      <c r="B118" s="15">
        <f t="shared" si="5"/>
        <v>113</v>
      </c>
      <c r="C118" s="4">
        <v>0</v>
      </c>
      <c r="D118" s="4">
        <f>-'[2]links-p1'!B114</f>
        <v>0</v>
      </c>
      <c r="F118" s="11"/>
      <c r="H118" s="15">
        <f t="shared" si="6"/>
        <v>113</v>
      </c>
      <c r="I118" s="4">
        <v>0</v>
      </c>
      <c r="J118" s="4">
        <f>-'[2]links-p1'!H114</f>
        <v>0</v>
      </c>
      <c r="L118" s="11"/>
      <c r="N118" s="15">
        <f t="shared" si="7"/>
        <v>113</v>
      </c>
      <c r="O118" s="18">
        <f>-'[1]links-p1'!E114</f>
        <v>11227.84991862234</v>
      </c>
      <c r="P118" s="18">
        <f>-'[2]links-p1'!E114</f>
        <v>11227.84991862234</v>
      </c>
      <c r="R118" s="11"/>
      <c r="T118" s="15">
        <f t="shared" si="8"/>
        <v>113</v>
      </c>
      <c r="U118" s="18">
        <f>-'[1]links-p1'!S114</f>
        <v>242.4573039223653</v>
      </c>
      <c r="V118" s="18">
        <f>-'[2]links-p1'!R114</f>
        <v>7355.2037130776353</v>
      </c>
      <c r="X118" s="11"/>
      <c r="Z118" s="15">
        <f t="shared" si="9"/>
        <v>113</v>
      </c>
      <c r="AA118" s="18">
        <f>-'[1]links-p1'!T114</f>
        <v>6779.486412000002</v>
      </c>
      <c r="AB118" s="18">
        <f>-'[2]links-p1'!S114</f>
        <v>0</v>
      </c>
      <c r="AD118" s="11"/>
    </row>
    <row r="119" spans="2:30" x14ac:dyDescent="0.3">
      <c r="B119" s="15">
        <f t="shared" si="5"/>
        <v>114</v>
      </c>
      <c r="C119" s="4">
        <v>0</v>
      </c>
      <c r="D119" s="4">
        <f>-'[2]links-p1'!B115</f>
        <v>0</v>
      </c>
      <c r="F119" s="11"/>
      <c r="H119" s="15">
        <f t="shared" si="6"/>
        <v>114</v>
      </c>
      <c r="I119" s="4">
        <v>0</v>
      </c>
      <c r="J119" s="4">
        <f>-'[2]links-p1'!H115</f>
        <v>0</v>
      </c>
      <c r="L119" s="11"/>
      <c r="N119" s="15">
        <f t="shared" si="7"/>
        <v>114</v>
      </c>
      <c r="O119" s="18">
        <f>-'[1]links-p1'!E115</f>
        <v>0</v>
      </c>
      <c r="P119" s="18">
        <f>-'[2]links-p1'!E115</f>
        <v>0</v>
      </c>
      <c r="R119" s="11"/>
      <c r="T119" s="15">
        <f t="shared" si="8"/>
        <v>114</v>
      </c>
      <c r="U119" s="18">
        <f>-'[1]links-p1'!S115</f>
        <v>572.45730392236533</v>
      </c>
      <c r="V119" s="18">
        <f>-'[2]links-p1'!R115</f>
        <v>7025.2037130776353</v>
      </c>
      <c r="X119" s="11"/>
      <c r="Z119" s="15">
        <f t="shared" si="9"/>
        <v>114</v>
      </c>
      <c r="AA119" s="18">
        <f>-'[1]links-p1'!T115</f>
        <v>6779.486412000002</v>
      </c>
      <c r="AB119" s="18">
        <f>-'[2]links-p1'!S115</f>
        <v>0</v>
      </c>
      <c r="AD119" s="11"/>
    </row>
    <row r="120" spans="2:30" x14ac:dyDescent="0.3">
      <c r="B120" s="15">
        <f t="shared" si="5"/>
        <v>115</v>
      </c>
      <c r="C120" s="4">
        <v>0</v>
      </c>
      <c r="D120" s="4">
        <f>-'[2]links-p1'!B116</f>
        <v>0</v>
      </c>
      <c r="F120" s="11"/>
      <c r="H120" s="15">
        <f t="shared" si="6"/>
        <v>115</v>
      </c>
      <c r="I120" s="4">
        <v>0</v>
      </c>
      <c r="J120" s="4">
        <f>-'[2]links-p1'!H116</f>
        <v>0</v>
      </c>
      <c r="L120" s="11"/>
      <c r="N120" s="15">
        <f t="shared" si="7"/>
        <v>115</v>
      </c>
      <c r="O120" s="18">
        <f>-'[1]links-p1'!E116</f>
        <v>1560.7037990598419</v>
      </c>
      <c r="P120" s="18">
        <f>-'[2]links-p1'!E116</f>
        <v>0</v>
      </c>
      <c r="R120" s="11"/>
      <c r="T120" s="15">
        <f t="shared" si="8"/>
        <v>115</v>
      </c>
      <c r="U120" s="18">
        <f>-'[1]links-p1'!S116</f>
        <v>572.91718582999727</v>
      </c>
      <c r="V120" s="18">
        <f>-'[2]links-p1'!R116</f>
        <v>6373.7442569700033</v>
      </c>
      <c r="X120" s="11"/>
      <c r="Z120" s="15">
        <f t="shared" si="9"/>
        <v>115</v>
      </c>
      <c r="AA120" s="18">
        <f>-'[1]links-p1'!T116</f>
        <v>6779.486412000002</v>
      </c>
      <c r="AB120" s="18">
        <f>-'[2]links-p1'!S116</f>
        <v>0</v>
      </c>
      <c r="AD120" s="11"/>
    </row>
    <row r="121" spans="2:30" x14ac:dyDescent="0.3">
      <c r="B121" s="15">
        <f t="shared" si="5"/>
        <v>116</v>
      </c>
      <c r="C121" s="4">
        <v>0</v>
      </c>
      <c r="D121" s="4">
        <f>-'[2]links-p1'!B117</f>
        <v>0</v>
      </c>
      <c r="F121" s="11"/>
      <c r="H121" s="15">
        <f t="shared" si="6"/>
        <v>116</v>
      </c>
      <c r="I121" s="4">
        <v>0</v>
      </c>
      <c r="J121" s="4">
        <f>-'[2]links-p1'!H117</f>
        <v>0</v>
      </c>
      <c r="L121" s="11"/>
      <c r="N121" s="15">
        <f t="shared" si="7"/>
        <v>116</v>
      </c>
      <c r="O121" s="18">
        <f>-'[1]links-p1'!E117</f>
        <v>2396.5780931974441</v>
      </c>
      <c r="P121" s="18">
        <f>-'[2]links-p1'!E117</f>
        <v>0</v>
      </c>
      <c r="R121" s="11"/>
      <c r="T121" s="15">
        <f t="shared" si="8"/>
        <v>116</v>
      </c>
      <c r="U121" s="18">
        <f>-'[1]links-p1'!S117</f>
        <v>903.37706773762932</v>
      </c>
      <c r="V121" s="18">
        <f>-'[2]links-p1'!R117</f>
        <v>5876.2839492623707</v>
      </c>
      <c r="X121" s="11"/>
      <c r="Z121" s="15">
        <f t="shared" si="9"/>
        <v>116</v>
      </c>
      <c r="AA121" s="18">
        <f>-'[1]links-p1'!T117</f>
        <v>6779.486412000002</v>
      </c>
      <c r="AB121" s="18">
        <f>-'[2]links-p1'!S117</f>
        <v>0</v>
      </c>
      <c r="AD121" s="11"/>
    </row>
    <row r="122" spans="2:30" x14ac:dyDescent="0.3">
      <c r="B122" s="15">
        <f t="shared" si="5"/>
        <v>117</v>
      </c>
      <c r="C122" s="4">
        <v>0</v>
      </c>
      <c r="D122" s="4">
        <f>-'[2]links-p1'!B118</f>
        <v>0</v>
      </c>
      <c r="F122" s="11"/>
      <c r="H122" s="15">
        <f t="shared" si="6"/>
        <v>117</v>
      </c>
      <c r="I122" s="4">
        <v>0</v>
      </c>
      <c r="J122" s="4">
        <f>-'[2]links-p1'!H118</f>
        <v>0</v>
      </c>
      <c r="L122" s="11"/>
      <c r="N122" s="15">
        <f t="shared" si="7"/>
        <v>117</v>
      </c>
      <c r="O122" s="18">
        <f>-'[1]links-p1'!E118</f>
        <v>2740.8327184520658</v>
      </c>
      <c r="P122" s="18">
        <f>-'[2]links-p1'!E118</f>
        <v>137.35433427206499</v>
      </c>
      <c r="R122" s="11"/>
      <c r="T122" s="15">
        <f t="shared" si="8"/>
        <v>117</v>
      </c>
      <c r="U122" s="18">
        <f>-'[1]links-p1'!S118</f>
        <v>903.83694964526137</v>
      </c>
      <c r="V122" s="18">
        <f>-'[2]links-p1'!R118</f>
        <v>5875.8240673547389</v>
      </c>
      <c r="X122" s="11"/>
      <c r="Z122" s="15">
        <f t="shared" si="9"/>
        <v>117</v>
      </c>
      <c r="AA122" s="18">
        <f>-'[1]links-p1'!T118</f>
        <v>6779.486412000002</v>
      </c>
      <c r="AB122" s="18">
        <f>-'[2]links-p1'!S118</f>
        <v>0</v>
      </c>
      <c r="AD122" s="11"/>
    </row>
    <row r="123" spans="2:30" x14ac:dyDescent="0.3">
      <c r="B123" s="15">
        <f t="shared" si="5"/>
        <v>118</v>
      </c>
      <c r="C123" s="4">
        <v>0</v>
      </c>
      <c r="D123" s="4">
        <f>-'[2]links-p1'!B119</f>
        <v>0</v>
      </c>
      <c r="F123" s="11"/>
      <c r="H123" s="15">
        <f t="shared" si="6"/>
        <v>118</v>
      </c>
      <c r="I123" s="4">
        <v>0</v>
      </c>
      <c r="J123" s="4">
        <f>-'[2]links-p1'!H119</f>
        <v>0</v>
      </c>
      <c r="L123" s="11"/>
      <c r="N123" s="15">
        <f t="shared" si="7"/>
        <v>118</v>
      </c>
      <c r="O123" s="18">
        <f>-'[1]links-p1'!E119</f>
        <v>3044.6501874354981</v>
      </c>
      <c r="P123" s="18">
        <f>-'[2]links-p1'!E119</f>
        <v>520.49003988549794</v>
      </c>
      <c r="R123" s="11"/>
      <c r="T123" s="15">
        <f t="shared" si="8"/>
        <v>118</v>
      </c>
      <c r="U123" s="18">
        <f>-'[1]links-p1'!S119</f>
        <v>574.29683156289332</v>
      </c>
      <c r="V123" s="18">
        <f>-'[2]links-p1'!R119</f>
        <v>6205.3641854371072</v>
      </c>
      <c r="X123" s="11"/>
      <c r="Z123" s="15">
        <f t="shared" si="9"/>
        <v>118</v>
      </c>
      <c r="AA123" s="18">
        <f>-'[1]links-p1'!T119</f>
        <v>6779.486412000002</v>
      </c>
      <c r="AB123" s="18">
        <f>-'[2]links-p1'!S119</f>
        <v>0</v>
      </c>
      <c r="AD123" s="11"/>
    </row>
    <row r="124" spans="2:30" x14ac:dyDescent="0.3">
      <c r="B124" s="15">
        <f t="shared" si="5"/>
        <v>119</v>
      </c>
      <c r="C124" s="4">
        <v>0</v>
      </c>
      <c r="D124" s="4">
        <f>-'[2]links-p1'!B120</f>
        <v>0</v>
      </c>
      <c r="F124" s="11"/>
      <c r="H124" s="15">
        <f t="shared" si="6"/>
        <v>119</v>
      </c>
      <c r="I124" s="4">
        <v>0</v>
      </c>
      <c r="J124" s="4">
        <f>-'[2]links-p1'!H120</f>
        <v>0</v>
      </c>
      <c r="L124" s="11"/>
      <c r="N124" s="15">
        <f t="shared" si="7"/>
        <v>119</v>
      </c>
      <c r="O124" s="18">
        <f>-'[1]links-p1'!E120</f>
        <v>2823.4564555706052</v>
      </c>
      <c r="P124" s="18">
        <f>-'[2]links-p1'!E120</f>
        <v>361.54206728060223</v>
      </c>
      <c r="R124" s="11"/>
      <c r="T124" s="15">
        <f t="shared" si="8"/>
        <v>119</v>
      </c>
      <c r="U124" s="18">
        <f>-'[1]links-p1'!S120</f>
        <v>904.75671347052537</v>
      </c>
      <c r="V124" s="18">
        <f>-'[2]links-p1'!R120</f>
        <v>5874.9043035294753</v>
      </c>
      <c r="X124" s="11"/>
      <c r="Z124" s="15">
        <f t="shared" si="9"/>
        <v>119</v>
      </c>
      <c r="AA124" s="18">
        <f>-'[1]links-p1'!T120</f>
        <v>6779.486412000002</v>
      </c>
      <c r="AB124" s="18">
        <f>-'[2]links-p1'!S120</f>
        <v>0</v>
      </c>
      <c r="AD124" s="11"/>
    </row>
    <row r="125" spans="2:30" x14ac:dyDescent="0.3">
      <c r="B125" s="15">
        <f t="shared" si="5"/>
        <v>120</v>
      </c>
      <c r="C125" s="4">
        <v>0</v>
      </c>
      <c r="D125" s="4">
        <f>-'[2]links-p1'!B121</f>
        <v>0</v>
      </c>
      <c r="F125" s="11"/>
      <c r="H125" s="15">
        <f t="shared" si="6"/>
        <v>120</v>
      </c>
      <c r="I125" s="4">
        <v>0</v>
      </c>
      <c r="J125" s="4">
        <f>-'[2]links-p1'!H121</f>
        <v>0</v>
      </c>
      <c r="L125" s="11"/>
      <c r="N125" s="15">
        <f t="shared" si="7"/>
        <v>120</v>
      </c>
      <c r="O125" s="18">
        <f>-'[1]links-p1'!E121</f>
        <v>3115.5006577697432</v>
      </c>
      <c r="P125" s="18">
        <f>-'[2]links-p1'!E121</f>
        <v>644.30500404974191</v>
      </c>
      <c r="R125" s="11"/>
      <c r="T125" s="15">
        <f t="shared" si="8"/>
        <v>120</v>
      </c>
      <c r="U125" s="18">
        <f>-'[1]links-p1'!S121</f>
        <v>574.75671347052537</v>
      </c>
      <c r="V125" s="18">
        <f>-'[2]links-p1'!R121</f>
        <v>6204.9043035294753</v>
      </c>
      <c r="X125" s="11"/>
      <c r="Z125" s="15">
        <f t="shared" si="9"/>
        <v>120</v>
      </c>
      <c r="AA125" s="18">
        <f>-'[1]links-p1'!T121</f>
        <v>6779.486412000002</v>
      </c>
      <c r="AB125" s="18">
        <f>-'[2]links-p1'!S121</f>
        <v>0</v>
      </c>
      <c r="AD125" s="11"/>
    </row>
    <row r="126" spans="2:30" x14ac:dyDescent="0.3">
      <c r="B126" s="15">
        <f t="shared" si="5"/>
        <v>121</v>
      </c>
      <c r="C126" s="4">
        <v>0</v>
      </c>
      <c r="D126" s="4">
        <f>-'[2]links-p1'!B122</f>
        <v>0</v>
      </c>
      <c r="F126" s="11"/>
      <c r="H126" s="15">
        <f t="shared" si="6"/>
        <v>121</v>
      </c>
      <c r="I126" s="4">
        <v>0</v>
      </c>
      <c r="J126" s="4">
        <f>-'[2]links-p1'!H122</f>
        <v>0</v>
      </c>
      <c r="L126" s="11"/>
      <c r="N126" s="15">
        <f t="shared" si="7"/>
        <v>121</v>
      </c>
      <c r="O126" s="18">
        <f>-'[1]links-p1'!E122</f>
        <v>3629.7231171351782</v>
      </c>
      <c r="P126" s="18">
        <f>-'[2]links-p1'!E122</f>
        <v>1131.3982391351769</v>
      </c>
      <c r="R126" s="11"/>
      <c r="T126" s="15">
        <f t="shared" si="8"/>
        <v>121</v>
      </c>
      <c r="U126" s="18">
        <f>-'[1]links-p1'!S122</f>
        <v>244.84032331009479</v>
      </c>
      <c r="V126" s="18">
        <f>-'[2]links-p1'!R122</f>
        <v>6534.820693689906</v>
      </c>
      <c r="X126" s="11"/>
      <c r="Z126" s="15">
        <f t="shared" si="9"/>
        <v>121</v>
      </c>
      <c r="AA126" s="18">
        <f>-'[1]links-p1'!T122</f>
        <v>6779.486412000002</v>
      </c>
      <c r="AB126" s="18">
        <f>-'[2]links-p1'!S122</f>
        <v>0</v>
      </c>
      <c r="AD126" s="11"/>
    </row>
    <row r="127" spans="2:30" x14ac:dyDescent="0.3">
      <c r="B127" s="15">
        <f t="shared" si="5"/>
        <v>122</v>
      </c>
      <c r="C127" s="4">
        <v>0</v>
      </c>
      <c r="D127" s="4">
        <f>-'[2]links-p1'!B123</f>
        <v>0</v>
      </c>
      <c r="F127" s="11"/>
      <c r="H127" s="15">
        <f t="shared" si="6"/>
        <v>122</v>
      </c>
      <c r="I127" s="4">
        <v>0</v>
      </c>
      <c r="J127" s="4">
        <f>-'[2]links-p1'!H123</f>
        <v>0</v>
      </c>
      <c r="L127" s="11"/>
      <c r="N127" s="15">
        <f t="shared" si="7"/>
        <v>122</v>
      </c>
      <c r="O127" s="18">
        <f>-'[1]links-p1'!E123</f>
        <v>4591.3200185817032</v>
      </c>
      <c r="P127" s="18">
        <f>-'[2]links-p1'!E123</f>
        <v>2332.9930546525302</v>
      </c>
      <c r="R127" s="11"/>
      <c r="T127" s="15">
        <f t="shared" si="8"/>
        <v>122</v>
      </c>
      <c r="U127" s="18">
        <f>-'[1]links-p1'!S123</f>
        <v>282.01795246009488</v>
      </c>
      <c r="V127" s="18">
        <f>-'[2]links-p1'!R123</f>
        <v>7315.643064539905</v>
      </c>
      <c r="X127" s="11"/>
      <c r="Z127" s="15">
        <f t="shared" si="9"/>
        <v>122</v>
      </c>
      <c r="AA127" s="18">
        <f>-'[1]links-p1'!T123</f>
        <v>6779.486412000002</v>
      </c>
      <c r="AB127" s="18">
        <f>-'[2]links-p1'!S123</f>
        <v>0</v>
      </c>
      <c r="AD127" s="11"/>
    </row>
    <row r="128" spans="2:30" x14ac:dyDescent="0.3">
      <c r="B128" s="15">
        <f t="shared" si="5"/>
        <v>123</v>
      </c>
      <c r="C128" s="4">
        <v>0</v>
      </c>
      <c r="D128" s="4">
        <f>-'[2]links-p1'!B124</f>
        <v>0</v>
      </c>
      <c r="F128" s="11"/>
      <c r="H128" s="15">
        <f t="shared" si="6"/>
        <v>123</v>
      </c>
      <c r="I128" s="4">
        <v>0</v>
      </c>
      <c r="J128" s="4">
        <f>-'[2]links-p1'!H124</f>
        <v>0</v>
      </c>
      <c r="L128" s="11"/>
      <c r="N128" s="15">
        <f t="shared" si="7"/>
        <v>123</v>
      </c>
      <c r="O128" s="18">
        <f>-'[1]links-p1'!E124</f>
        <v>4650.5539488312752</v>
      </c>
      <c r="P128" s="18">
        <f>-'[2]links-p1'!E124</f>
        <v>2699.8546789869229</v>
      </c>
      <c r="R128" s="11"/>
      <c r="T128" s="15">
        <f t="shared" si="8"/>
        <v>123</v>
      </c>
      <c r="U128" s="18">
        <f>-'[1]links-p1'!S124</f>
        <v>574.84032331009485</v>
      </c>
      <c r="V128" s="18">
        <f>-'[2]links-p1'!R124</f>
        <v>7022.820693689906</v>
      </c>
      <c r="X128" s="11"/>
      <c r="Z128" s="15">
        <f t="shared" si="9"/>
        <v>123</v>
      </c>
      <c r="AA128" s="18">
        <f>-'[1]links-p1'!T124</f>
        <v>6779.486412000002</v>
      </c>
      <c r="AB128" s="18">
        <f>-'[2]links-p1'!S124</f>
        <v>0</v>
      </c>
      <c r="AD128" s="11"/>
    </row>
    <row r="129" spans="2:30" x14ac:dyDescent="0.3">
      <c r="B129" s="15">
        <f t="shared" si="5"/>
        <v>124</v>
      </c>
      <c r="C129" s="4">
        <v>0</v>
      </c>
      <c r="D129" s="4">
        <f>-'[2]links-p1'!B125</f>
        <v>0</v>
      </c>
      <c r="F129" s="11"/>
      <c r="H129" s="15">
        <f t="shared" si="6"/>
        <v>124</v>
      </c>
      <c r="I129" s="4">
        <v>0</v>
      </c>
      <c r="J129" s="4">
        <f>-'[2]links-p1'!H125</f>
        <v>0</v>
      </c>
      <c r="L129" s="11"/>
      <c r="N129" s="15">
        <f t="shared" si="7"/>
        <v>124</v>
      </c>
      <c r="O129" s="18">
        <f>-'[1]links-p1'!E125</f>
        <v>5176.4342042282187</v>
      </c>
      <c r="P129" s="18">
        <f>-'[2]links-p1'!E125</f>
        <v>2704.3512816820462</v>
      </c>
      <c r="R129" s="11"/>
      <c r="T129" s="15">
        <f t="shared" si="8"/>
        <v>124</v>
      </c>
      <c r="U129" s="18">
        <f>-'[1]links-p1'!S125</f>
        <v>244.84032331009479</v>
      </c>
      <c r="V129" s="18">
        <f>-'[2]links-p1'!R125</f>
        <v>7352.820693689906</v>
      </c>
      <c r="X129" s="11"/>
      <c r="Z129" s="15">
        <f t="shared" si="9"/>
        <v>124</v>
      </c>
      <c r="AA129" s="18">
        <f>-'[1]links-p1'!T125</f>
        <v>6779.486412000002</v>
      </c>
      <c r="AB129" s="18">
        <f>-'[2]links-p1'!S125</f>
        <v>0</v>
      </c>
      <c r="AD129" s="11"/>
    </row>
    <row r="130" spans="2:30" x14ac:dyDescent="0.3">
      <c r="B130" s="15">
        <f t="shared" si="5"/>
        <v>125</v>
      </c>
      <c r="C130" s="4">
        <v>0</v>
      </c>
      <c r="D130" s="4">
        <f>-'[2]links-p1'!B126</f>
        <v>0</v>
      </c>
      <c r="F130" s="11"/>
      <c r="H130" s="15">
        <f t="shared" si="6"/>
        <v>125</v>
      </c>
      <c r="I130" s="4">
        <v>0</v>
      </c>
      <c r="J130" s="4">
        <f>-'[2]links-p1'!H126</f>
        <v>0</v>
      </c>
      <c r="L130" s="11"/>
      <c r="N130" s="15">
        <f t="shared" si="7"/>
        <v>125</v>
      </c>
      <c r="O130" s="18">
        <f>-'[1]links-p1'!E126</f>
        <v>5418.9190743744657</v>
      </c>
      <c r="P130" s="18">
        <f>-'[2]links-p1'!E126</f>
        <v>3130.6184028065782</v>
      </c>
      <c r="R130" s="11"/>
      <c r="T130" s="15">
        <f t="shared" si="8"/>
        <v>125</v>
      </c>
      <c r="U130" s="18">
        <f>-'[1]links-p1'!S126</f>
        <v>243.9125893948719</v>
      </c>
      <c r="V130" s="18">
        <f>-'[2]links-p1'!R126</f>
        <v>7353.7484276051282</v>
      </c>
      <c r="X130" s="11"/>
      <c r="Z130" s="15">
        <f t="shared" si="9"/>
        <v>125</v>
      </c>
      <c r="AA130" s="18">
        <f>-'[1]links-p1'!T126</f>
        <v>6779.486412000002</v>
      </c>
      <c r="AB130" s="18">
        <f>-'[2]links-p1'!S126</f>
        <v>0</v>
      </c>
      <c r="AD130" s="11"/>
    </row>
    <row r="131" spans="2:30" x14ac:dyDescent="0.3">
      <c r="B131" s="15">
        <f t="shared" si="5"/>
        <v>126</v>
      </c>
      <c r="C131" s="4">
        <v>0</v>
      </c>
      <c r="D131" s="4">
        <f>-'[2]links-p1'!B127</f>
        <v>0</v>
      </c>
      <c r="F131" s="11"/>
      <c r="H131" s="15">
        <f t="shared" si="6"/>
        <v>126</v>
      </c>
      <c r="I131" s="4">
        <v>0</v>
      </c>
      <c r="J131" s="4">
        <f>-'[2]links-p1'!H127</f>
        <v>0</v>
      </c>
      <c r="L131" s="11"/>
      <c r="N131" s="15">
        <f t="shared" si="7"/>
        <v>126</v>
      </c>
      <c r="O131" s="18">
        <f>-'[1]links-p1'!E127</f>
        <v>4912.7150568478592</v>
      </c>
      <c r="P131" s="18">
        <f>-'[2]links-p1'!E127</f>
        <v>3241.8778839242309</v>
      </c>
      <c r="R131" s="11"/>
      <c r="T131" s="15">
        <f t="shared" si="8"/>
        <v>126</v>
      </c>
      <c r="U131" s="18">
        <f>-'[1]links-p1'!S127</f>
        <v>242.98485548964891</v>
      </c>
      <c r="V131" s="18">
        <f>-'[2]links-p1'!R127</f>
        <v>6536.6761615103514</v>
      </c>
      <c r="X131" s="11"/>
      <c r="Z131" s="15">
        <f t="shared" si="9"/>
        <v>126</v>
      </c>
      <c r="AA131" s="18">
        <f>-'[1]links-p1'!T127</f>
        <v>6779.486412000002</v>
      </c>
      <c r="AB131" s="18">
        <f>-'[2]links-p1'!S127</f>
        <v>0</v>
      </c>
      <c r="AD131" s="11"/>
    </row>
    <row r="132" spans="2:30" x14ac:dyDescent="0.3">
      <c r="B132" s="15">
        <f t="shared" si="5"/>
        <v>127</v>
      </c>
      <c r="C132" s="4">
        <v>0</v>
      </c>
      <c r="D132" s="4">
        <f>-'[2]links-p1'!B128</f>
        <v>0</v>
      </c>
      <c r="F132" s="11"/>
      <c r="H132" s="15">
        <f t="shared" si="6"/>
        <v>127</v>
      </c>
      <c r="I132" s="4">
        <v>0</v>
      </c>
      <c r="J132" s="4">
        <f>-'[2]links-p1'!H128</f>
        <v>0</v>
      </c>
      <c r="L132" s="11"/>
      <c r="N132" s="15">
        <f t="shared" si="7"/>
        <v>127</v>
      </c>
      <c r="O132" s="18">
        <f>-'[1]links-p1'!E128</f>
        <v>5965.2245044851588</v>
      </c>
      <c r="P132" s="18">
        <f>-'[2]links-p1'!E128</f>
        <v>3061.0940297751581</v>
      </c>
      <c r="R132" s="11"/>
      <c r="T132" s="15">
        <f t="shared" si="8"/>
        <v>127</v>
      </c>
      <c r="U132" s="18">
        <f>-'[1]links-p1'!S128</f>
        <v>242.52098853203731</v>
      </c>
      <c r="V132" s="18">
        <f>-'[2]links-p1'!R128</f>
        <v>7355.140028467963</v>
      </c>
      <c r="X132" s="11"/>
      <c r="Z132" s="15">
        <f t="shared" si="9"/>
        <v>127</v>
      </c>
      <c r="AA132" s="18">
        <f>-'[1]links-p1'!T128</f>
        <v>6779.486412000002</v>
      </c>
      <c r="AB132" s="18">
        <f>-'[2]links-p1'!S128</f>
        <v>0</v>
      </c>
      <c r="AD132" s="11"/>
    </row>
    <row r="133" spans="2:30" x14ac:dyDescent="0.3">
      <c r="B133" s="15">
        <f t="shared" si="5"/>
        <v>128</v>
      </c>
      <c r="C133" s="4">
        <v>0</v>
      </c>
      <c r="D133" s="4">
        <f>-'[2]links-p1'!B129</f>
        <v>0</v>
      </c>
      <c r="F133" s="11"/>
      <c r="H133" s="15">
        <f t="shared" si="6"/>
        <v>128</v>
      </c>
      <c r="I133" s="4">
        <v>0</v>
      </c>
      <c r="J133" s="4">
        <f>-'[2]links-p1'!H129</f>
        <v>0</v>
      </c>
      <c r="L133" s="11"/>
      <c r="N133" s="15">
        <f t="shared" si="7"/>
        <v>128</v>
      </c>
      <c r="O133" s="18">
        <f>-'[1]links-p1'!E129</f>
        <v>6043.0788673494199</v>
      </c>
      <c r="P133" s="18">
        <f>-'[2]links-p1'!E129</f>
        <v>3141.183472879417</v>
      </c>
      <c r="R133" s="11"/>
      <c r="T133" s="15">
        <f t="shared" si="8"/>
        <v>128</v>
      </c>
      <c r="U133" s="18">
        <f>-'[1]links-p1'!S129</f>
        <v>572.98485548964891</v>
      </c>
      <c r="V133" s="18">
        <f>-'[2]links-p1'!R129</f>
        <v>7024.6761615103514</v>
      </c>
      <c r="X133" s="11"/>
      <c r="Z133" s="15">
        <f t="shared" si="9"/>
        <v>128</v>
      </c>
      <c r="AA133" s="18">
        <f>-'[1]links-p1'!T129</f>
        <v>6779.486412000002</v>
      </c>
      <c r="AB133" s="18">
        <f>-'[2]links-p1'!S129</f>
        <v>0</v>
      </c>
      <c r="AD133" s="11"/>
    </row>
    <row r="134" spans="2:30" x14ac:dyDescent="0.3">
      <c r="B134" s="15">
        <f t="shared" si="5"/>
        <v>129</v>
      </c>
      <c r="C134" s="4">
        <v>0</v>
      </c>
      <c r="D134" s="4">
        <f>-'[2]links-p1'!B130</f>
        <v>0</v>
      </c>
      <c r="F134" s="11"/>
      <c r="H134" s="15">
        <f t="shared" si="6"/>
        <v>129</v>
      </c>
      <c r="I134" s="4">
        <v>0</v>
      </c>
      <c r="J134" s="4">
        <f>-'[2]links-p1'!H130</f>
        <v>0</v>
      </c>
      <c r="L134" s="11"/>
      <c r="N134" s="15">
        <f t="shared" si="7"/>
        <v>129</v>
      </c>
      <c r="O134" s="18">
        <f>-'[1]links-p1'!E130</f>
        <v>6420.8146875452912</v>
      </c>
      <c r="P134" s="18">
        <f>-'[2]links-p1'!E130</f>
        <v>3578.434525595289</v>
      </c>
      <c r="R134" s="11"/>
      <c r="T134" s="15">
        <f t="shared" si="8"/>
        <v>129</v>
      </c>
      <c r="U134" s="18">
        <f>-'[1]links-p1'!S130</f>
        <v>572.98485548964891</v>
      </c>
      <c r="V134" s="18">
        <f>-'[2]links-p1'!R130</f>
        <v>7024.6761615103514</v>
      </c>
      <c r="X134" s="11"/>
      <c r="Z134" s="15">
        <f t="shared" si="9"/>
        <v>129</v>
      </c>
      <c r="AA134" s="18">
        <f>-'[1]links-p1'!T130</f>
        <v>6779.486412000002</v>
      </c>
      <c r="AB134" s="18">
        <f>-'[2]links-p1'!S130</f>
        <v>0</v>
      </c>
      <c r="AD134" s="11"/>
    </row>
    <row r="135" spans="2:30" x14ac:dyDescent="0.3">
      <c r="B135" s="15">
        <f t="shared" si="5"/>
        <v>130</v>
      </c>
      <c r="C135" s="4">
        <v>0</v>
      </c>
      <c r="D135" s="4">
        <f>-'[2]links-p1'!B131</f>
        <v>0</v>
      </c>
      <c r="F135" s="11"/>
      <c r="H135" s="15">
        <f t="shared" si="6"/>
        <v>130</v>
      </c>
      <c r="I135" s="4">
        <v>0</v>
      </c>
      <c r="J135" s="4">
        <f>-'[2]links-p1'!H131</f>
        <v>0</v>
      </c>
      <c r="L135" s="11"/>
      <c r="N135" s="15">
        <f t="shared" si="7"/>
        <v>130</v>
      </c>
      <c r="O135" s="18">
        <f>-'[1]links-p1'!E131</f>
        <v>3584.5172660873541</v>
      </c>
      <c r="P135" s="18">
        <f>-'[2]links-p1'!E131</f>
        <v>3584.5172660873541</v>
      </c>
      <c r="R135" s="11"/>
      <c r="T135" s="15">
        <f t="shared" si="8"/>
        <v>130</v>
      </c>
      <c r="U135" s="18">
        <f>-'[1]links-p1'!S131</f>
        <v>242.98485548964891</v>
      </c>
      <c r="V135" s="18">
        <f>-'[2]links-p1'!R131</f>
        <v>7354.6761615103514</v>
      </c>
      <c r="X135" s="11"/>
      <c r="Z135" s="15">
        <f t="shared" si="9"/>
        <v>130</v>
      </c>
      <c r="AA135" s="18">
        <f>-'[1]links-p1'!T131</f>
        <v>6779.486412000002</v>
      </c>
      <c r="AB135" s="18">
        <f>-'[2]links-p1'!S131</f>
        <v>0</v>
      </c>
      <c r="AD135" s="11"/>
    </row>
    <row r="136" spans="2:30" x14ac:dyDescent="0.3">
      <c r="B136" s="15">
        <f t="shared" ref="B136:B170" si="10">B135+1</f>
        <v>131</v>
      </c>
      <c r="C136" s="4">
        <v>0</v>
      </c>
      <c r="D136" s="4">
        <f>-'[2]links-p1'!B132</f>
        <v>0</v>
      </c>
      <c r="F136" s="11"/>
      <c r="H136" s="15">
        <f t="shared" ref="H136:H170" si="11">H135+1</f>
        <v>131</v>
      </c>
      <c r="I136" s="4">
        <v>0</v>
      </c>
      <c r="J136" s="4">
        <f>-'[2]links-p1'!H132</f>
        <v>0</v>
      </c>
      <c r="L136" s="11"/>
      <c r="N136" s="15">
        <f t="shared" ref="N136:N170" si="12">N135+1</f>
        <v>131</v>
      </c>
      <c r="O136" s="18">
        <f>-'[1]links-p1'!E132</f>
        <v>252.9098493212505</v>
      </c>
      <c r="P136" s="18">
        <f>-'[2]links-p1'!E132</f>
        <v>12436.20672171082</v>
      </c>
      <c r="R136" s="11"/>
      <c r="T136" s="15">
        <f t="shared" ref="T136:T170" si="13">T135+1</f>
        <v>131</v>
      </c>
      <c r="U136" s="18">
        <f>-'[1]links-p1'!S132</f>
        <v>242.98485548964891</v>
      </c>
      <c r="V136" s="18">
        <f>-'[2]links-p1'!R132</f>
        <v>7354.6761615103514</v>
      </c>
      <c r="X136" s="11"/>
      <c r="Z136" s="15">
        <f t="shared" ref="Z136:Z170" si="14">Z135+1</f>
        <v>131</v>
      </c>
      <c r="AA136" s="18">
        <f>-'[1]links-p1'!T132</f>
        <v>6779.486412000002</v>
      </c>
      <c r="AB136" s="18">
        <f>-'[2]links-p1'!S132</f>
        <v>0</v>
      </c>
      <c r="AD136" s="11"/>
    </row>
    <row r="137" spans="2:30" x14ac:dyDescent="0.3">
      <c r="B137" s="15">
        <f t="shared" si="10"/>
        <v>132</v>
      </c>
      <c r="C137" s="4">
        <v>0</v>
      </c>
      <c r="D137" s="4">
        <f>-'[2]links-p1'!B133</f>
        <v>0</v>
      </c>
      <c r="F137" s="11"/>
      <c r="H137" s="15">
        <f t="shared" si="11"/>
        <v>132</v>
      </c>
      <c r="I137" s="4">
        <v>0</v>
      </c>
      <c r="J137" s="4">
        <f>-'[2]links-p1'!H133</f>
        <v>0</v>
      </c>
      <c r="L137" s="11"/>
      <c r="N137" s="15">
        <f t="shared" si="12"/>
        <v>132</v>
      </c>
      <c r="O137" s="18">
        <f>-'[1]links-p1'!E133</f>
        <v>15500</v>
      </c>
      <c r="P137" s="18">
        <f>-'[2]links-p1'!E133</f>
        <v>15500</v>
      </c>
      <c r="R137" s="11"/>
      <c r="T137" s="15">
        <f t="shared" si="13"/>
        <v>132</v>
      </c>
      <c r="U137" s="18">
        <f>-'[1]links-p1'!S133</f>
        <v>242.52098853203731</v>
      </c>
      <c r="V137" s="18">
        <f>-'[2]links-p1'!R133</f>
        <v>7355.140028467963</v>
      </c>
      <c r="X137" s="11"/>
      <c r="Z137" s="15">
        <f t="shared" si="14"/>
        <v>132</v>
      </c>
      <c r="AA137" s="18">
        <f>-'[1]links-p1'!T133</f>
        <v>6779.486412000002</v>
      </c>
      <c r="AB137" s="18">
        <f>-'[2]links-p1'!S133</f>
        <v>0</v>
      </c>
      <c r="AD137" s="11"/>
    </row>
    <row r="138" spans="2:30" x14ac:dyDescent="0.3">
      <c r="B138" s="15">
        <f t="shared" si="10"/>
        <v>133</v>
      </c>
      <c r="C138" s="4">
        <v>0</v>
      </c>
      <c r="D138" s="4">
        <f>-'[2]links-p1'!B134</f>
        <v>0</v>
      </c>
      <c r="F138" s="11"/>
      <c r="H138" s="15">
        <f t="shared" si="11"/>
        <v>133</v>
      </c>
      <c r="I138" s="4">
        <v>0</v>
      </c>
      <c r="J138" s="4">
        <f>-'[2]links-p1'!H134</f>
        <v>0</v>
      </c>
      <c r="L138" s="11"/>
      <c r="N138" s="15">
        <f t="shared" si="12"/>
        <v>133</v>
      </c>
      <c r="O138" s="18">
        <f>-'[1]links-p1'!E134</f>
        <v>15500</v>
      </c>
      <c r="P138" s="18">
        <f>-'[2]links-p1'!E134</f>
        <v>5727.2660625512508</v>
      </c>
      <c r="R138" s="11"/>
      <c r="T138" s="15">
        <f t="shared" si="13"/>
        <v>133</v>
      </c>
      <c r="U138" s="18">
        <f>-'[1]links-p1'!S134</f>
        <v>242.98485548964891</v>
      </c>
      <c r="V138" s="18">
        <f>-'[2]links-p1'!R134</f>
        <v>7354.6761615103514</v>
      </c>
      <c r="X138" s="11"/>
      <c r="Z138" s="15">
        <f t="shared" si="14"/>
        <v>133</v>
      </c>
      <c r="AA138" s="18">
        <f>-'[1]links-p1'!T134</f>
        <v>6779.486412000002</v>
      </c>
      <c r="AB138" s="18">
        <f>-'[2]links-p1'!S134</f>
        <v>0</v>
      </c>
      <c r="AD138" s="11"/>
    </row>
    <row r="139" spans="2:30" x14ac:dyDescent="0.3">
      <c r="B139" s="15">
        <f t="shared" si="10"/>
        <v>134</v>
      </c>
      <c r="C139" s="4">
        <v>0</v>
      </c>
      <c r="D139" s="4">
        <f>-'[2]links-p1'!B135</f>
        <v>0</v>
      </c>
      <c r="F139" s="11"/>
      <c r="H139" s="15">
        <f t="shared" si="11"/>
        <v>134</v>
      </c>
      <c r="I139" s="4">
        <v>0</v>
      </c>
      <c r="J139" s="4">
        <f>-'[2]links-p1'!H135</f>
        <v>0</v>
      </c>
      <c r="L139" s="11"/>
      <c r="N139" s="15">
        <f t="shared" si="12"/>
        <v>134</v>
      </c>
      <c r="O139" s="18">
        <f>-'[1]links-p1'!E135</f>
        <v>8438.536985361714</v>
      </c>
      <c r="P139" s="18">
        <f>-'[2]links-p1'!E135</f>
        <v>14024.116219410889</v>
      </c>
      <c r="R139" s="11"/>
      <c r="T139" s="15">
        <f t="shared" si="13"/>
        <v>134</v>
      </c>
      <c r="U139" s="18">
        <f>-'[1]links-p1'!S135</f>
        <v>242.98485548964891</v>
      </c>
      <c r="V139" s="18">
        <f>-'[2]links-p1'!R135</f>
        <v>7354.6761615103514</v>
      </c>
      <c r="X139" s="11"/>
      <c r="Z139" s="15">
        <f t="shared" si="14"/>
        <v>134</v>
      </c>
      <c r="AA139" s="18">
        <f>-'[1]links-p1'!T135</f>
        <v>6779.486412000002</v>
      </c>
      <c r="AB139" s="18">
        <f>-'[2]links-p1'!S135</f>
        <v>0</v>
      </c>
      <c r="AD139" s="11"/>
    </row>
    <row r="140" spans="2:30" x14ac:dyDescent="0.3">
      <c r="B140" s="15">
        <f t="shared" si="10"/>
        <v>135</v>
      </c>
      <c r="C140" s="4">
        <v>0</v>
      </c>
      <c r="D140" s="4">
        <f>-'[2]links-p1'!B136</f>
        <v>0</v>
      </c>
      <c r="F140" s="11"/>
      <c r="H140" s="15">
        <f t="shared" si="11"/>
        <v>135</v>
      </c>
      <c r="I140" s="4">
        <v>0</v>
      </c>
      <c r="J140" s="4">
        <f>-'[2]links-p1'!H136</f>
        <v>0</v>
      </c>
      <c r="L140" s="11"/>
      <c r="N140" s="15">
        <f t="shared" si="12"/>
        <v>135</v>
      </c>
      <c r="O140" s="18">
        <f>-'[1]links-p1'!E136</f>
        <v>10174.71750979693</v>
      </c>
      <c r="P140" s="18">
        <f>-'[2]links-p1'!E136</f>
        <v>7511.5121955769337</v>
      </c>
      <c r="R140" s="11"/>
      <c r="T140" s="15">
        <f t="shared" si="13"/>
        <v>135</v>
      </c>
      <c r="U140" s="18">
        <f>-'[1]links-p1'!S136</f>
        <v>242.52098853203731</v>
      </c>
      <c r="V140" s="18">
        <f>-'[2]links-p1'!R136</f>
        <v>7355.140028467963</v>
      </c>
      <c r="X140" s="11"/>
      <c r="Z140" s="15">
        <f t="shared" si="14"/>
        <v>135</v>
      </c>
      <c r="AA140" s="18">
        <f>-'[1]links-p1'!T136</f>
        <v>6779.486412000002</v>
      </c>
      <c r="AB140" s="18">
        <f>-'[2]links-p1'!S136</f>
        <v>0</v>
      </c>
      <c r="AD140" s="11"/>
    </row>
    <row r="141" spans="2:30" x14ac:dyDescent="0.3">
      <c r="B141" s="15">
        <f t="shared" si="10"/>
        <v>136</v>
      </c>
      <c r="C141" s="4">
        <v>0</v>
      </c>
      <c r="D141" s="4">
        <f>-'[2]links-p1'!B137</f>
        <v>0</v>
      </c>
      <c r="F141" s="11"/>
      <c r="H141" s="15">
        <f t="shared" si="11"/>
        <v>136</v>
      </c>
      <c r="I141" s="4">
        <v>0</v>
      </c>
      <c r="J141" s="4">
        <f>-'[2]links-p1'!H137</f>
        <v>0</v>
      </c>
      <c r="L141" s="11"/>
      <c r="N141" s="15">
        <f t="shared" si="12"/>
        <v>136</v>
      </c>
      <c r="O141" s="18">
        <f>-'[1]links-p1'!E137</f>
        <v>10428.793555777829</v>
      </c>
      <c r="P141" s="18">
        <f>-'[2]links-p1'!E137</f>
        <v>7762.4350625478291</v>
      </c>
      <c r="R141" s="11"/>
      <c r="T141" s="15">
        <f t="shared" si="13"/>
        <v>136</v>
      </c>
      <c r="U141" s="18">
        <f>-'[1]links-p1'!S137</f>
        <v>242.98485548964891</v>
      </c>
      <c r="V141" s="18">
        <f>-'[2]links-p1'!R137</f>
        <v>7354.6761615103514</v>
      </c>
      <c r="X141" s="11"/>
      <c r="Z141" s="15">
        <f t="shared" si="14"/>
        <v>136</v>
      </c>
      <c r="AA141" s="18">
        <f>-'[1]links-p1'!T137</f>
        <v>6779.486412000002</v>
      </c>
      <c r="AB141" s="18">
        <f>-'[2]links-p1'!S137</f>
        <v>0</v>
      </c>
      <c r="AD141" s="11"/>
    </row>
    <row r="142" spans="2:30" x14ac:dyDescent="0.3">
      <c r="B142" s="15">
        <f t="shared" si="10"/>
        <v>137</v>
      </c>
      <c r="C142" s="4">
        <v>0</v>
      </c>
      <c r="D142" s="4">
        <f>-'[2]links-p1'!B138</f>
        <v>0</v>
      </c>
      <c r="F142" s="11"/>
      <c r="H142" s="15">
        <f t="shared" si="11"/>
        <v>137</v>
      </c>
      <c r="I142" s="4">
        <v>0</v>
      </c>
      <c r="J142" s="4">
        <f>-'[2]links-p1'!H138</f>
        <v>0</v>
      </c>
      <c r="L142" s="11"/>
      <c r="N142" s="15">
        <f t="shared" si="12"/>
        <v>137</v>
      </c>
      <c r="O142" s="18">
        <f>-'[1]links-p1'!E138</f>
        <v>5193.1354912878314</v>
      </c>
      <c r="P142" s="18">
        <f>-'[2]links-p1'!E138</f>
        <v>2526.5571297478282</v>
      </c>
      <c r="R142" s="11"/>
      <c r="T142" s="15">
        <f t="shared" si="13"/>
        <v>137</v>
      </c>
      <c r="U142" s="18">
        <f>-'[1]links-p1'!S138</f>
        <v>242.98485548964891</v>
      </c>
      <c r="V142" s="18">
        <f>-'[2]links-p1'!R138</f>
        <v>7354.6761615103514</v>
      </c>
      <c r="X142" s="11"/>
      <c r="Z142" s="15">
        <f t="shared" si="14"/>
        <v>137</v>
      </c>
      <c r="AA142" s="18">
        <f>-'[1]links-p1'!T138</f>
        <v>6779.486412000002</v>
      </c>
      <c r="AB142" s="18">
        <f>-'[2]links-p1'!S138</f>
        <v>0</v>
      </c>
      <c r="AD142" s="11"/>
    </row>
    <row r="143" spans="2:30" x14ac:dyDescent="0.3">
      <c r="B143" s="15">
        <f t="shared" si="10"/>
        <v>138</v>
      </c>
      <c r="C143" s="4">
        <v>0</v>
      </c>
      <c r="D143" s="4">
        <f>-'[2]links-p1'!B139</f>
        <v>0</v>
      </c>
      <c r="F143" s="11"/>
      <c r="H143" s="15">
        <f t="shared" si="11"/>
        <v>138</v>
      </c>
      <c r="I143" s="4">
        <v>0</v>
      </c>
      <c r="J143" s="4">
        <f>-'[2]links-p1'!H139</f>
        <v>0</v>
      </c>
      <c r="L143" s="11"/>
      <c r="N143" s="15">
        <f t="shared" si="12"/>
        <v>138</v>
      </c>
      <c r="O143" s="18">
        <f>-'[1]links-p1'!E139</f>
        <v>4413.2273480790354</v>
      </c>
      <c r="P143" s="18">
        <f>-'[2]links-p1'!E139</f>
        <v>1759.699953609032</v>
      </c>
      <c r="R143" s="11"/>
      <c r="T143" s="15">
        <f t="shared" si="13"/>
        <v>138</v>
      </c>
      <c r="U143" s="18">
        <f>-'[1]links-p1'!S139</f>
        <v>468.95712156964879</v>
      </c>
      <c r="V143" s="18">
        <f>-'[2]links-p1'!R139</f>
        <v>6310.7038954303516</v>
      </c>
      <c r="X143" s="11"/>
      <c r="Z143" s="15">
        <f t="shared" si="14"/>
        <v>138</v>
      </c>
      <c r="AA143" s="18">
        <f>-'[1]links-p1'!T139</f>
        <v>6779.486412000002</v>
      </c>
      <c r="AB143" s="18">
        <f>-'[2]links-p1'!S139</f>
        <v>0</v>
      </c>
      <c r="AD143" s="11"/>
    </row>
    <row r="144" spans="2:30" x14ac:dyDescent="0.3">
      <c r="B144" s="15">
        <f t="shared" si="10"/>
        <v>139</v>
      </c>
      <c r="C144" s="4">
        <v>0</v>
      </c>
      <c r="D144" s="4">
        <f>-'[2]links-p1'!B140</f>
        <v>0</v>
      </c>
      <c r="F144" s="11"/>
      <c r="H144" s="15">
        <f t="shared" si="11"/>
        <v>139</v>
      </c>
      <c r="I144" s="4">
        <v>0</v>
      </c>
      <c r="J144" s="4">
        <f>-'[2]links-p1'!H140</f>
        <v>0</v>
      </c>
      <c r="L144" s="11"/>
      <c r="N144" s="15">
        <f t="shared" si="12"/>
        <v>139</v>
      </c>
      <c r="O144" s="18">
        <f>-'[1]links-p1'!E140</f>
        <v>7018.0135170063058</v>
      </c>
      <c r="P144" s="18">
        <f>-'[2]links-p1'!E140</f>
        <v>4367.3184126663073</v>
      </c>
      <c r="R144" s="11"/>
      <c r="T144" s="15">
        <f t="shared" si="13"/>
        <v>139</v>
      </c>
      <c r="U144" s="18">
        <f>-'[1]links-p1'!S140</f>
        <v>242.52098853203731</v>
      </c>
      <c r="V144" s="18">
        <f>-'[2]links-p1'!R140</f>
        <v>7355.140028467963</v>
      </c>
      <c r="X144" s="11"/>
      <c r="Z144" s="15">
        <f t="shared" si="14"/>
        <v>139</v>
      </c>
      <c r="AA144" s="18">
        <f>-'[1]links-p1'!T140</f>
        <v>6779.486412000002</v>
      </c>
      <c r="AB144" s="18">
        <f>-'[2]links-p1'!S140</f>
        <v>0</v>
      </c>
      <c r="AD144" s="11"/>
    </row>
    <row r="145" spans="2:30" x14ac:dyDescent="0.3">
      <c r="B145" s="15">
        <f t="shared" si="10"/>
        <v>140</v>
      </c>
      <c r="C145" s="4">
        <v>0</v>
      </c>
      <c r="D145" s="4">
        <f>-'[2]links-p1'!B141</f>
        <v>0</v>
      </c>
      <c r="F145" s="11"/>
      <c r="H145" s="15">
        <f t="shared" si="11"/>
        <v>140</v>
      </c>
      <c r="I145" s="4">
        <v>0</v>
      </c>
      <c r="J145" s="4">
        <f>-'[2]links-p1'!H141</f>
        <v>0</v>
      </c>
      <c r="L145" s="11"/>
      <c r="N145" s="15">
        <f t="shared" si="12"/>
        <v>140</v>
      </c>
      <c r="O145" s="18">
        <f>-'[1]links-p1'!E141</f>
        <v>5374.1689915073039</v>
      </c>
      <c r="P145" s="18">
        <f>-'[2]links-p1'!E141</f>
        <v>2731.0214612373011</v>
      </c>
      <c r="R145" s="11"/>
      <c r="T145" s="15">
        <f t="shared" si="13"/>
        <v>140</v>
      </c>
      <c r="U145" s="18">
        <f>-'[1]links-p1'!S141</f>
        <v>572.98485548964891</v>
      </c>
      <c r="V145" s="18">
        <f>-'[2]links-p1'!R141</f>
        <v>7024.6761615103514</v>
      </c>
      <c r="X145" s="11"/>
      <c r="Z145" s="15">
        <f t="shared" si="14"/>
        <v>140</v>
      </c>
      <c r="AA145" s="18">
        <f>-'[1]links-p1'!T141</f>
        <v>6779.486412000002</v>
      </c>
      <c r="AB145" s="18">
        <f>-'[2]links-p1'!S141</f>
        <v>0</v>
      </c>
      <c r="AD145" s="11"/>
    </row>
    <row r="146" spans="2:30" x14ac:dyDescent="0.3">
      <c r="B146" s="15">
        <f t="shared" si="10"/>
        <v>141</v>
      </c>
      <c r="C146" s="4">
        <v>0</v>
      </c>
      <c r="D146" s="4">
        <f>-'[2]links-p1'!B142</f>
        <v>0</v>
      </c>
      <c r="F146" s="11"/>
      <c r="H146" s="15">
        <f t="shared" si="11"/>
        <v>141</v>
      </c>
      <c r="I146" s="4">
        <v>0</v>
      </c>
      <c r="J146" s="4">
        <f>-'[2]links-p1'!H142</f>
        <v>0</v>
      </c>
      <c r="L146" s="11"/>
      <c r="N146" s="15">
        <f t="shared" si="12"/>
        <v>141</v>
      </c>
      <c r="O146" s="18">
        <f>-'[1]links-p1'!E142</f>
        <v>4600.351362206542</v>
      </c>
      <c r="P146" s="18">
        <f>-'[2]links-p1'!E142</f>
        <v>1992.5476632165421</v>
      </c>
      <c r="R146" s="11"/>
      <c r="T146" s="15">
        <f t="shared" si="13"/>
        <v>141</v>
      </c>
      <c r="U146" s="18">
        <f>-'[1]links-p1'!S142</f>
        <v>243.44872244726051</v>
      </c>
      <c r="V146" s="18">
        <f>-'[2]links-p1'!R142</f>
        <v>7354.2122945527399</v>
      </c>
      <c r="X146" s="11"/>
      <c r="Z146" s="15">
        <f t="shared" si="14"/>
        <v>141</v>
      </c>
      <c r="AA146" s="18">
        <f>-'[1]links-p1'!T142</f>
        <v>6779.486412000002</v>
      </c>
      <c r="AB146" s="18">
        <f>-'[2]links-p1'!S142</f>
        <v>0</v>
      </c>
      <c r="AD146" s="11"/>
    </row>
    <row r="147" spans="2:30" x14ac:dyDescent="0.3">
      <c r="B147" s="15">
        <f t="shared" si="10"/>
        <v>142</v>
      </c>
      <c r="C147" s="4">
        <v>0</v>
      </c>
      <c r="D147" s="4">
        <f>-'[2]links-p1'!B143</f>
        <v>0</v>
      </c>
      <c r="F147" s="11"/>
      <c r="H147" s="15">
        <f t="shared" si="11"/>
        <v>142</v>
      </c>
      <c r="I147" s="4">
        <v>0</v>
      </c>
      <c r="J147" s="4">
        <f>-'[2]links-p1'!H143</f>
        <v>0</v>
      </c>
      <c r="L147" s="11"/>
      <c r="N147" s="15">
        <f t="shared" si="12"/>
        <v>142</v>
      </c>
      <c r="O147" s="18">
        <f>-'[1]links-p1'!E143</f>
        <v>3425.577750940723</v>
      </c>
      <c r="P147" s="18">
        <f>-'[2]links-p1'!E143</f>
        <v>900.99940792072084</v>
      </c>
      <c r="R147" s="11"/>
      <c r="T147" s="15">
        <f t="shared" si="13"/>
        <v>142</v>
      </c>
      <c r="U147" s="18">
        <f>-'[1]links-p1'!S143</f>
        <v>573.91258939487182</v>
      </c>
      <c r="V147" s="18">
        <f>-'[2]links-p1'!R143</f>
        <v>7023.7484276051282</v>
      </c>
      <c r="X147" s="11"/>
      <c r="Z147" s="15">
        <f t="shared" si="14"/>
        <v>142</v>
      </c>
      <c r="AA147" s="18">
        <f>-'[1]links-p1'!T143</f>
        <v>6779.486412000002</v>
      </c>
      <c r="AB147" s="18">
        <f>-'[2]links-p1'!S143</f>
        <v>0</v>
      </c>
      <c r="AD147" s="11"/>
    </row>
    <row r="148" spans="2:30" x14ac:dyDescent="0.3">
      <c r="B148" s="15">
        <f t="shared" si="10"/>
        <v>143</v>
      </c>
      <c r="C148" s="4">
        <v>0</v>
      </c>
      <c r="D148" s="4">
        <f>-'[2]links-p1'!B144</f>
        <v>0</v>
      </c>
      <c r="F148" s="11"/>
      <c r="H148" s="15">
        <f t="shared" si="11"/>
        <v>143</v>
      </c>
      <c r="I148" s="4">
        <v>0</v>
      </c>
      <c r="J148" s="4">
        <f>-'[2]links-p1'!H144</f>
        <v>0</v>
      </c>
      <c r="L148" s="11"/>
      <c r="N148" s="15">
        <f t="shared" si="12"/>
        <v>143</v>
      </c>
      <c r="O148" s="18">
        <f>-'[1]links-p1'!E144</f>
        <v>1915.7297194649</v>
      </c>
      <c r="P148" s="18">
        <f>-'[2]links-p1'!E144</f>
        <v>0</v>
      </c>
      <c r="R148" s="11"/>
      <c r="T148" s="15">
        <f t="shared" si="13"/>
        <v>143</v>
      </c>
      <c r="U148" s="18">
        <f>-'[1]links-p1'!S144</f>
        <v>244.84032331009479</v>
      </c>
      <c r="V148" s="18">
        <f>-'[2]links-p1'!R144</f>
        <v>6534.820693689906</v>
      </c>
      <c r="X148" s="11"/>
      <c r="Z148" s="15">
        <f t="shared" si="14"/>
        <v>143</v>
      </c>
      <c r="AA148" s="18">
        <f>-'[1]links-p1'!T144</f>
        <v>6779.486412000002</v>
      </c>
      <c r="AB148" s="18">
        <f>-'[2]links-p1'!S144</f>
        <v>0</v>
      </c>
      <c r="AD148" s="11"/>
    </row>
    <row r="149" spans="2:30" x14ac:dyDescent="0.3">
      <c r="B149" s="15">
        <f t="shared" si="10"/>
        <v>144</v>
      </c>
      <c r="C149" s="4">
        <v>0</v>
      </c>
      <c r="D149" s="4">
        <f>-'[2]links-p1'!B145</f>
        <v>0</v>
      </c>
      <c r="F149" s="11"/>
      <c r="H149" s="15">
        <f t="shared" si="11"/>
        <v>144</v>
      </c>
      <c r="I149" s="4">
        <v>0</v>
      </c>
      <c r="J149" s="4">
        <f>-'[2]links-p1'!H145</f>
        <v>0</v>
      </c>
      <c r="L149" s="11"/>
      <c r="N149" s="15">
        <f t="shared" si="12"/>
        <v>144</v>
      </c>
      <c r="O149" s="18">
        <f>-'[1]links-p1'!E145</f>
        <v>1468.3213323941179</v>
      </c>
      <c r="P149" s="18">
        <f>-'[2]links-p1'!E145</f>
        <v>0</v>
      </c>
      <c r="R149" s="11"/>
      <c r="T149" s="15">
        <f t="shared" si="13"/>
        <v>144</v>
      </c>
      <c r="U149" s="18">
        <f>-'[1]links-p1'!S145</f>
        <v>574.84032331009485</v>
      </c>
      <c r="V149" s="18">
        <f>-'[2]links-p1'!R145</f>
        <v>7022.820693689906</v>
      </c>
      <c r="X149" s="11"/>
      <c r="Z149" s="15">
        <f t="shared" si="14"/>
        <v>144</v>
      </c>
      <c r="AA149" s="18">
        <f>-'[1]links-p1'!T145</f>
        <v>6779.486412000002</v>
      </c>
      <c r="AB149" s="18">
        <f>-'[2]links-p1'!S145</f>
        <v>0</v>
      </c>
      <c r="AD149" s="11"/>
    </row>
    <row r="150" spans="2:30" x14ac:dyDescent="0.3">
      <c r="B150" s="15">
        <f t="shared" si="10"/>
        <v>145</v>
      </c>
      <c r="C150" s="4">
        <v>0</v>
      </c>
      <c r="D150" s="4">
        <f>-'[2]links-p1'!B146</f>
        <v>0</v>
      </c>
      <c r="F150" s="11"/>
      <c r="H150" s="15">
        <f t="shared" si="11"/>
        <v>145</v>
      </c>
      <c r="I150" s="4">
        <v>0</v>
      </c>
      <c r="J150" s="4">
        <f>-'[2]links-p1'!H146</f>
        <v>0</v>
      </c>
      <c r="L150" s="11"/>
      <c r="N150" s="15">
        <f t="shared" si="12"/>
        <v>145</v>
      </c>
      <c r="O150" s="18">
        <f>-'[1]links-p1'!E146</f>
        <v>3362.6236046072322</v>
      </c>
      <c r="P150" s="18">
        <f>-'[2]links-p1'!E146</f>
        <v>1098.003588537199</v>
      </c>
      <c r="R150" s="11"/>
      <c r="T150" s="15">
        <f t="shared" si="13"/>
        <v>145</v>
      </c>
      <c r="U150" s="18">
        <f>-'[1]links-p1'!S146</f>
        <v>244.84130936008989</v>
      </c>
      <c r="V150" s="18">
        <f>-'[2]links-p1'!R146</f>
        <v>7352.8197076399101</v>
      </c>
      <c r="X150" s="11"/>
      <c r="Z150" s="15">
        <f t="shared" si="14"/>
        <v>145</v>
      </c>
      <c r="AA150" s="18">
        <f>-'[1]links-p1'!T146</f>
        <v>6779.486412000002</v>
      </c>
      <c r="AB150" s="18">
        <f>-'[2]links-p1'!S146</f>
        <v>0</v>
      </c>
      <c r="AD150" s="11"/>
    </row>
    <row r="151" spans="2:30" x14ac:dyDescent="0.3">
      <c r="B151" s="15">
        <f t="shared" si="10"/>
        <v>146</v>
      </c>
      <c r="C151" s="4">
        <v>0</v>
      </c>
      <c r="D151" s="4">
        <f>-'[2]links-p1'!B147</f>
        <v>0</v>
      </c>
      <c r="F151" s="11"/>
      <c r="H151" s="15">
        <f t="shared" si="11"/>
        <v>146</v>
      </c>
      <c r="I151" s="4">
        <v>0</v>
      </c>
      <c r="J151" s="4">
        <f>-'[2]links-p1'!H147</f>
        <v>0</v>
      </c>
      <c r="L151" s="11"/>
      <c r="N151" s="15">
        <f t="shared" si="12"/>
        <v>146</v>
      </c>
      <c r="O151" s="18">
        <f>-'[1]links-p1'!E147</f>
        <v>393.80198966719848</v>
      </c>
      <c r="P151" s="18">
        <f>-'[2]links-p1'!E147</f>
        <v>0</v>
      </c>
      <c r="R151" s="11"/>
      <c r="T151" s="15">
        <f t="shared" si="13"/>
        <v>146</v>
      </c>
      <c r="U151" s="18">
        <f>-'[1]links-p1'!S147</f>
        <v>244.84130936008989</v>
      </c>
      <c r="V151" s="18">
        <f>-'[2]links-p1'!R147</f>
        <v>7352.8197076399101</v>
      </c>
      <c r="X151" s="11"/>
      <c r="Z151" s="15">
        <f t="shared" si="14"/>
        <v>146</v>
      </c>
      <c r="AA151" s="18">
        <f>-'[1]links-p1'!T147</f>
        <v>6779.486412000002</v>
      </c>
      <c r="AB151" s="18">
        <f>-'[2]links-p1'!S147</f>
        <v>0</v>
      </c>
      <c r="AD151" s="11"/>
    </row>
    <row r="152" spans="2:30" x14ac:dyDescent="0.3">
      <c r="B152" s="15">
        <f t="shared" si="10"/>
        <v>147</v>
      </c>
      <c r="C152" s="4">
        <v>0</v>
      </c>
      <c r="D152" s="4">
        <f>-'[2]links-p1'!B148</f>
        <v>0</v>
      </c>
      <c r="F152" s="11"/>
      <c r="H152" s="15">
        <f t="shared" si="11"/>
        <v>147</v>
      </c>
      <c r="I152" s="4">
        <v>0</v>
      </c>
      <c r="J152" s="4">
        <f>-'[2]links-p1'!H148</f>
        <v>0</v>
      </c>
      <c r="L152" s="11"/>
      <c r="N152" s="15">
        <f t="shared" si="12"/>
        <v>147</v>
      </c>
      <c r="O152" s="18">
        <f>-'[1]links-p1'!E148</f>
        <v>96.819119847198635</v>
      </c>
      <c r="P152" s="18">
        <f>-'[2]links-p1'!E148</f>
        <v>106.8682624171997</v>
      </c>
      <c r="R152" s="11"/>
      <c r="T152" s="15">
        <f t="shared" si="13"/>
        <v>147</v>
      </c>
      <c r="U152" s="18">
        <f>-'[1]links-p1'!S148</f>
        <v>244.84130936008989</v>
      </c>
      <c r="V152" s="18">
        <f>-'[2]links-p1'!R148</f>
        <v>7352.8197076399101</v>
      </c>
      <c r="X152" s="11"/>
      <c r="Z152" s="15">
        <f t="shared" si="14"/>
        <v>147</v>
      </c>
      <c r="AA152" s="18">
        <f>-'[1]links-p1'!T148</f>
        <v>6779.486412000002</v>
      </c>
      <c r="AB152" s="18">
        <f>-'[2]links-p1'!S148</f>
        <v>0</v>
      </c>
      <c r="AD152" s="11"/>
    </row>
    <row r="153" spans="2:30" x14ac:dyDescent="0.3">
      <c r="B153" s="15">
        <f t="shared" si="10"/>
        <v>148</v>
      </c>
      <c r="C153" s="4">
        <v>0</v>
      </c>
      <c r="D153" s="4">
        <f>-'[2]links-p1'!B149</f>
        <v>0</v>
      </c>
      <c r="F153" s="11"/>
      <c r="H153" s="15">
        <f t="shared" si="11"/>
        <v>148</v>
      </c>
      <c r="I153" s="4">
        <v>0</v>
      </c>
      <c r="J153" s="4">
        <f>-'[2]links-p1'!H149</f>
        <v>0</v>
      </c>
      <c r="L153" s="11"/>
      <c r="N153" s="15">
        <f t="shared" si="12"/>
        <v>148</v>
      </c>
      <c r="O153" s="18">
        <f>-'[1]links-p1'!E149</f>
        <v>2576.271360336712</v>
      </c>
      <c r="P153" s="18">
        <f>-'[2]links-p1'!E149</f>
        <v>3734.5668496172798</v>
      </c>
      <c r="R153" s="11"/>
      <c r="T153" s="15">
        <f t="shared" si="13"/>
        <v>148</v>
      </c>
      <c r="U153" s="18">
        <f>-'[1]links-p1'!S149</f>
        <v>244.84130936008989</v>
      </c>
      <c r="V153" s="18">
        <f>-'[2]links-p1'!R149</f>
        <v>7352.8197076399101</v>
      </c>
      <c r="X153" s="11"/>
      <c r="Z153" s="15">
        <f t="shared" si="14"/>
        <v>148</v>
      </c>
      <c r="AA153" s="18">
        <f>-'[1]links-p1'!T149</f>
        <v>6779.486412000002</v>
      </c>
      <c r="AB153" s="18">
        <f>-'[2]links-p1'!S149</f>
        <v>0</v>
      </c>
      <c r="AD153" s="11"/>
    </row>
    <row r="154" spans="2:30" x14ac:dyDescent="0.3">
      <c r="B154" s="15">
        <f t="shared" si="10"/>
        <v>149</v>
      </c>
      <c r="C154" s="4">
        <v>0</v>
      </c>
      <c r="D154" s="4">
        <f>-'[2]links-p1'!B150</f>
        <v>0</v>
      </c>
      <c r="F154" s="11"/>
      <c r="H154" s="15">
        <f t="shared" si="11"/>
        <v>149</v>
      </c>
      <c r="I154" s="4">
        <v>0</v>
      </c>
      <c r="J154" s="4">
        <f>-'[2]links-p1'!H150</f>
        <v>0</v>
      </c>
      <c r="L154" s="11"/>
      <c r="N154" s="15">
        <f t="shared" si="12"/>
        <v>149</v>
      </c>
      <c r="O154" s="18">
        <f>-'[1]links-p1'!E150</f>
        <v>5629.0510374801597</v>
      </c>
      <c r="P154" s="18">
        <f>-'[2]links-p1'!E150</f>
        <v>9714.6669939196217</v>
      </c>
      <c r="R154" s="11"/>
      <c r="T154" s="15">
        <f t="shared" si="13"/>
        <v>149</v>
      </c>
      <c r="U154" s="18">
        <f>-'[1]links-p1'!S150</f>
        <v>243.91357544486681</v>
      </c>
      <c r="V154" s="18">
        <f>-'[2]links-p1'!R150</f>
        <v>7353.7474415551333</v>
      </c>
      <c r="X154" s="11"/>
      <c r="Z154" s="15">
        <f t="shared" si="14"/>
        <v>149</v>
      </c>
      <c r="AA154" s="18">
        <f>-'[1]links-p1'!T150</f>
        <v>6779.486412000002</v>
      </c>
      <c r="AB154" s="18">
        <f>-'[2]links-p1'!S150</f>
        <v>0</v>
      </c>
      <c r="AD154" s="11"/>
    </row>
    <row r="155" spans="2:30" x14ac:dyDescent="0.3">
      <c r="B155" s="15">
        <f t="shared" si="10"/>
        <v>150</v>
      </c>
      <c r="C155" s="4">
        <v>0</v>
      </c>
      <c r="D155" s="4">
        <f>-'[2]links-p1'!B151</f>
        <v>0</v>
      </c>
      <c r="F155" s="11"/>
      <c r="H155" s="15">
        <f t="shared" si="11"/>
        <v>150</v>
      </c>
      <c r="I155" s="4">
        <v>0</v>
      </c>
      <c r="J155" s="4">
        <f>-'[2]links-p1'!H151</f>
        <v>0</v>
      </c>
      <c r="L155" s="11"/>
      <c r="N155" s="15">
        <f t="shared" si="12"/>
        <v>150</v>
      </c>
      <c r="O155" s="18">
        <f>-'[1]links-p1'!E151</f>
        <v>1285.2338532699459</v>
      </c>
      <c r="P155" s="18">
        <f>-'[2]links-p1'!E151</f>
        <v>11851.493298471971</v>
      </c>
      <c r="R155" s="11"/>
      <c r="T155" s="15">
        <f t="shared" si="13"/>
        <v>150</v>
      </c>
      <c r="U155" s="18">
        <f>-'[1]links-p1'!S151</f>
        <v>242.9858415396437</v>
      </c>
      <c r="V155" s="18">
        <f>-'[2]links-p1'!R151</f>
        <v>7354.6751754603574</v>
      </c>
      <c r="X155" s="11"/>
      <c r="Z155" s="15">
        <f t="shared" si="14"/>
        <v>150</v>
      </c>
      <c r="AA155" s="18">
        <f>-'[1]links-p1'!T151</f>
        <v>6779.486412000002</v>
      </c>
      <c r="AB155" s="18">
        <f>-'[2]links-p1'!S151</f>
        <v>0</v>
      </c>
      <c r="AD155" s="11"/>
    </row>
    <row r="156" spans="2:30" x14ac:dyDescent="0.3">
      <c r="B156" s="15">
        <f t="shared" si="10"/>
        <v>151</v>
      </c>
      <c r="C156" s="4">
        <v>0</v>
      </c>
      <c r="D156" s="4">
        <f>-'[2]links-p1'!B152</f>
        <v>0</v>
      </c>
      <c r="F156" s="11"/>
      <c r="H156" s="15">
        <f t="shared" si="11"/>
        <v>151</v>
      </c>
      <c r="I156" s="4">
        <v>0</v>
      </c>
      <c r="J156" s="4">
        <f>-'[2]links-p1'!H152</f>
        <v>0</v>
      </c>
      <c r="L156" s="11"/>
      <c r="N156" s="15">
        <f t="shared" si="12"/>
        <v>151</v>
      </c>
      <c r="O156" s="18">
        <f>-'[1]links-p1'!E152</f>
        <v>10684.19128187563</v>
      </c>
      <c r="P156" s="18">
        <f>-'[2]links-p1'!E152</f>
        <v>7761.9721816456276</v>
      </c>
      <c r="R156" s="11"/>
      <c r="T156" s="15">
        <f t="shared" si="13"/>
        <v>151</v>
      </c>
      <c r="U156" s="18">
        <f>-'[1]links-p1'!S152</f>
        <v>242.52197458203219</v>
      </c>
      <c r="V156" s="18">
        <f>-'[2]links-p1'!R152</f>
        <v>7355.1390424179681</v>
      </c>
      <c r="X156" s="11"/>
      <c r="Z156" s="15">
        <f t="shared" si="14"/>
        <v>151</v>
      </c>
      <c r="AA156" s="18">
        <f>-'[1]links-p1'!T152</f>
        <v>6779.486412000002</v>
      </c>
      <c r="AB156" s="18">
        <f>-'[2]links-p1'!S152</f>
        <v>0</v>
      </c>
      <c r="AD156" s="11"/>
    </row>
    <row r="157" spans="2:30" x14ac:dyDescent="0.3">
      <c r="B157" s="15">
        <f t="shared" si="10"/>
        <v>152</v>
      </c>
      <c r="C157" s="4">
        <v>0</v>
      </c>
      <c r="D157" s="4">
        <f>-'[2]links-p1'!B153</f>
        <v>0</v>
      </c>
      <c r="F157" s="11"/>
      <c r="H157" s="15">
        <f t="shared" si="11"/>
        <v>152</v>
      </c>
      <c r="I157" s="4">
        <v>0</v>
      </c>
      <c r="J157" s="4">
        <f>-'[2]links-p1'!H153</f>
        <v>0</v>
      </c>
      <c r="L157" s="11"/>
      <c r="N157" s="15">
        <f t="shared" si="12"/>
        <v>152</v>
      </c>
      <c r="O157" s="18">
        <f>-'[1]links-p1'!E153</f>
        <v>2372.7993132699439</v>
      </c>
      <c r="P157" s="18">
        <f>-'[2]links-p1'!E153</f>
        <v>662.27359582280724</v>
      </c>
      <c r="R157" s="11"/>
      <c r="T157" s="15">
        <f t="shared" si="13"/>
        <v>152</v>
      </c>
      <c r="U157" s="18">
        <f>-'[1]links-p1'!S153</f>
        <v>242.9858415396437</v>
      </c>
      <c r="V157" s="18">
        <f>-'[2]links-p1'!R153</f>
        <v>7354.6751754603574</v>
      </c>
      <c r="X157" s="11"/>
      <c r="Z157" s="15">
        <f t="shared" si="14"/>
        <v>152</v>
      </c>
      <c r="AA157" s="18">
        <f>-'[1]links-p1'!T153</f>
        <v>6779.486412000002</v>
      </c>
      <c r="AB157" s="18">
        <f>-'[2]links-p1'!S153</f>
        <v>0</v>
      </c>
      <c r="AD157" s="11"/>
    </row>
    <row r="158" spans="2:30" x14ac:dyDescent="0.3">
      <c r="B158" s="15">
        <f t="shared" si="10"/>
        <v>153</v>
      </c>
      <c r="C158" s="4">
        <v>0</v>
      </c>
      <c r="D158" s="4">
        <f>-'[2]links-p1'!B154</f>
        <v>0</v>
      </c>
      <c r="F158" s="11"/>
      <c r="H158" s="15">
        <f t="shared" si="11"/>
        <v>153</v>
      </c>
      <c r="I158" s="4">
        <v>0</v>
      </c>
      <c r="J158" s="4">
        <f>-'[2]links-p1'!H154</f>
        <v>0</v>
      </c>
      <c r="L158" s="11"/>
      <c r="N158" s="15">
        <f t="shared" si="12"/>
        <v>153</v>
      </c>
      <c r="O158" s="18">
        <f>-'[1]links-p1'!E154</f>
        <v>10621.82406445995</v>
      </c>
      <c r="P158" s="18">
        <f>-'[2]links-p1'!E154</f>
        <v>7762.436048599945</v>
      </c>
      <c r="R158" s="11"/>
      <c r="T158" s="15">
        <f t="shared" si="13"/>
        <v>153</v>
      </c>
      <c r="U158" s="18">
        <f>-'[1]links-p1'!S154</f>
        <v>242.9858415396437</v>
      </c>
      <c r="V158" s="18">
        <f>-'[2]links-p1'!R154</f>
        <v>7354.6751754603574</v>
      </c>
      <c r="X158" s="11"/>
      <c r="Z158" s="15">
        <f t="shared" si="14"/>
        <v>153</v>
      </c>
      <c r="AA158" s="18">
        <f>-'[1]links-p1'!T154</f>
        <v>6779.486412000002</v>
      </c>
      <c r="AB158" s="18">
        <f>-'[2]links-p1'!S154</f>
        <v>0</v>
      </c>
      <c r="AD158" s="11"/>
    </row>
    <row r="159" spans="2:30" x14ac:dyDescent="0.3">
      <c r="B159" s="15">
        <f t="shared" si="10"/>
        <v>154</v>
      </c>
      <c r="C159" s="4">
        <v>0</v>
      </c>
      <c r="D159" s="4">
        <f>-'[2]links-p1'!B155</f>
        <v>0</v>
      </c>
      <c r="F159" s="11"/>
      <c r="H159" s="15">
        <f t="shared" si="11"/>
        <v>154</v>
      </c>
      <c r="I159" s="4">
        <v>0</v>
      </c>
      <c r="J159" s="4">
        <f>-'[2]links-p1'!H155</f>
        <v>0</v>
      </c>
      <c r="L159" s="11"/>
      <c r="N159" s="15">
        <f t="shared" si="12"/>
        <v>154</v>
      </c>
      <c r="O159" s="18">
        <f>-'[1]links-p1'!E155</f>
        <v>10564.536484219951</v>
      </c>
      <c r="P159" s="18">
        <f>-'[2]links-p1'!E155</f>
        <v>7762.4360485999432</v>
      </c>
      <c r="R159" s="11"/>
      <c r="T159" s="15">
        <f t="shared" si="13"/>
        <v>154</v>
      </c>
      <c r="U159" s="18">
        <f>-'[1]links-p1'!S155</f>
        <v>242.9858415396437</v>
      </c>
      <c r="V159" s="18">
        <f>-'[2]links-p1'!R155</f>
        <v>7354.6751754603574</v>
      </c>
      <c r="X159" s="11"/>
      <c r="Z159" s="15">
        <f t="shared" si="14"/>
        <v>154</v>
      </c>
      <c r="AA159" s="18">
        <f>-'[1]links-p1'!T155</f>
        <v>6779.486412000002</v>
      </c>
      <c r="AB159" s="18">
        <f>-'[2]links-p1'!S155</f>
        <v>0</v>
      </c>
      <c r="AD159" s="11"/>
    </row>
    <row r="160" spans="2:30" x14ac:dyDescent="0.3">
      <c r="B160" s="15">
        <f t="shared" si="10"/>
        <v>155</v>
      </c>
      <c r="C160" s="4">
        <v>0</v>
      </c>
      <c r="D160" s="4">
        <f>-'[2]links-p1'!B156</f>
        <v>0</v>
      </c>
      <c r="F160" s="11"/>
      <c r="H160" s="15">
        <f t="shared" si="11"/>
        <v>155</v>
      </c>
      <c r="I160" s="4">
        <v>0</v>
      </c>
      <c r="J160" s="4">
        <f>-'[2]links-p1'!H156</f>
        <v>0</v>
      </c>
      <c r="L160" s="11"/>
      <c r="N160" s="15">
        <f t="shared" si="12"/>
        <v>155</v>
      </c>
      <c r="O160" s="18">
        <f>-'[1]links-p1'!E156</f>
        <v>5850.0582122833684</v>
      </c>
      <c r="P160" s="18">
        <f>-'[2]links-p1'!E156</f>
        <v>3099.633515353366</v>
      </c>
      <c r="R160" s="11"/>
      <c r="T160" s="15">
        <f t="shared" si="13"/>
        <v>155</v>
      </c>
      <c r="U160" s="18">
        <f>-'[1]links-p1'!S156</f>
        <v>242.9858415396437</v>
      </c>
      <c r="V160" s="18">
        <f>-'[2]links-p1'!R156</f>
        <v>7354.6751754603574</v>
      </c>
      <c r="X160" s="11"/>
      <c r="Z160" s="15">
        <f t="shared" si="14"/>
        <v>155</v>
      </c>
      <c r="AA160" s="18">
        <f>-'[1]links-p1'!T156</f>
        <v>6779.486412000002</v>
      </c>
      <c r="AB160" s="18">
        <f>-'[2]links-p1'!S156</f>
        <v>0</v>
      </c>
      <c r="AD160" s="11"/>
    </row>
    <row r="161" spans="2:30" x14ac:dyDescent="0.3">
      <c r="B161" s="15">
        <f t="shared" si="10"/>
        <v>156</v>
      </c>
      <c r="C161" s="4">
        <v>0</v>
      </c>
      <c r="D161" s="4">
        <f>-'[2]links-p1'!B157</f>
        <v>0</v>
      </c>
      <c r="F161" s="11"/>
      <c r="H161" s="15">
        <f t="shared" si="11"/>
        <v>156</v>
      </c>
      <c r="I161" s="4">
        <v>0</v>
      </c>
      <c r="J161" s="4">
        <f>-'[2]links-p1'!H157</f>
        <v>0</v>
      </c>
      <c r="L161" s="11"/>
      <c r="N161" s="15">
        <f t="shared" si="12"/>
        <v>156</v>
      </c>
      <c r="O161" s="18">
        <f>-'[1]links-p1'!E157</f>
        <v>10807.72393832665</v>
      </c>
      <c r="P161" s="18">
        <f>-'[2]links-p1'!E157</f>
        <v>10807.72393832665</v>
      </c>
      <c r="R161" s="11"/>
      <c r="T161" s="15">
        <f t="shared" si="13"/>
        <v>156</v>
      </c>
      <c r="U161" s="18">
        <f>-'[1]links-p1'!S157</f>
        <v>242.52197458203219</v>
      </c>
      <c r="V161" s="18">
        <f>-'[2]links-p1'!R157</f>
        <v>7355.1390424179681</v>
      </c>
      <c r="X161" s="11"/>
      <c r="Z161" s="15">
        <f t="shared" si="14"/>
        <v>156</v>
      </c>
      <c r="AA161" s="18">
        <f>-'[1]links-p1'!T157</f>
        <v>6779.486412000002</v>
      </c>
      <c r="AB161" s="18">
        <f>-'[2]links-p1'!S157</f>
        <v>0</v>
      </c>
      <c r="AD161" s="11"/>
    </row>
    <row r="162" spans="2:30" x14ac:dyDescent="0.3">
      <c r="B162" s="15">
        <f t="shared" si="10"/>
        <v>157</v>
      </c>
      <c r="C162" s="4">
        <v>0</v>
      </c>
      <c r="D162" s="4">
        <f>-'[2]links-p1'!B158</f>
        <v>0</v>
      </c>
      <c r="F162" s="11"/>
      <c r="H162" s="15">
        <f t="shared" si="11"/>
        <v>157</v>
      </c>
      <c r="I162" s="4">
        <v>0</v>
      </c>
      <c r="J162" s="4">
        <f>-'[2]links-p1'!H158</f>
        <v>0</v>
      </c>
      <c r="L162" s="11"/>
      <c r="N162" s="15">
        <f t="shared" si="12"/>
        <v>157</v>
      </c>
      <c r="O162" s="18">
        <f>-'[1]links-p1'!E158</f>
        <v>13300.488026511361</v>
      </c>
      <c r="P162" s="18">
        <f>-'[2]links-p1'!E158</f>
        <v>13300.488026511361</v>
      </c>
      <c r="R162" s="11"/>
      <c r="T162" s="15">
        <f t="shared" si="13"/>
        <v>157</v>
      </c>
      <c r="U162" s="18">
        <f>-'[1]links-p1'!S158</f>
        <v>242.9858415396437</v>
      </c>
      <c r="V162" s="18">
        <f>-'[2]links-p1'!R158</f>
        <v>7354.6751754603574</v>
      </c>
      <c r="X162" s="11"/>
      <c r="Z162" s="15">
        <f t="shared" si="14"/>
        <v>157</v>
      </c>
      <c r="AA162" s="18">
        <f>-'[1]links-p1'!T158</f>
        <v>6779.486412000002</v>
      </c>
      <c r="AB162" s="18">
        <f>-'[2]links-p1'!S158</f>
        <v>0</v>
      </c>
      <c r="AD162" s="11"/>
    </row>
    <row r="163" spans="2:30" x14ac:dyDescent="0.3">
      <c r="B163" s="15">
        <f t="shared" si="10"/>
        <v>158</v>
      </c>
      <c r="C163" s="4">
        <v>0</v>
      </c>
      <c r="D163" s="4">
        <f>-'[2]links-p1'!B159</f>
        <v>0</v>
      </c>
      <c r="F163" s="11"/>
      <c r="H163" s="15">
        <f t="shared" si="11"/>
        <v>158</v>
      </c>
      <c r="I163" s="4">
        <v>0</v>
      </c>
      <c r="J163" s="4">
        <f>-'[2]links-p1'!H159</f>
        <v>0</v>
      </c>
      <c r="L163" s="11"/>
      <c r="N163" s="15">
        <f t="shared" si="12"/>
        <v>158</v>
      </c>
      <c r="O163" s="18">
        <f>-'[1]links-p1'!E159</f>
        <v>15500</v>
      </c>
      <c r="P163" s="18">
        <f>-'[2]links-p1'!E159</f>
        <v>15500</v>
      </c>
      <c r="R163" s="11"/>
      <c r="T163" s="15">
        <f t="shared" si="13"/>
        <v>158</v>
      </c>
      <c r="U163" s="18">
        <f>-'[1]links-p1'!S159</f>
        <v>242.9858415396437</v>
      </c>
      <c r="V163" s="18">
        <f>-'[2]links-p1'!R159</f>
        <v>7354.6751754603574</v>
      </c>
      <c r="X163" s="11"/>
      <c r="Z163" s="15">
        <f t="shared" si="14"/>
        <v>158</v>
      </c>
      <c r="AA163" s="18">
        <f>-'[1]links-p1'!T159</f>
        <v>6779.486412000002</v>
      </c>
      <c r="AB163" s="18">
        <f>-'[2]links-p1'!S159</f>
        <v>0</v>
      </c>
      <c r="AD163" s="11"/>
    </row>
    <row r="164" spans="2:30" x14ac:dyDescent="0.3">
      <c r="B164" s="15">
        <f t="shared" si="10"/>
        <v>159</v>
      </c>
      <c r="C164" s="4">
        <v>0</v>
      </c>
      <c r="D164" s="4">
        <f>-'[2]links-p1'!B160</f>
        <v>0</v>
      </c>
      <c r="F164" s="11"/>
      <c r="H164" s="15">
        <f t="shared" si="11"/>
        <v>159</v>
      </c>
      <c r="I164" s="4">
        <v>0</v>
      </c>
      <c r="J164" s="4">
        <f>-'[2]links-p1'!H160</f>
        <v>0</v>
      </c>
      <c r="L164" s="11"/>
      <c r="N164" s="15">
        <f t="shared" si="12"/>
        <v>159</v>
      </c>
      <c r="O164" s="18">
        <f>-'[1]links-p1'!E160</f>
        <v>15500</v>
      </c>
      <c r="P164" s="18">
        <f>-'[2]links-p1'!E160</f>
        <v>15500</v>
      </c>
      <c r="R164" s="11"/>
      <c r="T164" s="15">
        <f t="shared" si="13"/>
        <v>159</v>
      </c>
      <c r="U164" s="18">
        <f>-'[1]links-p1'!S160</f>
        <v>242.52197458203219</v>
      </c>
      <c r="V164" s="18">
        <f>-'[2]links-p1'!R160</f>
        <v>7355.1390424179681</v>
      </c>
      <c r="X164" s="11"/>
      <c r="Z164" s="15">
        <f t="shared" si="14"/>
        <v>159</v>
      </c>
      <c r="AA164" s="18">
        <f>-'[1]links-p1'!T160</f>
        <v>6779.486412000002</v>
      </c>
      <c r="AB164" s="18">
        <f>-'[2]links-p1'!S160</f>
        <v>0</v>
      </c>
      <c r="AD164" s="11"/>
    </row>
    <row r="165" spans="2:30" x14ac:dyDescent="0.3">
      <c r="B165" s="15">
        <f t="shared" si="10"/>
        <v>160</v>
      </c>
      <c r="C165" s="4">
        <v>0</v>
      </c>
      <c r="D165" s="4">
        <f>-'[2]links-p1'!B161</f>
        <v>0</v>
      </c>
      <c r="F165" s="11"/>
      <c r="H165" s="15">
        <f t="shared" si="11"/>
        <v>160</v>
      </c>
      <c r="I165" s="4">
        <v>0</v>
      </c>
      <c r="J165" s="4">
        <f>-'[2]links-p1'!H161</f>
        <v>0</v>
      </c>
      <c r="L165" s="11"/>
      <c r="N165" s="15">
        <f t="shared" si="12"/>
        <v>160</v>
      </c>
      <c r="O165" s="18">
        <f>-'[1]links-p1'!E161</f>
        <v>15500</v>
      </c>
      <c r="P165" s="18">
        <f>-'[2]links-p1'!E161</f>
        <v>15500</v>
      </c>
      <c r="R165" s="11"/>
      <c r="T165" s="15">
        <f t="shared" si="13"/>
        <v>160</v>
      </c>
      <c r="U165" s="18">
        <f>-'[1]links-p1'!S161</f>
        <v>242.9858415396437</v>
      </c>
      <c r="V165" s="18">
        <f>-'[2]links-p1'!R161</f>
        <v>7354.6751754603574</v>
      </c>
      <c r="X165" s="11"/>
      <c r="Z165" s="15">
        <f t="shared" si="14"/>
        <v>160</v>
      </c>
      <c r="AA165" s="18">
        <f>-'[1]links-p1'!T161</f>
        <v>6779.486412000002</v>
      </c>
      <c r="AB165" s="18">
        <f>-'[2]links-p1'!S161</f>
        <v>0</v>
      </c>
      <c r="AD165" s="11"/>
    </row>
    <row r="166" spans="2:30" x14ac:dyDescent="0.3">
      <c r="B166" s="15">
        <f t="shared" si="10"/>
        <v>161</v>
      </c>
      <c r="C166" s="4">
        <v>0</v>
      </c>
      <c r="D166" s="4">
        <f>-'[2]links-p1'!B162</f>
        <v>0</v>
      </c>
      <c r="F166" s="11"/>
      <c r="H166" s="15">
        <f t="shared" si="11"/>
        <v>161</v>
      </c>
      <c r="I166" s="4">
        <v>0</v>
      </c>
      <c r="J166" s="4">
        <f>-'[2]links-p1'!H162</f>
        <v>0</v>
      </c>
      <c r="L166" s="11"/>
      <c r="N166" s="15">
        <f t="shared" si="12"/>
        <v>161</v>
      </c>
      <c r="O166" s="18">
        <f>-'[1]links-p1'!E162</f>
        <v>10444.655515089949</v>
      </c>
      <c r="P166" s="18">
        <f>-'[2]links-p1'!E162</f>
        <v>13995.30460148678</v>
      </c>
      <c r="R166" s="11"/>
      <c r="T166" s="15">
        <f t="shared" si="13"/>
        <v>161</v>
      </c>
      <c r="U166" s="18">
        <f>-'[1]links-p1'!S162</f>
        <v>242.9858415396437</v>
      </c>
      <c r="V166" s="18">
        <f>-'[2]links-p1'!R162</f>
        <v>7354.6751754603574</v>
      </c>
      <c r="X166" s="11"/>
      <c r="Z166" s="15">
        <f t="shared" si="14"/>
        <v>161</v>
      </c>
      <c r="AA166" s="18">
        <f>-'[1]links-p1'!T162</f>
        <v>6779.486412000002</v>
      </c>
      <c r="AB166" s="18">
        <f>-'[2]links-p1'!S162</f>
        <v>0</v>
      </c>
      <c r="AD166" s="11"/>
    </row>
    <row r="167" spans="2:30" x14ac:dyDescent="0.3">
      <c r="B167" s="15">
        <f t="shared" si="10"/>
        <v>162</v>
      </c>
      <c r="C167" s="4">
        <v>0</v>
      </c>
      <c r="D167" s="4">
        <f>-'[2]links-p1'!B163</f>
        <v>0</v>
      </c>
      <c r="F167" s="11"/>
      <c r="H167" s="15">
        <f t="shared" si="11"/>
        <v>162</v>
      </c>
      <c r="I167" s="4">
        <v>0</v>
      </c>
      <c r="J167" s="4">
        <f>-'[2]links-p1'!H163</f>
        <v>0</v>
      </c>
      <c r="L167" s="11"/>
      <c r="N167" s="15">
        <f t="shared" si="12"/>
        <v>162</v>
      </c>
      <c r="O167" s="18">
        <f>-'[1]links-p1'!E163</f>
        <v>8125.1209619103956</v>
      </c>
      <c r="P167" s="18">
        <f>-'[2]links-p1'!E163</f>
        <v>15500</v>
      </c>
      <c r="R167" s="11"/>
      <c r="T167" s="15">
        <f t="shared" si="13"/>
        <v>162</v>
      </c>
      <c r="U167" s="18">
        <f>-'[1]links-p1'!S163</f>
        <v>242.9858415396437</v>
      </c>
      <c r="V167" s="18">
        <f>-'[2]links-p1'!R163</f>
        <v>7354.6751754603574</v>
      </c>
      <c r="X167" s="11"/>
      <c r="Z167" s="15">
        <f t="shared" si="14"/>
        <v>162</v>
      </c>
      <c r="AA167" s="18">
        <f>-'[1]links-p1'!T163</f>
        <v>6779.486412000002</v>
      </c>
      <c r="AB167" s="18">
        <f>-'[2]links-p1'!S163</f>
        <v>0</v>
      </c>
      <c r="AD167" s="11"/>
    </row>
    <row r="168" spans="2:30" x14ac:dyDescent="0.3">
      <c r="B168" s="15">
        <f t="shared" si="10"/>
        <v>163</v>
      </c>
      <c r="C168" s="4">
        <v>0</v>
      </c>
      <c r="D168" s="4">
        <f>-'[2]links-p1'!B164</f>
        <v>0</v>
      </c>
      <c r="F168" s="11"/>
      <c r="H168" s="15">
        <f t="shared" si="11"/>
        <v>163</v>
      </c>
      <c r="I168" s="4">
        <v>0</v>
      </c>
      <c r="J168" s="4">
        <f>-'[2]links-p1'!H164</f>
        <v>0</v>
      </c>
      <c r="L168" s="11"/>
      <c r="N168" s="15">
        <f t="shared" si="12"/>
        <v>163</v>
      </c>
      <c r="O168" s="18">
        <f>-'[1]links-p1'!E164</f>
        <v>10427.143683105631</v>
      </c>
      <c r="P168" s="18">
        <f>-'[2]links-p1'!E164</f>
        <v>7778.0215956524862</v>
      </c>
      <c r="R168" s="11"/>
      <c r="T168" s="15">
        <f t="shared" si="13"/>
        <v>163</v>
      </c>
      <c r="U168" s="18">
        <f>-'[1]links-p1'!S164</f>
        <v>242.52197458203219</v>
      </c>
      <c r="V168" s="18">
        <f>-'[2]links-p1'!R164</f>
        <v>7355.1390424179681</v>
      </c>
      <c r="X168" s="11"/>
      <c r="Z168" s="15">
        <f t="shared" si="14"/>
        <v>163</v>
      </c>
      <c r="AA168" s="18">
        <f>-'[1]links-p1'!T164</f>
        <v>6779.486412000002</v>
      </c>
      <c r="AB168" s="18">
        <f>-'[2]links-p1'!S164</f>
        <v>0</v>
      </c>
      <c r="AD168" s="11"/>
    </row>
    <row r="169" spans="2:30" x14ac:dyDescent="0.3">
      <c r="B169" s="15">
        <f t="shared" si="10"/>
        <v>164</v>
      </c>
      <c r="C169" s="4">
        <v>0</v>
      </c>
      <c r="D169" s="4">
        <f>-'[2]links-p1'!B165</f>
        <v>0</v>
      </c>
      <c r="F169" s="11"/>
      <c r="H169" s="15">
        <f t="shared" si="11"/>
        <v>164</v>
      </c>
      <c r="I169" s="4">
        <v>0</v>
      </c>
      <c r="J169" s="4">
        <f>-'[2]links-p1'!H165</f>
        <v>0</v>
      </c>
      <c r="L169" s="11"/>
      <c r="N169" s="15">
        <f t="shared" si="12"/>
        <v>164</v>
      </c>
      <c r="O169" s="18">
        <f>-'[1]links-p1'!E165</f>
        <v>1306.7168932699431</v>
      </c>
      <c r="P169" s="18">
        <f>-'[2]links-p1'!E165</f>
        <v>0</v>
      </c>
      <c r="R169" s="11"/>
      <c r="T169" s="15">
        <f t="shared" si="13"/>
        <v>164</v>
      </c>
      <c r="U169" s="18">
        <f>-'[1]links-p1'!S165</f>
        <v>242.9858415396437</v>
      </c>
      <c r="V169" s="18">
        <f>-'[2]links-p1'!R165</f>
        <v>7354.6751754603574</v>
      </c>
      <c r="X169" s="11"/>
      <c r="Z169" s="15">
        <f t="shared" si="14"/>
        <v>164</v>
      </c>
      <c r="AA169" s="18">
        <f>-'[1]links-p1'!T165</f>
        <v>6779.486412000002</v>
      </c>
      <c r="AB169" s="18">
        <f>-'[2]links-p1'!S165</f>
        <v>0</v>
      </c>
      <c r="AD169" s="11"/>
    </row>
    <row r="170" spans="2:30" x14ac:dyDescent="0.3">
      <c r="B170" s="15">
        <f t="shared" si="10"/>
        <v>165</v>
      </c>
      <c r="C170" s="4">
        <v>0</v>
      </c>
      <c r="D170" s="4">
        <f>-'[2]links-p1'!B166</f>
        <v>0</v>
      </c>
      <c r="F170" s="11"/>
      <c r="H170" s="15">
        <f t="shared" si="11"/>
        <v>165</v>
      </c>
      <c r="I170" s="4">
        <v>0</v>
      </c>
      <c r="J170" s="4">
        <f>-'[2]links-p1'!H166</f>
        <v>0</v>
      </c>
      <c r="L170" s="11"/>
      <c r="N170" s="15">
        <f t="shared" si="12"/>
        <v>165</v>
      </c>
      <c r="O170" s="18">
        <f>-'[1]links-p1'!E166</f>
        <v>10383.87862895425</v>
      </c>
      <c r="P170" s="18">
        <f>-'[2]links-p1'!E166</f>
        <v>7762.8999155542551</v>
      </c>
      <c r="R170" s="11"/>
      <c r="T170" s="15">
        <f t="shared" si="13"/>
        <v>165</v>
      </c>
      <c r="U170" s="18">
        <f>-'[1]links-p1'!S166</f>
        <v>243.4497084972553</v>
      </c>
      <c r="V170" s="18">
        <f>-'[2]links-p1'!R166</f>
        <v>7354.2113085027449</v>
      </c>
      <c r="X170" s="11"/>
      <c r="Z170" s="15">
        <f t="shared" si="14"/>
        <v>165</v>
      </c>
      <c r="AA170" s="18">
        <f>-'[1]links-p1'!T166</f>
        <v>6779.486412000002</v>
      </c>
      <c r="AB170" s="18">
        <f>-'[2]links-p1'!S166</f>
        <v>0</v>
      </c>
      <c r="AD170" s="11"/>
    </row>
    <row r="171" spans="2:30" x14ac:dyDescent="0.3">
      <c r="B171" s="15">
        <f>B170+1</f>
        <v>166</v>
      </c>
      <c r="C171" s="4">
        <v>0</v>
      </c>
      <c r="D171" s="4">
        <f>-'[2]links-p1'!B167</f>
        <v>0</v>
      </c>
      <c r="F171" s="11"/>
      <c r="H171" s="15">
        <f>H170+1</f>
        <v>166</v>
      </c>
      <c r="I171" s="4">
        <v>0</v>
      </c>
      <c r="J171" s="4">
        <f>-'[2]links-p1'!H167</f>
        <v>0</v>
      </c>
      <c r="L171" s="11"/>
      <c r="N171" s="15">
        <f>N170+1</f>
        <v>166</v>
      </c>
      <c r="O171" s="18">
        <f>-'[1]links-p1'!E167</f>
        <v>2160.59556348857</v>
      </c>
      <c r="P171" s="18">
        <f>-'[2]links-p1'!E167</f>
        <v>2503.1169586081451</v>
      </c>
      <c r="R171" s="11"/>
      <c r="T171" s="15">
        <f>T170+1</f>
        <v>166</v>
      </c>
      <c r="U171" s="18">
        <f>-'[1]links-p1'!S167</f>
        <v>243.91357544486681</v>
      </c>
      <c r="V171" s="18">
        <f>-'[2]links-p1'!R167</f>
        <v>7353.7474415551333</v>
      </c>
      <c r="X171" s="11"/>
      <c r="Z171" s="15">
        <f>Z170+1</f>
        <v>166</v>
      </c>
      <c r="AA171" s="18">
        <f>-'[1]links-p1'!T167</f>
        <v>6779.486412000002</v>
      </c>
      <c r="AB171" s="18">
        <f>-'[2]links-p1'!S167</f>
        <v>0</v>
      </c>
      <c r="AD171" s="11"/>
    </row>
    <row r="172" spans="2:30" x14ac:dyDescent="0.3">
      <c r="B172" s="15">
        <f t="shared" ref="B172:B173" si="15">B171+1</f>
        <v>167</v>
      </c>
      <c r="C172" s="4">
        <v>0</v>
      </c>
      <c r="D172" s="4">
        <f>-'[2]links-p1'!B168</f>
        <v>0</v>
      </c>
      <c r="F172" s="11"/>
      <c r="H172" s="15">
        <f t="shared" ref="H172:H173" si="16">H171+1</f>
        <v>167</v>
      </c>
      <c r="I172" s="4">
        <v>0</v>
      </c>
      <c r="J172" s="4">
        <f>-'[2]links-p1'!H168</f>
        <v>0</v>
      </c>
      <c r="L172" s="11"/>
      <c r="N172" s="15">
        <f t="shared" ref="N172:N173" si="17">N171+1</f>
        <v>167</v>
      </c>
      <c r="O172" s="18">
        <f>-'[1]links-p1'!E168</f>
        <v>10245.4012997972</v>
      </c>
      <c r="P172" s="18">
        <f>-'[2]links-p1'!E168</f>
        <v>7764.2915164471997</v>
      </c>
      <c r="R172" s="11"/>
      <c r="T172" s="15">
        <f t="shared" ref="T172:T173" si="18">T171+1</f>
        <v>167</v>
      </c>
      <c r="U172" s="18">
        <f>-'[1]links-p1'!S168</f>
        <v>244.84130936008989</v>
      </c>
      <c r="V172" s="18">
        <f>-'[2]links-p1'!R168</f>
        <v>7352.8197076399101</v>
      </c>
      <c r="X172" s="11"/>
      <c r="Z172" s="15">
        <f t="shared" ref="Z172:Z173" si="19">Z171+1</f>
        <v>167</v>
      </c>
      <c r="AA172" s="18">
        <f>-'[1]links-p1'!T168</f>
        <v>6779.486412000002</v>
      </c>
      <c r="AB172" s="18">
        <f>-'[2]links-p1'!S168</f>
        <v>0</v>
      </c>
      <c r="AD172" s="11"/>
    </row>
    <row r="173" spans="2:30" x14ac:dyDescent="0.3">
      <c r="B173" s="16">
        <f t="shared" si="15"/>
        <v>168</v>
      </c>
      <c r="C173" s="12">
        <v>0</v>
      </c>
      <c r="D173" s="12">
        <f>-'[2]links-p1'!B169</f>
        <v>0</v>
      </c>
      <c r="E173" s="12"/>
      <c r="F173" s="13"/>
      <c r="H173" s="16">
        <f t="shared" si="16"/>
        <v>168</v>
      </c>
      <c r="I173" s="12">
        <v>0</v>
      </c>
      <c r="J173" s="12">
        <f>-'[2]links-p1'!H169</f>
        <v>0</v>
      </c>
      <c r="K173" s="12"/>
      <c r="L173" s="13"/>
      <c r="N173" s="16">
        <f t="shared" si="17"/>
        <v>168</v>
      </c>
      <c r="O173" s="19">
        <f>-'[1]links-p1'!E169</f>
        <v>0</v>
      </c>
      <c r="P173" s="18">
        <f>-'[2]links-p1'!E169</f>
        <v>0</v>
      </c>
      <c r="Q173" s="12"/>
      <c r="R173" s="13"/>
      <c r="T173" s="16">
        <f t="shared" si="18"/>
        <v>168</v>
      </c>
      <c r="U173" s="19">
        <f>-'[1]links-p1'!S169</f>
        <v>244.84130936008989</v>
      </c>
      <c r="V173" s="18">
        <f>-'[2]links-p1'!R169</f>
        <v>7352.8197076399101</v>
      </c>
      <c r="W173" s="12"/>
      <c r="X173" s="13"/>
      <c r="Z173" s="16">
        <f t="shared" si="19"/>
        <v>168</v>
      </c>
      <c r="AA173" s="19">
        <f>-'[1]links-p1'!T169</f>
        <v>6779.486412000002</v>
      </c>
      <c r="AB173" s="18">
        <f>-'[2]links-p1'!S169</f>
        <v>0</v>
      </c>
      <c r="AC173" s="12"/>
      <c r="AD173" s="13"/>
    </row>
  </sheetData>
  <mergeCells count="5">
    <mergeCell ref="C2:F2"/>
    <mergeCell ref="I2:L2"/>
    <mergeCell ref="O2:R2"/>
    <mergeCell ref="U2:X2"/>
    <mergeCell ref="AA2:A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CF6C-4E0A-44BD-AA9A-8ED869600A68}">
  <dimension ref="B1:AJ173"/>
  <sheetViews>
    <sheetView tabSelected="1" workbookViewId="0">
      <selection activeCell="G8" sqref="G8"/>
    </sheetView>
  </sheetViews>
  <sheetFormatPr baseColWidth="10" defaultRowHeight="14.5" x14ac:dyDescent="0.35"/>
  <cols>
    <col min="1" max="1" width="10.90625" style="25"/>
    <col min="2" max="2" width="10.90625" style="4"/>
    <col min="3" max="3" width="32.26953125" style="4" customWidth="1"/>
    <col min="4" max="4" width="25.1796875" style="4" bestFit="1" customWidth="1"/>
    <col min="5" max="5" width="22.36328125" style="4" bestFit="1" customWidth="1"/>
    <col min="6" max="6" width="25.1796875" style="4" bestFit="1" customWidth="1"/>
    <col min="7" max="7" width="10.90625" style="25"/>
    <col min="8" max="8" width="10.90625" style="4"/>
    <col min="9" max="9" width="32.26953125" style="4" customWidth="1"/>
    <col min="10" max="10" width="25.1796875" style="4" bestFit="1" customWidth="1"/>
    <col min="11" max="11" width="22.36328125" style="4" bestFit="1" customWidth="1"/>
    <col min="12" max="12" width="25.1796875" style="4" bestFit="1" customWidth="1"/>
    <col min="13" max="13" width="10.90625" style="25"/>
    <col min="14" max="14" width="10.90625" style="4"/>
    <col min="15" max="15" width="32.26953125" style="4" customWidth="1"/>
    <col min="16" max="16" width="25.1796875" style="4" bestFit="1" customWidth="1"/>
    <col min="17" max="17" width="22.36328125" style="4" bestFit="1" customWidth="1"/>
    <col min="18" max="18" width="25.1796875" style="4" bestFit="1" customWidth="1"/>
    <col min="19" max="19" width="10.90625" style="25"/>
    <col min="20" max="20" width="10.90625" style="4"/>
    <col min="21" max="21" width="32.26953125" style="4" customWidth="1"/>
    <col min="22" max="22" width="25.1796875" style="4" bestFit="1" customWidth="1"/>
    <col min="23" max="23" width="22.36328125" style="4" bestFit="1" customWidth="1"/>
    <col min="24" max="24" width="25.1796875" style="4" bestFit="1" customWidth="1"/>
    <col min="25" max="25" width="10.90625" style="25"/>
    <col min="26" max="26" width="10.90625" style="4"/>
    <col min="27" max="27" width="32.26953125" style="4" customWidth="1"/>
    <col min="28" max="28" width="25.1796875" style="4" bestFit="1" customWidth="1"/>
    <col min="29" max="29" width="22.36328125" style="4" bestFit="1" customWidth="1"/>
    <col min="30" max="30" width="25.1796875" style="4" bestFit="1" customWidth="1"/>
    <col min="31" max="31" width="10.7265625" style="25" customWidth="1"/>
    <col min="32" max="32" width="10.90625" style="4"/>
    <col min="33" max="33" width="32.26953125" style="4" customWidth="1"/>
    <col min="34" max="34" width="25.1796875" style="4" bestFit="1" customWidth="1"/>
    <col min="35" max="35" width="22.36328125" style="4" bestFit="1" customWidth="1"/>
    <col min="36" max="36" width="25.1796875" style="4" bestFit="1" customWidth="1"/>
    <col min="37" max="16384" width="10.90625" style="25"/>
  </cols>
  <sheetData>
    <row r="1" spans="2:36" x14ac:dyDescent="0.35">
      <c r="B1" s="2"/>
      <c r="C1" s="24"/>
      <c r="D1" s="2"/>
      <c r="E1" s="2"/>
      <c r="F1" s="2"/>
      <c r="H1" s="2"/>
      <c r="I1" s="24"/>
      <c r="J1" s="2"/>
      <c r="K1" s="2"/>
      <c r="L1" s="2"/>
      <c r="N1" s="2"/>
      <c r="O1" s="24"/>
      <c r="P1" s="2"/>
      <c r="Q1" s="2"/>
      <c r="R1" s="2"/>
      <c r="T1" s="2"/>
      <c r="U1" s="24"/>
      <c r="V1" s="2"/>
      <c r="W1" s="2"/>
      <c r="X1" s="2"/>
      <c r="Z1" s="2"/>
      <c r="AA1" s="24"/>
      <c r="AB1" s="2"/>
      <c r="AC1" s="2"/>
      <c r="AD1" s="2"/>
      <c r="AF1" s="2"/>
      <c r="AG1" s="24"/>
      <c r="AH1" s="2"/>
      <c r="AI1" s="2"/>
      <c r="AJ1" s="2"/>
    </row>
    <row r="2" spans="2:36" x14ac:dyDescent="0.35">
      <c r="B2" s="2"/>
      <c r="C2" s="26" t="s">
        <v>17</v>
      </c>
      <c r="D2" s="26"/>
      <c r="E2" s="26"/>
      <c r="F2" s="26"/>
      <c r="H2" s="2"/>
      <c r="I2" s="26" t="s">
        <v>18</v>
      </c>
      <c r="J2" s="26"/>
      <c r="K2" s="26"/>
      <c r="L2" s="26"/>
      <c r="N2" s="2"/>
      <c r="O2" s="26" t="s">
        <v>19</v>
      </c>
      <c r="P2" s="26"/>
      <c r="Q2" s="26"/>
      <c r="R2" s="26"/>
      <c r="T2" s="2"/>
      <c r="U2" s="26" t="s">
        <v>20</v>
      </c>
      <c r="V2" s="26"/>
      <c r="W2" s="26"/>
      <c r="X2" s="26"/>
      <c r="Z2" s="2"/>
      <c r="AA2" s="26" t="s">
        <v>21</v>
      </c>
      <c r="AB2" s="26"/>
      <c r="AC2" s="26"/>
      <c r="AD2" s="26"/>
      <c r="AF2" s="2"/>
      <c r="AG2" s="26" t="s">
        <v>22</v>
      </c>
      <c r="AH2" s="26"/>
      <c r="AI2" s="26"/>
      <c r="AJ2" s="26"/>
    </row>
    <row r="3" spans="2:36" x14ac:dyDescent="0.35">
      <c r="B3" s="6" t="s">
        <v>6</v>
      </c>
      <c r="C3" s="7">
        <f>SUM(C6:C173)</f>
        <v>19536.127642675128</v>
      </c>
      <c r="D3" s="7">
        <f>SUM(D6:D173)</f>
        <v>0</v>
      </c>
      <c r="E3" s="7"/>
      <c r="F3" s="7"/>
      <c r="H3" s="6" t="s">
        <v>6</v>
      </c>
      <c r="I3" s="7">
        <f>SUM(I6:I173)</f>
        <v>-201206.63071452474</v>
      </c>
      <c r="J3" s="7">
        <f>SUM(J6:J173)</f>
        <v>0</v>
      </c>
      <c r="K3" s="7"/>
      <c r="L3" s="7"/>
      <c r="N3" s="6" t="s">
        <v>6</v>
      </c>
      <c r="O3" s="7">
        <f>SUM(O6:O173)</f>
        <v>-47014.608265551542</v>
      </c>
      <c r="P3" s="7">
        <f>SUM(P6:P173)</f>
        <v>0</v>
      </c>
      <c r="Q3" s="7"/>
      <c r="R3" s="7"/>
      <c r="T3" s="6" t="s">
        <v>6</v>
      </c>
      <c r="U3" s="7">
        <f>SUM(U6:U173)</f>
        <v>-347047.82123895193</v>
      </c>
      <c r="V3" s="7">
        <f>SUM(V6:V173)</f>
        <v>0</v>
      </c>
      <c r="W3" s="7"/>
      <c r="X3" s="7"/>
      <c r="Z3" s="6" t="s">
        <v>6</v>
      </c>
      <c r="AA3" s="7">
        <f>SUM(AA6:AA173)</f>
        <v>643284.5588228578</v>
      </c>
      <c r="AB3" s="7">
        <f>SUM(AB6:AB173)</f>
        <v>0</v>
      </c>
      <c r="AC3" s="7"/>
      <c r="AD3" s="7"/>
      <c r="AF3" s="6" t="s">
        <v>6</v>
      </c>
      <c r="AG3" s="7">
        <f>SUM(AG6:AG173)</f>
        <v>9597.4494087536732</v>
      </c>
      <c r="AH3" s="7">
        <f>SUM(AH6:AH173)</f>
        <v>0</v>
      </c>
      <c r="AI3" s="7"/>
      <c r="AJ3" s="7"/>
    </row>
    <row r="4" spans="2:36" x14ac:dyDescent="0.35">
      <c r="B4" s="5" t="s">
        <v>7</v>
      </c>
      <c r="C4" s="7" t="s">
        <v>8</v>
      </c>
      <c r="D4" s="7">
        <f>C3-D3</f>
        <v>19536.127642675128</v>
      </c>
      <c r="E4" s="7"/>
      <c r="F4" s="7"/>
      <c r="H4" s="5" t="s">
        <v>7</v>
      </c>
      <c r="I4" s="7" t="s">
        <v>8</v>
      </c>
      <c r="J4" s="7">
        <f>I3-J3</f>
        <v>-201206.63071452474</v>
      </c>
      <c r="K4" s="7"/>
      <c r="L4" s="7"/>
      <c r="N4" s="5" t="s">
        <v>7</v>
      </c>
      <c r="O4" s="7" t="s">
        <v>8</v>
      </c>
      <c r="P4" s="7">
        <f>O3-P3</f>
        <v>-47014.608265551542</v>
      </c>
      <c r="Q4" s="7"/>
      <c r="R4" s="7"/>
      <c r="T4" s="5" t="s">
        <v>7</v>
      </c>
      <c r="U4" s="7" t="s">
        <v>8</v>
      </c>
      <c r="V4" s="7">
        <f>U3-V3</f>
        <v>-347047.82123895193</v>
      </c>
      <c r="W4" s="7"/>
      <c r="X4" s="7"/>
      <c r="Z4" s="5" t="s">
        <v>7</v>
      </c>
      <c r="AA4" s="7" t="s">
        <v>8</v>
      </c>
      <c r="AB4" s="7">
        <f>AA3-AB3</f>
        <v>643284.5588228578</v>
      </c>
      <c r="AC4" s="7"/>
      <c r="AD4" s="7"/>
      <c r="AF4" s="5" t="s">
        <v>7</v>
      </c>
      <c r="AG4" s="7" t="s">
        <v>8</v>
      </c>
      <c r="AH4" s="7">
        <f>AG3-AH3</f>
        <v>9597.4494087536732</v>
      </c>
      <c r="AI4" s="7"/>
      <c r="AJ4" s="7"/>
    </row>
    <row r="5" spans="2:36" x14ac:dyDescent="0.35">
      <c r="B5" s="3" t="s">
        <v>4</v>
      </c>
      <c r="C5" s="6" t="s">
        <v>16</v>
      </c>
      <c r="D5" s="8" t="s">
        <v>14</v>
      </c>
      <c r="E5" s="8" t="s">
        <v>15</v>
      </c>
      <c r="F5" s="8" t="s">
        <v>5</v>
      </c>
      <c r="H5" s="3" t="s">
        <v>4</v>
      </c>
      <c r="I5" s="6" t="s">
        <v>16</v>
      </c>
      <c r="J5" s="8" t="s">
        <v>14</v>
      </c>
      <c r="K5" s="8" t="s">
        <v>15</v>
      </c>
      <c r="L5" s="8" t="s">
        <v>5</v>
      </c>
      <c r="N5" s="3" t="s">
        <v>4</v>
      </c>
      <c r="O5" s="6" t="s">
        <v>16</v>
      </c>
      <c r="P5" s="8" t="s">
        <v>14</v>
      </c>
      <c r="Q5" s="8" t="s">
        <v>15</v>
      </c>
      <c r="R5" s="8" t="s">
        <v>5</v>
      </c>
      <c r="T5" s="3" t="s">
        <v>4</v>
      </c>
      <c r="U5" s="6" t="s">
        <v>16</v>
      </c>
      <c r="V5" s="8" t="s">
        <v>14</v>
      </c>
      <c r="W5" s="8" t="s">
        <v>15</v>
      </c>
      <c r="X5" s="8" t="s">
        <v>5</v>
      </c>
      <c r="Z5" s="3" t="s">
        <v>4</v>
      </c>
      <c r="AA5" s="6" t="s">
        <v>16</v>
      </c>
      <c r="AB5" s="8" t="s">
        <v>14</v>
      </c>
      <c r="AC5" s="8" t="s">
        <v>15</v>
      </c>
      <c r="AD5" s="8" t="s">
        <v>5</v>
      </c>
      <c r="AF5" s="3" t="s">
        <v>4</v>
      </c>
      <c r="AG5" s="6" t="s">
        <v>16</v>
      </c>
      <c r="AH5" s="8" t="s">
        <v>14</v>
      </c>
      <c r="AI5" s="8" t="s">
        <v>15</v>
      </c>
      <c r="AJ5" s="8" t="s">
        <v>5</v>
      </c>
    </row>
    <row r="6" spans="2:36" x14ac:dyDescent="0.35">
      <c r="B6" s="14">
        <f>1</f>
        <v>1</v>
      </c>
      <c r="C6" s="9">
        <v>-5000</v>
      </c>
      <c r="D6" s="9"/>
      <c r="E6" s="9"/>
      <c r="F6" s="10"/>
      <c r="H6" s="14">
        <f>1</f>
        <v>1</v>
      </c>
      <c r="I6" s="9">
        <v>-125.1149825182401</v>
      </c>
      <c r="J6" s="9"/>
      <c r="K6" s="9"/>
      <c r="L6" s="10"/>
      <c r="N6" s="14">
        <f>1</f>
        <v>1</v>
      </c>
      <c r="O6" s="9">
        <v>250.3942113358145</v>
      </c>
      <c r="P6" s="9"/>
      <c r="Q6" s="9"/>
      <c r="R6" s="10"/>
      <c r="T6" s="14">
        <f>1</f>
        <v>1</v>
      </c>
      <c r="U6" s="9">
        <v>-2543.580933391645</v>
      </c>
      <c r="V6" s="9"/>
      <c r="W6" s="9"/>
      <c r="X6" s="10"/>
      <c r="Z6" s="14">
        <f>1</f>
        <v>1</v>
      </c>
      <c r="AA6" s="9">
        <v>3985.9887313007998</v>
      </c>
      <c r="AB6" s="9"/>
      <c r="AC6" s="9"/>
      <c r="AD6" s="10"/>
      <c r="AF6" s="14">
        <f>1</f>
        <v>1</v>
      </c>
      <c r="AG6" s="9">
        <v>0</v>
      </c>
      <c r="AH6" s="9"/>
      <c r="AI6" s="9"/>
      <c r="AJ6" s="10"/>
    </row>
    <row r="7" spans="2:36" x14ac:dyDescent="0.35">
      <c r="B7" s="15">
        <f>B6+1</f>
        <v>2</v>
      </c>
      <c r="C7" s="4">
        <v>0</v>
      </c>
      <c r="F7" s="11"/>
      <c r="H7" s="15">
        <f>H6+1</f>
        <v>2</v>
      </c>
      <c r="I7" s="4">
        <v>-3500</v>
      </c>
      <c r="L7" s="11"/>
      <c r="N7" s="15">
        <f>N6+1</f>
        <v>2</v>
      </c>
      <c r="O7" s="4">
        <v>327.05411425167739</v>
      </c>
      <c r="R7" s="11"/>
      <c r="T7" s="15">
        <f>T6+1</f>
        <v>2</v>
      </c>
      <c r="U7" s="4">
        <v>-1517.8</v>
      </c>
      <c r="X7" s="11"/>
      <c r="Z7" s="15">
        <f>Z6+1</f>
        <v>2</v>
      </c>
      <c r="AA7" s="4">
        <v>3985.9887313007998</v>
      </c>
      <c r="AD7" s="11"/>
      <c r="AF7" s="15">
        <f>AF6+1</f>
        <v>2</v>
      </c>
      <c r="AG7" s="4">
        <v>0</v>
      </c>
      <c r="AJ7" s="11"/>
    </row>
    <row r="8" spans="2:36" x14ac:dyDescent="0.35">
      <c r="B8" s="15">
        <f t="shared" ref="B8:B71" si="0">B7+1</f>
        <v>3</v>
      </c>
      <c r="C8" s="4">
        <v>0</v>
      </c>
      <c r="F8" s="11"/>
      <c r="H8" s="15">
        <f t="shared" ref="H8:H71" si="1">H7+1</f>
        <v>3</v>
      </c>
      <c r="I8" s="4">
        <v>-3500</v>
      </c>
      <c r="L8" s="11"/>
      <c r="N8" s="15">
        <f t="shared" ref="N8:N71" si="2">N7+1</f>
        <v>3</v>
      </c>
      <c r="O8" s="4">
        <v>377.87399938300251</v>
      </c>
      <c r="R8" s="11"/>
      <c r="T8" s="15">
        <f t="shared" ref="T8:T71" si="3">T7+1</f>
        <v>3</v>
      </c>
      <c r="U8" s="4">
        <v>-1517.8</v>
      </c>
      <c r="X8" s="11"/>
      <c r="Z8" s="15">
        <f t="shared" ref="Z8:Z71" si="4">Z7+1</f>
        <v>3</v>
      </c>
      <c r="AA8" s="4">
        <v>3985.9887313007998</v>
      </c>
      <c r="AD8" s="11"/>
      <c r="AF8" s="15">
        <f t="shared" ref="AF8:AF71" si="5">AF7+1</f>
        <v>3</v>
      </c>
      <c r="AG8" s="4">
        <v>0</v>
      </c>
      <c r="AJ8" s="11"/>
    </row>
    <row r="9" spans="2:36" x14ac:dyDescent="0.35">
      <c r="B9" s="15">
        <f t="shared" si="0"/>
        <v>4</v>
      </c>
      <c r="C9" s="4">
        <v>-4229.1625054333708</v>
      </c>
      <c r="F9" s="11"/>
      <c r="H9" s="15">
        <f t="shared" si="1"/>
        <v>4</v>
      </c>
      <c r="I9" s="4">
        <v>-1463.7733712935089</v>
      </c>
      <c r="L9" s="11"/>
      <c r="N9" s="15">
        <f t="shared" si="2"/>
        <v>4</v>
      </c>
      <c r="O9" s="4">
        <v>425.47099996914289</v>
      </c>
      <c r="R9" s="11"/>
      <c r="T9" s="15">
        <f t="shared" si="3"/>
        <v>4</v>
      </c>
      <c r="U9" s="4">
        <v>-1517.8</v>
      </c>
      <c r="X9" s="11"/>
      <c r="Z9" s="15">
        <f t="shared" si="4"/>
        <v>4</v>
      </c>
      <c r="AA9" s="4">
        <v>3985.9887313007998</v>
      </c>
      <c r="AD9" s="11"/>
      <c r="AF9" s="15">
        <f t="shared" si="5"/>
        <v>4</v>
      </c>
      <c r="AG9" s="4">
        <v>0</v>
      </c>
      <c r="AJ9" s="11"/>
    </row>
    <row r="10" spans="2:36" x14ac:dyDescent="0.35">
      <c r="B10" s="15">
        <f t="shared" si="0"/>
        <v>5</v>
      </c>
      <c r="C10" s="4">
        <v>0</v>
      </c>
      <c r="F10" s="11"/>
      <c r="H10" s="15">
        <f t="shared" si="1"/>
        <v>5</v>
      </c>
      <c r="I10" s="4">
        <v>-3316.98062278923</v>
      </c>
      <c r="L10" s="11"/>
      <c r="N10" s="15">
        <f t="shared" si="2"/>
        <v>5</v>
      </c>
      <c r="O10" s="4">
        <v>459.44627236118907</v>
      </c>
      <c r="R10" s="11"/>
      <c r="T10" s="15">
        <f t="shared" si="3"/>
        <v>5</v>
      </c>
      <c r="U10" s="4">
        <v>-1517.8</v>
      </c>
      <c r="X10" s="11"/>
      <c r="Z10" s="15">
        <f t="shared" si="4"/>
        <v>5</v>
      </c>
      <c r="AA10" s="4">
        <v>3985.9887313007998</v>
      </c>
      <c r="AD10" s="11"/>
      <c r="AF10" s="15">
        <f t="shared" si="5"/>
        <v>5</v>
      </c>
      <c r="AG10" s="4">
        <v>0</v>
      </c>
      <c r="AJ10" s="11"/>
    </row>
    <row r="11" spans="2:36" x14ac:dyDescent="0.35">
      <c r="B11" s="15">
        <f t="shared" si="0"/>
        <v>6</v>
      </c>
      <c r="C11" s="4">
        <v>0</v>
      </c>
      <c r="F11" s="11"/>
      <c r="H11" s="15">
        <f t="shared" si="1"/>
        <v>6</v>
      </c>
      <c r="I11" s="4">
        <v>-1122.3361027362139</v>
      </c>
      <c r="L11" s="11"/>
      <c r="N11" s="15">
        <f t="shared" si="2"/>
        <v>6</v>
      </c>
      <c r="O11" s="4">
        <v>576.41582494730415</v>
      </c>
      <c r="R11" s="11"/>
      <c r="T11" s="15">
        <f t="shared" si="3"/>
        <v>6</v>
      </c>
      <c r="U11" s="4">
        <v>-1517.8</v>
      </c>
      <c r="X11" s="11"/>
      <c r="Z11" s="15">
        <f t="shared" si="4"/>
        <v>6</v>
      </c>
      <c r="AA11" s="4">
        <v>3985.9887313007998</v>
      </c>
      <c r="AD11" s="11"/>
      <c r="AF11" s="15">
        <f t="shared" si="5"/>
        <v>6</v>
      </c>
      <c r="AG11" s="4">
        <v>0</v>
      </c>
      <c r="AJ11" s="11"/>
    </row>
    <row r="12" spans="2:36" x14ac:dyDescent="0.35">
      <c r="B12" s="15">
        <f t="shared" si="0"/>
        <v>7</v>
      </c>
      <c r="C12" s="4">
        <v>0</v>
      </c>
      <c r="F12" s="11"/>
      <c r="H12" s="15">
        <f t="shared" si="1"/>
        <v>7</v>
      </c>
      <c r="I12" s="4">
        <v>-3284.8143033409192</v>
      </c>
      <c r="L12" s="11"/>
      <c r="N12" s="15">
        <f t="shared" si="2"/>
        <v>7</v>
      </c>
      <c r="O12" s="4">
        <v>697.69885780497282</v>
      </c>
      <c r="R12" s="11"/>
      <c r="T12" s="15">
        <f t="shared" si="3"/>
        <v>7</v>
      </c>
      <c r="U12" s="4">
        <v>-1517.8</v>
      </c>
      <c r="X12" s="11"/>
      <c r="Z12" s="15">
        <f t="shared" si="4"/>
        <v>7</v>
      </c>
      <c r="AA12" s="4">
        <v>3985.9887313007998</v>
      </c>
      <c r="AD12" s="11"/>
      <c r="AF12" s="15">
        <f t="shared" si="5"/>
        <v>7</v>
      </c>
      <c r="AG12" s="4">
        <v>0</v>
      </c>
      <c r="AJ12" s="11"/>
    </row>
    <row r="13" spans="2:36" x14ac:dyDescent="0.35">
      <c r="B13" s="15">
        <f t="shared" si="0"/>
        <v>8</v>
      </c>
      <c r="C13" s="4">
        <v>-2443.5794976116422</v>
      </c>
      <c r="F13" s="11"/>
      <c r="H13" s="15">
        <f t="shared" si="1"/>
        <v>8</v>
      </c>
      <c r="I13" s="4">
        <v>-3500</v>
      </c>
      <c r="L13" s="11"/>
      <c r="N13" s="15">
        <f t="shared" si="2"/>
        <v>8</v>
      </c>
      <c r="O13" s="4">
        <v>787.54212575313625</v>
      </c>
      <c r="R13" s="11"/>
      <c r="T13" s="15">
        <f t="shared" si="3"/>
        <v>8</v>
      </c>
      <c r="U13" s="4">
        <v>-1517.8</v>
      </c>
      <c r="X13" s="11"/>
      <c r="Z13" s="15">
        <f t="shared" si="4"/>
        <v>8</v>
      </c>
      <c r="AA13" s="4">
        <v>3985.9887313007998</v>
      </c>
      <c r="AD13" s="11"/>
      <c r="AF13" s="15">
        <f t="shared" si="5"/>
        <v>8</v>
      </c>
      <c r="AG13" s="4">
        <v>0</v>
      </c>
      <c r="AJ13" s="11"/>
    </row>
    <row r="14" spans="2:36" x14ac:dyDescent="0.35">
      <c r="B14" s="15">
        <f t="shared" si="0"/>
        <v>9</v>
      </c>
      <c r="C14" s="4">
        <v>0</v>
      </c>
      <c r="F14" s="11"/>
      <c r="H14" s="15">
        <f t="shared" si="1"/>
        <v>9</v>
      </c>
      <c r="I14" s="4">
        <v>-3500</v>
      </c>
      <c r="L14" s="11"/>
      <c r="N14" s="15">
        <f t="shared" si="2"/>
        <v>9</v>
      </c>
      <c r="O14" s="4">
        <v>885.90724067787733</v>
      </c>
      <c r="R14" s="11"/>
      <c r="T14" s="15">
        <f t="shared" si="3"/>
        <v>9</v>
      </c>
      <c r="U14" s="4">
        <v>-1517.8</v>
      </c>
      <c r="X14" s="11"/>
      <c r="Z14" s="15">
        <f t="shared" si="4"/>
        <v>9</v>
      </c>
      <c r="AA14" s="4">
        <v>3985.9887313007998</v>
      </c>
      <c r="AD14" s="11"/>
      <c r="AF14" s="15">
        <f t="shared" si="5"/>
        <v>9</v>
      </c>
      <c r="AG14" s="4">
        <v>0</v>
      </c>
      <c r="AJ14" s="11"/>
    </row>
    <row r="15" spans="2:36" x14ac:dyDescent="0.35">
      <c r="B15" s="15">
        <f t="shared" si="0"/>
        <v>10</v>
      </c>
      <c r="C15" s="4">
        <v>-2204.2283937933921</v>
      </c>
      <c r="F15" s="11"/>
      <c r="H15" s="15">
        <f t="shared" si="1"/>
        <v>10</v>
      </c>
      <c r="I15" s="4">
        <v>-3500</v>
      </c>
      <c r="L15" s="11"/>
      <c r="N15" s="15">
        <f t="shared" si="2"/>
        <v>10</v>
      </c>
      <c r="O15" s="4">
        <v>431.83422652889362</v>
      </c>
      <c r="R15" s="11"/>
      <c r="T15" s="15">
        <f t="shared" si="3"/>
        <v>10</v>
      </c>
      <c r="U15" s="4">
        <v>-1517.8</v>
      </c>
      <c r="X15" s="11"/>
      <c r="Z15" s="15">
        <f t="shared" si="4"/>
        <v>10</v>
      </c>
      <c r="AA15" s="4">
        <v>3985.9887313007998</v>
      </c>
      <c r="AD15" s="11"/>
      <c r="AF15" s="15">
        <f t="shared" si="5"/>
        <v>10</v>
      </c>
      <c r="AG15" s="4">
        <v>0</v>
      </c>
      <c r="AJ15" s="11"/>
    </row>
    <row r="16" spans="2:36" x14ac:dyDescent="0.35">
      <c r="B16" s="15">
        <f t="shared" si="0"/>
        <v>11</v>
      </c>
      <c r="C16" s="4">
        <v>578.16100895</v>
      </c>
      <c r="F16" s="11"/>
      <c r="H16" s="15">
        <f t="shared" si="1"/>
        <v>11</v>
      </c>
      <c r="I16" s="4">
        <v>0</v>
      </c>
      <c r="L16" s="11"/>
      <c r="N16" s="15">
        <f t="shared" si="2"/>
        <v>11</v>
      </c>
      <c r="O16" s="4">
        <v>-25.245719582288981</v>
      </c>
      <c r="R16" s="11"/>
      <c r="T16" s="15">
        <f t="shared" si="3"/>
        <v>11</v>
      </c>
      <c r="U16" s="4">
        <v>-1517.8</v>
      </c>
      <c r="X16" s="11"/>
      <c r="Z16" s="15">
        <f t="shared" si="4"/>
        <v>11</v>
      </c>
      <c r="AA16" s="4">
        <v>5030.8887250000007</v>
      </c>
      <c r="AD16" s="11"/>
      <c r="AF16" s="15">
        <f t="shared" si="5"/>
        <v>11</v>
      </c>
      <c r="AG16" s="4">
        <v>651.2194867621406</v>
      </c>
      <c r="AJ16" s="11"/>
    </row>
    <row r="17" spans="2:36" x14ac:dyDescent="0.35">
      <c r="B17" s="15">
        <f t="shared" si="0"/>
        <v>12</v>
      </c>
      <c r="C17" s="4">
        <v>5000</v>
      </c>
      <c r="F17" s="11"/>
      <c r="H17" s="15">
        <f t="shared" si="1"/>
        <v>12</v>
      </c>
      <c r="I17" s="4">
        <v>0</v>
      </c>
      <c r="L17" s="11"/>
      <c r="N17" s="15">
        <f t="shared" si="2"/>
        <v>12</v>
      </c>
      <c r="O17" s="4">
        <v>-460.00571959228893</v>
      </c>
      <c r="R17" s="11"/>
      <c r="T17" s="15">
        <f t="shared" si="3"/>
        <v>12</v>
      </c>
      <c r="U17" s="4">
        <v>-1517.8</v>
      </c>
      <c r="X17" s="11"/>
      <c r="Z17" s="15">
        <f t="shared" si="4"/>
        <v>12</v>
      </c>
      <c r="AA17" s="4">
        <v>6076.2477979611012</v>
      </c>
      <c r="AD17" s="11"/>
      <c r="AF17" s="15">
        <f t="shared" si="5"/>
        <v>12</v>
      </c>
      <c r="AG17" s="4">
        <v>948.49997740888125</v>
      </c>
      <c r="AJ17" s="11"/>
    </row>
    <row r="18" spans="2:36" x14ac:dyDescent="0.35">
      <c r="B18" s="15">
        <f t="shared" si="0"/>
        <v>13</v>
      </c>
      <c r="C18" s="4">
        <v>5000</v>
      </c>
      <c r="F18" s="11"/>
      <c r="H18" s="15">
        <f t="shared" si="1"/>
        <v>13</v>
      </c>
      <c r="I18" s="4">
        <v>0</v>
      </c>
      <c r="L18" s="11"/>
      <c r="N18" s="15">
        <f t="shared" si="2"/>
        <v>13</v>
      </c>
      <c r="O18" s="4">
        <v>-894.76571958328918</v>
      </c>
      <c r="R18" s="11"/>
      <c r="T18" s="15">
        <f t="shared" si="3"/>
        <v>13</v>
      </c>
      <c r="U18" s="4">
        <v>-1517.8</v>
      </c>
      <c r="X18" s="11"/>
      <c r="Z18" s="15">
        <f t="shared" si="4"/>
        <v>13</v>
      </c>
      <c r="AA18" s="4">
        <v>7092.7285040622282</v>
      </c>
      <c r="AD18" s="11"/>
      <c r="AF18" s="15">
        <f t="shared" si="5"/>
        <v>13</v>
      </c>
      <c r="AG18" s="4">
        <v>261.55938940012197</v>
      </c>
      <c r="AJ18" s="11"/>
    </row>
    <row r="19" spans="2:36" x14ac:dyDescent="0.35">
      <c r="B19" s="15">
        <f t="shared" si="0"/>
        <v>14</v>
      </c>
      <c r="C19" s="4">
        <v>5000</v>
      </c>
      <c r="F19" s="11"/>
      <c r="H19" s="15">
        <f t="shared" si="1"/>
        <v>14</v>
      </c>
      <c r="I19" s="4">
        <v>0</v>
      </c>
      <c r="L19" s="11"/>
      <c r="N19" s="15">
        <f t="shared" si="2"/>
        <v>14</v>
      </c>
      <c r="O19" s="4">
        <v>-696.80238301794998</v>
      </c>
      <c r="R19" s="11"/>
      <c r="T19" s="15">
        <f t="shared" si="3"/>
        <v>14</v>
      </c>
      <c r="U19" s="4">
        <v>-1517.8</v>
      </c>
      <c r="X19" s="11"/>
      <c r="Z19" s="15">
        <f t="shared" si="4"/>
        <v>14</v>
      </c>
      <c r="AA19" s="4">
        <v>6839.9388079922282</v>
      </c>
      <c r="AD19" s="11"/>
      <c r="AF19" s="15">
        <f t="shared" si="5"/>
        <v>14</v>
      </c>
      <c r="AG19" s="4">
        <v>261.55938940012197</v>
      </c>
      <c r="AJ19" s="11"/>
    </row>
    <row r="20" spans="2:36" x14ac:dyDescent="0.35">
      <c r="B20" s="15">
        <f t="shared" si="0"/>
        <v>15</v>
      </c>
      <c r="C20" s="4">
        <v>5000</v>
      </c>
      <c r="F20" s="11"/>
      <c r="H20" s="15">
        <f t="shared" si="1"/>
        <v>15</v>
      </c>
      <c r="I20" s="4">
        <v>0</v>
      </c>
      <c r="L20" s="11"/>
      <c r="N20" s="15">
        <f t="shared" si="2"/>
        <v>15</v>
      </c>
      <c r="O20" s="4">
        <v>-1149.005359583289</v>
      </c>
      <c r="R20" s="11"/>
      <c r="T20" s="15">
        <f t="shared" si="3"/>
        <v>15</v>
      </c>
      <c r="U20" s="4">
        <v>-1517.8</v>
      </c>
      <c r="X20" s="11"/>
      <c r="Z20" s="15">
        <f t="shared" si="4"/>
        <v>15</v>
      </c>
      <c r="AA20" s="4">
        <v>6076.2477979611012</v>
      </c>
      <c r="AD20" s="11"/>
      <c r="AF20" s="15">
        <f t="shared" si="5"/>
        <v>15</v>
      </c>
      <c r="AG20" s="4">
        <v>948.49997740888125</v>
      </c>
      <c r="AJ20" s="11"/>
    </row>
    <row r="21" spans="2:36" x14ac:dyDescent="0.35">
      <c r="B21" s="15">
        <f t="shared" si="0"/>
        <v>16</v>
      </c>
      <c r="C21" s="4">
        <v>5000</v>
      </c>
      <c r="F21" s="11"/>
      <c r="H21" s="15">
        <f t="shared" si="1"/>
        <v>16</v>
      </c>
      <c r="I21" s="4">
        <v>0</v>
      </c>
      <c r="L21" s="11"/>
      <c r="N21" s="15">
        <f t="shared" si="2"/>
        <v>16</v>
      </c>
      <c r="O21" s="4">
        <v>-714.2453595832892</v>
      </c>
      <c r="R21" s="11"/>
      <c r="T21" s="15">
        <f t="shared" si="3"/>
        <v>16</v>
      </c>
      <c r="U21" s="4">
        <v>-1517.8</v>
      </c>
      <c r="X21" s="11"/>
      <c r="Z21" s="15">
        <f t="shared" si="4"/>
        <v>16</v>
      </c>
      <c r="AA21" s="4">
        <v>5030.8887250000007</v>
      </c>
      <c r="AD21" s="11"/>
      <c r="AF21" s="15">
        <f t="shared" si="5"/>
        <v>16</v>
      </c>
      <c r="AG21" s="4">
        <v>981.21976923643342</v>
      </c>
      <c r="AJ21" s="11"/>
    </row>
    <row r="22" spans="2:36" x14ac:dyDescent="0.35">
      <c r="B22" s="15">
        <f t="shared" si="0"/>
        <v>17</v>
      </c>
      <c r="C22" s="4">
        <v>0</v>
      </c>
      <c r="F22" s="11"/>
      <c r="H22" s="15">
        <f t="shared" si="1"/>
        <v>17</v>
      </c>
      <c r="I22" s="4">
        <v>153.67195201872161</v>
      </c>
      <c r="L22" s="11"/>
      <c r="N22" s="15">
        <f t="shared" si="2"/>
        <v>17</v>
      </c>
      <c r="O22" s="4">
        <v>-279.48535958328898</v>
      </c>
      <c r="R22" s="11"/>
      <c r="T22" s="15">
        <f t="shared" si="3"/>
        <v>17</v>
      </c>
      <c r="U22" s="4">
        <v>-1517.8</v>
      </c>
      <c r="X22" s="11"/>
      <c r="Z22" s="15">
        <f t="shared" si="4"/>
        <v>17</v>
      </c>
      <c r="AA22" s="4">
        <v>3985.9887250000002</v>
      </c>
      <c r="AD22" s="11"/>
      <c r="AF22" s="15">
        <f t="shared" si="5"/>
        <v>17</v>
      </c>
      <c r="AG22" s="4">
        <v>294.27918122767392</v>
      </c>
      <c r="AJ22" s="11"/>
    </row>
    <row r="23" spans="2:36" x14ac:dyDescent="0.35">
      <c r="B23" s="15">
        <f t="shared" si="0"/>
        <v>18</v>
      </c>
      <c r="C23" s="4">
        <v>-5000</v>
      </c>
      <c r="F23" s="11"/>
      <c r="H23" s="15">
        <f t="shared" si="1"/>
        <v>18</v>
      </c>
      <c r="I23" s="4">
        <v>-3500</v>
      </c>
      <c r="L23" s="11"/>
      <c r="N23" s="15">
        <f t="shared" si="2"/>
        <v>18</v>
      </c>
      <c r="O23" s="4">
        <v>155.27464041671101</v>
      </c>
      <c r="R23" s="11"/>
      <c r="T23" s="15">
        <f t="shared" si="3"/>
        <v>18</v>
      </c>
      <c r="U23" s="4">
        <v>-3000</v>
      </c>
      <c r="X23" s="11"/>
      <c r="Z23" s="15">
        <f t="shared" si="4"/>
        <v>18</v>
      </c>
      <c r="AA23" s="4">
        <v>2941.0887313008002</v>
      </c>
      <c r="AD23" s="11"/>
      <c r="AF23" s="15">
        <f t="shared" si="5"/>
        <v>18</v>
      </c>
      <c r="AG23" s="4">
        <v>0</v>
      </c>
      <c r="AJ23" s="11"/>
    </row>
    <row r="24" spans="2:36" x14ac:dyDescent="0.35">
      <c r="B24" s="15">
        <f t="shared" si="0"/>
        <v>19</v>
      </c>
      <c r="C24" s="4">
        <v>-5000</v>
      </c>
      <c r="F24" s="11"/>
      <c r="H24" s="15">
        <f t="shared" si="1"/>
        <v>19</v>
      </c>
      <c r="I24" s="4">
        <v>-410.0732189624996</v>
      </c>
      <c r="L24" s="11"/>
      <c r="N24" s="15">
        <f t="shared" si="2"/>
        <v>19</v>
      </c>
      <c r="O24" s="4">
        <v>646.02709320792621</v>
      </c>
      <c r="R24" s="11"/>
      <c r="T24" s="15">
        <f t="shared" si="3"/>
        <v>19</v>
      </c>
      <c r="U24" s="4">
        <v>-3000</v>
      </c>
      <c r="X24" s="11"/>
      <c r="Z24" s="15">
        <f t="shared" si="4"/>
        <v>19</v>
      </c>
      <c r="AA24" s="4">
        <v>1896.6486132108</v>
      </c>
      <c r="AD24" s="11"/>
      <c r="AF24" s="15">
        <f t="shared" si="5"/>
        <v>19</v>
      </c>
      <c r="AG24" s="4">
        <v>0</v>
      </c>
      <c r="AJ24" s="11"/>
    </row>
    <row r="25" spans="2:36" x14ac:dyDescent="0.35">
      <c r="B25" s="15">
        <f t="shared" si="0"/>
        <v>20</v>
      </c>
      <c r="C25" s="4">
        <v>-5000</v>
      </c>
      <c r="F25" s="11"/>
      <c r="H25" s="15">
        <f t="shared" si="1"/>
        <v>20</v>
      </c>
      <c r="I25" s="4">
        <v>-3500</v>
      </c>
      <c r="L25" s="11"/>
      <c r="N25" s="15">
        <f t="shared" si="2"/>
        <v>20</v>
      </c>
      <c r="O25" s="4">
        <v>445.10913894847118</v>
      </c>
      <c r="R25" s="11"/>
      <c r="T25" s="15">
        <f t="shared" si="3"/>
        <v>20</v>
      </c>
      <c r="U25" s="4">
        <v>-3000</v>
      </c>
      <c r="X25" s="11"/>
      <c r="Z25" s="15">
        <f t="shared" si="4"/>
        <v>20</v>
      </c>
      <c r="AA25" s="4">
        <v>852.20849513079975</v>
      </c>
      <c r="AD25" s="11"/>
      <c r="AF25" s="15">
        <f t="shared" si="5"/>
        <v>20</v>
      </c>
      <c r="AG25" s="4">
        <v>0</v>
      </c>
      <c r="AJ25" s="11"/>
    </row>
    <row r="26" spans="2:36" x14ac:dyDescent="0.35">
      <c r="B26" s="15">
        <f t="shared" si="0"/>
        <v>21</v>
      </c>
      <c r="C26" s="4">
        <v>-5000</v>
      </c>
      <c r="F26" s="11"/>
      <c r="H26" s="15">
        <f t="shared" si="1"/>
        <v>21</v>
      </c>
      <c r="I26" s="4">
        <v>-902.51534151568012</v>
      </c>
      <c r="L26" s="11"/>
      <c r="N26" s="15">
        <f t="shared" si="2"/>
        <v>21</v>
      </c>
      <c r="O26" s="4">
        <v>313.24163980127258</v>
      </c>
      <c r="R26" s="11"/>
      <c r="T26" s="15">
        <f t="shared" si="3"/>
        <v>21</v>
      </c>
      <c r="U26" s="4">
        <v>-3000</v>
      </c>
      <c r="X26" s="11"/>
      <c r="Z26" s="15">
        <f t="shared" si="4"/>
        <v>21</v>
      </c>
      <c r="AA26" s="4">
        <v>-192.23162295920019</v>
      </c>
      <c r="AD26" s="11"/>
      <c r="AF26" s="15">
        <f t="shared" si="5"/>
        <v>21</v>
      </c>
      <c r="AG26" s="4">
        <v>0</v>
      </c>
      <c r="AJ26" s="11"/>
    </row>
    <row r="27" spans="2:36" x14ac:dyDescent="0.35">
      <c r="B27" s="15">
        <f t="shared" si="0"/>
        <v>22</v>
      </c>
      <c r="C27" s="4">
        <v>-5000</v>
      </c>
      <c r="F27" s="11"/>
      <c r="H27" s="15">
        <f t="shared" si="1"/>
        <v>22</v>
      </c>
      <c r="I27" s="4">
        <v>-1389.2131713029189</v>
      </c>
      <c r="L27" s="11"/>
      <c r="N27" s="15">
        <f t="shared" si="2"/>
        <v>22</v>
      </c>
      <c r="O27" s="4">
        <v>217.75197415692881</v>
      </c>
      <c r="R27" s="11"/>
      <c r="T27" s="15">
        <f t="shared" si="3"/>
        <v>22</v>
      </c>
      <c r="U27" s="4">
        <v>-3000</v>
      </c>
      <c r="X27" s="11"/>
      <c r="Z27" s="15">
        <f t="shared" si="4"/>
        <v>22</v>
      </c>
      <c r="AA27" s="4">
        <v>-1236.6717410491999</v>
      </c>
      <c r="AD27" s="11"/>
      <c r="AF27" s="15">
        <f t="shared" si="5"/>
        <v>22</v>
      </c>
      <c r="AG27" s="4">
        <v>0</v>
      </c>
      <c r="AJ27" s="11"/>
    </row>
    <row r="28" spans="2:36" x14ac:dyDescent="0.35">
      <c r="B28" s="15">
        <f t="shared" si="0"/>
        <v>23</v>
      </c>
      <c r="C28" s="4">
        <v>-5000</v>
      </c>
      <c r="F28" s="11"/>
      <c r="H28" s="15">
        <f t="shared" si="1"/>
        <v>23</v>
      </c>
      <c r="I28" s="4">
        <v>-2662.9892144423889</v>
      </c>
      <c r="L28" s="11"/>
      <c r="N28" s="15">
        <f t="shared" si="2"/>
        <v>23</v>
      </c>
      <c r="O28" s="4">
        <v>202.92047218312109</v>
      </c>
      <c r="R28" s="11"/>
      <c r="T28" s="15">
        <f t="shared" si="3"/>
        <v>23</v>
      </c>
      <c r="U28" s="4">
        <v>-3000</v>
      </c>
      <c r="X28" s="11"/>
      <c r="Z28" s="15">
        <f t="shared" si="4"/>
        <v>23</v>
      </c>
      <c r="AA28" s="4">
        <v>-381.55949078920003</v>
      </c>
      <c r="AD28" s="11"/>
      <c r="AF28" s="15">
        <f t="shared" si="5"/>
        <v>23</v>
      </c>
      <c r="AG28" s="4">
        <v>0</v>
      </c>
      <c r="AJ28" s="11"/>
    </row>
    <row r="29" spans="2:36" x14ac:dyDescent="0.35">
      <c r="B29" s="15">
        <f t="shared" si="0"/>
        <v>24</v>
      </c>
      <c r="C29" s="4">
        <v>-5000</v>
      </c>
      <c r="F29" s="11"/>
      <c r="H29" s="15">
        <f t="shared" si="1"/>
        <v>24</v>
      </c>
      <c r="I29" s="4">
        <v>-2056.337111728451</v>
      </c>
      <c r="L29" s="11"/>
      <c r="N29" s="15">
        <f t="shared" si="2"/>
        <v>24</v>
      </c>
      <c r="O29" s="4">
        <v>252.2638997094605</v>
      </c>
      <c r="R29" s="11"/>
      <c r="T29" s="15">
        <f t="shared" si="3"/>
        <v>24</v>
      </c>
      <c r="U29" s="4">
        <v>-3000</v>
      </c>
      <c r="X29" s="11"/>
      <c r="Z29" s="15">
        <f t="shared" si="4"/>
        <v>24</v>
      </c>
      <c r="AA29" s="4">
        <v>663.34050921080006</v>
      </c>
      <c r="AD29" s="11"/>
      <c r="AF29" s="15">
        <f t="shared" si="5"/>
        <v>24</v>
      </c>
      <c r="AG29" s="4">
        <v>0</v>
      </c>
      <c r="AJ29" s="11"/>
    </row>
    <row r="30" spans="2:36" x14ac:dyDescent="0.35">
      <c r="B30" s="15">
        <f t="shared" si="0"/>
        <v>25</v>
      </c>
      <c r="C30" s="4">
        <v>-5000</v>
      </c>
      <c r="F30" s="11"/>
      <c r="H30" s="15">
        <f t="shared" si="1"/>
        <v>25</v>
      </c>
      <c r="I30" s="4">
        <v>-3106.55460852242</v>
      </c>
      <c r="L30" s="11"/>
      <c r="N30" s="15">
        <f t="shared" si="2"/>
        <v>25</v>
      </c>
      <c r="O30" s="4">
        <v>300.90906664509532</v>
      </c>
      <c r="R30" s="11"/>
      <c r="T30" s="15">
        <f t="shared" si="3"/>
        <v>25</v>
      </c>
      <c r="U30" s="4">
        <v>-3000</v>
      </c>
      <c r="X30" s="11"/>
      <c r="Z30" s="15">
        <f t="shared" si="4"/>
        <v>25</v>
      </c>
      <c r="AA30" s="4">
        <v>1708.2414952608001</v>
      </c>
      <c r="AD30" s="11"/>
      <c r="AF30" s="15">
        <f t="shared" si="5"/>
        <v>25</v>
      </c>
      <c r="AG30" s="4">
        <v>0</v>
      </c>
      <c r="AJ30" s="11"/>
    </row>
    <row r="31" spans="2:36" x14ac:dyDescent="0.35">
      <c r="B31" s="15">
        <f t="shared" si="0"/>
        <v>26</v>
      </c>
      <c r="C31" s="4">
        <v>-5000</v>
      </c>
      <c r="F31" s="11"/>
      <c r="H31" s="15">
        <f t="shared" si="1"/>
        <v>26</v>
      </c>
      <c r="I31" s="4">
        <v>-2730.52861385611</v>
      </c>
      <c r="L31" s="11"/>
      <c r="N31" s="15">
        <f t="shared" si="2"/>
        <v>26</v>
      </c>
      <c r="O31" s="4">
        <v>354.00191940514878</v>
      </c>
      <c r="R31" s="11"/>
      <c r="T31" s="15">
        <f t="shared" si="3"/>
        <v>26</v>
      </c>
      <c r="U31" s="4">
        <v>-3000</v>
      </c>
      <c r="X31" s="11"/>
      <c r="Z31" s="15">
        <f t="shared" si="4"/>
        <v>26</v>
      </c>
      <c r="AA31" s="4">
        <v>2753.1414952608002</v>
      </c>
      <c r="AD31" s="11"/>
      <c r="AF31" s="15">
        <f t="shared" si="5"/>
        <v>26</v>
      </c>
      <c r="AG31" s="4">
        <v>0</v>
      </c>
      <c r="AJ31" s="11"/>
    </row>
    <row r="32" spans="2:36" x14ac:dyDescent="0.35">
      <c r="B32" s="15">
        <f t="shared" si="0"/>
        <v>27</v>
      </c>
      <c r="C32" s="4">
        <v>-5000</v>
      </c>
      <c r="F32" s="11"/>
      <c r="H32" s="15">
        <f t="shared" si="1"/>
        <v>27</v>
      </c>
      <c r="I32" s="4">
        <v>-3500</v>
      </c>
      <c r="L32" s="11"/>
      <c r="N32" s="15">
        <f t="shared" si="2"/>
        <v>27</v>
      </c>
      <c r="O32" s="4">
        <v>415.18447363426287</v>
      </c>
      <c r="R32" s="11"/>
      <c r="T32" s="15">
        <f t="shared" si="3"/>
        <v>27</v>
      </c>
      <c r="U32" s="4">
        <v>-3000</v>
      </c>
      <c r="X32" s="11"/>
      <c r="Z32" s="15">
        <f t="shared" si="4"/>
        <v>27</v>
      </c>
      <c r="AA32" s="4">
        <v>2953.4013878008</v>
      </c>
      <c r="AD32" s="11"/>
      <c r="AF32" s="15">
        <f t="shared" si="5"/>
        <v>27</v>
      </c>
      <c r="AG32" s="4">
        <v>0</v>
      </c>
      <c r="AJ32" s="11"/>
    </row>
    <row r="33" spans="2:36" x14ac:dyDescent="0.35">
      <c r="B33" s="15">
        <f t="shared" si="0"/>
        <v>28</v>
      </c>
      <c r="C33" s="4">
        <v>-5000</v>
      </c>
      <c r="F33" s="11"/>
      <c r="H33" s="15">
        <f t="shared" si="1"/>
        <v>28</v>
      </c>
      <c r="I33" s="4">
        <v>-3295.5286436433398</v>
      </c>
      <c r="L33" s="11"/>
      <c r="N33" s="15">
        <f t="shared" si="2"/>
        <v>28</v>
      </c>
      <c r="O33" s="4">
        <v>469.22590351258299</v>
      </c>
      <c r="R33" s="11"/>
      <c r="T33" s="15">
        <f t="shared" si="3"/>
        <v>28</v>
      </c>
      <c r="U33" s="4">
        <v>-3000</v>
      </c>
      <c r="X33" s="11"/>
      <c r="Z33" s="15">
        <f t="shared" si="4"/>
        <v>28</v>
      </c>
      <c r="AA33" s="4">
        <v>1908.5013878008001</v>
      </c>
      <c r="AD33" s="11"/>
      <c r="AF33" s="15">
        <f t="shared" si="5"/>
        <v>28</v>
      </c>
      <c r="AG33" s="4">
        <v>0</v>
      </c>
      <c r="AJ33" s="11"/>
    </row>
    <row r="34" spans="2:36" x14ac:dyDescent="0.35">
      <c r="B34" s="15">
        <f t="shared" si="0"/>
        <v>29</v>
      </c>
      <c r="C34" s="4">
        <v>-5000</v>
      </c>
      <c r="F34" s="11"/>
      <c r="H34" s="15">
        <f t="shared" si="1"/>
        <v>29</v>
      </c>
      <c r="I34" s="4">
        <v>-3494.54778406888</v>
      </c>
      <c r="L34" s="11"/>
      <c r="N34" s="15">
        <f t="shared" si="2"/>
        <v>29</v>
      </c>
      <c r="O34" s="4">
        <v>514.56869364465012</v>
      </c>
      <c r="R34" s="11"/>
      <c r="T34" s="15">
        <f t="shared" si="3"/>
        <v>29</v>
      </c>
      <c r="U34" s="4">
        <v>-3000</v>
      </c>
      <c r="X34" s="11"/>
      <c r="Z34" s="15">
        <f t="shared" si="4"/>
        <v>29</v>
      </c>
      <c r="AA34" s="4">
        <v>863.14150589080009</v>
      </c>
      <c r="AD34" s="11"/>
      <c r="AF34" s="15">
        <f t="shared" si="5"/>
        <v>29</v>
      </c>
      <c r="AG34" s="4">
        <v>0</v>
      </c>
      <c r="AJ34" s="11"/>
    </row>
    <row r="35" spans="2:36" x14ac:dyDescent="0.35">
      <c r="B35" s="15">
        <f t="shared" si="0"/>
        <v>30</v>
      </c>
      <c r="C35" s="4">
        <v>-5000</v>
      </c>
      <c r="F35" s="11"/>
      <c r="H35" s="15">
        <f t="shared" si="1"/>
        <v>30</v>
      </c>
      <c r="I35" s="4">
        <v>-3500</v>
      </c>
      <c r="L35" s="11"/>
      <c r="N35" s="15">
        <f t="shared" si="2"/>
        <v>30</v>
      </c>
      <c r="O35" s="4">
        <v>664.0886432481268</v>
      </c>
      <c r="R35" s="11"/>
      <c r="T35" s="15">
        <f t="shared" si="3"/>
        <v>30</v>
      </c>
      <c r="U35" s="4">
        <v>-3000</v>
      </c>
      <c r="X35" s="11"/>
      <c r="Z35" s="15">
        <f t="shared" si="4"/>
        <v>30</v>
      </c>
      <c r="AA35" s="4">
        <v>-182.67825793920019</v>
      </c>
      <c r="AD35" s="11"/>
      <c r="AF35" s="15">
        <f t="shared" si="5"/>
        <v>30</v>
      </c>
      <c r="AG35" s="4">
        <v>0</v>
      </c>
      <c r="AJ35" s="11"/>
    </row>
    <row r="36" spans="2:36" x14ac:dyDescent="0.35">
      <c r="B36" s="15">
        <f t="shared" si="0"/>
        <v>31</v>
      </c>
      <c r="C36" s="4">
        <v>-5000</v>
      </c>
      <c r="F36" s="11"/>
      <c r="H36" s="15">
        <f t="shared" si="1"/>
        <v>31</v>
      </c>
      <c r="I36" s="4">
        <v>-3500</v>
      </c>
      <c r="L36" s="11"/>
      <c r="N36" s="15">
        <f t="shared" si="2"/>
        <v>31</v>
      </c>
      <c r="O36" s="4">
        <v>783.69960796512078</v>
      </c>
      <c r="R36" s="11"/>
      <c r="T36" s="15">
        <f t="shared" si="3"/>
        <v>31</v>
      </c>
      <c r="U36" s="4">
        <v>-3000</v>
      </c>
      <c r="X36" s="11"/>
      <c r="Z36" s="15">
        <f t="shared" si="4"/>
        <v>31</v>
      </c>
      <c r="AA36" s="4">
        <v>-193.1513867891999</v>
      </c>
      <c r="AD36" s="11"/>
      <c r="AF36" s="15">
        <f t="shared" si="5"/>
        <v>31</v>
      </c>
      <c r="AG36" s="4">
        <v>0</v>
      </c>
      <c r="AJ36" s="11"/>
    </row>
    <row r="37" spans="2:36" x14ac:dyDescent="0.35">
      <c r="B37" s="15">
        <f t="shared" si="0"/>
        <v>32</v>
      </c>
      <c r="C37" s="4">
        <v>-5000</v>
      </c>
      <c r="F37" s="11"/>
      <c r="H37" s="15">
        <f t="shared" si="1"/>
        <v>32</v>
      </c>
      <c r="I37" s="4">
        <v>-2242.46027683484</v>
      </c>
      <c r="L37" s="11"/>
      <c r="N37" s="15">
        <f t="shared" si="2"/>
        <v>32</v>
      </c>
      <c r="O37" s="4">
        <v>859.22646235786169</v>
      </c>
      <c r="R37" s="11"/>
      <c r="T37" s="15">
        <f t="shared" si="3"/>
        <v>32</v>
      </c>
      <c r="U37" s="4">
        <v>-3000</v>
      </c>
      <c r="X37" s="11"/>
      <c r="Z37" s="15">
        <f t="shared" si="4"/>
        <v>32</v>
      </c>
      <c r="AA37" s="4">
        <v>851.28873130080001</v>
      </c>
      <c r="AD37" s="11"/>
      <c r="AF37" s="15">
        <f t="shared" si="5"/>
        <v>32</v>
      </c>
      <c r="AG37" s="4">
        <v>0</v>
      </c>
      <c r="AJ37" s="11"/>
    </row>
    <row r="38" spans="2:36" x14ac:dyDescent="0.35">
      <c r="B38" s="15">
        <f t="shared" si="0"/>
        <v>33</v>
      </c>
      <c r="C38" s="4">
        <v>-5000</v>
      </c>
      <c r="F38" s="11"/>
      <c r="H38" s="15">
        <f t="shared" si="1"/>
        <v>33</v>
      </c>
      <c r="I38" s="4">
        <v>-3500</v>
      </c>
      <c r="L38" s="11"/>
      <c r="N38" s="15">
        <f t="shared" si="2"/>
        <v>33</v>
      </c>
      <c r="O38" s="4">
        <v>931.36368792216319</v>
      </c>
      <c r="R38" s="11"/>
      <c r="T38" s="15">
        <f t="shared" si="3"/>
        <v>33</v>
      </c>
      <c r="U38" s="4">
        <v>-3000</v>
      </c>
      <c r="X38" s="11"/>
      <c r="Z38" s="15">
        <f t="shared" si="4"/>
        <v>33</v>
      </c>
      <c r="AA38" s="4">
        <v>1896.1887313008001</v>
      </c>
      <c r="AD38" s="11"/>
      <c r="AF38" s="15">
        <f t="shared" si="5"/>
        <v>33</v>
      </c>
      <c r="AG38" s="4">
        <v>0</v>
      </c>
      <c r="AJ38" s="11"/>
    </row>
    <row r="39" spans="2:36" x14ac:dyDescent="0.35">
      <c r="B39" s="15">
        <f t="shared" si="0"/>
        <v>34</v>
      </c>
      <c r="C39" s="4">
        <v>-5000</v>
      </c>
      <c r="F39" s="11"/>
      <c r="H39" s="15">
        <f t="shared" si="1"/>
        <v>34</v>
      </c>
      <c r="I39" s="4">
        <v>-2375.6311549316788</v>
      </c>
      <c r="L39" s="11"/>
      <c r="N39" s="15">
        <f t="shared" si="2"/>
        <v>34</v>
      </c>
      <c r="O39" s="4">
        <v>482.02552057537582</v>
      </c>
      <c r="R39" s="11"/>
      <c r="T39" s="15">
        <f t="shared" si="3"/>
        <v>34</v>
      </c>
      <c r="U39" s="4">
        <v>-3000</v>
      </c>
      <c r="X39" s="11"/>
      <c r="Z39" s="15">
        <f t="shared" si="4"/>
        <v>34</v>
      </c>
      <c r="AA39" s="4">
        <v>2941.0887313008002</v>
      </c>
      <c r="AD39" s="11"/>
      <c r="AF39" s="15">
        <f t="shared" si="5"/>
        <v>34</v>
      </c>
      <c r="AG39" s="4">
        <v>0</v>
      </c>
      <c r="AJ39" s="11"/>
    </row>
    <row r="40" spans="2:36" x14ac:dyDescent="0.35">
      <c r="B40" s="15">
        <f t="shared" si="0"/>
        <v>35</v>
      </c>
      <c r="C40" s="4">
        <v>0</v>
      </c>
      <c r="F40" s="11"/>
      <c r="H40" s="15">
        <f t="shared" si="1"/>
        <v>35</v>
      </c>
      <c r="I40" s="4">
        <v>0</v>
      </c>
      <c r="L40" s="11"/>
      <c r="N40" s="15">
        <f t="shared" si="2"/>
        <v>35</v>
      </c>
      <c r="O40" s="4">
        <v>23.526711612138119</v>
      </c>
      <c r="R40" s="11"/>
      <c r="T40" s="15">
        <f t="shared" si="3"/>
        <v>35</v>
      </c>
      <c r="U40" s="4">
        <v>-1517.8</v>
      </c>
      <c r="X40" s="11"/>
      <c r="Z40" s="15">
        <f t="shared" si="4"/>
        <v>35</v>
      </c>
      <c r="AA40" s="4">
        <v>3985.9887313007998</v>
      </c>
      <c r="AD40" s="11"/>
      <c r="AF40" s="15">
        <f t="shared" si="5"/>
        <v>35</v>
      </c>
      <c r="AG40" s="4">
        <v>0</v>
      </c>
      <c r="AJ40" s="11"/>
    </row>
    <row r="41" spans="2:36" x14ac:dyDescent="0.35">
      <c r="B41" s="15">
        <f t="shared" si="0"/>
        <v>36</v>
      </c>
      <c r="C41" s="4">
        <v>0</v>
      </c>
      <c r="F41" s="11"/>
      <c r="H41" s="15">
        <f t="shared" si="1"/>
        <v>36</v>
      </c>
      <c r="I41" s="4">
        <v>0</v>
      </c>
      <c r="L41" s="11"/>
      <c r="N41" s="15">
        <f t="shared" si="2"/>
        <v>36</v>
      </c>
      <c r="O41" s="4">
        <v>-411.23328839786183</v>
      </c>
      <c r="R41" s="11"/>
      <c r="T41" s="15">
        <f t="shared" si="3"/>
        <v>36</v>
      </c>
      <c r="U41" s="4">
        <v>-1517.8</v>
      </c>
      <c r="X41" s="11"/>
      <c r="Z41" s="15">
        <f t="shared" si="4"/>
        <v>36</v>
      </c>
      <c r="AA41" s="4">
        <v>5031.3486132108001</v>
      </c>
      <c r="AD41" s="11"/>
      <c r="AF41" s="15">
        <f t="shared" si="5"/>
        <v>36</v>
      </c>
      <c r="AG41" s="4">
        <v>0</v>
      </c>
      <c r="AJ41" s="11"/>
    </row>
    <row r="42" spans="2:36" x14ac:dyDescent="0.35">
      <c r="B42" s="15">
        <f t="shared" si="0"/>
        <v>37</v>
      </c>
      <c r="C42" s="4">
        <v>0</v>
      </c>
      <c r="F42" s="11"/>
      <c r="H42" s="15">
        <f t="shared" si="1"/>
        <v>37</v>
      </c>
      <c r="I42" s="4">
        <v>0</v>
      </c>
      <c r="L42" s="11"/>
      <c r="N42" s="15">
        <f t="shared" si="2"/>
        <v>37</v>
      </c>
      <c r="O42" s="4">
        <v>-845.99328838886208</v>
      </c>
      <c r="R42" s="11"/>
      <c r="T42" s="15">
        <f t="shared" si="3"/>
        <v>37</v>
      </c>
      <c r="U42" s="4">
        <v>-1517.8</v>
      </c>
      <c r="X42" s="11"/>
      <c r="Z42" s="15">
        <f t="shared" si="4"/>
        <v>37</v>
      </c>
      <c r="AA42" s="4">
        <v>6076.7084917823558</v>
      </c>
      <c r="AD42" s="11"/>
      <c r="AF42" s="15">
        <f t="shared" si="5"/>
        <v>37</v>
      </c>
      <c r="AG42" s="4">
        <v>0</v>
      </c>
      <c r="AJ42" s="11"/>
    </row>
    <row r="43" spans="2:36" x14ac:dyDescent="0.35">
      <c r="B43" s="15">
        <f t="shared" si="0"/>
        <v>38</v>
      </c>
      <c r="C43" s="4">
        <v>0</v>
      </c>
      <c r="F43" s="11"/>
      <c r="H43" s="15">
        <f t="shared" si="1"/>
        <v>38</v>
      </c>
      <c r="I43" s="4">
        <v>0</v>
      </c>
      <c r="L43" s="11"/>
      <c r="N43" s="15">
        <f t="shared" si="2"/>
        <v>38</v>
      </c>
      <c r="O43" s="4">
        <v>-1280.7532883833619</v>
      </c>
      <c r="R43" s="11"/>
      <c r="T43" s="15">
        <f t="shared" si="3"/>
        <v>38</v>
      </c>
      <c r="U43" s="4">
        <v>-1517.8</v>
      </c>
      <c r="X43" s="11"/>
      <c r="Z43" s="15">
        <f t="shared" si="4"/>
        <v>38</v>
      </c>
      <c r="AA43" s="4">
        <v>5287.320484416914</v>
      </c>
      <c r="AD43" s="11"/>
      <c r="AF43" s="15">
        <f t="shared" si="5"/>
        <v>38</v>
      </c>
      <c r="AG43" s="4">
        <v>588.96642469464177</v>
      </c>
      <c r="AJ43" s="11"/>
    </row>
    <row r="44" spans="2:36" x14ac:dyDescent="0.35">
      <c r="B44" s="15">
        <f t="shared" si="0"/>
        <v>39</v>
      </c>
      <c r="C44" s="4">
        <v>0</v>
      </c>
      <c r="F44" s="11"/>
      <c r="H44" s="15">
        <f t="shared" si="1"/>
        <v>39</v>
      </c>
      <c r="I44" s="4">
        <v>0</v>
      </c>
      <c r="L44" s="11"/>
      <c r="N44" s="15">
        <f t="shared" si="2"/>
        <v>39</v>
      </c>
      <c r="O44" s="4">
        <v>-1130.344738388862</v>
      </c>
      <c r="R44" s="11"/>
      <c r="T44" s="15">
        <f t="shared" si="3"/>
        <v>39</v>
      </c>
      <c r="U44" s="4">
        <v>-1517.8</v>
      </c>
      <c r="X44" s="11"/>
      <c r="Z44" s="15">
        <f t="shared" si="4"/>
        <v>39</v>
      </c>
      <c r="AA44" s="4">
        <v>4241.9611020000011</v>
      </c>
      <c r="AD44" s="11"/>
      <c r="AF44" s="15">
        <f t="shared" si="5"/>
        <v>39</v>
      </c>
      <c r="AG44" s="4">
        <v>650.75861840764549</v>
      </c>
      <c r="AJ44" s="11"/>
    </row>
    <row r="45" spans="2:36" x14ac:dyDescent="0.35">
      <c r="B45" s="15">
        <f t="shared" si="0"/>
        <v>40</v>
      </c>
      <c r="C45" s="4">
        <v>0</v>
      </c>
      <c r="F45" s="11"/>
      <c r="H45" s="15">
        <f t="shared" si="1"/>
        <v>40</v>
      </c>
      <c r="I45" s="4">
        <v>0</v>
      </c>
      <c r="L45" s="11"/>
      <c r="N45" s="15">
        <f t="shared" si="2"/>
        <v>40</v>
      </c>
      <c r="O45" s="4">
        <v>-695.58473838886198</v>
      </c>
      <c r="R45" s="11"/>
      <c r="T45" s="15">
        <f t="shared" si="3"/>
        <v>40</v>
      </c>
      <c r="U45" s="4">
        <v>-1517.8</v>
      </c>
      <c r="X45" s="11"/>
      <c r="Z45" s="15">
        <f t="shared" si="4"/>
        <v>40</v>
      </c>
      <c r="AA45" s="4">
        <v>3196.60122009</v>
      </c>
      <c r="AD45" s="11"/>
      <c r="AF45" s="15">
        <f t="shared" si="5"/>
        <v>40</v>
      </c>
      <c r="AG45" s="4">
        <v>651.21850071129654</v>
      </c>
      <c r="AJ45" s="11"/>
    </row>
    <row r="46" spans="2:36" x14ac:dyDescent="0.35">
      <c r="B46" s="15">
        <f t="shared" si="0"/>
        <v>41</v>
      </c>
      <c r="C46" s="4">
        <v>-3593.4465114408231</v>
      </c>
      <c r="F46" s="11"/>
      <c r="H46" s="15">
        <f t="shared" si="1"/>
        <v>41</v>
      </c>
      <c r="I46" s="4">
        <v>-1224.6992692983699</v>
      </c>
      <c r="L46" s="11"/>
      <c r="N46" s="15">
        <f t="shared" si="2"/>
        <v>41</v>
      </c>
      <c r="O46" s="4">
        <v>-260.82473838886199</v>
      </c>
      <c r="R46" s="11"/>
      <c r="T46" s="15">
        <f t="shared" si="3"/>
        <v>41</v>
      </c>
      <c r="U46" s="4">
        <v>-1517.8</v>
      </c>
      <c r="X46" s="11"/>
      <c r="Z46" s="15">
        <f t="shared" si="4"/>
        <v>41</v>
      </c>
      <c r="AA46" s="4">
        <v>2151.7012263908</v>
      </c>
      <c r="AD46" s="11"/>
      <c r="AF46" s="15">
        <f t="shared" si="5"/>
        <v>41</v>
      </c>
      <c r="AG46" s="4">
        <v>0</v>
      </c>
      <c r="AJ46" s="11"/>
    </row>
    <row r="47" spans="2:36" x14ac:dyDescent="0.35">
      <c r="B47" s="15">
        <f t="shared" si="0"/>
        <v>42</v>
      </c>
      <c r="C47" s="4">
        <v>-5000</v>
      </c>
      <c r="F47" s="11"/>
      <c r="H47" s="15">
        <f t="shared" si="1"/>
        <v>42</v>
      </c>
      <c r="I47" s="4">
        <v>-3500</v>
      </c>
      <c r="L47" s="11"/>
      <c r="N47" s="15">
        <f t="shared" si="2"/>
        <v>42</v>
      </c>
      <c r="O47" s="4">
        <v>173.935261611138</v>
      </c>
      <c r="R47" s="11"/>
      <c r="T47" s="15">
        <f t="shared" si="3"/>
        <v>42</v>
      </c>
      <c r="U47" s="4">
        <v>-3000</v>
      </c>
      <c r="X47" s="11"/>
      <c r="Z47" s="15">
        <f t="shared" si="4"/>
        <v>42</v>
      </c>
      <c r="AA47" s="4">
        <v>1106.8012263907999</v>
      </c>
      <c r="AD47" s="11"/>
      <c r="AF47" s="15">
        <f t="shared" si="5"/>
        <v>42</v>
      </c>
      <c r="AG47" s="4">
        <v>0</v>
      </c>
      <c r="AJ47" s="11"/>
    </row>
    <row r="48" spans="2:36" x14ac:dyDescent="0.35">
      <c r="B48" s="15">
        <f t="shared" si="0"/>
        <v>43</v>
      </c>
      <c r="C48" s="4">
        <v>-5000</v>
      </c>
      <c r="F48" s="11"/>
      <c r="H48" s="15">
        <f t="shared" si="1"/>
        <v>43</v>
      </c>
      <c r="I48" s="4">
        <v>-3281.8706266220711</v>
      </c>
      <c r="L48" s="11"/>
      <c r="N48" s="15">
        <f t="shared" si="2"/>
        <v>43</v>
      </c>
      <c r="O48" s="4">
        <v>663.07244994175062</v>
      </c>
      <c r="R48" s="11"/>
      <c r="T48" s="15">
        <f t="shared" si="3"/>
        <v>43</v>
      </c>
      <c r="U48" s="4">
        <v>-3000</v>
      </c>
      <c r="X48" s="11"/>
      <c r="Z48" s="15">
        <f t="shared" si="4"/>
        <v>43</v>
      </c>
      <c r="AA48" s="4">
        <v>62.36110830079997</v>
      </c>
      <c r="AD48" s="11"/>
      <c r="AF48" s="15">
        <f t="shared" si="5"/>
        <v>43</v>
      </c>
      <c r="AG48" s="4">
        <v>0</v>
      </c>
      <c r="AJ48" s="11"/>
    </row>
    <row r="49" spans="2:36" x14ac:dyDescent="0.35">
      <c r="B49" s="15">
        <f t="shared" si="0"/>
        <v>44</v>
      </c>
      <c r="C49" s="4">
        <v>-5000</v>
      </c>
      <c r="F49" s="11"/>
      <c r="H49" s="15">
        <f t="shared" si="1"/>
        <v>44</v>
      </c>
      <c r="I49" s="4">
        <v>-1954.3142054111399</v>
      </c>
      <c r="L49" s="11"/>
      <c r="N49" s="15">
        <f t="shared" si="2"/>
        <v>44</v>
      </c>
      <c r="O49" s="4">
        <v>375.85005549829322</v>
      </c>
      <c r="R49" s="11"/>
      <c r="T49" s="15">
        <f t="shared" si="3"/>
        <v>44</v>
      </c>
      <c r="U49" s="4">
        <v>-3000</v>
      </c>
      <c r="X49" s="11"/>
      <c r="Z49" s="15">
        <f t="shared" si="4"/>
        <v>44</v>
      </c>
      <c r="AA49" s="4">
        <v>-982.07900978919997</v>
      </c>
      <c r="AD49" s="11"/>
      <c r="AF49" s="15">
        <f t="shared" si="5"/>
        <v>44</v>
      </c>
      <c r="AG49" s="4">
        <v>0</v>
      </c>
      <c r="AJ49" s="11"/>
    </row>
    <row r="50" spans="2:36" x14ac:dyDescent="0.35">
      <c r="B50" s="15">
        <f t="shared" si="0"/>
        <v>45</v>
      </c>
      <c r="C50" s="4">
        <v>-5000</v>
      </c>
      <c r="F50" s="11"/>
      <c r="H50" s="15">
        <f t="shared" si="1"/>
        <v>45</v>
      </c>
      <c r="I50" s="4">
        <v>-1399.5149415156779</v>
      </c>
      <c r="L50" s="11"/>
      <c r="N50" s="15">
        <f t="shared" si="2"/>
        <v>45</v>
      </c>
      <c r="O50" s="4">
        <v>223.29674220211021</v>
      </c>
      <c r="R50" s="11"/>
      <c r="T50" s="15">
        <f t="shared" si="3"/>
        <v>45</v>
      </c>
      <c r="U50" s="4">
        <v>-3000</v>
      </c>
      <c r="X50" s="11"/>
      <c r="Z50" s="15">
        <f t="shared" si="4"/>
        <v>45</v>
      </c>
      <c r="AA50" s="4">
        <v>-2026.5191278791999</v>
      </c>
      <c r="AD50" s="11"/>
      <c r="AF50" s="15">
        <f t="shared" si="5"/>
        <v>45</v>
      </c>
      <c r="AG50" s="4">
        <v>0</v>
      </c>
      <c r="AJ50" s="11"/>
    </row>
    <row r="51" spans="2:36" x14ac:dyDescent="0.35">
      <c r="B51" s="15">
        <f t="shared" si="0"/>
        <v>46</v>
      </c>
      <c r="C51" s="4">
        <v>-5000</v>
      </c>
      <c r="F51" s="11"/>
      <c r="H51" s="15">
        <f t="shared" si="1"/>
        <v>46</v>
      </c>
      <c r="I51" s="4">
        <v>-3500</v>
      </c>
      <c r="L51" s="11"/>
      <c r="N51" s="15">
        <f t="shared" si="2"/>
        <v>46</v>
      </c>
      <c r="O51" s="4">
        <v>136.93445172470501</v>
      </c>
      <c r="R51" s="11"/>
      <c r="T51" s="15">
        <f t="shared" si="3"/>
        <v>46</v>
      </c>
      <c r="U51" s="4">
        <v>-3000</v>
      </c>
      <c r="X51" s="11"/>
      <c r="Z51" s="15">
        <f t="shared" si="4"/>
        <v>46</v>
      </c>
      <c r="AA51" s="4">
        <v>-2370.9623547391998</v>
      </c>
      <c r="AD51" s="11"/>
      <c r="AF51" s="15">
        <f t="shared" si="5"/>
        <v>46</v>
      </c>
      <c r="AG51" s="4">
        <v>0</v>
      </c>
      <c r="AJ51" s="11"/>
    </row>
    <row r="52" spans="2:36" x14ac:dyDescent="0.35">
      <c r="B52" s="15">
        <f t="shared" si="0"/>
        <v>47</v>
      </c>
      <c r="C52" s="4">
        <v>-5000</v>
      </c>
      <c r="F52" s="11"/>
      <c r="H52" s="15">
        <f t="shared" si="1"/>
        <v>47</v>
      </c>
      <c r="I52" s="4">
        <v>-2629.5749485414158</v>
      </c>
      <c r="L52" s="11"/>
      <c r="N52" s="15">
        <f t="shared" si="2"/>
        <v>47</v>
      </c>
      <c r="O52" s="4">
        <v>74.365940253939243</v>
      </c>
      <c r="R52" s="11"/>
      <c r="T52" s="15">
        <f t="shared" si="3"/>
        <v>47</v>
      </c>
      <c r="U52" s="4">
        <v>-3000</v>
      </c>
      <c r="X52" s="11"/>
      <c r="Z52" s="15">
        <f t="shared" si="4"/>
        <v>47</v>
      </c>
      <c r="AA52" s="4">
        <v>-2470.5976317191999</v>
      </c>
      <c r="AD52" s="11"/>
      <c r="AF52" s="15">
        <f t="shared" si="5"/>
        <v>47</v>
      </c>
      <c r="AG52" s="4">
        <v>0</v>
      </c>
      <c r="AJ52" s="11"/>
    </row>
    <row r="53" spans="2:36" x14ac:dyDescent="0.35">
      <c r="B53" s="15">
        <f t="shared" si="0"/>
        <v>48</v>
      </c>
      <c r="C53" s="4">
        <v>-5000</v>
      </c>
      <c r="F53" s="11"/>
      <c r="H53" s="15">
        <f t="shared" si="1"/>
        <v>48</v>
      </c>
      <c r="I53" s="4">
        <v>-2394.394383038531</v>
      </c>
      <c r="L53" s="11"/>
      <c r="N53" s="15">
        <f t="shared" si="2"/>
        <v>48</v>
      </c>
      <c r="O53" s="4">
        <v>123.0736335392933</v>
      </c>
      <c r="R53" s="11"/>
      <c r="T53" s="15">
        <f t="shared" si="3"/>
        <v>48</v>
      </c>
      <c r="U53" s="4">
        <v>-3000</v>
      </c>
      <c r="X53" s="11"/>
      <c r="Z53" s="15">
        <f t="shared" si="4"/>
        <v>48</v>
      </c>
      <c r="AA53" s="4">
        <v>-2629.3273617191999</v>
      </c>
      <c r="AD53" s="11"/>
      <c r="AF53" s="15">
        <f t="shared" si="5"/>
        <v>48</v>
      </c>
      <c r="AG53" s="4">
        <v>0</v>
      </c>
      <c r="AJ53" s="11"/>
    </row>
    <row r="54" spans="2:36" x14ac:dyDescent="0.35">
      <c r="B54" s="15">
        <f t="shared" si="0"/>
        <v>49</v>
      </c>
      <c r="C54" s="4">
        <v>-5000</v>
      </c>
      <c r="F54" s="11"/>
      <c r="H54" s="15">
        <f t="shared" si="1"/>
        <v>49</v>
      </c>
      <c r="I54" s="4">
        <v>-3500</v>
      </c>
      <c r="L54" s="11"/>
      <c r="N54" s="15">
        <f t="shared" si="2"/>
        <v>49</v>
      </c>
      <c r="O54" s="4">
        <v>214.26435834143669</v>
      </c>
      <c r="R54" s="11"/>
      <c r="T54" s="15">
        <f t="shared" si="3"/>
        <v>49</v>
      </c>
      <c r="U54" s="4">
        <v>-3000</v>
      </c>
      <c r="X54" s="11"/>
      <c r="Z54" s="15">
        <f t="shared" si="4"/>
        <v>49</v>
      </c>
      <c r="AA54" s="4">
        <v>-2618.8018486791998</v>
      </c>
      <c r="AD54" s="11"/>
      <c r="AF54" s="15">
        <f t="shared" si="5"/>
        <v>49</v>
      </c>
      <c r="AG54" s="4">
        <v>0</v>
      </c>
      <c r="AJ54" s="11"/>
    </row>
    <row r="55" spans="2:36" x14ac:dyDescent="0.35">
      <c r="B55" s="15">
        <f t="shared" si="0"/>
        <v>50</v>
      </c>
      <c r="C55" s="4">
        <v>-5000</v>
      </c>
      <c r="F55" s="11"/>
      <c r="H55" s="15">
        <f t="shared" si="1"/>
        <v>50</v>
      </c>
      <c r="I55" s="4">
        <v>-3500</v>
      </c>
      <c r="L55" s="11"/>
      <c r="N55" s="15">
        <f t="shared" si="2"/>
        <v>50</v>
      </c>
      <c r="O55" s="4">
        <v>223.48016018889189</v>
      </c>
      <c r="R55" s="11"/>
      <c r="T55" s="15">
        <f t="shared" si="3"/>
        <v>50</v>
      </c>
      <c r="U55" s="4">
        <v>-3000</v>
      </c>
      <c r="X55" s="11"/>
      <c r="Z55" s="15">
        <f t="shared" si="4"/>
        <v>50</v>
      </c>
      <c r="AA55" s="4">
        <v>-2527.4830686792002</v>
      </c>
      <c r="AD55" s="11"/>
      <c r="AF55" s="15">
        <f t="shared" si="5"/>
        <v>50</v>
      </c>
      <c r="AG55" s="4">
        <v>0</v>
      </c>
      <c r="AJ55" s="11"/>
    </row>
    <row r="56" spans="2:36" x14ac:dyDescent="0.35">
      <c r="B56" s="15">
        <f t="shared" si="0"/>
        <v>51</v>
      </c>
      <c r="C56" s="4">
        <v>-5000</v>
      </c>
      <c r="F56" s="11"/>
      <c r="H56" s="15">
        <f t="shared" si="1"/>
        <v>51</v>
      </c>
      <c r="I56" s="4">
        <v>-3293.3911292796911</v>
      </c>
      <c r="L56" s="11"/>
      <c r="N56" s="15">
        <f t="shared" si="2"/>
        <v>51</v>
      </c>
      <c r="O56" s="4">
        <v>187.5172971825109</v>
      </c>
      <c r="R56" s="11"/>
      <c r="T56" s="15">
        <f t="shared" si="3"/>
        <v>51</v>
      </c>
      <c r="U56" s="4">
        <v>-3000</v>
      </c>
      <c r="X56" s="11"/>
      <c r="Z56" s="15">
        <f t="shared" si="4"/>
        <v>51</v>
      </c>
      <c r="AA56" s="4">
        <v>-2435.0857986791998</v>
      </c>
      <c r="AD56" s="11"/>
      <c r="AF56" s="15">
        <f t="shared" si="5"/>
        <v>51</v>
      </c>
      <c r="AG56" s="4">
        <v>0</v>
      </c>
      <c r="AJ56" s="11"/>
    </row>
    <row r="57" spans="2:36" x14ac:dyDescent="0.35">
      <c r="B57" s="15">
        <f t="shared" si="0"/>
        <v>52</v>
      </c>
      <c r="C57" s="4">
        <v>-5000</v>
      </c>
      <c r="F57" s="11"/>
      <c r="H57" s="15">
        <f t="shared" si="1"/>
        <v>52</v>
      </c>
      <c r="I57" s="4">
        <v>-3500</v>
      </c>
      <c r="L57" s="11"/>
      <c r="N57" s="15">
        <f t="shared" si="2"/>
        <v>52</v>
      </c>
      <c r="O57" s="4">
        <v>166.47174721960849</v>
      </c>
      <c r="R57" s="11"/>
      <c r="T57" s="15">
        <f t="shared" si="3"/>
        <v>52</v>
      </c>
      <c r="U57" s="4">
        <v>-3000</v>
      </c>
      <c r="X57" s="11"/>
      <c r="Z57" s="15">
        <f t="shared" si="4"/>
        <v>52</v>
      </c>
      <c r="AA57" s="4">
        <v>-2530.0177686791999</v>
      </c>
      <c r="AD57" s="11"/>
      <c r="AF57" s="15">
        <f t="shared" si="5"/>
        <v>52</v>
      </c>
      <c r="AG57" s="4">
        <v>0</v>
      </c>
      <c r="AJ57" s="11"/>
    </row>
    <row r="58" spans="2:36" x14ac:dyDescent="0.35">
      <c r="B58" s="15">
        <f t="shared" si="0"/>
        <v>53</v>
      </c>
      <c r="C58" s="4">
        <v>-5000</v>
      </c>
      <c r="F58" s="11"/>
      <c r="H58" s="15">
        <f t="shared" si="1"/>
        <v>53</v>
      </c>
      <c r="I58" s="4">
        <v>-3500</v>
      </c>
      <c r="L58" s="11"/>
      <c r="N58" s="15">
        <f t="shared" si="2"/>
        <v>53</v>
      </c>
      <c r="O58" s="4">
        <v>157.1253150486634</v>
      </c>
      <c r="R58" s="11"/>
      <c r="T58" s="15">
        <f t="shared" si="3"/>
        <v>53</v>
      </c>
      <c r="U58" s="4">
        <v>-3000</v>
      </c>
      <c r="X58" s="11"/>
      <c r="Z58" s="15">
        <f t="shared" si="4"/>
        <v>53</v>
      </c>
      <c r="AA58" s="4">
        <v>-2655.5517914391999</v>
      </c>
      <c r="AD58" s="11"/>
      <c r="AF58" s="15">
        <f t="shared" si="5"/>
        <v>53</v>
      </c>
      <c r="AG58" s="4">
        <v>0</v>
      </c>
      <c r="AJ58" s="11"/>
    </row>
    <row r="59" spans="2:36" x14ac:dyDescent="0.35">
      <c r="B59" s="15">
        <f t="shared" si="0"/>
        <v>54</v>
      </c>
      <c r="C59" s="4">
        <v>-5000</v>
      </c>
      <c r="F59" s="11"/>
      <c r="H59" s="15">
        <f t="shared" si="1"/>
        <v>54</v>
      </c>
      <c r="I59" s="4">
        <v>-3500</v>
      </c>
      <c r="L59" s="11"/>
      <c r="N59" s="15">
        <f t="shared" si="2"/>
        <v>54</v>
      </c>
      <c r="O59" s="4">
        <v>240.0727023060945</v>
      </c>
      <c r="R59" s="11"/>
      <c r="T59" s="15">
        <f t="shared" si="3"/>
        <v>54</v>
      </c>
      <c r="U59" s="4">
        <v>-3000</v>
      </c>
      <c r="X59" s="11"/>
      <c r="Z59" s="15">
        <f t="shared" si="4"/>
        <v>54</v>
      </c>
      <c r="AA59" s="4">
        <v>-2861.8570834492002</v>
      </c>
      <c r="AD59" s="11"/>
      <c r="AF59" s="15">
        <f t="shared" si="5"/>
        <v>54</v>
      </c>
      <c r="AG59" s="4">
        <v>0</v>
      </c>
      <c r="AJ59" s="11"/>
    </row>
    <row r="60" spans="2:36" x14ac:dyDescent="0.35">
      <c r="B60" s="15">
        <f t="shared" si="0"/>
        <v>55</v>
      </c>
      <c r="C60" s="4">
        <v>-5000</v>
      </c>
      <c r="F60" s="11"/>
      <c r="H60" s="15">
        <f t="shared" si="1"/>
        <v>55</v>
      </c>
      <c r="I60" s="4">
        <v>-3500</v>
      </c>
      <c r="L60" s="11"/>
      <c r="N60" s="15">
        <f t="shared" si="2"/>
        <v>55</v>
      </c>
      <c r="O60" s="4">
        <v>354.87848081593711</v>
      </c>
      <c r="R60" s="11"/>
      <c r="T60" s="15">
        <f t="shared" si="3"/>
        <v>55</v>
      </c>
      <c r="U60" s="4">
        <v>-3000</v>
      </c>
      <c r="X60" s="11"/>
      <c r="Z60" s="15">
        <f t="shared" si="4"/>
        <v>55</v>
      </c>
      <c r="AA60" s="4">
        <v>-2275.839451057207</v>
      </c>
      <c r="AD60" s="11"/>
      <c r="AF60" s="15">
        <f t="shared" si="5"/>
        <v>55</v>
      </c>
      <c r="AG60" s="4">
        <v>0</v>
      </c>
      <c r="AJ60" s="11"/>
    </row>
    <row r="61" spans="2:36" x14ac:dyDescent="0.35">
      <c r="B61" s="15">
        <f t="shared" si="0"/>
        <v>56</v>
      </c>
      <c r="C61" s="4">
        <v>-5000</v>
      </c>
      <c r="F61" s="11"/>
      <c r="H61" s="15">
        <f t="shared" si="1"/>
        <v>56</v>
      </c>
      <c r="I61" s="4">
        <v>-3500</v>
      </c>
      <c r="L61" s="11"/>
      <c r="N61" s="15">
        <f t="shared" si="2"/>
        <v>56</v>
      </c>
      <c r="O61" s="4">
        <v>495.52756601443429</v>
      </c>
      <c r="R61" s="11"/>
      <c r="T61" s="15">
        <f t="shared" si="3"/>
        <v>56</v>
      </c>
      <c r="U61" s="4">
        <v>-3000</v>
      </c>
      <c r="X61" s="11"/>
      <c r="Z61" s="15">
        <f t="shared" si="4"/>
        <v>56</v>
      </c>
      <c r="AA61" s="4">
        <v>-1231.3993343791999</v>
      </c>
      <c r="AD61" s="11"/>
      <c r="AF61" s="15">
        <f t="shared" si="5"/>
        <v>56</v>
      </c>
      <c r="AG61" s="4">
        <v>0</v>
      </c>
      <c r="AJ61" s="11"/>
    </row>
    <row r="62" spans="2:36" x14ac:dyDescent="0.35">
      <c r="B62" s="15">
        <f t="shared" si="0"/>
        <v>57</v>
      </c>
      <c r="C62" s="4">
        <v>-5000</v>
      </c>
      <c r="F62" s="11"/>
      <c r="H62" s="15">
        <f t="shared" si="1"/>
        <v>57</v>
      </c>
      <c r="I62" s="4">
        <v>-3500</v>
      </c>
      <c r="L62" s="11"/>
      <c r="N62" s="15">
        <f t="shared" si="2"/>
        <v>57</v>
      </c>
      <c r="O62" s="4">
        <v>666.51041271688712</v>
      </c>
      <c r="R62" s="11"/>
      <c r="T62" s="15">
        <f t="shared" si="3"/>
        <v>57</v>
      </c>
      <c r="U62" s="4">
        <v>-3000</v>
      </c>
      <c r="X62" s="11"/>
      <c r="Z62" s="15">
        <f t="shared" si="4"/>
        <v>57</v>
      </c>
      <c r="AA62" s="4">
        <v>-186.49933437920029</v>
      </c>
      <c r="AD62" s="11"/>
      <c r="AF62" s="15">
        <f t="shared" si="5"/>
        <v>57</v>
      </c>
      <c r="AG62" s="4">
        <v>0</v>
      </c>
      <c r="AJ62" s="11"/>
    </row>
    <row r="63" spans="2:36" x14ac:dyDescent="0.35">
      <c r="B63" s="15">
        <f t="shared" si="0"/>
        <v>58</v>
      </c>
      <c r="C63" s="4">
        <v>-5000</v>
      </c>
      <c r="F63" s="11"/>
      <c r="H63" s="15">
        <f t="shared" si="1"/>
        <v>58</v>
      </c>
      <c r="I63" s="4">
        <v>-3500</v>
      </c>
      <c r="L63" s="11"/>
      <c r="N63" s="15">
        <f t="shared" si="2"/>
        <v>58</v>
      </c>
      <c r="O63" s="4">
        <v>373.94002184287018</v>
      </c>
      <c r="R63" s="11"/>
      <c r="T63" s="15">
        <f t="shared" si="3"/>
        <v>58</v>
      </c>
      <c r="U63" s="4">
        <v>-3000</v>
      </c>
      <c r="X63" s="11"/>
      <c r="Z63" s="15">
        <f t="shared" si="4"/>
        <v>58</v>
      </c>
      <c r="AA63" s="4">
        <v>858.40066562079983</v>
      </c>
      <c r="AD63" s="11"/>
      <c r="AF63" s="15">
        <f t="shared" si="5"/>
        <v>58</v>
      </c>
      <c r="AG63" s="4">
        <v>0</v>
      </c>
      <c r="AJ63" s="11"/>
    </row>
    <row r="64" spans="2:36" x14ac:dyDescent="0.35">
      <c r="B64" s="15">
        <f t="shared" si="0"/>
        <v>59</v>
      </c>
      <c r="C64" s="4">
        <v>-3371.1965034756581</v>
      </c>
      <c r="F64" s="11"/>
      <c r="H64" s="15">
        <f t="shared" si="1"/>
        <v>59</v>
      </c>
      <c r="I64" s="4">
        <v>-1964.42155653241</v>
      </c>
      <c r="L64" s="11"/>
      <c r="N64" s="15">
        <f t="shared" si="2"/>
        <v>59</v>
      </c>
      <c r="O64" s="4">
        <v>-135.5327766128739</v>
      </c>
      <c r="R64" s="11"/>
      <c r="T64" s="15">
        <f t="shared" si="3"/>
        <v>59</v>
      </c>
      <c r="U64" s="4">
        <v>-1517.8</v>
      </c>
      <c r="X64" s="11"/>
      <c r="Z64" s="15">
        <f t="shared" si="4"/>
        <v>59</v>
      </c>
      <c r="AA64" s="4">
        <v>1903.3006656207999</v>
      </c>
      <c r="AD64" s="11"/>
      <c r="AF64" s="15">
        <f t="shared" si="5"/>
        <v>59</v>
      </c>
      <c r="AG64" s="4">
        <v>0</v>
      </c>
      <c r="AJ64" s="11"/>
    </row>
    <row r="65" spans="2:36" x14ac:dyDescent="0.35">
      <c r="B65" s="15">
        <f t="shared" si="0"/>
        <v>60</v>
      </c>
      <c r="C65" s="4">
        <v>0</v>
      </c>
      <c r="F65" s="11"/>
      <c r="H65" s="15">
        <f t="shared" si="1"/>
        <v>60</v>
      </c>
      <c r="I65" s="4">
        <v>-1576.1193983396361</v>
      </c>
      <c r="L65" s="11"/>
      <c r="N65" s="15">
        <f t="shared" si="2"/>
        <v>60</v>
      </c>
      <c r="O65" s="4">
        <v>-570.29277661287392</v>
      </c>
      <c r="R65" s="11"/>
      <c r="T65" s="15">
        <f t="shared" si="3"/>
        <v>60</v>
      </c>
      <c r="U65" s="4">
        <v>-1517.8</v>
      </c>
      <c r="X65" s="11"/>
      <c r="Z65" s="15">
        <f t="shared" si="4"/>
        <v>60</v>
      </c>
      <c r="AA65" s="4">
        <v>2948.66054123</v>
      </c>
      <c r="AD65" s="11"/>
      <c r="AF65" s="15">
        <f t="shared" si="5"/>
        <v>60</v>
      </c>
      <c r="AG65" s="4">
        <v>165.5047805991085</v>
      </c>
      <c r="AJ65" s="11"/>
    </row>
    <row r="66" spans="2:36" x14ac:dyDescent="0.35">
      <c r="B66" s="15">
        <f t="shared" si="0"/>
        <v>61</v>
      </c>
      <c r="C66" s="4">
        <v>0</v>
      </c>
      <c r="F66" s="11"/>
      <c r="H66" s="15">
        <f t="shared" si="1"/>
        <v>61</v>
      </c>
      <c r="I66" s="4">
        <v>-1699.028611728452</v>
      </c>
      <c r="L66" s="11"/>
      <c r="N66" s="15">
        <f t="shared" si="2"/>
        <v>61</v>
      </c>
      <c r="O66" s="4">
        <v>-1005.052776613874</v>
      </c>
      <c r="R66" s="11"/>
      <c r="T66" s="15">
        <f t="shared" si="3"/>
        <v>61</v>
      </c>
      <c r="U66" s="4">
        <v>-1517.8</v>
      </c>
      <c r="X66" s="11"/>
      <c r="Z66" s="15">
        <f t="shared" si="4"/>
        <v>61</v>
      </c>
      <c r="AA66" s="4">
        <v>3994.0204231500002</v>
      </c>
      <c r="AD66" s="11"/>
      <c r="AF66" s="15">
        <f t="shared" si="5"/>
        <v>61</v>
      </c>
      <c r="AG66" s="4">
        <v>650.29775005315071</v>
      </c>
      <c r="AJ66" s="11"/>
    </row>
    <row r="67" spans="2:36" x14ac:dyDescent="0.35">
      <c r="B67" s="15">
        <f t="shared" si="0"/>
        <v>62</v>
      </c>
      <c r="C67" s="4">
        <v>0</v>
      </c>
      <c r="F67" s="11"/>
      <c r="H67" s="15">
        <f t="shared" si="1"/>
        <v>62</v>
      </c>
      <c r="I67" s="4">
        <v>-3500</v>
      </c>
      <c r="L67" s="11"/>
      <c r="N67" s="15">
        <f t="shared" si="2"/>
        <v>62</v>
      </c>
      <c r="O67" s="4">
        <v>-1439.8127766183741</v>
      </c>
      <c r="R67" s="11"/>
      <c r="T67" s="15">
        <f t="shared" si="3"/>
        <v>62</v>
      </c>
      <c r="U67" s="4">
        <v>-1517.8</v>
      </c>
      <c r="X67" s="11"/>
      <c r="Z67" s="15">
        <f t="shared" si="4"/>
        <v>62</v>
      </c>
      <c r="AA67" s="4">
        <v>4345.0187992800002</v>
      </c>
      <c r="AD67" s="11"/>
      <c r="AF67" s="15">
        <f t="shared" si="5"/>
        <v>62</v>
      </c>
      <c r="AG67" s="4">
        <v>650.29775005315071</v>
      </c>
      <c r="AJ67" s="11"/>
    </row>
    <row r="68" spans="2:36" x14ac:dyDescent="0.35">
      <c r="B68" s="15">
        <f t="shared" si="0"/>
        <v>63</v>
      </c>
      <c r="C68" s="4">
        <v>0</v>
      </c>
      <c r="F68" s="11"/>
      <c r="H68" s="15">
        <f t="shared" si="1"/>
        <v>63</v>
      </c>
      <c r="I68" s="4">
        <v>-2422.7239415156801</v>
      </c>
      <c r="L68" s="11"/>
      <c r="N68" s="15">
        <f t="shared" si="2"/>
        <v>63</v>
      </c>
      <c r="O68" s="4">
        <v>-1213.6280766138741</v>
      </c>
      <c r="R68" s="11"/>
      <c r="T68" s="15">
        <f t="shared" si="3"/>
        <v>63</v>
      </c>
      <c r="U68" s="4">
        <v>-1517.8</v>
      </c>
      <c r="X68" s="11"/>
      <c r="Z68" s="15">
        <f t="shared" si="4"/>
        <v>63</v>
      </c>
      <c r="AA68" s="4">
        <v>3299.658917369999</v>
      </c>
      <c r="AD68" s="11"/>
      <c r="AF68" s="15">
        <f t="shared" si="5"/>
        <v>63</v>
      </c>
      <c r="AG68" s="4">
        <v>650.75763235680154</v>
      </c>
      <c r="AJ68" s="11"/>
    </row>
    <row r="69" spans="2:36" x14ac:dyDescent="0.35">
      <c r="B69" s="15">
        <f t="shared" si="0"/>
        <v>64</v>
      </c>
      <c r="C69" s="4">
        <v>0</v>
      </c>
      <c r="F69" s="11"/>
      <c r="H69" s="15">
        <f t="shared" si="1"/>
        <v>64</v>
      </c>
      <c r="I69" s="4">
        <v>-1328.06757130292</v>
      </c>
      <c r="L69" s="11"/>
      <c r="N69" s="15">
        <f t="shared" si="2"/>
        <v>64</v>
      </c>
      <c r="O69" s="4">
        <v>-778.86807661387388</v>
      </c>
      <c r="R69" s="11"/>
      <c r="T69" s="15">
        <f t="shared" si="3"/>
        <v>64</v>
      </c>
      <c r="U69" s="4">
        <v>-1517.8</v>
      </c>
      <c r="X69" s="11"/>
      <c r="Z69" s="15">
        <f t="shared" si="4"/>
        <v>64</v>
      </c>
      <c r="AA69" s="4">
        <v>2254.2990417607998</v>
      </c>
      <c r="AD69" s="11"/>
      <c r="AF69" s="15">
        <f t="shared" si="5"/>
        <v>64</v>
      </c>
      <c r="AG69" s="4">
        <v>0</v>
      </c>
      <c r="AJ69" s="11"/>
    </row>
    <row r="70" spans="2:36" x14ac:dyDescent="0.35">
      <c r="B70" s="15">
        <f t="shared" si="0"/>
        <v>65</v>
      </c>
      <c r="C70" s="4">
        <v>-5000</v>
      </c>
      <c r="F70" s="11"/>
      <c r="H70" s="15">
        <f t="shared" si="1"/>
        <v>65</v>
      </c>
      <c r="I70" s="4">
        <v>-1453.8950077401489</v>
      </c>
      <c r="L70" s="11"/>
      <c r="N70" s="15">
        <f t="shared" si="2"/>
        <v>65</v>
      </c>
      <c r="O70" s="4">
        <v>-344.10807661387412</v>
      </c>
      <c r="R70" s="11"/>
      <c r="T70" s="15">
        <f t="shared" si="3"/>
        <v>65</v>
      </c>
      <c r="U70" s="4">
        <v>-3000</v>
      </c>
      <c r="X70" s="11"/>
      <c r="Z70" s="15">
        <f t="shared" si="4"/>
        <v>65</v>
      </c>
      <c r="AA70" s="4">
        <v>1209.3990417607999</v>
      </c>
      <c r="AD70" s="11"/>
      <c r="AF70" s="15">
        <f t="shared" si="5"/>
        <v>65</v>
      </c>
      <c r="AG70" s="4">
        <v>0</v>
      </c>
      <c r="AJ70" s="11"/>
    </row>
    <row r="71" spans="2:36" x14ac:dyDescent="0.35">
      <c r="B71" s="15">
        <f t="shared" si="0"/>
        <v>66</v>
      </c>
      <c r="C71" s="4">
        <v>-5000</v>
      </c>
      <c r="F71" s="11"/>
      <c r="H71" s="15">
        <f t="shared" si="1"/>
        <v>66</v>
      </c>
      <c r="I71" s="4">
        <v>-425.65959993825351</v>
      </c>
      <c r="L71" s="11"/>
      <c r="N71" s="15">
        <f t="shared" si="2"/>
        <v>66</v>
      </c>
      <c r="O71" s="4">
        <v>90.6519233861261</v>
      </c>
      <c r="R71" s="11"/>
      <c r="T71" s="15">
        <f t="shared" si="3"/>
        <v>66</v>
      </c>
      <c r="U71" s="4">
        <v>-3000</v>
      </c>
      <c r="X71" s="11"/>
      <c r="Z71" s="15">
        <f t="shared" si="4"/>
        <v>66</v>
      </c>
      <c r="AA71" s="4">
        <v>164.49904176080011</v>
      </c>
      <c r="AD71" s="11"/>
      <c r="AF71" s="15">
        <f t="shared" si="5"/>
        <v>66</v>
      </c>
      <c r="AG71" s="4">
        <v>0</v>
      </c>
      <c r="AJ71" s="11"/>
    </row>
    <row r="72" spans="2:36" x14ac:dyDescent="0.35">
      <c r="B72" s="15">
        <f t="shared" ref="B72:B135" si="6">B71+1</f>
        <v>67</v>
      </c>
      <c r="C72" s="4">
        <v>-5000</v>
      </c>
      <c r="F72" s="11"/>
      <c r="H72" s="15">
        <f t="shared" ref="H72:H135" si="7">H71+1</f>
        <v>67</v>
      </c>
      <c r="I72" s="4">
        <v>-757.28426662206675</v>
      </c>
      <c r="L72" s="11"/>
      <c r="N72" s="15">
        <f t="shared" ref="N72:N135" si="8">N71+1</f>
        <v>67</v>
      </c>
      <c r="O72" s="4">
        <v>587.34977648005679</v>
      </c>
      <c r="R72" s="11"/>
      <c r="T72" s="15">
        <f t="shared" ref="T72:T135" si="9">T71+1</f>
        <v>67</v>
      </c>
      <c r="U72" s="4">
        <v>-3000</v>
      </c>
      <c r="X72" s="11"/>
      <c r="Z72" s="15">
        <f t="shared" ref="Z72:Z135" si="10">Z71+1</f>
        <v>67</v>
      </c>
      <c r="AA72" s="4">
        <v>-879.94107968000753</v>
      </c>
      <c r="AD72" s="11"/>
      <c r="AF72" s="15">
        <f t="shared" ref="AF72:AF135" si="11">AF71+1</f>
        <v>67</v>
      </c>
      <c r="AG72" s="4">
        <v>0</v>
      </c>
      <c r="AJ72" s="11"/>
    </row>
    <row r="73" spans="2:36" x14ac:dyDescent="0.35">
      <c r="B73" s="15">
        <f t="shared" si="6"/>
        <v>68</v>
      </c>
      <c r="C73" s="4">
        <v>-5000</v>
      </c>
      <c r="F73" s="11"/>
      <c r="H73" s="15">
        <f t="shared" si="7"/>
        <v>68</v>
      </c>
      <c r="I73" s="4">
        <v>-3500</v>
      </c>
      <c r="L73" s="11"/>
      <c r="N73" s="15">
        <f t="shared" si="8"/>
        <v>68</v>
      </c>
      <c r="O73" s="4">
        <v>369.67161676727142</v>
      </c>
      <c r="R73" s="11"/>
      <c r="T73" s="15">
        <f t="shared" si="9"/>
        <v>68</v>
      </c>
      <c r="U73" s="4">
        <v>-3000</v>
      </c>
      <c r="X73" s="11"/>
      <c r="Z73" s="15">
        <f t="shared" si="10"/>
        <v>68</v>
      </c>
      <c r="AA73" s="4">
        <v>-1924.3811974277489</v>
      </c>
      <c r="AD73" s="11"/>
      <c r="AF73" s="15">
        <f t="shared" si="11"/>
        <v>68</v>
      </c>
      <c r="AG73" s="4">
        <v>0</v>
      </c>
      <c r="AJ73" s="11"/>
    </row>
    <row r="74" spans="2:36" x14ac:dyDescent="0.35">
      <c r="B74" s="15">
        <f t="shared" si="6"/>
        <v>69</v>
      </c>
      <c r="C74" s="4">
        <v>-5000</v>
      </c>
      <c r="F74" s="11"/>
      <c r="H74" s="15">
        <f t="shared" si="7"/>
        <v>69</v>
      </c>
      <c r="I74" s="4">
        <v>-2653.3935415156802</v>
      </c>
      <c r="L74" s="11"/>
      <c r="N74" s="15">
        <f t="shared" si="8"/>
        <v>69</v>
      </c>
      <c r="O74" s="4">
        <v>262.40080268462128</v>
      </c>
      <c r="R74" s="11"/>
      <c r="T74" s="15">
        <f t="shared" si="9"/>
        <v>69</v>
      </c>
      <c r="U74" s="4">
        <v>-3000</v>
      </c>
      <c r="X74" s="11"/>
      <c r="Z74" s="15">
        <f t="shared" si="10"/>
        <v>69</v>
      </c>
      <c r="AA74" s="4">
        <v>-2968.8213125092002</v>
      </c>
      <c r="AD74" s="11"/>
      <c r="AF74" s="15">
        <f t="shared" si="11"/>
        <v>69</v>
      </c>
      <c r="AG74" s="4">
        <v>0</v>
      </c>
      <c r="AJ74" s="11"/>
    </row>
    <row r="75" spans="2:36" x14ac:dyDescent="0.35">
      <c r="B75" s="15">
        <f t="shared" si="6"/>
        <v>70</v>
      </c>
      <c r="C75" s="4">
        <v>-5000</v>
      </c>
      <c r="F75" s="11"/>
      <c r="H75" s="15">
        <f t="shared" si="7"/>
        <v>70</v>
      </c>
      <c r="I75" s="4">
        <v>-3500</v>
      </c>
      <c r="L75" s="11"/>
      <c r="N75" s="15">
        <f t="shared" si="8"/>
        <v>70</v>
      </c>
      <c r="O75" s="4">
        <v>257.21286512307921</v>
      </c>
      <c r="R75" s="11"/>
      <c r="T75" s="15">
        <f t="shared" si="9"/>
        <v>70</v>
      </c>
      <c r="U75" s="4">
        <v>-3000</v>
      </c>
      <c r="X75" s="11"/>
      <c r="Z75" s="15">
        <f t="shared" si="10"/>
        <v>70</v>
      </c>
      <c r="AA75" s="4">
        <v>-4013.2614305891998</v>
      </c>
      <c r="AD75" s="11"/>
      <c r="AF75" s="15">
        <f t="shared" si="11"/>
        <v>70</v>
      </c>
      <c r="AG75" s="4">
        <v>0</v>
      </c>
      <c r="AJ75" s="11"/>
    </row>
    <row r="76" spans="2:36" x14ac:dyDescent="0.35">
      <c r="B76" s="15">
        <f t="shared" si="6"/>
        <v>71</v>
      </c>
      <c r="C76" s="4">
        <v>-5000</v>
      </c>
      <c r="F76" s="11"/>
      <c r="H76" s="15">
        <f t="shared" si="7"/>
        <v>71</v>
      </c>
      <c r="I76" s="4">
        <v>-2250.953554560153</v>
      </c>
      <c r="L76" s="11"/>
      <c r="N76" s="15">
        <f t="shared" si="8"/>
        <v>71</v>
      </c>
      <c r="O76" s="4">
        <v>249.1245674377418</v>
      </c>
      <c r="R76" s="11"/>
      <c r="T76" s="15">
        <f t="shared" si="9"/>
        <v>71</v>
      </c>
      <c r="U76" s="4">
        <v>-3000</v>
      </c>
      <c r="X76" s="11"/>
      <c r="Z76" s="15">
        <f t="shared" si="10"/>
        <v>71</v>
      </c>
      <c r="AA76" s="4">
        <v>-5057.7015486792006</v>
      </c>
      <c r="AD76" s="11"/>
      <c r="AF76" s="15">
        <f t="shared" si="11"/>
        <v>71</v>
      </c>
      <c r="AG76" s="4">
        <v>0</v>
      </c>
      <c r="AJ76" s="11"/>
    </row>
    <row r="77" spans="2:36" x14ac:dyDescent="0.35">
      <c r="B77" s="15">
        <f t="shared" si="6"/>
        <v>72</v>
      </c>
      <c r="C77" s="4">
        <v>-5000</v>
      </c>
      <c r="F77" s="11"/>
      <c r="H77" s="15">
        <f t="shared" si="7"/>
        <v>72</v>
      </c>
      <c r="I77" s="4">
        <v>-325.96989045184819</v>
      </c>
      <c r="L77" s="11"/>
      <c r="N77" s="15">
        <f t="shared" si="8"/>
        <v>72</v>
      </c>
      <c r="O77" s="4">
        <v>295.67250604139218</v>
      </c>
      <c r="R77" s="11"/>
      <c r="T77" s="15">
        <f t="shared" si="9"/>
        <v>72</v>
      </c>
      <c r="U77" s="4">
        <v>-3000</v>
      </c>
      <c r="X77" s="11"/>
      <c r="Z77" s="15">
        <f t="shared" si="10"/>
        <v>72</v>
      </c>
      <c r="AA77" s="4">
        <v>-4776.0455696491999</v>
      </c>
      <c r="AD77" s="11"/>
      <c r="AF77" s="15">
        <f t="shared" si="11"/>
        <v>72</v>
      </c>
      <c r="AG77" s="4">
        <v>0</v>
      </c>
      <c r="AJ77" s="11"/>
    </row>
    <row r="78" spans="2:36" x14ac:dyDescent="0.35">
      <c r="B78" s="15">
        <f t="shared" si="6"/>
        <v>73</v>
      </c>
      <c r="C78" s="4">
        <v>-5000</v>
      </c>
      <c r="F78" s="11"/>
      <c r="H78" s="15">
        <f t="shared" si="7"/>
        <v>73</v>
      </c>
      <c r="I78" s="4">
        <v>-944.28128619653944</v>
      </c>
      <c r="L78" s="11"/>
      <c r="N78" s="15">
        <f t="shared" si="8"/>
        <v>73</v>
      </c>
      <c r="O78" s="4">
        <v>261.64828180561631</v>
      </c>
      <c r="R78" s="11"/>
      <c r="T78" s="15">
        <f t="shared" si="9"/>
        <v>73</v>
      </c>
      <c r="U78" s="4">
        <v>-3000</v>
      </c>
      <c r="X78" s="11"/>
      <c r="Z78" s="15">
        <f t="shared" si="10"/>
        <v>73</v>
      </c>
      <c r="AA78" s="4">
        <v>-4653.3086830392003</v>
      </c>
      <c r="AD78" s="11"/>
      <c r="AF78" s="15">
        <f t="shared" si="11"/>
        <v>73</v>
      </c>
      <c r="AG78" s="4">
        <v>0</v>
      </c>
      <c r="AJ78" s="11"/>
    </row>
    <row r="79" spans="2:36" x14ac:dyDescent="0.35">
      <c r="B79" s="15">
        <f t="shared" si="6"/>
        <v>74</v>
      </c>
      <c r="C79" s="4">
        <v>-5000</v>
      </c>
      <c r="F79" s="11"/>
      <c r="H79" s="15">
        <f t="shared" si="7"/>
        <v>74</v>
      </c>
      <c r="I79" s="4">
        <v>-1334.4406010901489</v>
      </c>
      <c r="L79" s="11"/>
      <c r="N79" s="15">
        <f t="shared" si="8"/>
        <v>74</v>
      </c>
      <c r="O79" s="4">
        <v>317.53662348835837</v>
      </c>
      <c r="R79" s="11"/>
      <c r="T79" s="15">
        <f t="shared" si="9"/>
        <v>74</v>
      </c>
      <c r="U79" s="4">
        <v>-3000</v>
      </c>
      <c r="X79" s="11"/>
      <c r="Z79" s="15">
        <f t="shared" si="10"/>
        <v>74</v>
      </c>
      <c r="AA79" s="4">
        <v>-4606.4039530392001</v>
      </c>
      <c r="AD79" s="11"/>
      <c r="AF79" s="15">
        <f t="shared" si="11"/>
        <v>74</v>
      </c>
      <c r="AG79" s="4">
        <v>0</v>
      </c>
      <c r="AJ79" s="11"/>
    </row>
    <row r="80" spans="2:36" x14ac:dyDescent="0.35">
      <c r="B80" s="15">
        <f t="shared" si="6"/>
        <v>75</v>
      </c>
      <c r="C80" s="4">
        <v>-5000</v>
      </c>
      <c r="F80" s="11"/>
      <c r="H80" s="15">
        <f t="shared" si="7"/>
        <v>75</v>
      </c>
      <c r="I80" s="4">
        <v>-1705.07489470717</v>
      </c>
      <c r="L80" s="11"/>
      <c r="N80" s="15">
        <f t="shared" si="8"/>
        <v>75</v>
      </c>
      <c r="O80" s="4">
        <v>325.4287047244469</v>
      </c>
      <c r="R80" s="11"/>
      <c r="T80" s="15">
        <f t="shared" si="9"/>
        <v>75</v>
      </c>
      <c r="U80" s="4">
        <v>-3000</v>
      </c>
      <c r="X80" s="11"/>
      <c r="Z80" s="15">
        <f t="shared" si="10"/>
        <v>75</v>
      </c>
      <c r="AA80" s="4">
        <v>-4455.0603530392</v>
      </c>
      <c r="AD80" s="11"/>
      <c r="AF80" s="15">
        <f t="shared" si="11"/>
        <v>75</v>
      </c>
      <c r="AG80" s="4">
        <v>0</v>
      </c>
      <c r="AJ80" s="11"/>
    </row>
    <row r="81" spans="2:36" x14ac:dyDescent="0.35">
      <c r="B81" s="15">
        <f t="shared" si="6"/>
        <v>76</v>
      </c>
      <c r="C81" s="4">
        <v>-5000</v>
      </c>
      <c r="F81" s="11"/>
      <c r="H81" s="15">
        <f t="shared" si="7"/>
        <v>76</v>
      </c>
      <c r="I81" s="4">
        <v>-1823.4439627922791</v>
      </c>
      <c r="L81" s="11"/>
      <c r="N81" s="15">
        <f t="shared" si="8"/>
        <v>76</v>
      </c>
      <c r="O81" s="4">
        <v>319.32391427334142</v>
      </c>
      <c r="R81" s="11"/>
      <c r="T81" s="15">
        <f t="shared" si="9"/>
        <v>76</v>
      </c>
      <c r="U81" s="4">
        <v>-3000</v>
      </c>
      <c r="X81" s="11"/>
      <c r="Z81" s="15">
        <f t="shared" si="10"/>
        <v>76</v>
      </c>
      <c r="AA81" s="4">
        <v>-4234.6231030392</v>
      </c>
      <c r="AD81" s="11"/>
      <c r="AF81" s="15">
        <f t="shared" si="11"/>
        <v>76</v>
      </c>
      <c r="AG81" s="4">
        <v>0</v>
      </c>
      <c r="AJ81" s="11"/>
    </row>
    <row r="82" spans="2:36" x14ac:dyDescent="0.35">
      <c r="B82" s="15">
        <f t="shared" si="6"/>
        <v>77</v>
      </c>
      <c r="C82" s="4">
        <v>-5000</v>
      </c>
      <c r="F82" s="11"/>
      <c r="H82" s="15">
        <f t="shared" si="7"/>
        <v>77</v>
      </c>
      <c r="I82" s="4">
        <v>-1803.93458406888</v>
      </c>
      <c r="L82" s="11"/>
      <c r="N82" s="15">
        <f t="shared" si="8"/>
        <v>77</v>
      </c>
      <c r="O82" s="4">
        <v>292.36449510135731</v>
      </c>
      <c r="R82" s="11"/>
      <c r="T82" s="15">
        <f t="shared" si="9"/>
        <v>77</v>
      </c>
      <c r="U82" s="4">
        <v>-3000</v>
      </c>
      <c r="X82" s="11"/>
      <c r="Z82" s="15">
        <f t="shared" si="10"/>
        <v>77</v>
      </c>
      <c r="AA82" s="4">
        <v>-3941.6156757991998</v>
      </c>
      <c r="AD82" s="11"/>
      <c r="AF82" s="15">
        <f t="shared" si="11"/>
        <v>77</v>
      </c>
      <c r="AG82" s="4">
        <v>0</v>
      </c>
      <c r="AJ82" s="11"/>
    </row>
    <row r="83" spans="2:36" x14ac:dyDescent="0.35">
      <c r="B83" s="15">
        <f t="shared" si="6"/>
        <v>78</v>
      </c>
      <c r="C83" s="4">
        <v>-5000</v>
      </c>
      <c r="F83" s="11"/>
      <c r="H83" s="15">
        <f t="shared" si="7"/>
        <v>78</v>
      </c>
      <c r="I83" s="4">
        <v>-1689.5598061965391</v>
      </c>
      <c r="L83" s="11"/>
      <c r="N83" s="15">
        <f t="shared" si="8"/>
        <v>78</v>
      </c>
      <c r="O83" s="4">
        <v>351.50366852884338</v>
      </c>
      <c r="R83" s="11"/>
      <c r="T83" s="15">
        <f t="shared" si="9"/>
        <v>78</v>
      </c>
      <c r="U83" s="4">
        <v>-3000</v>
      </c>
      <c r="X83" s="11"/>
      <c r="Z83" s="15">
        <f t="shared" si="10"/>
        <v>78</v>
      </c>
      <c r="AA83" s="4">
        <v>-3075.4285711891998</v>
      </c>
      <c r="AD83" s="11"/>
      <c r="AF83" s="15">
        <f t="shared" si="11"/>
        <v>78</v>
      </c>
      <c r="AG83" s="4">
        <v>0</v>
      </c>
      <c r="AJ83" s="11"/>
    </row>
    <row r="84" spans="2:36" x14ac:dyDescent="0.35">
      <c r="B84" s="15">
        <f t="shared" si="6"/>
        <v>79</v>
      </c>
      <c r="C84" s="4">
        <v>-5000</v>
      </c>
      <c r="F84" s="11"/>
      <c r="H84" s="15">
        <f t="shared" si="7"/>
        <v>79</v>
      </c>
      <c r="I84" s="4">
        <v>-1332.8417185369599</v>
      </c>
      <c r="L84" s="11"/>
      <c r="N84" s="15">
        <f t="shared" si="8"/>
        <v>79</v>
      </c>
      <c r="O84" s="4">
        <v>403.57339680868182</v>
      </c>
      <c r="R84" s="11"/>
      <c r="T84" s="15">
        <f t="shared" si="9"/>
        <v>79</v>
      </c>
      <c r="U84" s="4">
        <v>-3000</v>
      </c>
      <c r="X84" s="11"/>
      <c r="Z84" s="15">
        <f t="shared" si="10"/>
        <v>79</v>
      </c>
      <c r="AA84" s="4">
        <v>-2030.9884530991999</v>
      </c>
      <c r="AD84" s="11"/>
      <c r="AF84" s="15">
        <f t="shared" si="11"/>
        <v>79</v>
      </c>
      <c r="AG84" s="4">
        <v>0</v>
      </c>
      <c r="AJ84" s="11"/>
    </row>
    <row r="85" spans="2:36" x14ac:dyDescent="0.35">
      <c r="B85" s="15">
        <f t="shared" si="6"/>
        <v>80</v>
      </c>
      <c r="C85" s="4">
        <v>-5000</v>
      </c>
      <c r="F85" s="11"/>
      <c r="H85" s="15">
        <f t="shared" si="7"/>
        <v>80</v>
      </c>
      <c r="I85" s="4">
        <v>-3500</v>
      </c>
      <c r="L85" s="11"/>
      <c r="N85" s="15">
        <f t="shared" si="8"/>
        <v>80</v>
      </c>
      <c r="O85" s="4">
        <v>484.41991991339762</v>
      </c>
      <c r="R85" s="11"/>
      <c r="T85" s="15">
        <f t="shared" si="9"/>
        <v>80</v>
      </c>
      <c r="U85" s="4">
        <v>-3000</v>
      </c>
      <c r="X85" s="11"/>
      <c r="Z85" s="15">
        <f t="shared" si="10"/>
        <v>80</v>
      </c>
      <c r="AA85" s="4">
        <v>-986.54833501920007</v>
      </c>
      <c r="AD85" s="11"/>
      <c r="AF85" s="15">
        <f t="shared" si="11"/>
        <v>80</v>
      </c>
      <c r="AG85" s="4">
        <v>0</v>
      </c>
      <c r="AJ85" s="11"/>
    </row>
    <row r="86" spans="2:36" x14ac:dyDescent="0.35">
      <c r="B86" s="15">
        <f t="shared" si="6"/>
        <v>81</v>
      </c>
      <c r="C86" s="4">
        <v>-5000</v>
      </c>
      <c r="F86" s="11"/>
      <c r="H86" s="15">
        <f t="shared" si="7"/>
        <v>81</v>
      </c>
      <c r="I86" s="4">
        <v>-743.17613981355771</v>
      </c>
      <c r="L86" s="11"/>
      <c r="N86" s="15">
        <f t="shared" si="8"/>
        <v>81</v>
      </c>
      <c r="O86" s="4">
        <v>559.23607195788827</v>
      </c>
      <c r="R86" s="11"/>
      <c r="T86" s="15">
        <f t="shared" si="9"/>
        <v>81</v>
      </c>
      <c r="U86" s="4">
        <v>-3000</v>
      </c>
      <c r="X86" s="11"/>
      <c r="Z86" s="15">
        <f t="shared" si="10"/>
        <v>81</v>
      </c>
      <c r="AA86" s="4">
        <v>58.351664980799796</v>
      </c>
      <c r="AD86" s="11"/>
      <c r="AF86" s="15">
        <f t="shared" si="11"/>
        <v>81</v>
      </c>
      <c r="AG86" s="4">
        <v>0</v>
      </c>
      <c r="AJ86" s="11"/>
    </row>
    <row r="87" spans="2:36" x14ac:dyDescent="0.35">
      <c r="B87" s="15">
        <f t="shared" si="6"/>
        <v>82</v>
      </c>
      <c r="C87" s="4">
        <v>-5000</v>
      </c>
      <c r="F87" s="11"/>
      <c r="H87" s="15">
        <f t="shared" si="7"/>
        <v>82</v>
      </c>
      <c r="I87" s="4">
        <v>-2257.5941184176181</v>
      </c>
      <c r="L87" s="11"/>
      <c r="N87" s="15">
        <f t="shared" si="8"/>
        <v>82</v>
      </c>
      <c r="O87" s="4">
        <v>340.78197713669829</v>
      </c>
      <c r="R87" s="11"/>
      <c r="T87" s="15">
        <f t="shared" si="9"/>
        <v>82</v>
      </c>
      <c r="U87" s="4">
        <v>-3000</v>
      </c>
      <c r="X87" s="11"/>
      <c r="Z87" s="15">
        <f t="shared" si="10"/>
        <v>82</v>
      </c>
      <c r="AA87" s="4">
        <v>1103.2516649807999</v>
      </c>
      <c r="AD87" s="11"/>
      <c r="AF87" s="15">
        <f t="shared" si="11"/>
        <v>82</v>
      </c>
      <c r="AG87" s="4">
        <v>0</v>
      </c>
      <c r="AJ87" s="11"/>
    </row>
    <row r="88" spans="2:36" x14ac:dyDescent="0.35">
      <c r="B88" s="15">
        <f t="shared" si="6"/>
        <v>83</v>
      </c>
      <c r="C88" s="4">
        <v>-5000</v>
      </c>
      <c r="F88" s="11"/>
      <c r="H88" s="15">
        <f t="shared" si="7"/>
        <v>83</v>
      </c>
      <c r="I88" s="4">
        <v>-1082.2101040771361</v>
      </c>
      <c r="L88" s="11"/>
      <c r="N88" s="15">
        <f t="shared" si="8"/>
        <v>83</v>
      </c>
      <c r="O88" s="4">
        <v>-166.7219871774823</v>
      </c>
      <c r="R88" s="11"/>
      <c r="T88" s="15">
        <f t="shared" si="9"/>
        <v>83</v>
      </c>
      <c r="U88" s="4">
        <v>-3000</v>
      </c>
      <c r="X88" s="11"/>
      <c r="Z88" s="15">
        <f t="shared" si="10"/>
        <v>83</v>
      </c>
      <c r="AA88" s="4">
        <v>2148.1516649808</v>
      </c>
      <c r="AD88" s="11"/>
      <c r="AF88" s="15">
        <f t="shared" si="11"/>
        <v>83</v>
      </c>
      <c r="AG88" s="4">
        <v>0</v>
      </c>
      <c r="AJ88" s="11"/>
    </row>
    <row r="89" spans="2:36" x14ac:dyDescent="0.35">
      <c r="B89" s="15">
        <f t="shared" si="6"/>
        <v>84</v>
      </c>
      <c r="C89" s="4">
        <v>0</v>
      </c>
      <c r="F89" s="11"/>
      <c r="H89" s="15">
        <f t="shared" si="7"/>
        <v>84</v>
      </c>
      <c r="I89" s="4">
        <v>-1620.364388811332</v>
      </c>
      <c r="L89" s="11"/>
      <c r="N89" s="15">
        <f t="shared" si="8"/>
        <v>84</v>
      </c>
      <c r="O89" s="4">
        <v>-601.4819871774821</v>
      </c>
      <c r="R89" s="11"/>
      <c r="T89" s="15">
        <f t="shared" si="9"/>
        <v>84</v>
      </c>
      <c r="U89" s="4">
        <v>-2465.648946199266</v>
      </c>
      <c r="X89" s="11"/>
      <c r="Z89" s="15">
        <f t="shared" si="10"/>
        <v>84</v>
      </c>
      <c r="AA89" s="4">
        <v>3193.5115469008001</v>
      </c>
      <c r="AD89" s="11"/>
      <c r="AF89" s="15">
        <f t="shared" si="11"/>
        <v>84</v>
      </c>
      <c r="AG89" s="4">
        <v>0</v>
      </c>
      <c r="AJ89" s="11"/>
    </row>
    <row r="90" spans="2:36" x14ac:dyDescent="0.35">
      <c r="B90" s="15">
        <f t="shared" si="6"/>
        <v>85</v>
      </c>
      <c r="C90" s="4">
        <v>0</v>
      </c>
      <c r="F90" s="11"/>
      <c r="H90" s="15">
        <f t="shared" si="7"/>
        <v>85</v>
      </c>
      <c r="I90" s="4">
        <v>467.72444346759272</v>
      </c>
      <c r="L90" s="11"/>
      <c r="N90" s="15">
        <f t="shared" si="8"/>
        <v>85</v>
      </c>
      <c r="O90" s="4">
        <v>-1036.2419871784821</v>
      </c>
      <c r="R90" s="11"/>
      <c r="T90" s="15">
        <f t="shared" si="9"/>
        <v>85</v>
      </c>
      <c r="U90" s="4">
        <v>-1747.075424959424</v>
      </c>
      <c r="X90" s="11"/>
      <c r="Z90" s="15">
        <f t="shared" si="10"/>
        <v>85</v>
      </c>
      <c r="AA90" s="4">
        <v>4238.8714225100002</v>
      </c>
      <c r="AD90" s="11"/>
      <c r="AF90" s="15">
        <f t="shared" si="11"/>
        <v>85</v>
      </c>
      <c r="AG90" s="4">
        <v>650.29676400230665</v>
      </c>
      <c r="AJ90" s="11"/>
    </row>
    <row r="91" spans="2:36" x14ac:dyDescent="0.35">
      <c r="B91" s="15">
        <f t="shared" si="6"/>
        <v>86</v>
      </c>
      <c r="C91" s="4">
        <v>0</v>
      </c>
      <c r="F91" s="11"/>
      <c r="H91" s="15">
        <f t="shared" si="7"/>
        <v>86</v>
      </c>
      <c r="I91" s="4">
        <v>-1187.862065043048</v>
      </c>
      <c r="L91" s="11"/>
      <c r="N91" s="15">
        <f t="shared" si="8"/>
        <v>86</v>
      </c>
      <c r="O91" s="4">
        <v>-1471.001987182982</v>
      </c>
      <c r="R91" s="11"/>
      <c r="T91" s="15">
        <f t="shared" si="9"/>
        <v>86</v>
      </c>
      <c r="U91" s="4">
        <v>-1517.8</v>
      </c>
      <c r="X91" s="11"/>
      <c r="Z91" s="15">
        <f t="shared" si="10"/>
        <v>86</v>
      </c>
      <c r="AA91" s="4">
        <v>5283.7709199802484</v>
      </c>
      <c r="AD91" s="11"/>
      <c r="AF91" s="15">
        <f t="shared" si="11"/>
        <v>86</v>
      </c>
      <c r="AG91" s="4">
        <v>592.51401703131683</v>
      </c>
      <c r="AJ91" s="11"/>
    </row>
    <row r="92" spans="2:36" x14ac:dyDescent="0.35">
      <c r="B92" s="15">
        <f t="shared" si="6"/>
        <v>87</v>
      </c>
      <c r="C92" s="4">
        <v>0</v>
      </c>
      <c r="F92" s="11"/>
      <c r="H92" s="15">
        <f t="shared" si="7"/>
        <v>87</v>
      </c>
      <c r="I92" s="4">
        <v>-2641.937486319639</v>
      </c>
      <c r="L92" s="11"/>
      <c r="N92" s="15">
        <f t="shared" si="8"/>
        <v>87</v>
      </c>
      <c r="O92" s="4">
        <v>-1905.761987178483</v>
      </c>
      <c r="R92" s="11"/>
      <c r="T92" s="15">
        <f t="shared" si="9"/>
        <v>87</v>
      </c>
      <c r="U92" s="4">
        <v>-1517.8</v>
      </c>
      <c r="X92" s="11"/>
      <c r="Z92" s="15">
        <f t="shared" si="10"/>
        <v>87</v>
      </c>
      <c r="AA92" s="4">
        <v>5876.7448172199984</v>
      </c>
      <c r="AD92" s="11"/>
      <c r="AF92" s="15">
        <f t="shared" si="11"/>
        <v>87</v>
      </c>
      <c r="AG92" s="4">
        <v>0</v>
      </c>
      <c r="AJ92" s="11"/>
    </row>
    <row r="93" spans="2:36" x14ac:dyDescent="0.35">
      <c r="B93" s="15">
        <f t="shared" si="6"/>
        <v>88</v>
      </c>
      <c r="C93" s="4">
        <v>-3139.1474637299998</v>
      </c>
      <c r="F93" s="11"/>
      <c r="H93" s="15">
        <f t="shared" si="7"/>
        <v>88</v>
      </c>
      <c r="I93" s="4">
        <v>-2766.066152726597</v>
      </c>
      <c r="L93" s="11"/>
      <c r="N93" s="15">
        <f t="shared" si="8"/>
        <v>88</v>
      </c>
      <c r="O93" s="4">
        <v>-1864.5526389784529</v>
      </c>
      <c r="R93" s="11"/>
      <c r="T93" s="15">
        <f t="shared" si="9"/>
        <v>88</v>
      </c>
      <c r="U93" s="4">
        <v>-1739.9550474754869</v>
      </c>
      <c r="X93" s="11"/>
      <c r="Z93" s="15">
        <f t="shared" si="10"/>
        <v>88</v>
      </c>
      <c r="AA93" s="4">
        <v>5877.2046991276302</v>
      </c>
      <c r="AD93" s="11"/>
      <c r="AF93" s="15">
        <f t="shared" si="11"/>
        <v>88</v>
      </c>
      <c r="AG93" s="4">
        <v>0</v>
      </c>
      <c r="AJ93" s="11"/>
    </row>
    <row r="94" spans="2:36" x14ac:dyDescent="0.35">
      <c r="B94" s="15">
        <f t="shared" si="6"/>
        <v>89</v>
      </c>
      <c r="C94" s="4">
        <v>0</v>
      </c>
      <c r="F94" s="11"/>
      <c r="H94" s="15">
        <f t="shared" si="7"/>
        <v>89</v>
      </c>
      <c r="I94" s="4">
        <v>-3486.8248181760719</v>
      </c>
      <c r="L94" s="11"/>
      <c r="N94" s="15">
        <f t="shared" si="8"/>
        <v>89</v>
      </c>
      <c r="O94" s="4">
        <v>-1305.648455279091</v>
      </c>
      <c r="R94" s="11"/>
      <c r="T94" s="15">
        <f t="shared" si="9"/>
        <v>89</v>
      </c>
      <c r="U94" s="4">
        <v>-3000</v>
      </c>
      <c r="X94" s="11"/>
      <c r="Z94" s="15">
        <f t="shared" si="10"/>
        <v>89</v>
      </c>
      <c r="AA94" s="4">
        <v>5225.9887313008003</v>
      </c>
      <c r="AD94" s="11"/>
      <c r="AF94" s="15">
        <f t="shared" si="11"/>
        <v>89</v>
      </c>
      <c r="AG94" s="4">
        <v>0</v>
      </c>
      <c r="AJ94" s="11"/>
    </row>
    <row r="95" spans="2:36" x14ac:dyDescent="0.35">
      <c r="B95" s="15">
        <f t="shared" si="6"/>
        <v>90</v>
      </c>
      <c r="C95" s="4">
        <v>-5000</v>
      </c>
      <c r="F95" s="11"/>
      <c r="H95" s="15">
        <f t="shared" si="7"/>
        <v>90</v>
      </c>
      <c r="I95" s="4">
        <v>-3500</v>
      </c>
      <c r="L95" s="11"/>
      <c r="N95" s="15">
        <f t="shared" si="8"/>
        <v>90</v>
      </c>
      <c r="O95" s="4">
        <v>-954.58448514257202</v>
      </c>
      <c r="R95" s="11"/>
      <c r="T95" s="15">
        <f t="shared" si="9"/>
        <v>90</v>
      </c>
      <c r="U95" s="4">
        <v>-3000</v>
      </c>
      <c r="X95" s="11"/>
      <c r="Z95" s="15">
        <f t="shared" si="10"/>
        <v>90</v>
      </c>
      <c r="AA95" s="4">
        <v>4181.0887302962128</v>
      </c>
      <c r="AD95" s="11"/>
      <c r="AF95" s="15">
        <f t="shared" si="11"/>
        <v>90</v>
      </c>
      <c r="AG95" s="4">
        <v>0</v>
      </c>
      <c r="AJ95" s="11"/>
    </row>
    <row r="96" spans="2:36" x14ac:dyDescent="0.35">
      <c r="B96" s="15">
        <f t="shared" si="6"/>
        <v>91</v>
      </c>
      <c r="C96" s="4">
        <v>-5000</v>
      </c>
      <c r="F96" s="11"/>
      <c r="H96" s="15">
        <f t="shared" si="7"/>
        <v>91</v>
      </c>
      <c r="I96" s="4">
        <v>-3143.3485194194109</v>
      </c>
      <c r="L96" s="11"/>
      <c r="N96" s="15">
        <f t="shared" si="8"/>
        <v>91</v>
      </c>
      <c r="O96" s="4">
        <v>-893.53189133785304</v>
      </c>
      <c r="R96" s="11"/>
      <c r="T96" s="15">
        <f t="shared" si="9"/>
        <v>91</v>
      </c>
      <c r="U96" s="4">
        <v>-3000</v>
      </c>
      <c r="X96" s="11"/>
      <c r="Z96" s="15">
        <f t="shared" si="10"/>
        <v>91</v>
      </c>
      <c r="AA96" s="4">
        <v>3985.9887313007998</v>
      </c>
      <c r="AD96" s="11"/>
      <c r="AF96" s="15">
        <f t="shared" si="11"/>
        <v>91</v>
      </c>
      <c r="AG96" s="4">
        <v>0</v>
      </c>
      <c r="AJ96" s="11"/>
    </row>
    <row r="97" spans="2:36" x14ac:dyDescent="0.35">
      <c r="B97" s="15">
        <f t="shared" si="6"/>
        <v>92</v>
      </c>
      <c r="C97" s="4">
        <v>-5000</v>
      </c>
      <c r="F97" s="11"/>
      <c r="H97" s="15">
        <f t="shared" si="7"/>
        <v>92</v>
      </c>
      <c r="I97" s="4">
        <v>-2968.8187882256689</v>
      </c>
      <c r="L97" s="11"/>
      <c r="N97" s="15">
        <f t="shared" si="8"/>
        <v>92</v>
      </c>
      <c r="O97" s="4">
        <v>-1208.4258076910901</v>
      </c>
      <c r="R97" s="11"/>
      <c r="T97" s="15">
        <f t="shared" si="9"/>
        <v>92</v>
      </c>
      <c r="U97" s="4">
        <v>-3000</v>
      </c>
      <c r="X97" s="11"/>
      <c r="Z97" s="15">
        <f t="shared" si="10"/>
        <v>92</v>
      </c>
      <c r="AA97" s="4">
        <v>3985.9887313007998</v>
      </c>
      <c r="AD97" s="11"/>
      <c r="AF97" s="15">
        <f t="shared" si="11"/>
        <v>92</v>
      </c>
      <c r="AG97" s="4">
        <v>0</v>
      </c>
      <c r="AJ97" s="11"/>
    </row>
    <row r="98" spans="2:36" x14ac:dyDescent="0.35">
      <c r="B98" s="15">
        <f t="shared" si="6"/>
        <v>93</v>
      </c>
      <c r="C98" s="4">
        <v>-5000</v>
      </c>
      <c r="F98" s="11"/>
      <c r="H98" s="15">
        <f t="shared" si="7"/>
        <v>93</v>
      </c>
      <c r="I98" s="4">
        <v>-3087.6860181114189</v>
      </c>
      <c r="L98" s="11"/>
      <c r="N98" s="15">
        <f t="shared" si="8"/>
        <v>93</v>
      </c>
      <c r="O98" s="4">
        <v>-1585.387948862329</v>
      </c>
      <c r="R98" s="11"/>
      <c r="T98" s="15">
        <f t="shared" si="9"/>
        <v>93</v>
      </c>
      <c r="U98" s="4">
        <v>-3000</v>
      </c>
      <c r="X98" s="11"/>
      <c r="Z98" s="15">
        <f t="shared" si="10"/>
        <v>93</v>
      </c>
      <c r="AA98" s="4">
        <v>3985.9887313007998</v>
      </c>
      <c r="AD98" s="11"/>
      <c r="AF98" s="15">
        <f t="shared" si="11"/>
        <v>93</v>
      </c>
      <c r="AG98" s="4">
        <v>0</v>
      </c>
      <c r="AJ98" s="11"/>
    </row>
    <row r="99" spans="2:36" x14ac:dyDescent="0.35">
      <c r="B99" s="15">
        <f t="shared" si="6"/>
        <v>94</v>
      </c>
      <c r="C99" s="4">
        <v>-5000</v>
      </c>
      <c r="F99" s="11"/>
      <c r="H99" s="15">
        <f t="shared" si="7"/>
        <v>94</v>
      </c>
      <c r="I99" s="4">
        <v>-1542.790190343334</v>
      </c>
      <c r="L99" s="11"/>
      <c r="N99" s="15">
        <f t="shared" si="8"/>
        <v>94</v>
      </c>
      <c r="O99" s="4">
        <v>-2059.25739013362</v>
      </c>
      <c r="R99" s="11"/>
      <c r="T99" s="15">
        <f t="shared" si="9"/>
        <v>94</v>
      </c>
      <c r="U99" s="4">
        <v>-3000</v>
      </c>
      <c r="X99" s="11"/>
      <c r="Z99" s="15">
        <f t="shared" si="10"/>
        <v>94</v>
      </c>
      <c r="AA99" s="4">
        <v>3985.9887313007998</v>
      </c>
      <c r="AD99" s="11"/>
      <c r="AF99" s="15">
        <f t="shared" si="11"/>
        <v>94</v>
      </c>
      <c r="AG99" s="4">
        <v>0</v>
      </c>
      <c r="AJ99" s="11"/>
    </row>
    <row r="100" spans="2:36" x14ac:dyDescent="0.35">
      <c r="B100" s="15">
        <f t="shared" si="6"/>
        <v>95</v>
      </c>
      <c r="C100" s="4">
        <v>-746.27792890000001</v>
      </c>
      <c r="F100" s="11"/>
      <c r="H100" s="15">
        <f t="shared" si="7"/>
        <v>95</v>
      </c>
      <c r="I100" s="4">
        <v>-1686.854839406348</v>
      </c>
      <c r="L100" s="11"/>
      <c r="N100" s="15">
        <f t="shared" si="8"/>
        <v>95</v>
      </c>
      <c r="O100" s="4">
        <v>-2320.1964215628368</v>
      </c>
      <c r="R100" s="11"/>
      <c r="T100" s="15">
        <f t="shared" si="9"/>
        <v>95</v>
      </c>
      <c r="U100" s="4">
        <v>-2644.790200173295</v>
      </c>
      <c r="X100" s="11"/>
      <c r="Z100" s="15">
        <f t="shared" si="10"/>
        <v>95</v>
      </c>
      <c r="AA100" s="4">
        <v>5031.3486132108001</v>
      </c>
      <c r="AD100" s="11"/>
      <c r="AF100" s="15">
        <f t="shared" si="11"/>
        <v>95</v>
      </c>
      <c r="AG100" s="4">
        <v>0</v>
      </c>
      <c r="AJ100" s="11"/>
    </row>
    <row r="101" spans="2:36" x14ac:dyDescent="0.35">
      <c r="B101" s="15">
        <f t="shared" si="6"/>
        <v>96</v>
      </c>
      <c r="C101" s="4">
        <v>0</v>
      </c>
      <c r="F101" s="11"/>
      <c r="H101" s="15">
        <f t="shared" si="7"/>
        <v>96</v>
      </c>
      <c r="I101" s="4">
        <v>1.2568937952037229</v>
      </c>
      <c r="L101" s="11"/>
      <c r="N101" s="15">
        <f t="shared" si="8"/>
        <v>96</v>
      </c>
      <c r="O101" s="4">
        <v>-2395.0449173263032</v>
      </c>
      <c r="R101" s="11"/>
      <c r="T101" s="15">
        <f t="shared" si="9"/>
        <v>96</v>
      </c>
      <c r="U101" s="4">
        <v>-2573.370686753688</v>
      </c>
      <c r="X101" s="11"/>
      <c r="Z101" s="15">
        <f t="shared" si="10"/>
        <v>96</v>
      </c>
      <c r="AA101" s="4">
        <v>6076.2486098694699</v>
      </c>
      <c r="AD101" s="11"/>
      <c r="AF101" s="15">
        <f t="shared" si="11"/>
        <v>96</v>
      </c>
      <c r="AG101" s="4">
        <v>0</v>
      </c>
      <c r="AJ101" s="11"/>
    </row>
    <row r="102" spans="2:36" x14ac:dyDescent="0.35">
      <c r="B102" s="15">
        <f t="shared" si="6"/>
        <v>97</v>
      </c>
      <c r="C102" s="4">
        <v>0</v>
      </c>
      <c r="F102" s="11"/>
      <c r="H102" s="15">
        <f t="shared" si="7"/>
        <v>97</v>
      </c>
      <c r="I102" s="4">
        <v>-1609.060512493437</v>
      </c>
      <c r="L102" s="11"/>
      <c r="N102" s="15">
        <f t="shared" si="8"/>
        <v>97</v>
      </c>
      <c r="O102" s="4">
        <v>-2325.833840771505</v>
      </c>
      <c r="R102" s="11"/>
      <c r="T102" s="15">
        <f t="shared" si="9"/>
        <v>97</v>
      </c>
      <c r="U102" s="4">
        <v>-1517.8</v>
      </c>
      <c r="X102" s="11"/>
      <c r="Z102" s="15">
        <f t="shared" si="10"/>
        <v>97</v>
      </c>
      <c r="AA102" s="4">
        <v>5874.9043035294753</v>
      </c>
      <c r="AD102" s="11"/>
      <c r="AF102" s="15">
        <f t="shared" si="11"/>
        <v>97</v>
      </c>
      <c r="AG102" s="4">
        <v>0</v>
      </c>
      <c r="AJ102" s="11"/>
    </row>
    <row r="103" spans="2:36" x14ac:dyDescent="0.35">
      <c r="B103" s="15">
        <f t="shared" si="6"/>
        <v>98</v>
      </c>
      <c r="C103" s="4">
        <v>353.90529597</v>
      </c>
      <c r="F103" s="11"/>
      <c r="H103" s="15">
        <f t="shared" si="7"/>
        <v>98</v>
      </c>
      <c r="I103" s="4">
        <v>0</v>
      </c>
      <c r="L103" s="11"/>
      <c r="N103" s="15">
        <f t="shared" si="8"/>
        <v>98</v>
      </c>
      <c r="O103" s="4">
        <v>-2368.3349189433411</v>
      </c>
      <c r="R103" s="11"/>
      <c r="T103" s="15">
        <f t="shared" si="9"/>
        <v>98</v>
      </c>
      <c r="U103" s="4">
        <v>-1517.8</v>
      </c>
      <c r="X103" s="11"/>
      <c r="Z103" s="15">
        <f t="shared" si="10"/>
        <v>98</v>
      </c>
      <c r="AA103" s="4">
        <v>5874.9043035294753</v>
      </c>
      <c r="AD103" s="11"/>
      <c r="AF103" s="15">
        <f t="shared" si="11"/>
        <v>98</v>
      </c>
      <c r="AG103" s="4">
        <v>0</v>
      </c>
      <c r="AJ103" s="11"/>
    </row>
    <row r="104" spans="2:36" x14ac:dyDescent="0.35">
      <c r="B104" s="15">
        <f t="shared" si="6"/>
        <v>99</v>
      </c>
      <c r="C104" s="4">
        <v>2858.6637063200001</v>
      </c>
      <c r="F104" s="11"/>
      <c r="H104" s="15">
        <f t="shared" si="7"/>
        <v>99</v>
      </c>
      <c r="I104" s="4">
        <v>-3500</v>
      </c>
      <c r="L104" s="11"/>
      <c r="N104" s="15">
        <f t="shared" si="8"/>
        <v>99</v>
      </c>
      <c r="O104" s="4">
        <v>-2390.1066395250291</v>
      </c>
      <c r="R104" s="11"/>
      <c r="T104" s="15">
        <f t="shared" si="9"/>
        <v>99</v>
      </c>
      <c r="U104" s="4">
        <v>-1517.8</v>
      </c>
      <c r="X104" s="11"/>
      <c r="Z104" s="15">
        <f t="shared" si="10"/>
        <v>99</v>
      </c>
      <c r="AA104" s="4">
        <v>6107.5676513994749</v>
      </c>
      <c r="AD104" s="11"/>
      <c r="AF104" s="15">
        <f t="shared" si="11"/>
        <v>99</v>
      </c>
      <c r="AG104" s="4">
        <v>0</v>
      </c>
      <c r="AJ104" s="11"/>
    </row>
    <row r="105" spans="2:36" x14ac:dyDescent="0.35">
      <c r="B105" s="15">
        <f t="shared" si="6"/>
        <v>100</v>
      </c>
      <c r="C105" s="4">
        <v>0</v>
      </c>
      <c r="F105" s="11"/>
      <c r="H105" s="15">
        <f t="shared" si="7"/>
        <v>100</v>
      </c>
      <c r="I105" s="4">
        <v>0</v>
      </c>
      <c r="L105" s="11"/>
      <c r="N105" s="15">
        <f t="shared" si="8"/>
        <v>100</v>
      </c>
      <c r="O105" s="4">
        <v>-2296.0327096392889</v>
      </c>
      <c r="R105" s="11"/>
      <c r="T105" s="15">
        <f t="shared" si="9"/>
        <v>100</v>
      </c>
      <c r="U105" s="4">
        <v>-1517.8</v>
      </c>
      <c r="X105" s="11"/>
      <c r="Z105" s="15">
        <f t="shared" si="10"/>
        <v>100</v>
      </c>
      <c r="AA105" s="4">
        <v>6204.9043035294753</v>
      </c>
      <c r="AD105" s="11"/>
      <c r="AF105" s="15">
        <f t="shared" si="11"/>
        <v>100</v>
      </c>
      <c r="AG105" s="4">
        <v>0</v>
      </c>
      <c r="AJ105" s="11"/>
    </row>
    <row r="106" spans="2:36" x14ac:dyDescent="0.35">
      <c r="B106" s="15">
        <f t="shared" si="6"/>
        <v>101</v>
      </c>
      <c r="C106" s="4">
        <v>0</v>
      </c>
      <c r="F106" s="11"/>
      <c r="H106" s="15">
        <f t="shared" si="7"/>
        <v>101</v>
      </c>
      <c r="I106" s="4">
        <v>0</v>
      </c>
      <c r="L106" s="11"/>
      <c r="N106" s="15">
        <f t="shared" si="8"/>
        <v>101</v>
      </c>
      <c r="O106" s="4">
        <v>-2164.3499746711932</v>
      </c>
      <c r="R106" s="11"/>
      <c r="T106" s="15">
        <f t="shared" si="9"/>
        <v>101</v>
      </c>
      <c r="U106" s="4">
        <v>-1517.8</v>
      </c>
      <c r="X106" s="11"/>
      <c r="Z106" s="15">
        <f t="shared" si="10"/>
        <v>101</v>
      </c>
      <c r="AA106" s="4">
        <v>5875.3641854371072</v>
      </c>
      <c r="AD106" s="11"/>
      <c r="AF106" s="15">
        <f t="shared" si="11"/>
        <v>101</v>
      </c>
      <c r="AG106" s="4">
        <v>0</v>
      </c>
      <c r="AJ106" s="11"/>
    </row>
    <row r="107" spans="2:36" x14ac:dyDescent="0.35">
      <c r="B107" s="15">
        <f t="shared" si="6"/>
        <v>102</v>
      </c>
      <c r="C107" s="4">
        <v>1329.8327752099999</v>
      </c>
      <c r="F107" s="11"/>
      <c r="H107" s="15">
        <f t="shared" si="7"/>
        <v>102</v>
      </c>
      <c r="I107" s="4">
        <v>-851.3909670476005</v>
      </c>
      <c r="L107" s="11"/>
      <c r="N107" s="15">
        <f t="shared" si="8"/>
        <v>102</v>
      </c>
      <c r="O107" s="4">
        <v>-2023.1106477788021</v>
      </c>
      <c r="R107" s="11"/>
      <c r="T107" s="15">
        <f t="shared" si="9"/>
        <v>102</v>
      </c>
      <c r="U107" s="4">
        <v>-1517.8</v>
      </c>
      <c r="X107" s="11"/>
      <c r="Z107" s="15">
        <f t="shared" si="10"/>
        <v>102</v>
      </c>
      <c r="AA107" s="4">
        <v>5876.2839492623707</v>
      </c>
      <c r="AD107" s="11"/>
      <c r="AF107" s="15">
        <f t="shared" si="11"/>
        <v>102</v>
      </c>
      <c r="AG107" s="4">
        <v>0</v>
      </c>
      <c r="AJ107" s="11"/>
    </row>
    <row r="108" spans="2:36" x14ac:dyDescent="0.35">
      <c r="B108" s="15">
        <f t="shared" si="6"/>
        <v>103</v>
      </c>
      <c r="C108" s="4">
        <v>3030.0808235099998</v>
      </c>
      <c r="F108" s="11"/>
      <c r="H108" s="15">
        <f t="shared" si="7"/>
        <v>103</v>
      </c>
      <c r="I108" s="4">
        <v>-609.2307831277476</v>
      </c>
      <c r="L108" s="11"/>
      <c r="N108" s="15">
        <f t="shared" si="8"/>
        <v>103</v>
      </c>
      <c r="O108" s="4">
        <v>-1948.9643948291309</v>
      </c>
      <c r="R108" s="11"/>
      <c r="T108" s="15">
        <f t="shared" si="9"/>
        <v>103</v>
      </c>
      <c r="U108" s="4">
        <v>-1517.8</v>
      </c>
      <c r="X108" s="11"/>
      <c r="Z108" s="15">
        <f t="shared" si="10"/>
        <v>103</v>
      </c>
      <c r="AA108" s="4">
        <v>6206.7438311700034</v>
      </c>
      <c r="AD108" s="11"/>
      <c r="AF108" s="15">
        <f t="shared" si="11"/>
        <v>103</v>
      </c>
      <c r="AG108" s="4">
        <v>0</v>
      </c>
      <c r="AJ108" s="11"/>
    </row>
    <row r="109" spans="2:36" x14ac:dyDescent="0.35">
      <c r="B109" s="15">
        <f t="shared" si="6"/>
        <v>104</v>
      </c>
      <c r="C109" s="4">
        <v>197.61554663999999</v>
      </c>
      <c r="F109" s="11"/>
      <c r="H109" s="15">
        <f t="shared" si="7"/>
        <v>104</v>
      </c>
      <c r="I109" s="4">
        <v>-674.59679683484001</v>
      </c>
      <c r="L109" s="11"/>
      <c r="N109" s="15">
        <f t="shared" si="8"/>
        <v>104</v>
      </c>
      <c r="O109" s="4">
        <v>-1717.5017786393889</v>
      </c>
      <c r="R109" s="11"/>
      <c r="T109" s="15">
        <f t="shared" si="9"/>
        <v>104</v>
      </c>
      <c r="U109" s="4">
        <v>-1517.8</v>
      </c>
      <c r="X109" s="11"/>
      <c r="Z109" s="15">
        <f t="shared" si="10"/>
        <v>104</v>
      </c>
      <c r="AA109" s="4">
        <v>6207.2037130776353</v>
      </c>
      <c r="AD109" s="11"/>
      <c r="AF109" s="15">
        <f t="shared" si="11"/>
        <v>104</v>
      </c>
      <c r="AG109" s="4">
        <v>0</v>
      </c>
      <c r="AJ109" s="11"/>
    </row>
    <row r="110" spans="2:36" x14ac:dyDescent="0.35">
      <c r="B110" s="15">
        <f t="shared" si="6"/>
        <v>105</v>
      </c>
      <c r="C110" s="4">
        <v>843.23938495000004</v>
      </c>
      <c r="F110" s="11"/>
      <c r="H110" s="15">
        <f t="shared" si="7"/>
        <v>105</v>
      </c>
      <c r="I110" s="4">
        <v>0</v>
      </c>
      <c r="L110" s="11"/>
      <c r="N110" s="15">
        <f t="shared" si="8"/>
        <v>105</v>
      </c>
      <c r="O110" s="4">
        <v>-1394.90535909972</v>
      </c>
      <c r="R110" s="11"/>
      <c r="T110" s="15">
        <f t="shared" si="9"/>
        <v>105</v>
      </c>
      <c r="U110" s="4">
        <v>-1517.8</v>
      </c>
      <c r="X110" s="11"/>
      <c r="Z110" s="15">
        <f t="shared" si="10"/>
        <v>105</v>
      </c>
      <c r="AA110" s="4">
        <v>6310.3037130776347</v>
      </c>
      <c r="AD110" s="11"/>
      <c r="AF110" s="15">
        <f t="shared" si="11"/>
        <v>105</v>
      </c>
      <c r="AG110" s="4">
        <v>0</v>
      </c>
      <c r="AJ110" s="11"/>
    </row>
    <row r="111" spans="2:36" x14ac:dyDescent="0.35">
      <c r="B111" s="15">
        <f t="shared" si="6"/>
        <v>106</v>
      </c>
      <c r="C111" s="4">
        <v>5000</v>
      </c>
      <c r="F111" s="11"/>
      <c r="H111" s="15">
        <f t="shared" si="7"/>
        <v>106</v>
      </c>
      <c r="I111" s="4">
        <v>1970.065362581212</v>
      </c>
      <c r="L111" s="11"/>
      <c r="N111" s="15">
        <f t="shared" si="8"/>
        <v>106</v>
      </c>
      <c r="O111" s="4">
        <v>-1393.4775504039419</v>
      </c>
      <c r="R111" s="11"/>
      <c r="T111" s="15">
        <f t="shared" si="9"/>
        <v>106</v>
      </c>
      <c r="U111" s="4">
        <v>-1517.8</v>
      </c>
      <c r="X111" s="11"/>
      <c r="Z111" s="15">
        <f t="shared" si="10"/>
        <v>106</v>
      </c>
      <c r="AA111" s="4">
        <v>7355.2037130776353</v>
      </c>
      <c r="AD111" s="11"/>
      <c r="AF111" s="15">
        <f t="shared" si="11"/>
        <v>106</v>
      </c>
      <c r="AG111" s="4">
        <v>0</v>
      </c>
      <c r="AJ111" s="11"/>
    </row>
    <row r="112" spans="2:36" x14ac:dyDescent="0.35">
      <c r="B112" s="15">
        <f t="shared" si="6"/>
        <v>107</v>
      </c>
      <c r="C112" s="4">
        <v>5000</v>
      </c>
      <c r="F112" s="11"/>
      <c r="H112" s="15">
        <f t="shared" si="7"/>
        <v>107</v>
      </c>
      <c r="I112" s="4">
        <v>2154.6702434675899</v>
      </c>
      <c r="L112" s="11"/>
      <c r="N112" s="15">
        <f t="shared" si="8"/>
        <v>107</v>
      </c>
      <c r="O112" s="4">
        <v>0</v>
      </c>
      <c r="R112" s="11"/>
      <c r="T112" s="15">
        <f t="shared" si="9"/>
        <v>107</v>
      </c>
      <c r="U112" s="4">
        <v>-1517.8</v>
      </c>
      <c r="X112" s="11"/>
      <c r="Z112" s="15">
        <f t="shared" si="10"/>
        <v>107</v>
      </c>
      <c r="AA112" s="4">
        <v>7355.2037130776353</v>
      </c>
      <c r="AD112" s="11"/>
      <c r="AF112" s="15">
        <f t="shared" si="11"/>
        <v>107</v>
      </c>
      <c r="AG112" s="4">
        <v>0</v>
      </c>
      <c r="AJ112" s="11"/>
    </row>
    <row r="113" spans="2:36" x14ac:dyDescent="0.35">
      <c r="B113" s="15">
        <f t="shared" si="6"/>
        <v>108</v>
      </c>
      <c r="C113" s="4">
        <v>5000</v>
      </c>
      <c r="F113" s="11"/>
      <c r="H113" s="15">
        <f t="shared" si="7"/>
        <v>108</v>
      </c>
      <c r="I113" s="4">
        <v>0</v>
      </c>
      <c r="L113" s="11"/>
      <c r="N113" s="15">
        <f t="shared" si="8"/>
        <v>108</v>
      </c>
      <c r="O113" s="4">
        <v>-853.82914512483603</v>
      </c>
      <c r="R113" s="11"/>
      <c r="T113" s="15">
        <f t="shared" si="9"/>
        <v>108</v>
      </c>
      <c r="U113" s="4">
        <v>-1517.8</v>
      </c>
      <c r="X113" s="11"/>
      <c r="Z113" s="15">
        <f t="shared" si="10"/>
        <v>108</v>
      </c>
      <c r="AA113" s="4">
        <v>7354.7438311700034</v>
      </c>
      <c r="AD113" s="11"/>
      <c r="AF113" s="15">
        <f t="shared" si="11"/>
        <v>108</v>
      </c>
      <c r="AG113" s="4">
        <v>0</v>
      </c>
      <c r="AJ113" s="11"/>
    </row>
    <row r="114" spans="2:36" x14ac:dyDescent="0.35">
      <c r="B114" s="15">
        <f t="shared" si="6"/>
        <v>109</v>
      </c>
      <c r="C114" s="4">
        <v>5000</v>
      </c>
      <c r="F114" s="11"/>
      <c r="H114" s="15">
        <f t="shared" si="7"/>
        <v>109</v>
      </c>
      <c r="I114" s="4">
        <v>0</v>
      </c>
      <c r="L114" s="11"/>
      <c r="N114" s="15">
        <f t="shared" si="8"/>
        <v>109</v>
      </c>
      <c r="O114" s="4">
        <v>0</v>
      </c>
      <c r="R114" s="11"/>
      <c r="T114" s="15">
        <f t="shared" si="9"/>
        <v>109</v>
      </c>
      <c r="U114" s="4">
        <v>-1517.8</v>
      </c>
      <c r="X114" s="11"/>
      <c r="Z114" s="15">
        <f t="shared" si="10"/>
        <v>109</v>
      </c>
      <c r="AA114" s="4">
        <v>7354.2839492623707</v>
      </c>
      <c r="AD114" s="11"/>
      <c r="AF114" s="15">
        <f t="shared" si="11"/>
        <v>109</v>
      </c>
      <c r="AG114" s="4">
        <v>0</v>
      </c>
      <c r="AJ114" s="11"/>
    </row>
    <row r="115" spans="2:36" x14ac:dyDescent="0.35">
      <c r="B115" s="15">
        <f t="shared" si="6"/>
        <v>110</v>
      </c>
      <c r="C115" s="4">
        <v>5000</v>
      </c>
      <c r="F115" s="11"/>
      <c r="H115" s="15">
        <f t="shared" si="7"/>
        <v>110</v>
      </c>
      <c r="I115" s="4">
        <v>0</v>
      </c>
      <c r="L115" s="11"/>
      <c r="N115" s="15">
        <f t="shared" si="8"/>
        <v>110</v>
      </c>
      <c r="O115" s="4">
        <v>0</v>
      </c>
      <c r="R115" s="11"/>
      <c r="T115" s="15">
        <f t="shared" si="9"/>
        <v>110</v>
      </c>
      <c r="U115" s="4">
        <v>-1517.8</v>
      </c>
      <c r="X115" s="11"/>
      <c r="Z115" s="15">
        <f t="shared" si="10"/>
        <v>110</v>
      </c>
      <c r="AA115" s="4">
        <v>7354.2839492623707</v>
      </c>
      <c r="AD115" s="11"/>
      <c r="AF115" s="15">
        <f t="shared" si="11"/>
        <v>110</v>
      </c>
      <c r="AG115" s="4">
        <v>0</v>
      </c>
      <c r="AJ115" s="11"/>
    </row>
    <row r="116" spans="2:36" x14ac:dyDescent="0.35">
      <c r="B116" s="15">
        <f t="shared" si="6"/>
        <v>111</v>
      </c>
      <c r="C116" s="4">
        <v>5000</v>
      </c>
      <c r="F116" s="11"/>
      <c r="H116" s="15">
        <f t="shared" si="7"/>
        <v>111</v>
      </c>
      <c r="I116" s="4">
        <v>0</v>
      </c>
      <c r="L116" s="11"/>
      <c r="N116" s="15">
        <f t="shared" si="8"/>
        <v>111</v>
      </c>
      <c r="O116" s="4">
        <v>4.1641214920673519E-9</v>
      </c>
      <c r="R116" s="11"/>
      <c r="T116" s="15">
        <f t="shared" si="9"/>
        <v>111</v>
      </c>
      <c r="U116" s="4">
        <v>-1517.8</v>
      </c>
      <c r="X116" s="11"/>
      <c r="Z116" s="15">
        <f t="shared" si="10"/>
        <v>111</v>
      </c>
      <c r="AA116" s="4">
        <v>7354.7438311700034</v>
      </c>
      <c r="AD116" s="11"/>
      <c r="AF116" s="15">
        <f t="shared" si="11"/>
        <v>111</v>
      </c>
      <c r="AG116" s="4">
        <v>0</v>
      </c>
      <c r="AJ116" s="11"/>
    </row>
    <row r="117" spans="2:36" x14ac:dyDescent="0.35">
      <c r="B117" s="15">
        <f t="shared" si="6"/>
        <v>112</v>
      </c>
      <c r="C117" s="4">
        <v>5000</v>
      </c>
      <c r="F117" s="11"/>
      <c r="H117" s="15">
        <f t="shared" si="7"/>
        <v>112</v>
      </c>
      <c r="I117" s="4">
        <v>215.05464446382209</v>
      </c>
      <c r="L117" s="11"/>
      <c r="N117" s="15">
        <f t="shared" si="8"/>
        <v>112</v>
      </c>
      <c r="O117" s="4">
        <v>-274.75316512583589</v>
      </c>
      <c r="R117" s="11"/>
      <c r="T117" s="15">
        <f t="shared" si="9"/>
        <v>112</v>
      </c>
      <c r="U117" s="4">
        <v>-1517.8</v>
      </c>
      <c r="X117" s="11"/>
      <c r="Z117" s="15">
        <f t="shared" si="10"/>
        <v>112</v>
      </c>
      <c r="AA117" s="4">
        <v>7355.2037130776353</v>
      </c>
      <c r="AD117" s="11"/>
      <c r="AF117" s="15">
        <f t="shared" si="11"/>
        <v>112</v>
      </c>
      <c r="AG117" s="4">
        <v>0</v>
      </c>
      <c r="AJ117" s="11"/>
    </row>
    <row r="118" spans="2:36" x14ac:dyDescent="0.35">
      <c r="B118" s="15">
        <f t="shared" si="6"/>
        <v>113</v>
      </c>
      <c r="C118" s="4">
        <v>5000</v>
      </c>
      <c r="F118" s="11"/>
      <c r="H118" s="15">
        <f t="shared" si="7"/>
        <v>113</v>
      </c>
      <c r="I118" s="4">
        <v>1438.9902541058909</v>
      </c>
      <c r="L118" s="11"/>
      <c r="N118" s="15">
        <f t="shared" si="8"/>
        <v>113</v>
      </c>
      <c r="O118" s="4">
        <v>-709.51316512583617</v>
      </c>
      <c r="R118" s="11"/>
      <c r="T118" s="15">
        <f t="shared" si="9"/>
        <v>113</v>
      </c>
      <c r="U118" s="4">
        <v>-1517.8</v>
      </c>
      <c r="X118" s="11"/>
      <c r="Z118" s="15">
        <f t="shared" si="10"/>
        <v>113</v>
      </c>
      <c r="AA118" s="4">
        <v>7355.2037130776353</v>
      </c>
      <c r="AD118" s="11"/>
      <c r="AF118" s="15">
        <f t="shared" si="11"/>
        <v>113</v>
      </c>
      <c r="AG118" s="4">
        <v>0</v>
      </c>
      <c r="AJ118" s="11"/>
    </row>
    <row r="119" spans="2:36" x14ac:dyDescent="0.35">
      <c r="B119" s="15">
        <f t="shared" si="6"/>
        <v>114</v>
      </c>
      <c r="C119" s="4">
        <v>5000</v>
      </c>
      <c r="F119" s="11"/>
      <c r="H119" s="15">
        <f t="shared" si="7"/>
        <v>114</v>
      </c>
      <c r="I119" s="4">
        <v>0</v>
      </c>
      <c r="L119" s="11"/>
      <c r="N119" s="15">
        <f t="shared" si="8"/>
        <v>114</v>
      </c>
      <c r="O119" s="4">
        <v>-262.30735040394302</v>
      </c>
      <c r="R119" s="11"/>
      <c r="T119" s="15">
        <f t="shared" si="9"/>
        <v>114</v>
      </c>
      <c r="U119" s="4">
        <v>-1517.8</v>
      </c>
      <c r="X119" s="11"/>
      <c r="Z119" s="15">
        <f t="shared" si="10"/>
        <v>114</v>
      </c>
      <c r="AA119" s="4">
        <v>7025.2037130776353</v>
      </c>
      <c r="AD119" s="11"/>
      <c r="AF119" s="15">
        <f t="shared" si="11"/>
        <v>114</v>
      </c>
      <c r="AG119" s="4">
        <v>0</v>
      </c>
      <c r="AJ119" s="11"/>
    </row>
    <row r="120" spans="2:36" x14ac:dyDescent="0.35">
      <c r="B120" s="15">
        <f t="shared" si="6"/>
        <v>115</v>
      </c>
      <c r="C120" s="4">
        <v>5000</v>
      </c>
      <c r="F120" s="11"/>
      <c r="H120" s="15">
        <f t="shared" si="7"/>
        <v>115</v>
      </c>
      <c r="I120" s="4">
        <v>0</v>
      </c>
      <c r="L120" s="11"/>
      <c r="N120" s="15">
        <f t="shared" si="8"/>
        <v>115</v>
      </c>
      <c r="O120" s="4">
        <v>-576.39383938611218</v>
      </c>
      <c r="R120" s="11"/>
      <c r="T120" s="15">
        <f t="shared" si="9"/>
        <v>115</v>
      </c>
      <c r="U120" s="4">
        <v>-1517.8</v>
      </c>
      <c r="X120" s="11"/>
      <c r="Z120" s="15">
        <f t="shared" si="10"/>
        <v>115</v>
      </c>
      <c r="AA120" s="4">
        <v>6373.7442569700033</v>
      </c>
      <c r="AD120" s="11"/>
      <c r="AF120" s="15">
        <f t="shared" si="11"/>
        <v>115</v>
      </c>
      <c r="AG120" s="4">
        <v>0</v>
      </c>
      <c r="AJ120" s="11"/>
    </row>
    <row r="121" spans="2:36" x14ac:dyDescent="0.35">
      <c r="B121" s="15">
        <f t="shared" si="6"/>
        <v>116</v>
      </c>
      <c r="C121" s="4">
        <v>5000</v>
      </c>
      <c r="F121" s="11"/>
      <c r="H121" s="15">
        <f t="shared" si="7"/>
        <v>116</v>
      </c>
      <c r="I121" s="4">
        <v>0</v>
      </c>
      <c r="L121" s="11"/>
      <c r="N121" s="15">
        <f t="shared" si="8"/>
        <v>116</v>
      </c>
      <c r="O121" s="4">
        <v>-573.6102166905282</v>
      </c>
      <c r="R121" s="11"/>
      <c r="T121" s="15">
        <f t="shared" si="9"/>
        <v>116</v>
      </c>
      <c r="U121" s="4">
        <v>-1517.8</v>
      </c>
      <c r="X121" s="11"/>
      <c r="Z121" s="15">
        <f t="shared" si="10"/>
        <v>116</v>
      </c>
      <c r="AA121" s="4">
        <v>5876.2839492623707</v>
      </c>
      <c r="AD121" s="11"/>
      <c r="AF121" s="15">
        <f t="shared" si="11"/>
        <v>116</v>
      </c>
      <c r="AG121" s="4">
        <v>0</v>
      </c>
      <c r="AJ121" s="11"/>
    </row>
    <row r="122" spans="2:36" x14ac:dyDescent="0.35">
      <c r="B122" s="15">
        <f t="shared" si="6"/>
        <v>117</v>
      </c>
      <c r="C122" s="4">
        <v>2797.6247696400001</v>
      </c>
      <c r="F122" s="11"/>
      <c r="H122" s="15">
        <f t="shared" si="7"/>
        <v>117</v>
      </c>
      <c r="I122" s="4">
        <v>0</v>
      </c>
      <c r="L122" s="11"/>
      <c r="N122" s="15">
        <f t="shared" si="8"/>
        <v>117</v>
      </c>
      <c r="O122" s="4">
        <v>-532.71475867791173</v>
      </c>
      <c r="R122" s="11"/>
      <c r="T122" s="15">
        <f t="shared" si="9"/>
        <v>117</v>
      </c>
      <c r="U122" s="4">
        <v>-1517.8</v>
      </c>
      <c r="X122" s="11"/>
      <c r="Z122" s="15">
        <f t="shared" si="10"/>
        <v>117</v>
      </c>
      <c r="AA122" s="4">
        <v>5875.8240673547389</v>
      </c>
      <c r="AD122" s="11"/>
      <c r="AF122" s="15">
        <f t="shared" si="11"/>
        <v>117</v>
      </c>
      <c r="AG122" s="4">
        <v>0</v>
      </c>
      <c r="AJ122" s="11"/>
    </row>
    <row r="123" spans="2:36" x14ac:dyDescent="0.35">
      <c r="B123" s="15">
        <f t="shared" si="6"/>
        <v>118</v>
      </c>
      <c r="C123" s="4">
        <v>0</v>
      </c>
      <c r="F123" s="11"/>
      <c r="H123" s="15">
        <f t="shared" si="7"/>
        <v>118</v>
      </c>
      <c r="I123" s="4">
        <v>0</v>
      </c>
      <c r="L123" s="11"/>
      <c r="N123" s="15">
        <f t="shared" si="8"/>
        <v>118</v>
      </c>
      <c r="O123" s="4">
        <v>-427.4932769264999</v>
      </c>
      <c r="R123" s="11"/>
      <c r="T123" s="15">
        <f t="shared" si="9"/>
        <v>118</v>
      </c>
      <c r="U123" s="4">
        <v>-1517.8</v>
      </c>
      <c r="X123" s="11"/>
      <c r="Z123" s="15">
        <f t="shared" si="10"/>
        <v>118</v>
      </c>
      <c r="AA123" s="4">
        <v>6205.3641854371072</v>
      </c>
      <c r="AD123" s="11"/>
      <c r="AF123" s="15">
        <f t="shared" si="11"/>
        <v>118</v>
      </c>
      <c r="AG123" s="4">
        <v>0</v>
      </c>
      <c r="AJ123" s="11"/>
    </row>
    <row r="124" spans="2:36" x14ac:dyDescent="0.35">
      <c r="B124" s="15">
        <f t="shared" si="6"/>
        <v>119</v>
      </c>
      <c r="C124" s="4">
        <v>29.88274315</v>
      </c>
      <c r="F124" s="11"/>
      <c r="H124" s="15">
        <f t="shared" si="7"/>
        <v>119</v>
      </c>
      <c r="I124" s="4">
        <v>0</v>
      </c>
      <c r="L124" s="11"/>
      <c r="N124" s="15">
        <f t="shared" si="8"/>
        <v>119</v>
      </c>
      <c r="O124" s="4">
        <v>-243.44245603341321</v>
      </c>
      <c r="R124" s="11"/>
      <c r="T124" s="15">
        <f t="shared" si="9"/>
        <v>119</v>
      </c>
      <c r="U124" s="4">
        <v>-1517.8</v>
      </c>
      <c r="X124" s="11"/>
      <c r="Z124" s="15">
        <f t="shared" si="10"/>
        <v>119</v>
      </c>
      <c r="AA124" s="4">
        <v>5874.9043035294753</v>
      </c>
      <c r="AD124" s="11"/>
      <c r="AF124" s="15">
        <f t="shared" si="11"/>
        <v>119</v>
      </c>
      <c r="AG124" s="4">
        <v>0</v>
      </c>
      <c r="AJ124" s="11"/>
    </row>
    <row r="125" spans="2:36" x14ac:dyDescent="0.35">
      <c r="B125" s="15">
        <f t="shared" si="6"/>
        <v>120</v>
      </c>
      <c r="C125" s="4">
        <v>2244.1603927199999</v>
      </c>
      <c r="F125" s="11"/>
      <c r="H125" s="15">
        <f t="shared" si="7"/>
        <v>120</v>
      </c>
      <c r="I125" s="4">
        <v>0</v>
      </c>
      <c r="L125" s="11"/>
      <c r="N125" s="15">
        <f t="shared" si="8"/>
        <v>120</v>
      </c>
      <c r="O125" s="4">
        <v>-40.439583834273662</v>
      </c>
      <c r="R125" s="11"/>
      <c r="T125" s="15">
        <f t="shared" si="9"/>
        <v>120</v>
      </c>
      <c r="U125" s="4">
        <v>-1517.8</v>
      </c>
      <c r="X125" s="11"/>
      <c r="Z125" s="15">
        <f t="shared" si="10"/>
        <v>120</v>
      </c>
      <c r="AA125" s="4">
        <v>6204.9043035294753</v>
      </c>
      <c r="AD125" s="11"/>
      <c r="AF125" s="15">
        <f t="shared" si="11"/>
        <v>120</v>
      </c>
      <c r="AG125" s="4">
        <v>0</v>
      </c>
      <c r="AJ125" s="11"/>
    </row>
    <row r="126" spans="2:36" x14ac:dyDescent="0.35">
      <c r="B126" s="15">
        <f t="shared" si="6"/>
        <v>121</v>
      </c>
      <c r="C126" s="4">
        <v>5000</v>
      </c>
      <c r="F126" s="11"/>
      <c r="H126" s="15">
        <f t="shared" si="7"/>
        <v>121</v>
      </c>
      <c r="I126" s="4">
        <v>0</v>
      </c>
      <c r="L126" s="11"/>
      <c r="N126" s="15">
        <f t="shared" si="8"/>
        <v>121</v>
      </c>
      <c r="O126" s="4">
        <v>495.30929074846989</v>
      </c>
      <c r="R126" s="11"/>
      <c r="T126" s="15">
        <f t="shared" si="9"/>
        <v>121</v>
      </c>
      <c r="U126" s="4">
        <v>-1517.8</v>
      </c>
      <c r="X126" s="11"/>
      <c r="Z126" s="15">
        <f t="shared" si="10"/>
        <v>121</v>
      </c>
      <c r="AA126" s="4">
        <v>6534.820693689906</v>
      </c>
      <c r="AD126" s="11"/>
      <c r="AF126" s="15">
        <f t="shared" si="11"/>
        <v>121</v>
      </c>
      <c r="AG126" s="4">
        <v>0</v>
      </c>
      <c r="AJ126" s="11"/>
    </row>
    <row r="127" spans="2:36" x14ac:dyDescent="0.35">
      <c r="B127" s="15">
        <f t="shared" si="6"/>
        <v>122</v>
      </c>
      <c r="C127" s="4">
        <v>5000</v>
      </c>
      <c r="F127" s="11"/>
      <c r="H127" s="15">
        <f t="shared" si="7"/>
        <v>122</v>
      </c>
      <c r="I127" s="4">
        <v>0</v>
      </c>
      <c r="L127" s="11"/>
      <c r="N127" s="15">
        <f t="shared" si="8"/>
        <v>122</v>
      </c>
      <c r="O127" s="4">
        <v>673.89166134499737</v>
      </c>
      <c r="R127" s="11"/>
      <c r="T127" s="15">
        <f t="shared" si="9"/>
        <v>122</v>
      </c>
      <c r="U127" s="4">
        <v>-1517.8</v>
      </c>
      <c r="X127" s="11"/>
      <c r="Z127" s="15">
        <f t="shared" si="10"/>
        <v>122</v>
      </c>
      <c r="AA127" s="4">
        <v>7315.643064539905</v>
      </c>
      <c r="AD127" s="11"/>
      <c r="AF127" s="15">
        <f t="shared" si="11"/>
        <v>122</v>
      </c>
      <c r="AG127" s="4">
        <v>0</v>
      </c>
      <c r="AJ127" s="11"/>
    </row>
    <row r="128" spans="2:36" x14ac:dyDescent="0.35">
      <c r="B128" s="15">
        <f t="shared" si="6"/>
        <v>123</v>
      </c>
      <c r="C128" s="4">
        <v>5000</v>
      </c>
      <c r="F128" s="11"/>
      <c r="H128" s="15">
        <f t="shared" si="7"/>
        <v>123</v>
      </c>
      <c r="I128" s="4">
        <v>0</v>
      </c>
      <c r="L128" s="11"/>
      <c r="N128" s="15">
        <f t="shared" si="8"/>
        <v>123</v>
      </c>
      <c r="O128" s="4">
        <v>791.19367244456726</v>
      </c>
      <c r="R128" s="11"/>
      <c r="T128" s="15">
        <f t="shared" si="9"/>
        <v>123</v>
      </c>
      <c r="U128" s="4">
        <v>-1517.8</v>
      </c>
      <c r="X128" s="11"/>
      <c r="Z128" s="15">
        <f t="shared" si="10"/>
        <v>123</v>
      </c>
      <c r="AA128" s="4">
        <v>7022.820693689906</v>
      </c>
      <c r="AD128" s="11"/>
      <c r="AF128" s="15">
        <f t="shared" si="11"/>
        <v>123</v>
      </c>
      <c r="AG128" s="4">
        <v>0</v>
      </c>
      <c r="AJ128" s="11"/>
    </row>
    <row r="129" spans="2:36" x14ac:dyDescent="0.35">
      <c r="B129" s="15">
        <f t="shared" si="6"/>
        <v>124</v>
      </c>
      <c r="C129" s="4">
        <v>5000</v>
      </c>
      <c r="F129" s="11"/>
      <c r="H129" s="15">
        <f t="shared" si="7"/>
        <v>124</v>
      </c>
      <c r="I129" s="4">
        <v>0</v>
      </c>
      <c r="L129" s="11"/>
      <c r="N129" s="15">
        <f t="shared" si="8"/>
        <v>124</v>
      </c>
      <c r="O129" s="4">
        <v>863.05709784151054</v>
      </c>
      <c r="R129" s="11"/>
      <c r="T129" s="15">
        <f t="shared" si="9"/>
        <v>124</v>
      </c>
      <c r="U129" s="4">
        <v>-1517.8</v>
      </c>
      <c r="X129" s="11"/>
      <c r="Z129" s="15">
        <f t="shared" si="10"/>
        <v>124</v>
      </c>
      <c r="AA129" s="4">
        <v>7352.820693689906</v>
      </c>
      <c r="AD129" s="11"/>
      <c r="AF129" s="15">
        <f t="shared" si="11"/>
        <v>124</v>
      </c>
      <c r="AG129" s="4">
        <v>0</v>
      </c>
      <c r="AJ129" s="11"/>
    </row>
    <row r="130" spans="2:36" x14ac:dyDescent="0.35">
      <c r="B130" s="15">
        <f t="shared" si="6"/>
        <v>125</v>
      </c>
      <c r="C130" s="4">
        <v>5000</v>
      </c>
      <c r="F130" s="11"/>
      <c r="H130" s="15">
        <f t="shared" si="7"/>
        <v>125</v>
      </c>
      <c r="I130" s="4">
        <v>0</v>
      </c>
      <c r="L130" s="11"/>
      <c r="N130" s="15">
        <f t="shared" si="8"/>
        <v>125</v>
      </c>
      <c r="O130" s="4">
        <v>884.90786651638803</v>
      </c>
      <c r="R130" s="11"/>
      <c r="T130" s="15">
        <f t="shared" si="9"/>
        <v>125</v>
      </c>
      <c r="U130" s="4">
        <v>-1517.8</v>
      </c>
      <c r="X130" s="11"/>
      <c r="Z130" s="15">
        <f t="shared" si="10"/>
        <v>125</v>
      </c>
      <c r="AA130" s="4">
        <v>7353.7484276051282</v>
      </c>
      <c r="AD130" s="11"/>
      <c r="AF130" s="15">
        <f t="shared" si="11"/>
        <v>125</v>
      </c>
      <c r="AG130" s="4">
        <v>0</v>
      </c>
      <c r="AJ130" s="11"/>
    </row>
    <row r="131" spans="2:36" x14ac:dyDescent="0.35">
      <c r="B131" s="15">
        <f t="shared" si="6"/>
        <v>126</v>
      </c>
      <c r="C131" s="4">
        <v>5000</v>
      </c>
      <c r="F131" s="11"/>
      <c r="H131" s="15">
        <f t="shared" si="7"/>
        <v>126</v>
      </c>
      <c r="I131" s="4">
        <v>0</v>
      </c>
      <c r="L131" s="11"/>
      <c r="N131" s="15">
        <f t="shared" si="8"/>
        <v>126</v>
      </c>
      <c r="O131" s="4">
        <v>844.93498752840753</v>
      </c>
      <c r="R131" s="11"/>
      <c r="T131" s="15">
        <f t="shared" si="9"/>
        <v>126</v>
      </c>
      <c r="U131" s="4">
        <v>-1517.8</v>
      </c>
      <c r="X131" s="11"/>
      <c r="Z131" s="15">
        <f t="shared" si="10"/>
        <v>126</v>
      </c>
      <c r="AA131" s="4">
        <v>6536.6761615103514</v>
      </c>
      <c r="AD131" s="11"/>
      <c r="AF131" s="15">
        <f t="shared" si="11"/>
        <v>126</v>
      </c>
      <c r="AG131" s="4">
        <v>0</v>
      </c>
      <c r="AJ131" s="11"/>
    </row>
    <row r="132" spans="2:36" x14ac:dyDescent="0.35">
      <c r="B132" s="15">
        <f t="shared" si="6"/>
        <v>127</v>
      </c>
      <c r="C132" s="4">
        <v>5000</v>
      </c>
      <c r="F132" s="11"/>
      <c r="H132" s="15">
        <f t="shared" si="7"/>
        <v>127</v>
      </c>
      <c r="I132" s="4">
        <v>0</v>
      </c>
      <c r="L132" s="11"/>
      <c r="N132" s="15">
        <f t="shared" si="8"/>
        <v>127</v>
      </c>
      <c r="O132" s="4">
        <v>838.05110443002513</v>
      </c>
      <c r="R132" s="11"/>
      <c r="T132" s="15">
        <f t="shared" si="9"/>
        <v>127</v>
      </c>
      <c r="U132" s="4">
        <v>-1517.8</v>
      </c>
      <c r="X132" s="11"/>
      <c r="Z132" s="15">
        <f t="shared" si="10"/>
        <v>127</v>
      </c>
      <c r="AA132" s="4">
        <v>7355.140028467963</v>
      </c>
      <c r="AD132" s="11"/>
      <c r="AF132" s="15">
        <f t="shared" si="11"/>
        <v>127</v>
      </c>
      <c r="AG132" s="4">
        <v>0</v>
      </c>
      <c r="AJ132" s="11"/>
    </row>
    <row r="133" spans="2:36" x14ac:dyDescent="0.35">
      <c r="B133" s="15">
        <f t="shared" si="6"/>
        <v>128</v>
      </c>
      <c r="C133" s="4">
        <v>5000</v>
      </c>
      <c r="F133" s="11"/>
      <c r="H133" s="15">
        <f t="shared" si="7"/>
        <v>128</v>
      </c>
      <c r="I133" s="4">
        <v>0</v>
      </c>
      <c r="L133" s="11"/>
      <c r="N133" s="15">
        <f t="shared" si="8"/>
        <v>128</v>
      </c>
      <c r="O133" s="4">
        <v>853.29666802996576</v>
      </c>
      <c r="R133" s="11"/>
      <c r="T133" s="15">
        <f t="shared" si="9"/>
        <v>128</v>
      </c>
      <c r="U133" s="4">
        <v>-1517.8</v>
      </c>
      <c r="X133" s="11"/>
      <c r="Z133" s="15">
        <f t="shared" si="10"/>
        <v>128</v>
      </c>
      <c r="AA133" s="4">
        <v>7024.6761615103514</v>
      </c>
      <c r="AD133" s="11"/>
      <c r="AF133" s="15">
        <f t="shared" si="11"/>
        <v>128</v>
      </c>
      <c r="AG133" s="4">
        <v>0</v>
      </c>
      <c r="AJ133" s="11"/>
    </row>
    <row r="134" spans="2:36" x14ac:dyDescent="0.35">
      <c r="B134" s="15">
        <f t="shared" si="6"/>
        <v>129</v>
      </c>
      <c r="C134" s="4">
        <v>5000</v>
      </c>
      <c r="F134" s="11"/>
      <c r="H134" s="15">
        <f t="shared" si="7"/>
        <v>129</v>
      </c>
      <c r="I134" s="4">
        <v>0</v>
      </c>
      <c r="L134" s="11"/>
      <c r="N134" s="15">
        <f t="shared" si="8"/>
        <v>129</v>
      </c>
      <c r="O134" s="4">
        <v>870.0253882258404</v>
      </c>
      <c r="R134" s="11"/>
      <c r="T134" s="15">
        <f t="shared" si="9"/>
        <v>129</v>
      </c>
      <c r="U134" s="4">
        <v>-1517.8</v>
      </c>
      <c r="X134" s="11"/>
      <c r="Z134" s="15">
        <f t="shared" si="10"/>
        <v>129</v>
      </c>
      <c r="AA134" s="4">
        <v>7024.6761615103514</v>
      </c>
      <c r="AD134" s="11"/>
      <c r="AF134" s="15">
        <f t="shared" si="11"/>
        <v>129</v>
      </c>
      <c r="AG134" s="4">
        <v>0</v>
      </c>
      <c r="AJ134" s="11"/>
    </row>
    <row r="135" spans="2:36" x14ac:dyDescent="0.35">
      <c r="B135" s="15">
        <f t="shared" si="6"/>
        <v>130</v>
      </c>
      <c r="C135" s="4">
        <v>5000</v>
      </c>
      <c r="F135" s="11"/>
      <c r="H135" s="15">
        <f t="shared" si="7"/>
        <v>130</v>
      </c>
      <c r="I135" s="4">
        <v>0</v>
      </c>
      <c r="L135" s="11"/>
      <c r="N135" s="15">
        <f t="shared" si="8"/>
        <v>130</v>
      </c>
      <c r="O135" s="4">
        <v>498.40891386020729</v>
      </c>
      <c r="R135" s="11"/>
      <c r="T135" s="15">
        <f t="shared" si="9"/>
        <v>130</v>
      </c>
      <c r="U135" s="4">
        <v>-1517.8</v>
      </c>
      <c r="X135" s="11"/>
      <c r="Z135" s="15">
        <f t="shared" si="10"/>
        <v>130</v>
      </c>
      <c r="AA135" s="4">
        <v>7354.6761615103514</v>
      </c>
      <c r="AD135" s="11"/>
      <c r="AF135" s="15">
        <f t="shared" si="11"/>
        <v>130</v>
      </c>
      <c r="AG135" s="4">
        <v>0</v>
      </c>
      <c r="AJ135" s="11"/>
    </row>
    <row r="136" spans="2:36" x14ac:dyDescent="0.35">
      <c r="B136" s="15">
        <f t="shared" ref="B136:B170" si="12">B135+1</f>
        <v>131</v>
      </c>
      <c r="C136" s="4">
        <v>5000</v>
      </c>
      <c r="F136" s="11"/>
      <c r="H136" s="15">
        <f t="shared" ref="H136:H170" si="13">H135+1</f>
        <v>131</v>
      </c>
      <c r="I136" s="4">
        <v>0</v>
      </c>
      <c r="L136" s="11"/>
      <c r="N136" s="15">
        <f t="shared" ref="N136:N170" si="14">N135+1</f>
        <v>131</v>
      </c>
      <c r="O136" s="4">
        <v>1.799890014808625E-9</v>
      </c>
      <c r="R136" s="11"/>
      <c r="T136" s="15">
        <f t="shared" ref="T136:T170" si="15">T135+1</f>
        <v>131</v>
      </c>
      <c r="U136" s="4">
        <v>-1517.8</v>
      </c>
      <c r="X136" s="11"/>
      <c r="Z136" s="15">
        <f t="shared" ref="Z136:Z170" si="16">Z135+1</f>
        <v>131</v>
      </c>
      <c r="AA136" s="4">
        <v>7354.6761615103514</v>
      </c>
      <c r="AD136" s="11"/>
      <c r="AF136" s="15">
        <f t="shared" ref="AF136:AF170" si="17">AF135+1</f>
        <v>131</v>
      </c>
      <c r="AG136" s="4">
        <v>0</v>
      </c>
      <c r="AJ136" s="11"/>
    </row>
    <row r="137" spans="2:36" x14ac:dyDescent="0.35">
      <c r="B137" s="15">
        <f t="shared" si="12"/>
        <v>132</v>
      </c>
      <c r="C137" s="4">
        <v>5000</v>
      </c>
      <c r="F137" s="11"/>
      <c r="H137" s="15">
        <f t="shared" si="13"/>
        <v>132</v>
      </c>
      <c r="I137" s="4">
        <v>0</v>
      </c>
      <c r="L137" s="11"/>
      <c r="N137" s="15">
        <f t="shared" si="14"/>
        <v>132</v>
      </c>
      <c r="O137" s="4">
        <v>1.799890014808625E-9</v>
      </c>
      <c r="R137" s="11"/>
      <c r="T137" s="15">
        <f t="shared" si="15"/>
        <v>132</v>
      </c>
      <c r="U137" s="4">
        <v>-1517.8</v>
      </c>
      <c r="X137" s="11"/>
      <c r="Z137" s="15">
        <f t="shared" si="16"/>
        <v>132</v>
      </c>
      <c r="AA137" s="4">
        <v>7355.140028467963</v>
      </c>
      <c r="AD137" s="11"/>
      <c r="AF137" s="15">
        <f t="shared" si="17"/>
        <v>132</v>
      </c>
      <c r="AG137" s="4">
        <v>0</v>
      </c>
      <c r="AJ137" s="11"/>
    </row>
    <row r="138" spans="2:36" x14ac:dyDescent="0.35">
      <c r="B138" s="15">
        <f t="shared" si="12"/>
        <v>133</v>
      </c>
      <c r="C138" s="4">
        <v>5000</v>
      </c>
      <c r="F138" s="11"/>
      <c r="H138" s="15">
        <f t="shared" si="13"/>
        <v>133</v>
      </c>
      <c r="I138" s="4">
        <v>0</v>
      </c>
      <c r="L138" s="11"/>
      <c r="N138" s="15">
        <f t="shared" si="14"/>
        <v>133</v>
      </c>
      <c r="O138" s="4">
        <v>1.799890014808625E-9</v>
      </c>
      <c r="R138" s="11"/>
      <c r="T138" s="15">
        <f t="shared" si="15"/>
        <v>133</v>
      </c>
      <c r="U138" s="4">
        <v>-1517.8</v>
      </c>
      <c r="X138" s="11"/>
      <c r="Z138" s="15">
        <f t="shared" si="16"/>
        <v>133</v>
      </c>
      <c r="AA138" s="4">
        <v>7354.6761615103514</v>
      </c>
      <c r="AD138" s="11"/>
      <c r="AF138" s="15">
        <f t="shared" si="17"/>
        <v>133</v>
      </c>
      <c r="AG138" s="4">
        <v>0</v>
      </c>
      <c r="AJ138" s="11"/>
    </row>
    <row r="139" spans="2:36" x14ac:dyDescent="0.35">
      <c r="B139" s="15">
        <f t="shared" si="12"/>
        <v>134</v>
      </c>
      <c r="C139" s="4">
        <v>5000</v>
      </c>
      <c r="F139" s="11"/>
      <c r="H139" s="15">
        <f t="shared" si="13"/>
        <v>134</v>
      </c>
      <c r="I139" s="4">
        <v>0</v>
      </c>
      <c r="L139" s="11"/>
      <c r="N139" s="15">
        <f t="shared" si="14"/>
        <v>134</v>
      </c>
      <c r="O139" s="4">
        <v>1.799890014808625E-9</v>
      </c>
      <c r="R139" s="11"/>
      <c r="T139" s="15">
        <f t="shared" si="15"/>
        <v>134</v>
      </c>
      <c r="U139" s="4">
        <v>-1517.8</v>
      </c>
      <c r="X139" s="11"/>
      <c r="Z139" s="15">
        <f t="shared" si="16"/>
        <v>134</v>
      </c>
      <c r="AA139" s="4">
        <v>7354.6761615103514</v>
      </c>
      <c r="AD139" s="11"/>
      <c r="AF139" s="15">
        <f t="shared" si="17"/>
        <v>134</v>
      </c>
      <c r="AG139" s="4">
        <v>0</v>
      </c>
      <c r="AJ139" s="11"/>
    </row>
    <row r="140" spans="2:36" x14ac:dyDescent="0.35">
      <c r="B140" s="15">
        <f t="shared" si="12"/>
        <v>135</v>
      </c>
      <c r="C140" s="4">
        <v>5000</v>
      </c>
      <c r="F140" s="11"/>
      <c r="H140" s="15">
        <f t="shared" si="13"/>
        <v>135</v>
      </c>
      <c r="I140" s="4">
        <v>0</v>
      </c>
      <c r="L140" s="11"/>
      <c r="N140" s="15">
        <f t="shared" si="14"/>
        <v>135</v>
      </c>
      <c r="O140" s="4">
        <v>-136.4429706781998</v>
      </c>
      <c r="R140" s="11"/>
      <c r="T140" s="15">
        <f t="shared" si="15"/>
        <v>135</v>
      </c>
      <c r="U140" s="4">
        <v>-1517.8</v>
      </c>
      <c r="X140" s="11"/>
      <c r="Z140" s="15">
        <f t="shared" si="16"/>
        <v>135</v>
      </c>
      <c r="AA140" s="4">
        <v>7355.140028467963</v>
      </c>
      <c r="AD140" s="11"/>
      <c r="AF140" s="15">
        <f t="shared" si="17"/>
        <v>135</v>
      </c>
      <c r="AG140" s="4">
        <v>0</v>
      </c>
      <c r="AJ140" s="11"/>
    </row>
    <row r="141" spans="2:36" x14ac:dyDescent="0.35">
      <c r="B141" s="15">
        <f t="shared" si="12"/>
        <v>136</v>
      </c>
      <c r="C141" s="4">
        <v>5000</v>
      </c>
      <c r="F141" s="11"/>
      <c r="H141" s="15">
        <f t="shared" si="13"/>
        <v>136</v>
      </c>
      <c r="I141" s="4">
        <v>0</v>
      </c>
      <c r="L141" s="11"/>
      <c r="N141" s="15">
        <f t="shared" si="14"/>
        <v>136</v>
      </c>
      <c r="O141" s="4">
        <v>-571.20297067162187</v>
      </c>
      <c r="R141" s="11"/>
      <c r="T141" s="15">
        <f t="shared" si="15"/>
        <v>136</v>
      </c>
      <c r="U141" s="4">
        <v>-1517.8</v>
      </c>
      <c r="X141" s="11"/>
      <c r="Z141" s="15">
        <f t="shared" si="16"/>
        <v>136</v>
      </c>
      <c r="AA141" s="4">
        <v>7354.6761615103514</v>
      </c>
      <c r="AD141" s="11"/>
      <c r="AF141" s="15">
        <f t="shared" si="17"/>
        <v>136</v>
      </c>
      <c r="AG141" s="4">
        <v>0</v>
      </c>
      <c r="AJ141" s="11"/>
    </row>
    <row r="142" spans="2:36" x14ac:dyDescent="0.35">
      <c r="B142" s="15">
        <f t="shared" si="12"/>
        <v>137</v>
      </c>
      <c r="C142" s="4">
        <v>5000</v>
      </c>
      <c r="F142" s="11"/>
      <c r="H142" s="15">
        <f t="shared" si="13"/>
        <v>137</v>
      </c>
      <c r="I142" s="4">
        <v>0</v>
      </c>
      <c r="L142" s="11"/>
      <c r="N142" s="15">
        <f t="shared" si="14"/>
        <v>137</v>
      </c>
      <c r="O142" s="4">
        <v>-1005.962970671622</v>
      </c>
      <c r="R142" s="11"/>
      <c r="T142" s="15">
        <f t="shared" si="15"/>
        <v>137</v>
      </c>
      <c r="U142" s="4">
        <v>-1517.8</v>
      </c>
      <c r="X142" s="11"/>
      <c r="Z142" s="15">
        <f t="shared" si="16"/>
        <v>137</v>
      </c>
      <c r="AA142" s="4">
        <v>7354.6761615103514</v>
      </c>
      <c r="AD142" s="11"/>
      <c r="AF142" s="15">
        <f t="shared" si="17"/>
        <v>137</v>
      </c>
      <c r="AG142" s="4">
        <v>0</v>
      </c>
      <c r="AJ142" s="11"/>
    </row>
    <row r="143" spans="2:36" x14ac:dyDescent="0.35">
      <c r="B143" s="15">
        <f t="shared" si="12"/>
        <v>138</v>
      </c>
      <c r="C143" s="4">
        <v>5000</v>
      </c>
      <c r="F143" s="11"/>
      <c r="H143" s="15">
        <f t="shared" si="13"/>
        <v>138</v>
      </c>
      <c r="I143" s="4">
        <v>0</v>
      </c>
      <c r="L143" s="11"/>
      <c r="N143" s="15">
        <f t="shared" si="14"/>
        <v>138</v>
      </c>
      <c r="O143" s="4">
        <v>-1268.8719851604189</v>
      </c>
      <c r="R143" s="11"/>
      <c r="T143" s="15">
        <f t="shared" si="15"/>
        <v>138</v>
      </c>
      <c r="U143" s="4">
        <v>-1517.8</v>
      </c>
      <c r="X143" s="11"/>
      <c r="Z143" s="15">
        <f t="shared" si="16"/>
        <v>138</v>
      </c>
      <c r="AA143" s="4">
        <v>6310.7038954303516</v>
      </c>
      <c r="AD143" s="11"/>
      <c r="AF143" s="15">
        <f t="shared" si="17"/>
        <v>138</v>
      </c>
      <c r="AG143" s="4">
        <v>0</v>
      </c>
      <c r="AJ143" s="11"/>
    </row>
    <row r="144" spans="2:36" x14ac:dyDescent="0.35">
      <c r="B144" s="15">
        <f t="shared" si="12"/>
        <v>139</v>
      </c>
      <c r="C144" s="4">
        <v>5000</v>
      </c>
      <c r="F144" s="11"/>
      <c r="H144" s="15">
        <f t="shared" si="13"/>
        <v>139</v>
      </c>
      <c r="I144" s="4">
        <v>0</v>
      </c>
      <c r="L144" s="11"/>
      <c r="N144" s="15">
        <f t="shared" si="14"/>
        <v>139</v>
      </c>
      <c r="O144" s="4">
        <v>-1182.5139530488291</v>
      </c>
      <c r="R144" s="11"/>
      <c r="T144" s="15">
        <f t="shared" si="15"/>
        <v>139</v>
      </c>
      <c r="U144" s="4">
        <v>-1517.8</v>
      </c>
      <c r="X144" s="11"/>
      <c r="Z144" s="15">
        <f t="shared" si="16"/>
        <v>139</v>
      </c>
      <c r="AA144" s="4">
        <v>7355.140028467963</v>
      </c>
      <c r="AD144" s="11"/>
      <c r="AF144" s="15">
        <f t="shared" si="17"/>
        <v>139</v>
      </c>
      <c r="AG144" s="4">
        <v>0</v>
      </c>
      <c r="AJ144" s="11"/>
    </row>
    <row r="145" spans="2:36" x14ac:dyDescent="0.35">
      <c r="B145" s="15">
        <f t="shared" si="12"/>
        <v>140</v>
      </c>
      <c r="C145" s="4">
        <v>5000</v>
      </c>
      <c r="F145" s="11"/>
      <c r="H145" s="15">
        <f t="shared" si="13"/>
        <v>140</v>
      </c>
      <c r="I145" s="4">
        <v>0</v>
      </c>
      <c r="L145" s="11"/>
      <c r="N145" s="15">
        <f t="shared" si="14"/>
        <v>140</v>
      </c>
      <c r="O145" s="4">
        <v>-1439.938757812148</v>
      </c>
      <c r="R145" s="11"/>
      <c r="T145" s="15">
        <f t="shared" si="15"/>
        <v>140</v>
      </c>
      <c r="U145" s="4">
        <v>-1517.8</v>
      </c>
      <c r="X145" s="11"/>
      <c r="Z145" s="15">
        <f t="shared" si="16"/>
        <v>140</v>
      </c>
      <c r="AA145" s="4">
        <v>7024.6761615103514</v>
      </c>
      <c r="AD145" s="11"/>
      <c r="AF145" s="15">
        <f t="shared" si="17"/>
        <v>140</v>
      </c>
      <c r="AG145" s="4">
        <v>0</v>
      </c>
      <c r="AJ145" s="11"/>
    </row>
    <row r="146" spans="2:36" x14ac:dyDescent="0.35">
      <c r="B146" s="15">
        <f t="shared" si="12"/>
        <v>141</v>
      </c>
      <c r="C146" s="4">
        <v>5000</v>
      </c>
      <c r="F146" s="11"/>
      <c r="H146" s="15">
        <f t="shared" si="13"/>
        <v>141</v>
      </c>
      <c r="I146" s="4">
        <v>0</v>
      </c>
      <c r="L146" s="11"/>
      <c r="N146" s="15">
        <f t="shared" si="14"/>
        <v>141</v>
      </c>
      <c r="O146" s="4">
        <v>-1690.0355363772171</v>
      </c>
      <c r="R146" s="11"/>
      <c r="T146" s="15">
        <f t="shared" si="15"/>
        <v>141</v>
      </c>
      <c r="U146" s="4">
        <v>-1517.8</v>
      </c>
      <c r="X146" s="11"/>
      <c r="Z146" s="15">
        <f t="shared" si="16"/>
        <v>141</v>
      </c>
      <c r="AA146" s="4">
        <v>7354.2122945527399</v>
      </c>
      <c r="AD146" s="11"/>
      <c r="AF146" s="15">
        <f t="shared" si="17"/>
        <v>141</v>
      </c>
      <c r="AG146" s="4">
        <v>0</v>
      </c>
      <c r="AJ146" s="11"/>
    </row>
    <row r="147" spans="2:36" x14ac:dyDescent="0.35">
      <c r="B147" s="15">
        <f t="shared" si="12"/>
        <v>142</v>
      </c>
      <c r="C147" s="4">
        <v>5000</v>
      </c>
      <c r="F147" s="11"/>
      <c r="H147" s="15">
        <f t="shared" si="13"/>
        <v>142</v>
      </c>
      <c r="I147" s="4">
        <v>0</v>
      </c>
      <c r="L147" s="11"/>
      <c r="N147" s="15">
        <f t="shared" si="14"/>
        <v>142</v>
      </c>
      <c r="O147" s="4">
        <v>-1905.663326917356</v>
      </c>
      <c r="R147" s="11"/>
      <c r="T147" s="15">
        <f t="shared" si="15"/>
        <v>142</v>
      </c>
      <c r="U147" s="4">
        <v>-1517.8</v>
      </c>
      <c r="X147" s="11"/>
      <c r="Z147" s="15">
        <f t="shared" si="16"/>
        <v>142</v>
      </c>
      <c r="AA147" s="4">
        <v>7023.7484276051282</v>
      </c>
      <c r="AD147" s="11"/>
      <c r="AF147" s="15">
        <f t="shared" si="17"/>
        <v>142</v>
      </c>
      <c r="AG147" s="4">
        <v>0</v>
      </c>
      <c r="AJ147" s="11"/>
    </row>
    <row r="148" spans="2:36" x14ac:dyDescent="0.35">
      <c r="B148" s="15">
        <f t="shared" si="12"/>
        <v>143</v>
      </c>
      <c r="C148" s="4">
        <v>5000</v>
      </c>
      <c r="F148" s="11"/>
      <c r="H148" s="15">
        <f t="shared" si="13"/>
        <v>143</v>
      </c>
      <c r="I148" s="4">
        <v>0</v>
      </c>
      <c r="L148" s="11"/>
      <c r="N148" s="15">
        <f t="shared" si="14"/>
        <v>143</v>
      </c>
      <c r="O148" s="4">
        <v>-2112.0666069218082</v>
      </c>
      <c r="R148" s="11"/>
      <c r="T148" s="15">
        <f t="shared" si="15"/>
        <v>143</v>
      </c>
      <c r="U148" s="4">
        <v>-1517.8</v>
      </c>
      <c r="X148" s="11"/>
      <c r="Z148" s="15">
        <f t="shared" si="16"/>
        <v>143</v>
      </c>
      <c r="AA148" s="4">
        <v>6534.820693689906</v>
      </c>
      <c r="AD148" s="11"/>
      <c r="AF148" s="15">
        <f t="shared" si="17"/>
        <v>143</v>
      </c>
      <c r="AG148" s="4">
        <v>0</v>
      </c>
      <c r="AJ148" s="11"/>
    </row>
    <row r="149" spans="2:36" x14ac:dyDescent="0.35">
      <c r="B149" s="15">
        <f t="shared" si="12"/>
        <v>144</v>
      </c>
      <c r="C149" s="4">
        <v>5000</v>
      </c>
      <c r="F149" s="11"/>
      <c r="H149" s="15">
        <f t="shared" si="13"/>
        <v>144</v>
      </c>
      <c r="I149" s="4">
        <v>0</v>
      </c>
      <c r="L149" s="11"/>
      <c r="N149" s="15">
        <f t="shared" si="14"/>
        <v>144</v>
      </c>
      <c r="O149" s="4">
        <v>-2319.0868639925902</v>
      </c>
      <c r="R149" s="11"/>
      <c r="T149" s="15">
        <f t="shared" si="15"/>
        <v>144</v>
      </c>
      <c r="U149" s="4">
        <v>-1517.8</v>
      </c>
      <c r="X149" s="11"/>
      <c r="Z149" s="15">
        <f t="shared" si="16"/>
        <v>144</v>
      </c>
      <c r="AA149" s="4">
        <v>7022.820693689906</v>
      </c>
      <c r="AD149" s="11"/>
      <c r="AF149" s="15">
        <f t="shared" si="17"/>
        <v>144</v>
      </c>
      <c r="AG149" s="4">
        <v>0</v>
      </c>
      <c r="AJ149" s="11"/>
    </row>
    <row r="150" spans="2:36" x14ac:dyDescent="0.35">
      <c r="B150" s="15">
        <f t="shared" si="12"/>
        <v>145</v>
      </c>
      <c r="C150" s="4">
        <v>5000</v>
      </c>
      <c r="F150" s="11"/>
      <c r="H150" s="15">
        <f t="shared" si="13"/>
        <v>145</v>
      </c>
      <c r="I150" s="4">
        <v>0</v>
      </c>
      <c r="L150" s="11"/>
      <c r="N150" s="15">
        <f t="shared" si="14"/>
        <v>145</v>
      </c>
      <c r="O150" s="4">
        <v>-2119.0448806695108</v>
      </c>
      <c r="R150" s="11"/>
      <c r="T150" s="15">
        <f t="shared" si="15"/>
        <v>145</v>
      </c>
      <c r="U150" s="4">
        <v>-1517.8</v>
      </c>
      <c r="X150" s="11"/>
      <c r="Z150" s="15">
        <f t="shared" si="16"/>
        <v>145</v>
      </c>
      <c r="AA150" s="4">
        <v>7352.8197076399101</v>
      </c>
      <c r="AD150" s="11"/>
      <c r="AF150" s="15">
        <f t="shared" si="17"/>
        <v>145</v>
      </c>
      <c r="AG150" s="4">
        <v>0</v>
      </c>
      <c r="AJ150" s="11"/>
    </row>
    <row r="151" spans="2:36" x14ac:dyDescent="0.35">
      <c r="B151" s="15">
        <f t="shared" si="12"/>
        <v>146</v>
      </c>
      <c r="C151" s="4">
        <v>5000</v>
      </c>
      <c r="F151" s="11"/>
      <c r="H151" s="15">
        <f t="shared" si="13"/>
        <v>146</v>
      </c>
      <c r="I151" s="4">
        <v>0</v>
      </c>
      <c r="L151" s="11"/>
      <c r="N151" s="15">
        <f t="shared" si="14"/>
        <v>146</v>
      </c>
      <c r="O151" s="4">
        <v>-1684.2848806695119</v>
      </c>
      <c r="R151" s="11"/>
      <c r="T151" s="15">
        <f t="shared" si="15"/>
        <v>146</v>
      </c>
      <c r="U151" s="4">
        <v>-1517.8</v>
      </c>
      <c r="X151" s="11"/>
      <c r="Z151" s="15">
        <f t="shared" si="16"/>
        <v>146</v>
      </c>
      <c r="AA151" s="4">
        <v>7352.8197076399101</v>
      </c>
      <c r="AD151" s="11"/>
      <c r="AF151" s="15">
        <f t="shared" si="17"/>
        <v>146</v>
      </c>
      <c r="AG151" s="4">
        <v>0</v>
      </c>
      <c r="AJ151" s="11"/>
    </row>
    <row r="152" spans="2:36" x14ac:dyDescent="0.35">
      <c r="B152" s="15">
        <f t="shared" si="12"/>
        <v>147</v>
      </c>
      <c r="C152" s="4">
        <v>5000</v>
      </c>
      <c r="F152" s="11"/>
      <c r="H152" s="15">
        <f t="shared" si="13"/>
        <v>147</v>
      </c>
      <c r="I152" s="4">
        <v>0</v>
      </c>
      <c r="L152" s="11"/>
      <c r="N152" s="15">
        <f t="shared" si="14"/>
        <v>147</v>
      </c>
      <c r="O152" s="4">
        <v>-1249.524880669512</v>
      </c>
      <c r="R152" s="11"/>
      <c r="T152" s="15">
        <f t="shared" si="15"/>
        <v>147</v>
      </c>
      <c r="U152" s="4">
        <v>-1517.8</v>
      </c>
      <c r="X152" s="11"/>
      <c r="Z152" s="15">
        <f t="shared" si="16"/>
        <v>147</v>
      </c>
      <c r="AA152" s="4">
        <v>7352.8197076399101</v>
      </c>
      <c r="AD152" s="11"/>
      <c r="AF152" s="15">
        <f t="shared" si="17"/>
        <v>147</v>
      </c>
      <c r="AG152" s="4">
        <v>0</v>
      </c>
      <c r="AJ152" s="11"/>
    </row>
    <row r="153" spans="2:36" x14ac:dyDescent="0.35">
      <c r="B153" s="15">
        <f t="shared" si="12"/>
        <v>148</v>
      </c>
      <c r="C153" s="4">
        <v>5000</v>
      </c>
      <c r="F153" s="11"/>
      <c r="H153" s="15">
        <f t="shared" si="13"/>
        <v>148</v>
      </c>
      <c r="I153" s="4">
        <v>0</v>
      </c>
      <c r="L153" s="11"/>
      <c r="N153" s="15">
        <f t="shared" si="14"/>
        <v>148</v>
      </c>
      <c r="O153" s="4">
        <v>-814.76488066951219</v>
      </c>
      <c r="R153" s="11"/>
      <c r="T153" s="15">
        <f t="shared" si="15"/>
        <v>148</v>
      </c>
      <c r="U153" s="4">
        <v>-1517.8</v>
      </c>
      <c r="X153" s="11"/>
      <c r="Z153" s="15">
        <f t="shared" si="16"/>
        <v>148</v>
      </c>
      <c r="AA153" s="4">
        <v>7352.8197076399101</v>
      </c>
      <c r="AD153" s="11"/>
      <c r="AF153" s="15">
        <f t="shared" si="17"/>
        <v>148</v>
      </c>
      <c r="AG153" s="4">
        <v>0</v>
      </c>
      <c r="AJ153" s="11"/>
    </row>
    <row r="154" spans="2:36" x14ac:dyDescent="0.35">
      <c r="B154" s="15">
        <f t="shared" si="12"/>
        <v>149</v>
      </c>
      <c r="C154" s="4">
        <v>5000</v>
      </c>
      <c r="F154" s="11"/>
      <c r="H154" s="15">
        <f t="shared" si="13"/>
        <v>149</v>
      </c>
      <c r="I154" s="4">
        <v>0</v>
      </c>
      <c r="L154" s="11"/>
      <c r="N154" s="15">
        <f t="shared" si="14"/>
        <v>149</v>
      </c>
      <c r="O154" s="4">
        <v>-380.00488066951198</v>
      </c>
      <c r="R154" s="11"/>
      <c r="T154" s="15">
        <f t="shared" si="15"/>
        <v>149</v>
      </c>
      <c r="U154" s="4">
        <v>-1517.8</v>
      </c>
      <c r="X154" s="11"/>
      <c r="Z154" s="15">
        <f t="shared" si="16"/>
        <v>149</v>
      </c>
      <c r="AA154" s="4">
        <v>7353.7474415551333</v>
      </c>
      <c r="AD154" s="11"/>
      <c r="AF154" s="15">
        <f t="shared" si="17"/>
        <v>149</v>
      </c>
      <c r="AG154" s="4">
        <v>0</v>
      </c>
      <c r="AJ154" s="11"/>
    </row>
    <row r="155" spans="2:36" x14ac:dyDescent="0.35">
      <c r="B155" s="15">
        <f t="shared" si="12"/>
        <v>150</v>
      </c>
      <c r="C155" s="4">
        <v>5000</v>
      </c>
      <c r="F155" s="11"/>
      <c r="H155" s="15">
        <f t="shared" si="13"/>
        <v>150</v>
      </c>
      <c r="I155" s="4">
        <v>0</v>
      </c>
      <c r="L155" s="11"/>
      <c r="N155" s="15">
        <f t="shared" si="14"/>
        <v>150</v>
      </c>
      <c r="O155" s="4">
        <v>4.87943907501176E-10</v>
      </c>
      <c r="R155" s="11"/>
      <c r="T155" s="15">
        <f t="shared" si="15"/>
        <v>150</v>
      </c>
      <c r="U155" s="4">
        <v>-1517.8</v>
      </c>
      <c r="X155" s="11"/>
      <c r="Z155" s="15">
        <f t="shared" si="16"/>
        <v>150</v>
      </c>
      <c r="AA155" s="4">
        <v>7354.6751754603574</v>
      </c>
      <c r="AD155" s="11"/>
      <c r="AF155" s="15">
        <f t="shared" si="17"/>
        <v>150</v>
      </c>
      <c r="AG155" s="4">
        <v>0</v>
      </c>
      <c r="AJ155" s="11"/>
    </row>
    <row r="156" spans="2:36" x14ac:dyDescent="0.35">
      <c r="B156" s="15">
        <f t="shared" si="12"/>
        <v>151</v>
      </c>
      <c r="C156" s="4">
        <v>5000</v>
      </c>
      <c r="F156" s="11"/>
      <c r="H156" s="15">
        <f t="shared" si="13"/>
        <v>151</v>
      </c>
      <c r="I156" s="4">
        <v>0</v>
      </c>
      <c r="L156" s="11"/>
      <c r="N156" s="15">
        <f t="shared" si="14"/>
        <v>151</v>
      </c>
      <c r="O156" s="4">
        <v>4.87943907501176E-10</v>
      </c>
      <c r="R156" s="11"/>
      <c r="T156" s="15">
        <f t="shared" si="15"/>
        <v>151</v>
      </c>
      <c r="U156" s="4">
        <v>-1517.8</v>
      </c>
      <c r="X156" s="11"/>
      <c r="Z156" s="15">
        <f t="shared" si="16"/>
        <v>151</v>
      </c>
      <c r="AA156" s="4">
        <v>7355.1390424179681</v>
      </c>
      <c r="AD156" s="11"/>
      <c r="AF156" s="15">
        <f t="shared" si="17"/>
        <v>151</v>
      </c>
      <c r="AG156" s="4">
        <v>0</v>
      </c>
      <c r="AJ156" s="11"/>
    </row>
    <row r="157" spans="2:36" x14ac:dyDescent="0.35">
      <c r="B157" s="15">
        <f t="shared" si="12"/>
        <v>152</v>
      </c>
      <c r="C157" s="4">
        <v>5000</v>
      </c>
      <c r="F157" s="11"/>
      <c r="H157" s="15">
        <f t="shared" si="13"/>
        <v>152</v>
      </c>
      <c r="I157" s="4">
        <v>0</v>
      </c>
      <c r="L157" s="11"/>
      <c r="N157" s="15">
        <f t="shared" si="14"/>
        <v>152</v>
      </c>
      <c r="O157" s="4">
        <v>4.87943907501176E-10</v>
      </c>
      <c r="R157" s="11"/>
      <c r="T157" s="15">
        <f t="shared" si="15"/>
        <v>152</v>
      </c>
      <c r="U157" s="4">
        <v>-1517.8</v>
      </c>
      <c r="X157" s="11"/>
      <c r="Z157" s="15">
        <f t="shared" si="16"/>
        <v>152</v>
      </c>
      <c r="AA157" s="4">
        <v>7354.6751754603574</v>
      </c>
      <c r="AD157" s="11"/>
      <c r="AF157" s="15">
        <f t="shared" si="17"/>
        <v>152</v>
      </c>
      <c r="AG157" s="4">
        <v>0</v>
      </c>
      <c r="AJ157" s="11"/>
    </row>
    <row r="158" spans="2:36" x14ac:dyDescent="0.35">
      <c r="B158" s="15">
        <f t="shared" si="12"/>
        <v>153</v>
      </c>
      <c r="C158" s="4">
        <v>5000</v>
      </c>
      <c r="F158" s="11"/>
      <c r="H158" s="15">
        <f t="shared" si="13"/>
        <v>153</v>
      </c>
      <c r="I158" s="4">
        <v>0</v>
      </c>
      <c r="L158" s="11"/>
      <c r="N158" s="15">
        <f t="shared" si="14"/>
        <v>153</v>
      </c>
      <c r="O158" s="4">
        <v>4.87943907501176E-10</v>
      </c>
      <c r="R158" s="11"/>
      <c r="T158" s="15">
        <f t="shared" si="15"/>
        <v>153</v>
      </c>
      <c r="U158" s="4">
        <v>-1517.8</v>
      </c>
      <c r="X158" s="11"/>
      <c r="Z158" s="15">
        <f t="shared" si="16"/>
        <v>153</v>
      </c>
      <c r="AA158" s="4">
        <v>7354.6751754603574</v>
      </c>
      <c r="AD158" s="11"/>
      <c r="AF158" s="15">
        <f t="shared" si="17"/>
        <v>153</v>
      </c>
      <c r="AG158" s="4">
        <v>0</v>
      </c>
      <c r="AJ158" s="11"/>
    </row>
    <row r="159" spans="2:36" x14ac:dyDescent="0.35">
      <c r="B159" s="15">
        <f t="shared" si="12"/>
        <v>154</v>
      </c>
      <c r="C159" s="4">
        <v>5000</v>
      </c>
      <c r="F159" s="11"/>
      <c r="H159" s="15">
        <f t="shared" si="13"/>
        <v>154</v>
      </c>
      <c r="I159" s="4">
        <v>0</v>
      </c>
      <c r="L159" s="11"/>
      <c r="N159" s="15">
        <f t="shared" si="14"/>
        <v>154</v>
      </c>
      <c r="O159" s="4">
        <v>4.87943907501176E-10</v>
      </c>
      <c r="R159" s="11"/>
      <c r="T159" s="15">
        <f t="shared" si="15"/>
        <v>154</v>
      </c>
      <c r="U159" s="4">
        <v>-1517.8</v>
      </c>
      <c r="X159" s="11"/>
      <c r="Z159" s="15">
        <f t="shared" si="16"/>
        <v>154</v>
      </c>
      <c r="AA159" s="4">
        <v>7354.6751754603574</v>
      </c>
      <c r="AD159" s="11"/>
      <c r="AF159" s="15">
        <f t="shared" si="17"/>
        <v>154</v>
      </c>
      <c r="AG159" s="4">
        <v>0</v>
      </c>
      <c r="AJ159" s="11"/>
    </row>
    <row r="160" spans="2:36" x14ac:dyDescent="0.35">
      <c r="B160" s="15">
        <f t="shared" si="12"/>
        <v>155</v>
      </c>
      <c r="C160" s="4">
        <v>5000</v>
      </c>
      <c r="F160" s="11"/>
      <c r="H160" s="15">
        <f t="shared" si="13"/>
        <v>155</v>
      </c>
      <c r="I160" s="4">
        <v>0</v>
      </c>
      <c r="L160" s="11"/>
      <c r="N160" s="15">
        <f t="shared" si="14"/>
        <v>155</v>
      </c>
      <c r="O160" s="4">
        <v>-6.0899765230715267E-9</v>
      </c>
      <c r="R160" s="11"/>
      <c r="T160" s="15">
        <f t="shared" si="15"/>
        <v>155</v>
      </c>
      <c r="U160" s="4">
        <v>-1517.8</v>
      </c>
      <c r="X160" s="11"/>
      <c r="Z160" s="15">
        <f t="shared" si="16"/>
        <v>155</v>
      </c>
      <c r="AA160" s="4">
        <v>7354.6751754603574</v>
      </c>
      <c r="AD160" s="11"/>
      <c r="AF160" s="15">
        <f t="shared" si="17"/>
        <v>155</v>
      </c>
      <c r="AG160" s="4">
        <v>0</v>
      </c>
      <c r="AJ160" s="11"/>
    </row>
    <row r="161" spans="2:36" x14ac:dyDescent="0.35">
      <c r="B161" s="15">
        <f t="shared" si="12"/>
        <v>156</v>
      </c>
      <c r="C161" s="4">
        <v>5000</v>
      </c>
      <c r="F161" s="11"/>
      <c r="H161" s="15">
        <f t="shared" si="13"/>
        <v>156</v>
      </c>
      <c r="I161" s="4">
        <v>0</v>
      </c>
      <c r="L161" s="11"/>
      <c r="N161" s="15">
        <f t="shared" si="14"/>
        <v>156</v>
      </c>
      <c r="O161" s="4">
        <v>0</v>
      </c>
      <c r="R161" s="11"/>
      <c r="T161" s="15">
        <f t="shared" si="15"/>
        <v>156</v>
      </c>
      <c r="U161" s="4">
        <v>-1517.8</v>
      </c>
      <c r="X161" s="11"/>
      <c r="Z161" s="15">
        <f t="shared" si="16"/>
        <v>156</v>
      </c>
      <c r="AA161" s="4">
        <v>7355.1390424179681</v>
      </c>
      <c r="AD161" s="11"/>
      <c r="AF161" s="15">
        <f t="shared" si="17"/>
        <v>156</v>
      </c>
      <c r="AG161" s="4">
        <v>0</v>
      </c>
      <c r="AJ161" s="11"/>
    </row>
    <row r="162" spans="2:36" x14ac:dyDescent="0.35">
      <c r="B162" s="15">
        <f t="shared" si="12"/>
        <v>157</v>
      </c>
      <c r="C162" s="4">
        <v>5000</v>
      </c>
      <c r="F162" s="11"/>
      <c r="H162" s="15">
        <f t="shared" si="13"/>
        <v>157</v>
      </c>
      <c r="I162" s="4">
        <v>0</v>
      </c>
      <c r="L162" s="11"/>
      <c r="N162" s="15">
        <f t="shared" si="14"/>
        <v>157</v>
      </c>
      <c r="O162" s="4">
        <v>0</v>
      </c>
      <c r="R162" s="11"/>
      <c r="T162" s="15">
        <f t="shared" si="15"/>
        <v>157</v>
      </c>
      <c r="U162" s="4">
        <v>-1517.8</v>
      </c>
      <c r="X162" s="11"/>
      <c r="Z162" s="15">
        <f t="shared" si="16"/>
        <v>157</v>
      </c>
      <c r="AA162" s="4">
        <v>7354.6751754603574</v>
      </c>
      <c r="AD162" s="11"/>
      <c r="AF162" s="15">
        <f t="shared" si="17"/>
        <v>157</v>
      </c>
      <c r="AG162" s="4">
        <v>0</v>
      </c>
      <c r="AJ162" s="11"/>
    </row>
    <row r="163" spans="2:36" x14ac:dyDescent="0.35">
      <c r="B163" s="15">
        <f t="shared" si="12"/>
        <v>158</v>
      </c>
      <c r="C163" s="4">
        <v>5000</v>
      </c>
      <c r="F163" s="11"/>
      <c r="H163" s="15">
        <f t="shared" si="13"/>
        <v>158</v>
      </c>
      <c r="I163" s="4">
        <v>0</v>
      </c>
      <c r="L163" s="11"/>
      <c r="N163" s="15">
        <f t="shared" si="14"/>
        <v>158</v>
      </c>
      <c r="O163" s="4">
        <v>0</v>
      </c>
      <c r="R163" s="11"/>
      <c r="T163" s="15">
        <f t="shared" si="15"/>
        <v>158</v>
      </c>
      <c r="U163" s="4">
        <v>-1517.8</v>
      </c>
      <c r="X163" s="11"/>
      <c r="Z163" s="15">
        <f t="shared" si="16"/>
        <v>158</v>
      </c>
      <c r="AA163" s="4">
        <v>7354.6751754603574</v>
      </c>
      <c r="AD163" s="11"/>
      <c r="AF163" s="15">
        <f t="shared" si="17"/>
        <v>158</v>
      </c>
      <c r="AG163" s="4">
        <v>0</v>
      </c>
      <c r="AJ163" s="11"/>
    </row>
    <row r="164" spans="2:36" x14ac:dyDescent="0.35">
      <c r="B164" s="15">
        <f t="shared" si="12"/>
        <v>159</v>
      </c>
      <c r="C164" s="4">
        <v>5000</v>
      </c>
      <c r="F164" s="11"/>
      <c r="H164" s="15">
        <f t="shared" si="13"/>
        <v>159</v>
      </c>
      <c r="I164" s="4">
        <v>0</v>
      </c>
      <c r="L164" s="11"/>
      <c r="N164" s="15">
        <f t="shared" si="14"/>
        <v>159</v>
      </c>
      <c r="O164" s="4">
        <v>0</v>
      </c>
      <c r="R164" s="11"/>
      <c r="T164" s="15">
        <f t="shared" si="15"/>
        <v>159</v>
      </c>
      <c r="U164" s="4">
        <v>-1517.8</v>
      </c>
      <c r="X164" s="11"/>
      <c r="Z164" s="15">
        <f t="shared" si="16"/>
        <v>159</v>
      </c>
      <c r="AA164" s="4">
        <v>7355.1390424179681</v>
      </c>
      <c r="AD164" s="11"/>
      <c r="AF164" s="15">
        <f t="shared" si="17"/>
        <v>159</v>
      </c>
      <c r="AG164" s="4">
        <v>0</v>
      </c>
      <c r="AJ164" s="11"/>
    </row>
    <row r="165" spans="2:36" x14ac:dyDescent="0.35">
      <c r="B165" s="15">
        <f t="shared" si="12"/>
        <v>160</v>
      </c>
      <c r="C165" s="4">
        <v>5000</v>
      </c>
      <c r="F165" s="11"/>
      <c r="H165" s="15">
        <f t="shared" si="13"/>
        <v>160</v>
      </c>
      <c r="I165" s="4">
        <v>0</v>
      </c>
      <c r="L165" s="11"/>
      <c r="N165" s="15">
        <f t="shared" si="14"/>
        <v>160</v>
      </c>
      <c r="O165" s="4">
        <v>4.87943907501176E-10</v>
      </c>
      <c r="R165" s="11"/>
      <c r="T165" s="15">
        <f t="shared" si="15"/>
        <v>160</v>
      </c>
      <c r="U165" s="4">
        <v>-1517.8</v>
      </c>
      <c r="X165" s="11"/>
      <c r="Z165" s="15">
        <f t="shared" si="16"/>
        <v>160</v>
      </c>
      <c r="AA165" s="4">
        <v>7354.6751754603574</v>
      </c>
      <c r="AD165" s="11"/>
      <c r="AF165" s="15">
        <f t="shared" si="17"/>
        <v>160</v>
      </c>
      <c r="AG165" s="4">
        <v>0</v>
      </c>
      <c r="AJ165" s="11"/>
    </row>
    <row r="166" spans="2:36" x14ac:dyDescent="0.35">
      <c r="B166" s="15">
        <f t="shared" si="12"/>
        <v>161</v>
      </c>
      <c r="C166" s="4">
        <v>5000</v>
      </c>
      <c r="F166" s="11"/>
      <c r="H166" s="15">
        <f t="shared" si="13"/>
        <v>161</v>
      </c>
      <c r="I166" s="4">
        <v>0</v>
      </c>
      <c r="L166" s="11"/>
      <c r="N166" s="15">
        <f t="shared" si="14"/>
        <v>161</v>
      </c>
      <c r="O166" s="4">
        <v>4.87943907501176E-10</v>
      </c>
      <c r="R166" s="11"/>
      <c r="T166" s="15">
        <f t="shared" si="15"/>
        <v>161</v>
      </c>
      <c r="U166" s="4">
        <v>-1517.8</v>
      </c>
      <c r="X166" s="11"/>
      <c r="Z166" s="15">
        <f t="shared" si="16"/>
        <v>161</v>
      </c>
      <c r="AA166" s="4">
        <v>7354.6751754603574</v>
      </c>
      <c r="AD166" s="11"/>
      <c r="AF166" s="15">
        <f t="shared" si="17"/>
        <v>161</v>
      </c>
      <c r="AG166" s="4">
        <v>0</v>
      </c>
      <c r="AJ166" s="11"/>
    </row>
    <row r="167" spans="2:36" x14ac:dyDescent="0.35">
      <c r="B167" s="15">
        <f t="shared" si="12"/>
        <v>162</v>
      </c>
      <c r="C167" s="4">
        <v>5000</v>
      </c>
      <c r="F167" s="11"/>
      <c r="H167" s="15">
        <f t="shared" si="13"/>
        <v>162</v>
      </c>
      <c r="I167" s="4">
        <v>0</v>
      </c>
      <c r="L167" s="11"/>
      <c r="N167" s="15">
        <f t="shared" si="14"/>
        <v>162</v>
      </c>
      <c r="O167" s="4">
        <v>4.87943907501176E-10</v>
      </c>
      <c r="R167" s="11"/>
      <c r="T167" s="15">
        <f t="shared" si="15"/>
        <v>162</v>
      </c>
      <c r="U167" s="4">
        <v>-1517.8</v>
      </c>
      <c r="X167" s="11"/>
      <c r="Z167" s="15">
        <f t="shared" si="16"/>
        <v>162</v>
      </c>
      <c r="AA167" s="4">
        <v>7354.6751754603574</v>
      </c>
      <c r="AD167" s="11"/>
      <c r="AF167" s="15">
        <f t="shared" si="17"/>
        <v>162</v>
      </c>
      <c r="AG167" s="4">
        <v>0</v>
      </c>
      <c r="AJ167" s="11"/>
    </row>
    <row r="168" spans="2:36" x14ac:dyDescent="0.35">
      <c r="B168" s="15">
        <f t="shared" si="12"/>
        <v>163</v>
      </c>
      <c r="C168" s="4">
        <v>5000</v>
      </c>
      <c r="F168" s="11"/>
      <c r="H168" s="15">
        <f t="shared" si="13"/>
        <v>163</v>
      </c>
      <c r="I168" s="4">
        <v>0</v>
      </c>
      <c r="L168" s="11"/>
      <c r="N168" s="15">
        <f t="shared" si="14"/>
        <v>163</v>
      </c>
      <c r="O168" s="4">
        <v>4.87943907501176E-10</v>
      </c>
      <c r="R168" s="11"/>
      <c r="T168" s="15">
        <f t="shared" si="15"/>
        <v>163</v>
      </c>
      <c r="U168" s="4">
        <v>-1517.8</v>
      </c>
      <c r="X168" s="11"/>
      <c r="Z168" s="15">
        <f t="shared" si="16"/>
        <v>163</v>
      </c>
      <c r="AA168" s="4">
        <v>7355.1390424179681</v>
      </c>
      <c r="AD168" s="11"/>
      <c r="AF168" s="15">
        <f t="shared" si="17"/>
        <v>163</v>
      </c>
      <c r="AG168" s="4">
        <v>0</v>
      </c>
      <c r="AJ168" s="11"/>
    </row>
    <row r="169" spans="2:36" x14ac:dyDescent="0.35">
      <c r="B169" s="15">
        <f t="shared" si="12"/>
        <v>164</v>
      </c>
      <c r="C169" s="4">
        <v>5000</v>
      </c>
      <c r="F169" s="11"/>
      <c r="H169" s="15">
        <f t="shared" si="13"/>
        <v>164</v>
      </c>
      <c r="I169" s="4">
        <v>0</v>
      </c>
      <c r="L169" s="11"/>
      <c r="N169" s="15">
        <f t="shared" si="14"/>
        <v>164</v>
      </c>
      <c r="O169" s="4">
        <v>4.87943907501176E-10</v>
      </c>
      <c r="R169" s="11"/>
      <c r="T169" s="15">
        <f t="shared" si="15"/>
        <v>164</v>
      </c>
      <c r="U169" s="4">
        <v>-1517.8</v>
      </c>
      <c r="X169" s="11"/>
      <c r="Z169" s="15">
        <f t="shared" si="16"/>
        <v>164</v>
      </c>
      <c r="AA169" s="4">
        <v>7354.6751754603574</v>
      </c>
      <c r="AD169" s="11"/>
      <c r="AF169" s="15">
        <f t="shared" si="17"/>
        <v>164</v>
      </c>
      <c r="AG169" s="4">
        <v>0</v>
      </c>
      <c r="AJ169" s="11"/>
    </row>
    <row r="170" spans="2:36" x14ac:dyDescent="0.35">
      <c r="B170" s="15">
        <f t="shared" si="12"/>
        <v>165</v>
      </c>
      <c r="C170" s="4">
        <v>5000</v>
      </c>
      <c r="F170" s="11"/>
      <c r="H170" s="15">
        <f t="shared" si="13"/>
        <v>165</v>
      </c>
      <c r="I170" s="4">
        <v>0</v>
      </c>
      <c r="L170" s="11"/>
      <c r="N170" s="15">
        <f t="shared" si="14"/>
        <v>165</v>
      </c>
      <c r="O170" s="4">
        <v>4.87943907501176E-10</v>
      </c>
      <c r="R170" s="11"/>
      <c r="T170" s="15">
        <f t="shared" si="15"/>
        <v>165</v>
      </c>
      <c r="U170" s="4">
        <v>-1517.8</v>
      </c>
      <c r="X170" s="11"/>
      <c r="Z170" s="15">
        <f t="shared" si="16"/>
        <v>165</v>
      </c>
      <c r="AA170" s="4">
        <v>7354.2113085027449</v>
      </c>
      <c r="AD170" s="11"/>
      <c r="AF170" s="15">
        <f t="shared" si="17"/>
        <v>165</v>
      </c>
      <c r="AG170" s="4">
        <v>0</v>
      </c>
      <c r="AJ170" s="11"/>
    </row>
    <row r="171" spans="2:36" x14ac:dyDescent="0.35">
      <c r="B171" s="15">
        <f>B170+1</f>
        <v>166</v>
      </c>
      <c r="C171" s="4">
        <v>5000</v>
      </c>
      <c r="F171" s="11"/>
      <c r="H171" s="15">
        <f>H170+1</f>
        <v>166</v>
      </c>
      <c r="I171" s="4">
        <v>0</v>
      </c>
      <c r="L171" s="11"/>
      <c r="N171" s="15">
        <f>N170+1</f>
        <v>166</v>
      </c>
      <c r="O171" s="4">
        <v>4.87943907501176E-10</v>
      </c>
      <c r="R171" s="11"/>
      <c r="T171" s="15">
        <f>T170+1</f>
        <v>166</v>
      </c>
      <c r="U171" s="4">
        <v>-1517.8</v>
      </c>
      <c r="X171" s="11"/>
      <c r="Z171" s="15">
        <f>Z170+1</f>
        <v>166</v>
      </c>
      <c r="AA171" s="4">
        <v>7353.7474415551333</v>
      </c>
      <c r="AD171" s="11"/>
      <c r="AF171" s="15">
        <f>AF170+1</f>
        <v>166</v>
      </c>
      <c r="AG171" s="4">
        <v>0</v>
      </c>
      <c r="AJ171" s="11"/>
    </row>
    <row r="172" spans="2:36" x14ac:dyDescent="0.35">
      <c r="B172" s="15">
        <f t="shared" ref="B172:B173" si="18">B171+1</f>
        <v>167</v>
      </c>
      <c r="C172" s="4">
        <v>5000</v>
      </c>
      <c r="F172" s="11"/>
      <c r="H172" s="15">
        <f t="shared" ref="H172:H173" si="19">H171+1</f>
        <v>167</v>
      </c>
      <c r="I172" s="4">
        <v>0</v>
      </c>
      <c r="L172" s="11"/>
      <c r="N172" s="15">
        <f t="shared" ref="N172:N173" si="20">N171+1</f>
        <v>167</v>
      </c>
      <c r="O172" s="4">
        <v>4.87943907501176E-10</v>
      </c>
      <c r="R172" s="11"/>
      <c r="T172" s="15">
        <f t="shared" ref="T172:T173" si="21">T171+1</f>
        <v>167</v>
      </c>
      <c r="U172" s="4">
        <v>-1517.8</v>
      </c>
      <c r="X172" s="11"/>
      <c r="Z172" s="15">
        <f t="shared" ref="Z172:Z173" si="22">Z171+1</f>
        <v>167</v>
      </c>
      <c r="AA172" s="4">
        <v>7352.8197076399101</v>
      </c>
      <c r="AD172" s="11"/>
      <c r="AF172" s="15">
        <f t="shared" ref="AF172:AF173" si="23">AF171+1</f>
        <v>167</v>
      </c>
      <c r="AG172" s="4">
        <v>0</v>
      </c>
      <c r="AJ172" s="11"/>
    </row>
    <row r="173" spans="2:36" x14ac:dyDescent="0.35">
      <c r="B173" s="16">
        <f t="shared" si="18"/>
        <v>168</v>
      </c>
      <c r="C173" s="12">
        <v>5000</v>
      </c>
      <c r="D173" s="12"/>
      <c r="E173" s="12"/>
      <c r="F173" s="13"/>
      <c r="H173" s="16">
        <f t="shared" si="19"/>
        <v>168</v>
      </c>
      <c r="I173" s="12">
        <v>0</v>
      </c>
      <c r="J173" s="12"/>
      <c r="K173" s="12"/>
      <c r="L173" s="13"/>
      <c r="N173" s="16">
        <f t="shared" si="20"/>
        <v>168</v>
      </c>
      <c r="O173" s="12">
        <v>4.87943907501176E-10</v>
      </c>
      <c r="P173" s="12"/>
      <c r="Q173" s="12"/>
      <c r="R173" s="13"/>
      <c r="T173" s="16">
        <f t="shared" si="21"/>
        <v>168</v>
      </c>
      <c r="U173" s="12">
        <v>-1517.8</v>
      </c>
      <c r="V173" s="12"/>
      <c r="W173" s="12"/>
      <c r="X173" s="13"/>
      <c r="Z173" s="16">
        <f t="shared" si="22"/>
        <v>168</v>
      </c>
      <c r="AA173" s="12">
        <v>7352.8197076399101</v>
      </c>
      <c r="AB173" s="12"/>
      <c r="AC173" s="12"/>
      <c r="AD173" s="13"/>
      <c r="AF173" s="16">
        <f t="shared" si="23"/>
        <v>168</v>
      </c>
      <c r="AG173" s="12">
        <v>0</v>
      </c>
      <c r="AH173" s="12"/>
      <c r="AI173" s="12"/>
      <c r="AJ173" s="13"/>
    </row>
  </sheetData>
  <mergeCells count="6">
    <mergeCell ref="C2:F2"/>
    <mergeCell ref="I2:L2"/>
    <mergeCell ref="O2:R2"/>
    <mergeCell ref="U2:X2"/>
    <mergeCell ref="AA2:AD2"/>
    <mergeCell ref="AG2:A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generadores</vt:lpstr>
      <vt:lpstr>interconexiones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2026-05-22T07:30:53Z</dcterms:created>
  <dcterms:modified xsi:type="dcterms:W3CDTF">2026-05-26T06:49:27Z</dcterms:modified>
</cp:coreProperties>
</file>